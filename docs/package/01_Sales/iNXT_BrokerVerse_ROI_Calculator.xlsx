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 Me" sheetId="1" state="visible" r:id="rId1"/>
    <sheet xmlns:r="http://schemas.openxmlformats.org/officeDocument/2006/relationships" name="Inputs" sheetId="2" state="visible" r:id="rId2"/>
    <sheet xmlns:r="http://schemas.openxmlformats.org/officeDocument/2006/relationships" name="Results" sheetId="3" state="visible" r:id="rId3"/>
    <sheet xmlns:r="http://schemas.openxmlformats.org/officeDocument/2006/relationships" name="Packages" sheetId="4" state="visible" r:id="rId4"/>
  </sheets>
  <definedNames>
    <definedName name="PackNames">Packages!$A$5:$A$21</definedName>
    <definedName name="PackCosts">Packages!$B$5:$F$21</definedName>
    <definedName name="Pack">Inputs!$B$6</definedName>
    <definedName name="Comm_Income">Inputs!$B$7</definedName>
    <definedName name="Growth">Inputs!$B$8</definedName>
    <definedName name="V_Policy">Inputs!$B$11</definedName>
    <definedName name="V_Renew">Inputs!$B$12</definedName>
    <definedName name="V_Endt">Inputs!$B$13</definedName>
    <definedName name="V_Claim">Inputs!$B$14</definedName>
    <definedName name="V_OR">Inputs!$B$15</definedName>
    <definedName name="V_Remit">Inputs!$B$16</definedName>
    <definedName name="V_Bank">Inputs!$B$17</definedName>
    <definedName name="Staff_Cost">Inputs!$B$20</definedName>
    <definedName name="Hours_Month">Inputs!$B$21</definedName>
    <definedName name="Hour_Cost">Inputs!$B$22</definedName>
    <definedName name="Cash_Share">Inputs!$B$23</definedName>
    <definedName name="Err_Rate">Inputs!$B$38</definedName>
    <definedName name="Err_Hours">Inputs!$B$39</definedName>
    <definedName name="Err_Red">Inputs!$B$40</definedName>
    <definedName name="Late_Charges">Inputs!$B$43</definedName>
    <definedName name="Late_Red">Inputs!$B$44</definedName>
    <definedName name="Comm_Delay">Inputs!$B$45</definedName>
    <definedName name="Comm_Delay_Red">Inputs!$B$46</definedName>
    <definedName name="Cost_Money">Inputs!$B$47</definedName>
    <definedName name="Leak_Rate">Inputs!$B$48</definedName>
    <definedName name="Leak_Red">Inputs!$B$49</definedName>
    <definedName name="Renew_Share">Inputs!$B$52</definedName>
    <definedName name="Ret_Now">Inputs!$B$53</definedName>
    <definedName name="Ret_Gain">Inputs!$B$54</definedName>
    <definedName name="Legacy">Inputs!$B$57</definedName>
    <definedName name="Real_Y1">Inputs!$B$60</definedName>
    <definedName name="Real_Y2">Inputs!$B$61</definedName>
    <definedName name="Real_Y3">Inputs!$B$62</definedName>
    <definedName name="Disc_Rate">Inputs!$B$63</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7">
    <font>
      <name val="Calibri"/>
      <family val="2"/>
      <color theme="1"/>
      <sz val="11"/>
      <scheme val="minor"/>
    </font>
    <font>
      <name val="Calibri"/>
      <b val="1"/>
      <color rgb="000F4761"/>
      <sz val="14"/>
    </font>
    <font>
      <name val="Calibri"/>
      <i val="1"/>
      <color rgb="00595959"/>
    </font>
    <font>
      <name val="Calibri"/>
      <b val="1"/>
      <color rgb="00FFFFFF"/>
    </font>
    <font>
      <name val="Calibri"/>
      <b val="1"/>
    </font>
    <font>
      <name val="Calibri"/>
      <color rgb="001F3FBF"/>
    </font>
    <font>
      <name val="Calibri"/>
      <b val="1"/>
      <color rgb="000F4761"/>
      <sz val="12"/>
    </font>
  </fonts>
  <fills count="7">
    <fill>
      <patternFill/>
    </fill>
    <fill>
      <patternFill patternType="gray125"/>
    </fill>
    <fill>
      <patternFill patternType="solid">
        <fgColor rgb="000F4761"/>
      </patternFill>
    </fill>
    <fill>
      <patternFill patternType="solid">
        <fgColor rgb="00E2EFDA"/>
      </patternFill>
    </fill>
    <fill>
      <patternFill patternType="solid">
        <fgColor rgb="00FFF2CC"/>
      </patternFill>
    </fill>
    <fill>
      <patternFill patternType="solid">
        <fgColor rgb="00D9E2F3"/>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6" fillId="5" borderId="0" pivotButton="0" quotePrefix="0" xfId="0"/>
    <xf numFmtId="0" fontId="0" fillId="5" borderId="0" pivotButton="0" quotePrefix="0" xfId="0"/>
    <xf numFmtId="0" fontId="0" fillId="0" borderId="1" pivotButton="0" quotePrefix="0" xfId="0"/>
    <xf numFmtId="0" fontId="5" fillId="4" borderId="1" pivotButton="0" quotePrefix="0" xfId="0"/>
    <xf numFmtId="3" fontId="5" fillId="4" borderId="1" pivotButton="0" quotePrefix="0" xfId="0"/>
    <xf numFmtId="0" fontId="0" fillId="6" borderId="1" applyAlignment="1" pivotButton="0" quotePrefix="0" xfId="0">
      <alignment vertical="top" wrapText="1"/>
    </xf>
    <xf numFmtId="9" fontId="5" fillId="4" borderId="1" pivotButton="0" quotePrefix="0" xfId="0"/>
    <xf numFmtId="0" fontId="4" fillId="0" borderId="1" pivotButton="0" quotePrefix="0" xfId="0"/>
    <xf numFmtId="3" fontId="0" fillId="3" borderId="1" pivotButton="0" quotePrefix="0" xfId="0"/>
    <xf numFmtId="164" fontId="5" fillId="4" borderId="1" pivotButton="0" quotePrefix="0" xfId="0"/>
    <xf numFmtId="165" fontId="5" fillId="4" borderId="1" pivotButton="0" quotePrefix="0" xfId="0"/>
    <xf numFmtId="3" fontId="0" fillId="0" borderId="1" pivotButton="0" quotePrefix="0" xfId="0"/>
    <xf numFmtId="9" fontId="0" fillId="0" borderId="1" pivotButton="0" quotePrefix="0" xfId="0"/>
    <xf numFmtId="3" fontId="4" fillId="3" borderId="1" pivotButton="0" quotePrefix="0" xfId="0"/>
    <xf numFmtId="165" fontId="0" fillId="3" borderId="1" pivotButton="0" quotePrefix="0" xfId="0"/>
    <xf numFmtId="0" fontId="0" fillId="0" borderId="4" pivotButton="0" quotePrefix="0" xfId="0"/>
    <xf numFmtId="0" fontId="0" fillId="0" borderId="5" pivotButton="0" quotePrefix="0" xfId="0"/>
    <xf numFmtId="164" fontId="0" fillId="0" borderId="1" pivotButton="0" quotePrefix="0" xfId="0"/>
    <xf numFmtId="0" fontId="0" fillId="3" borderId="1" pivotButton="0" quotePrefix="0" xfId="0"/>
    <xf numFmtId="166" fontId="0" fillId="0" borderId="1" pivotButton="0" quotePrefix="0" xfId="0"/>
    <xf numFmtId="165" fontId="0" fillId="0" borderId="1" pivotButton="0" quotePrefix="0" xfId="0"/>
    <xf numFmtId="165" fontId="4" fillId="3" borderId="1" pivotButton="0" quotePrefix="0" xfId="0"/>
    <xf numFmtId="9"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0"/>
  <sheetViews>
    <sheetView workbookViewId="0">
      <selection activeCell="A1" sqref="A1"/>
    </sheetView>
  </sheetViews>
  <sheetFormatPr baseColWidth="8" defaultRowHeight="15"/>
  <cols>
    <col width="24" customWidth="1" min="1" max="1"/>
    <col width="120" customWidth="1" min="2" max="2"/>
  </cols>
  <sheetData>
    <row r="1">
      <c r="A1" s="1" t="inlineStr">
        <is>
          <t>iNXT BrokerVerse OOTB: ROI calculator</t>
        </is>
      </c>
    </row>
    <row r="2">
      <c r="A2" s="2" t="inlineStr">
        <is>
          <t>iorta TechNXT Corp. Prepared 03 October 2026. PHP, exclusive of VAT. Example figures only: replace them with the broker's own.</t>
        </is>
      </c>
    </row>
    <row r="4">
      <c r="A4" s="3" t="inlineStr">
        <is>
          <t>Topic</t>
        </is>
      </c>
      <c r="B4" s="3" t="inlineStr">
        <is>
          <t>Notes</t>
        </is>
      </c>
    </row>
    <row r="5" ht="45" customHeight="1">
      <c r="A5" s="4" t="inlineStr">
        <is>
          <t>Purpose</t>
        </is>
      </c>
      <c r="B5" s="5" t="inlineStr">
        <is>
          <t>Estimates the yearly benefit of iNXT BrokerVerse OOTB for a broker (staff hours saved, rework avoided, remittance and commission cash effects, renewal retention) and compares it with the cost of a chosen package to give the payback period, the 5-year net benefit and the return.</t>
        </is>
      </c>
    </row>
    <row r="6" ht="75" customHeight="1">
      <c r="A6" s="4" t="inlineStr">
        <is>
          <t>How to use</t>
        </is>
      </c>
      <c r="B6" s="5" t="inlineStr">
        <is>
          <t>1. On Inputs, replace every yellow cell with the broker's figures. Each input has a label, a unit and its basis.
2. Pick the package (pre-set packages at list price from the price book), or choose "Custom" and type the yearly costs of a quotation.
3. Read Results. Recalculate (F9) if your spreadsheet tool does not recalculate on open.</t>
        </is>
      </c>
    </row>
    <row r="7" ht="45" customHeight="1">
      <c r="A7" s="4" t="inlineStr">
        <is>
          <t>Status of the defaults</t>
        </is>
      </c>
      <c r="B7" s="5" t="inlineStr">
        <is>
          <t>The default inputs describe a fictitious medium broker (60 users). Time per task, error rates, improvement rates and money figures are assumptions for illustration, not measured results of BrokerVerse. Cells with a light orange basis are assumptions that the broker must confirm, ideally from a short time study of the current process.</t>
        </is>
      </c>
    </row>
    <row r="8" ht="60" customHeight="1">
      <c r="A8" s="4" t="inlineStr">
        <is>
          <t>Method</t>
        </is>
      </c>
      <c r="B8" s="5" t="inlineStr">
        <is>
          <t>Hours saved = volume x current time per item x expected reduction. Cost saved = hours saved x hourly staff cost x the share of hours that turns into cash (avoided hiring, overtime or temporary staff). Rework, remittance charges, commission cash timing, commission leakage and renewal retention are added as separate lines. Year 1 counts only part of the benefit (go-live during the year and learning); volumes grow each year.</t>
        </is>
      </c>
    </row>
    <row r="9" ht="45" customHeight="1">
      <c r="A9" s="4" t="inlineStr">
        <is>
          <t>Package costs</t>
        </is>
      </c>
      <c r="B9" s="5" t="inlineStr">
        <is>
          <t>Package costs are the list prices of the pre-set packages in iNXT_BrokerVerse_Price_Book.xlsx for the tier reference user counts, copied as values when this workbook was built, by contract year from go-live (implementation and licence in Year 1). For any other configuration, use Custom with the Quick Quote figures.</t>
        </is>
      </c>
    </row>
    <row r="10" ht="30" customHeight="1">
      <c r="A10" s="4" t="inlineStr">
        <is>
          <t>Colour key</t>
        </is>
      </c>
      <c r="B10" s="5" t="inlineStr">
        <is>
          <t>Yellow cell with blue text: input. Light orange: assumption to confirm. Green: result.</t>
        </is>
      </c>
    </row>
  </sheetData>
  <pageMargins left="0.4" right="0.4" top="1" bottom="1" header="0.5" footer="0.5"/>
  <pageSetup orientation="landscape" paperSize="9" fitToHeight="0" fitToWidth="1"/>
  <headerFooter>
    <oddHeader/>
    <oddFooter>&amp;CiNXT BrokerVerse OOTB ROI calculator, iorta TechNXT Corp.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63"/>
  <sheetViews>
    <sheetView workbookViewId="0">
      <pane ySplit="3" topLeftCell="A4" activePane="bottomLeft" state="frozen"/>
      <selection pane="bottomLeft" activeCell="A1" sqref="A1"/>
    </sheetView>
  </sheetViews>
  <sheetFormatPr baseColWidth="8" defaultRowHeight="15"/>
  <cols>
    <col width="62" customWidth="1" min="1" max="1"/>
    <col width="16" customWidth="1" min="2" max="2"/>
    <col width="18" customWidth="1" min="3" max="3"/>
    <col width="70" customWidth="1" min="4" max="4"/>
  </cols>
  <sheetData>
    <row r="1">
      <c r="A1" s="1" t="inlineStr">
        <is>
          <t>Inputs: all assumptions are editable</t>
        </is>
      </c>
    </row>
    <row r="2">
      <c r="A2" s="2" t="inlineStr">
        <is>
          <t>Yellow cells are inputs. Replace the example figures with the broker's own. Light orange basis = assumption to confirm.</t>
        </is>
      </c>
    </row>
    <row r="4">
      <c r="A4" s="6" t="inlineStr">
        <is>
          <t>Package and broker profile</t>
        </is>
      </c>
      <c r="B4" s="7" t="n"/>
      <c r="C4" s="7" t="n"/>
      <c r="D4" s="7" t="n"/>
    </row>
    <row r="5">
      <c r="A5" s="3" t="inlineStr">
        <is>
          <t>Input</t>
        </is>
      </c>
      <c r="B5" s="3" t="inlineStr">
        <is>
          <t>Value</t>
        </is>
      </c>
      <c r="C5" s="3" t="inlineStr">
        <is>
          <t>Unit</t>
        </is>
      </c>
      <c r="D5" s="3" t="inlineStr">
        <is>
          <t>Basis</t>
        </is>
      </c>
    </row>
    <row r="6">
      <c r="A6" s="8" t="inlineStr">
        <is>
          <t>Package to compare against</t>
        </is>
      </c>
      <c r="B6" s="9" t="inlineStr">
        <is>
          <t>Medium: Standard (subscription, AWS)</t>
        </is>
      </c>
      <c r="C6" s="8" t="inlineStr">
        <is>
          <t>list</t>
        </is>
      </c>
      <c r="D6" s="5" t="inlineStr">
        <is>
          <t>Pick a pre-set package or "Custom" (Packages sheet).</t>
        </is>
      </c>
    </row>
    <row r="7">
      <c r="A7" s="8" t="inlineStr">
        <is>
          <t>Commission income per year</t>
        </is>
      </c>
      <c r="B7" s="10" t="n">
        <v>120000000</v>
      </c>
      <c r="C7" s="8" t="inlineStr">
        <is>
          <t>PHP</t>
        </is>
      </c>
      <c r="D7" s="11" t="inlineStr">
        <is>
          <t>Example: medium broker estimate used in the pricing workbook (IC 2024 rank about 10 to 30).</t>
        </is>
      </c>
    </row>
    <row r="8">
      <c r="A8" s="8" t="inlineStr">
        <is>
          <t>Business volume growth per year</t>
        </is>
      </c>
      <c r="B8" s="12" t="n">
        <v>0.05</v>
      </c>
      <c r="C8" s="8" t="inlineStr">
        <is>
          <t>% a year</t>
        </is>
      </c>
      <c r="D8" s="11" t="inlineStr">
        <is>
          <t>Assumption. Applied to volumes and money benefits from Year 2.</t>
        </is>
      </c>
    </row>
    <row r="9">
      <c r="A9" s="6" t="inlineStr">
        <is>
          <t>Volumes per year</t>
        </is>
      </c>
      <c r="B9" s="7" t="n"/>
      <c r="C9" s="7" t="n"/>
      <c r="D9" s="7" t="n"/>
    </row>
    <row r="10">
      <c r="A10" s="3" t="inlineStr">
        <is>
          <t>Input</t>
        </is>
      </c>
      <c r="B10" s="3" t="inlineStr">
        <is>
          <t>Value</t>
        </is>
      </c>
      <c r="C10" s="3" t="inlineStr">
        <is>
          <t>Unit</t>
        </is>
      </c>
      <c r="D10" s="3" t="inlineStr">
        <is>
          <t>Basis</t>
        </is>
      </c>
    </row>
    <row r="11">
      <c r="A11" s="8" t="inlineStr">
        <is>
          <t>New policies issued</t>
        </is>
      </c>
      <c r="B11" s="10" t="n">
        <v>12000</v>
      </c>
      <c r="C11" s="8" t="inlineStr">
        <is>
          <t>items a year</t>
        </is>
      </c>
      <c r="D11" s="11" t="inlineStr">
        <is>
          <t>Example. Take from the current system or registers for the last 12 months.</t>
        </is>
      </c>
    </row>
    <row r="12">
      <c r="A12" s="8" t="inlineStr">
        <is>
          <t>Renewals processed</t>
        </is>
      </c>
      <c r="B12" s="10" t="n">
        <v>8000</v>
      </c>
      <c r="C12" s="8" t="inlineStr">
        <is>
          <t>items a year</t>
        </is>
      </c>
      <c r="D12" s="11" t="inlineStr">
        <is>
          <t>Example. Take from the current system or registers for the last 12 months.</t>
        </is>
      </c>
    </row>
    <row r="13">
      <c r="A13" s="8" t="inlineStr">
        <is>
          <t>Endorsements</t>
        </is>
      </c>
      <c r="B13" s="10" t="n">
        <v>3000</v>
      </c>
      <c r="C13" s="8" t="inlineStr">
        <is>
          <t>items a year</t>
        </is>
      </c>
      <c r="D13" s="11" t="inlineStr">
        <is>
          <t>Example. Take from the current system or registers for the last 12 months.</t>
        </is>
      </c>
    </row>
    <row r="14">
      <c r="A14" s="8" t="inlineStr">
        <is>
          <t>Claims notified and followed up</t>
        </is>
      </c>
      <c r="B14" s="10" t="n">
        <v>1500</v>
      </c>
      <c r="C14" s="8" t="inlineStr">
        <is>
          <t>items a year</t>
        </is>
      </c>
      <c r="D14" s="11" t="inlineStr">
        <is>
          <t>Example. Take from the current system or registers for the last 12 months.</t>
        </is>
      </c>
    </row>
    <row r="15">
      <c r="A15" s="8" t="inlineStr">
        <is>
          <t>Official receipts and collections posted</t>
        </is>
      </c>
      <c r="B15" s="10" t="n">
        <v>20000</v>
      </c>
      <c r="C15" s="8" t="inlineStr">
        <is>
          <t>items a year</t>
        </is>
      </c>
      <c r="D15" s="11" t="inlineStr">
        <is>
          <t>Example. Take from the current system or registers for the last 12 months.</t>
        </is>
      </c>
    </row>
    <row r="16">
      <c r="A16" s="8" t="inlineStr">
        <is>
          <t>Insurer remittance batches per month</t>
        </is>
      </c>
      <c r="B16" s="10" t="n">
        <v>40</v>
      </c>
      <c r="C16" s="8" t="inlineStr">
        <is>
          <t>batches a month</t>
        </is>
      </c>
      <c r="D16" s="11" t="inlineStr">
        <is>
          <t>Example: number of insurers x remittances per insurer per month.</t>
        </is>
      </c>
    </row>
    <row r="17">
      <c r="A17" s="8" t="inlineStr">
        <is>
          <t>Bank accounts reconciled each month</t>
        </is>
      </c>
      <c r="B17" s="10" t="n">
        <v>6</v>
      </c>
      <c r="C17" s="8" t="inlineStr">
        <is>
          <t>accounts</t>
        </is>
      </c>
      <c r="D17" s="11" t="inlineStr">
        <is>
          <t>Example.</t>
        </is>
      </c>
    </row>
    <row r="18">
      <c r="A18" s="6" t="inlineStr">
        <is>
          <t>Staff cost</t>
        </is>
      </c>
      <c r="B18" s="7" t="n"/>
      <c r="C18" s="7" t="n"/>
      <c r="D18" s="7" t="n"/>
    </row>
    <row r="19">
      <c r="A19" s="3" t="inlineStr">
        <is>
          <t>Input</t>
        </is>
      </c>
      <c r="B19" s="3" t="inlineStr">
        <is>
          <t>Value</t>
        </is>
      </c>
      <c r="C19" s="3" t="inlineStr">
        <is>
          <t>Unit</t>
        </is>
      </c>
      <c r="D19" s="3" t="inlineStr">
        <is>
          <t>Basis</t>
        </is>
      </c>
    </row>
    <row r="20">
      <c r="A20" s="8" t="inlineStr">
        <is>
          <t>Fully loaded monthly cost of an operations or accounting staff member</t>
        </is>
      </c>
      <c r="B20" s="10" t="n">
        <v>40000</v>
      </c>
      <c r="C20" s="8" t="inlineStr">
        <is>
          <t>PHP a month</t>
        </is>
      </c>
      <c r="D20" s="11" t="inlineStr">
        <is>
          <t>Assumption: salary, 13th month pay, statutory contributions and benefits. Use the broker's payroll average.</t>
        </is>
      </c>
    </row>
    <row r="21">
      <c r="A21" s="8" t="inlineStr">
        <is>
          <t>Working hours per staff member per month</t>
        </is>
      </c>
      <c r="B21" s="10" t="n">
        <v>176</v>
      </c>
      <c r="C21" s="8" t="inlineStr">
        <is>
          <t>hours</t>
        </is>
      </c>
      <c r="D21" s="11" t="inlineStr">
        <is>
          <t>Assumption: 22 days x 8 hours.</t>
        </is>
      </c>
    </row>
    <row r="22">
      <c r="A22" s="13" t="inlineStr">
        <is>
          <t>Hourly staff cost</t>
        </is>
      </c>
      <c r="B22" s="14">
        <f>Staff_Cost/Hours_Month</f>
        <v/>
      </c>
      <c r="C22" s="8" t="inlineStr">
        <is>
          <t>PHP an hour</t>
        </is>
      </c>
    </row>
    <row r="23">
      <c r="A23" s="8" t="inlineStr">
        <is>
          <t>Share of hours saved that becomes a cost saving</t>
        </is>
      </c>
      <c r="B23" s="12" t="n">
        <v>0.6</v>
      </c>
      <c r="C23" s="8" t="inlineStr">
        <is>
          <t>%</t>
        </is>
      </c>
      <c r="D23" s="11" t="inlineStr">
        <is>
          <t>Assumption: avoided hiring, overtime and temporary staff. The rest is capacity for growth and service, not counted as cash.</t>
        </is>
      </c>
    </row>
    <row r="24">
      <c r="A24" s="6" t="inlineStr">
        <is>
          <t>Time on manual tasks today and expected reduction</t>
        </is>
      </c>
      <c r="B24" s="7" t="n"/>
      <c r="C24" s="7" t="n"/>
      <c r="D24" s="7" t="n"/>
    </row>
    <row r="25">
      <c r="A25" s="3" t="inlineStr">
        <is>
          <t>Task</t>
        </is>
      </c>
      <c r="B25" s="3" t="inlineStr">
        <is>
          <t>Minutes per item today</t>
        </is>
      </c>
      <c r="C25" s="3" t="inlineStr">
        <is>
          <t>Expected reduction</t>
        </is>
      </c>
      <c r="D25" s="3" t="inlineStr">
        <is>
          <t>Basis</t>
        </is>
      </c>
    </row>
    <row r="26">
      <c r="A26" s="8" t="inlineStr">
        <is>
          <t>Quotation, placement and policy issuance (per new policy)</t>
        </is>
      </c>
      <c r="B26" s="10" t="n">
        <v>60</v>
      </c>
      <c r="C26" s="12" t="n">
        <v>0.4</v>
      </c>
      <c r="D26" s="11" t="inlineStr">
        <is>
          <t>Assumption. Quotation, placement slip, policy and billing in one flow; product templates and motor tariff compute premium and taxes.</t>
        </is>
      </c>
    </row>
    <row r="27">
      <c r="A27" s="8" t="inlineStr">
        <is>
          <t>Renewal processing (per renewal)</t>
        </is>
      </c>
      <c r="B27" s="10" t="n">
        <v>45</v>
      </c>
      <c r="C27" s="12" t="n">
        <v>0.5</v>
      </c>
      <c r="D27" s="11" t="inlineStr">
        <is>
          <t>Assumption. Renewal lists and notices from expiring policies instead of manual tracking.</t>
        </is>
      </c>
    </row>
    <row r="28">
      <c r="A28" s="8" t="inlineStr">
        <is>
          <t>Endorsement (per endorsement)</t>
        </is>
      </c>
      <c r="B28" s="10" t="n">
        <v>30</v>
      </c>
      <c r="C28" s="12" t="n">
        <v>0.35</v>
      </c>
      <c r="D28" s="11" t="inlineStr">
        <is>
          <t>Assumption. Endorsement on the policy record with automatic premium and tax lines.</t>
        </is>
      </c>
    </row>
    <row r="29">
      <c r="A29" s="8" t="inlineStr">
        <is>
          <t>Claim notification and follow-up (per claim)</t>
        </is>
      </c>
      <c r="B29" s="10" t="n">
        <v>90</v>
      </c>
      <c r="C29" s="12" t="n">
        <v>0.25</v>
      </c>
      <c r="D29" s="11" t="inlineStr">
        <is>
          <t>Assumption. Claim record, documents and status in one place.</t>
        </is>
      </c>
    </row>
    <row r="30">
      <c r="A30" s="8" t="inlineStr">
        <is>
          <t>Official receipt and collection posting (per receipt)</t>
        </is>
      </c>
      <c r="B30" s="10" t="n">
        <v>10</v>
      </c>
      <c r="C30" s="12" t="n">
        <v>0.5</v>
      </c>
      <c r="D30" s="11" t="inlineStr">
        <is>
          <t>Assumption. Receipt against open items with automatic journal from posting rules.</t>
        </is>
      </c>
    </row>
    <row r="31">
      <c r="A31" s="8" t="inlineStr">
        <is>
          <t>Remittance preparation and approval (per batch)</t>
        </is>
      </c>
      <c r="B31" s="10" t="n">
        <v>180</v>
      </c>
      <c r="C31" s="12" t="n">
        <v>0.6</v>
      </c>
      <c r="D31" s="11" t="inlineStr">
        <is>
          <t>Assumption. Remittance built from collected premiums by insurer, with approval and ageing.</t>
        </is>
      </c>
    </row>
    <row r="32">
      <c r="A32" s="8" t="inlineStr">
        <is>
          <t>Bank reconciliation (per account per month)</t>
        </is>
      </c>
      <c r="B32" s="10" t="n">
        <v>960</v>
      </c>
      <c r="C32" s="12" t="n">
        <v>0.6</v>
      </c>
      <c r="D32" s="11" t="inlineStr">
        <is>
          <t>Assumption. Bank statement import and matching instead of manual ticking.</t>
        </is>
      </c>
    </row>
    <row r="33">
      <c r="A33" s="8" t="inlineStr">
        <is>
          <t>Month-end close and BIR working papers (per month)</t>
        </is>
      </c>
      <c r="B33" s="10" t="n">
        <v>4800</v>
      </c>
      <c r="C33" s="12" t="n">
        <v>0.5</v>
      </c>
      <c r="D33" s="11" t="inlineStr">
        <is>
          <t>Assumption. Month-End Close run and BIR working papers (2307, VAT Summary, SAWT, QAP, SLSP) from posted data.</t>
        </is>
      </c>
    </row>
    <row r="34">
      <c r="A34" s="8" t="inlineStr">
        <is>
          <t>Commission computation and statements (per month)</t>
        </is>
      </c>
      <c r="B34" s="10" t="n">
        <v>2400</v>
      </c>
      <c r="C34" s="12" t="n">
        <v>0.6</v>
      </c>
      <c r="D34" s="11" t="inlineStr">
        <is>
          <t>Assumption. Commission from rate matrix and referrer sharing; statements from the system.</t>
        </is>
      </c>
    </row>
    <row r="35">
      <c r="D35" s="5" t="inlineStr">
        <is>
          <t>Month-based tasks: minutes per month (4,800 minutes = 80 hours). Reductions are planning assumptions, to be confirmed by a time study.</t>
        </is>
      </c>
    </row>
    <row r="36">
      <c r="A36" s="6" t="inlineStr">
        <is>
          <t>Errors and rework</t>
        </is>
      </c>
      <c r="B36" s="7" t="n"/>
      <c r="C36" s="7" t="n"/>
      <c r="D36" s="7" t="n"/>
    </row>
    <row r="37">
      <c r="A37" s="3" t="inlineStr">
        <is>
          <t>Input</t>
        </is>
      </c>
      <c r="B37" s="3" t="inlineStr">
        <is>
          <t>Value</t>
        </is>
      </c>
      <c r="C37" s="3" t="inlineStr">
        <is>
          <t>Unit</t>
        </is>
      </c>
      <c r="D37" s="3" t="inlineStr">
        <is>
          <t>Basis</t>
        </is>
      </c>
    </row>
    <row r="38">
      <c r="A38" s="8" t="inlineStr">
        <is>
          <t>Transactions with an error that needs rework today (policies, endorsements, receipts)</t>
        </is>
      </c>
      <c r="B38" s="15" t="n">
        <v>0.04</v>
      </c>
      <c r="C38" s="8" t="inlineStr">
        <is>
          <t>% of transactions</t>
        </is>
      </c>
      <c r="D38" s="11" t="inlineStr">
        <is>
          <t>Assumption: wrong premium, tax, commission, client or insurer detail.</t>
        </is>
      </c>
    </row>
    <row r="39">
      <c r="A39" s="8" t="inlineStr">
        <is>
          <t>Hours to find and correct one error</t>
        </is>
      </c>
      <c r="B39" s="16" t="n">
        <v>1.5</v>
      </c>
      <c r="C39" s="8" t="inlineStr">
        <is>
          <t>hours</t>
        </is>
      </c>
      <c r="D39" s="11" t="inlineStr">
        <is>
          <t>Assumption: includes reversal, re-issue and communication.</t>
        </is>
      </c>
    </row>
    <row r="40">
      <c r="A40" s="8" t="inlineStr">
        <is>
          <t>Expected reduction in errors</t>
        </is>
      </c>
      <c r="B40" s="12" t="n">
        <v>0.5</v>
      </c>
      <c r="C40" s="8" t="inlineStr">
        <is>
          <t>%</t>
        </is>
      </c>
      <c r="D40" s="11" t="inlineStr">
        <is>
          <t>Assumption: validations, computed taxes, maker-checker approvals.</t>
        </is>
      </c>
    </row>
    <row r="41">
      <c r="A41" s="6" t="inlineStr">
        <is>
          <t>Remittance and commission cash</t>
        </is>
      </c>
      <c r="B41" s="7" t="n"/>
      <c r="C41" s="7" t="n"/>
      <c r="D41" s="7" t="n"/>
    </row>
    <row r="42">
      <c r="A42" s="3" t="inlineStr">
        <is>
          <t>Input</t>
        </is>
      </c>
      <c r="B42" s="3" t="inlineStr">
        <is>
          <t>Value</t>
        </is>
      </c>
      <c r="C42" s="3" t="inlineStr">
        <is>
          <t>Unit</t>
        </is>
      </c>
      <c r="D42" s="3" t="inlineStr">
        <is>
          <t>Basis</t>
        </is>
      </c>
    </row>
    <row r="43">
      <c r="A43" s="8" t="inlineStr">
        <is>
          <t>Late remittance charges, penalties or write-offs paid to insurers today</t>
        </is>
      </c>
      <c r="B43" s="10" t="n">
        <v>300000</v>
      </c>
      <c r="C43" s="8" t="inlineStr">
        <is>
          <t>PHP a year</t>
        </is>
      </c>
      <c r="D43" s="11" t="inlineStr">
        <is>
          <t>Example. Use the broker's records; 0 if none.</t>
        </is>
      </c>
    </row>
    <row r="44">
      <c r="A44" s="8" t="inlineStr">
        <is>
          <t>Expected reduction in late remittance charges</t>
        </is>
      </c>
      <c r="B44" s="12" t="n">
        <v>0.7</v>
      </c>
      <c r="C44" s="8" t="inlineStr">
        <is>
          <t>%</t>
        </is>
      </c>
      <c r="D44" s="11" t="inlineStr">
        <is>
          <t>Assumption: remittance ageing on the insurer's terms and approval workflow.</t>
        </is>
      </c>
    </row>
    <row r="45">
      <c r="A45" s="8" t="inlineStr">
        <is>
          <t>Average delay in collecting commission from insurers today</t>
        </is>
      </c>
      <c r="B45" s="10" t="n">
        <v>45</v>
      </c>
      <c r="C45" s="8" t="inlineStr">
        <is>
          <t>days</t>
        </is>
      </c>
      <c r="D45" s="11" t="inlineStr">
        <is>
          <t>Example: reconciliation backlog with insurers.</t>
        </is>
      </c>
    </row>
    <row r="46">
      <c r="A46" s="8" t="inlineStr">
        <is>
          <t>Expected reduction of that delay</t>
        </is>
      </c>
      <c r="B46" s="10" t="n">
        <v>20</v>
      </c>
      <c r="C46" s="8" t="inlineStr">
        <is>
          <t>days</t>
        </is>
      </c>
      <c r="D46" s="11" t="inlineStr">
        <is>
          <t>Assumption: insurer statement reconciliation in the system.</t>
        </is>
      </c>
    </row>
    <row r="47">
      <c r="A47" s="8" t="inlineStr">
        <is>
          <t>Cost of money (borrowing rate or deposit rate forgone)</t>
        </is>
      </c>
      <c r="B47" s="15" t="n">
        <v>0.06</v>
      </c>
      <c r="C47" s="8" t="inlineStr">
        <is>
          <t>% a year</t>
        </is>
      </c>
      <c r="D47" s="11" t="inlineStr">
        <is>
          <t>Assumption.</t>
        </is>
      </c>
    </row>
    <row r="48">
      <c r="A48" s="8" t="inlineStr">
        <is>
          <t>Commission never collected or written off today</t>
        </is>
      </c>
      <c r="B48" s="15" t="n">
        <v>0.005</v>
      </c>
      <c r="C48" s="8" t="inlineStr">
        <is>
          <t>% of commission income</t>
        </is>
      </c>
      <c r="D48" s="11" t="inlineStr">
        <is>
          <t>Assumption: commission not matched to insurer statements.</t>
        </is>
      </c>
    </row>
    <row r="49">
      <c r="A49" s="8" t="inlineStr">
        <is>
          <t>Expected recovery of that leakage</t>
        </is>
      </c>
      <c r="B49" s="12" t="n">
        <v>0.5</v>
      </c>
      <c r="C49" s="8" t="inlineStr">
        <is>
          <t>%</t>
        </is>
      </c>
      <c r="D49" s="11" t="inlineStr">
        <is>
          <t>Assumption.</t>
        </is>
      </c>
    </row>
    <row r="50">
      <c r="A50" s="6" t="inlineStr">
        <is>
          <t>Renewal retention</t>
        </is>
      </c>
      <c r="B50" s="7" t="n"/>
      <c r="C50" s="7" t="n"/>
      <c r="D50" s="7" t="n"/>
    </row>
    <row r="51">
      <c r="A51" s="3" t="inlineStr">
        <is>
          <t>Input</t>
        </is>
      </c>
      <c r="B51" s="3" t="inlineStr">
        <is>
          <t>Value</t>
        </is>
      </c>
      <c r="C51" s="3" t="inlineStr">
        <is>
          <t>Unit</t>
        </is>
      </c>
      <c r="D51" s="3" t="inlineStr">
        <is>
          <t>Basis</t>
        </is>
      </c>
    </row>
    <row r="52">
      <c r="A52" s="8" t="inlineStr">
        <is>
          <t>Share of commission income that comes from renewable policies</t>
        </is>
      </c>
      <c r="B52" s="12" t="n">
        <v>0.7</v>
      </c>
      <c r="C52" s="8" t="inlineStr">
        <is>
          <t>%</t>
        </is>
      </c>
      <c r="D52" s="11" t="inlineStr">
        <is>
          <t>Assumption: non-life book renews yearly.</t>
        </is>
      </c>
    </row>
    <row r="53">
      <c r="A53" s="8" t="inlineStr">
        <is>
          <t>Renewal retention rate today</t>
        </is>
      </c>
      <c r="B53" s="12" t="n">
        <v>0.8</v>
      </c>
      <c r="C53" s="8" t="inlineStr">
        <is>
          <t>%</t>
        </is>
      </c>
      <c r="D53" s="11" t="inlineStr">
        <is>
          <t>Example. Renewed policies / expiring policies over the last 12 months.</t>
        </is>
      </c>
    </row>
    <row r="54">
      <c r="A54" s="8" t="inlineStr">
        <is>
          <t>Expected improvement in retention</t>
        </is>
      </c>
      <c r="B54" s="15" t="n">
        <v>0.02</v>
      </c>
      <c r="C54" s="8" t="inlineStr">
        <is>
          <t>percentage points</t>
        </is>
      </c>
      <c r="D54" s="11" t="inlineStr">
        <is>
          <t>Assumption: renewal lists, reminders and follow-up on time. Net of new churn.</t>
        </is>
      </c>
    </row>
    <row r="55">
      <c r="A55" s="6" t="inlineStr">
        <is>
          <t>Other costs avoided</t>
        </is>
      </c>
      <c r="B55" s="7" t="n"/>
      <c r="C55" s="7" t="n"/>
      <c r="D55" s="7" t="n"/>
    </row>
    <row r="56">
      <c r="A56" s="3" t="inlineStr">
        <is>
          <t>Input</t>
        </is>
      </c>
      <c r="B56" s="3" t="inlineStr">
        <is>
          <t>Value</t>
        </is>
      </c>
      <c r="C56" s="3" t="inlineStr">
        <is>
          <t>Unit</t>
        </is>
      </c>
      <c r="D56" s="3" t="inlineStr">
        <is>
          <t>Basis</t>
        </is>
      </c>
    </row>
    <row r="57">
      <c r="A57" s="8" t="inlineStr">
        <is>
          <t>Current system costs that stop (licences, maintenance, spreadsheets support)</t>
        </is>
      </c>
      <c r="B57" s="10" t="n">
        <v>0</v>
      </c>
      <c r="C57" s="8" t="inlineStr">
        <is>
          <t>PHP a year</t>
        </is>
      </c>
      <c r="D57" s="5" t="inlineStr">
        <is>
          <t>Enter only costs that will actually stop after go-live.</t>
        </is>
      </c>
    </row>
    <row r="58">
      <c r="A58" s="6" t="inlineStr">
        <is>
          <t>Realisation and evaluation</t>
        </is>
      </c>
      <c r="B58" s="7" t="n"/>
      <c r="C58" s="7" t="n"/>
      <c r="D58" s="7" t="n"/>
    </row>
    <row r="59">
      <c r="A59" s="3" t="inlineStr">
        <is>
          <t>Input</t>
        </is>
      </c>
      <c r="B59" s="3" t="inlineStr">
        <is>
          <t>Value</t>
        </is>
      </c>
      <c r="C59" s="3" t="inlineStr">
        <is>
          <t>Unit</t>
        </is>
      </c>
      <c r="D59" s="3" t="inlineStr">
        <is>
          <t>Basis</t>
        </is>
      </c>
    </row>
    <row r="60">
      <c r="A60" s="8" t="inlineStr">
        <is>
          <t>Share of the full benefit realised in Year 1</t>
        </is>
      </c>
      <c r="B60" s="12" t="n">
        <v>0.5</v>
      </c>
      <c r="C60" s="8" t="inlineStr">
        <is>
          <t>%</t>
        </is>
      </c>
      <c r="D60" s="11" t="inlineStr">
        <is>
          <t>Assumption: go-live during Year 1, then learning. Payback is measured from contract year 1.</t>
        </is>
      </c>
    </row>
    <row r="61">
      <c r="A61" s="8" t="inlineStr">
        <is>
          <t>Share realised in Year 2</t>
        </is>
      </c>
      <c r="B61" s="12" t="n">
        <v>0.9</v>
      </c>
      <c r="C61" s="8" t="inlineStr">
        <is>
          <t>%</t>
        </is>
      </c>
      <c r="D61" s="11" t="inlineStr">
        <is>
          <t>Assumption.</t>
        </is>
      </c>
    </row>
    <row r="62">
      <c r="A62" s="8" t="inlineStr">
        <is>
          <t>Share realised from Year 3</t>
        </is>
      </c>
      <c r="B62" s="12" t="n">
        <v>1</v>
      </c>
      <c r="C62" s="8" t="inlineStr">
        <is>
          <t>%</t>
        </is>
      </c>
      <c r="D62" s="11" t="inlineStr">
        <is>
          <t>Assumption.</t>
        </is>
      </c>
    </row>
    <row r="63">
      <c r="A63" s="8" t="inlineStr">
        <is>
          <t>Discount rate for net present value</t>
        </is>
      </c>
      <c r="B63" s="12" t="n">
        <v>0.1</v>
      </c>
      <c r="C63" s="8" t="inlineStr">
        <is>
          <t>% a year</t>
        </is>
      </c>
      <c r="D63" s="11" t="inlineStr">
        <is>
          <t>Assumption: broker cost of capital.</t>
        </is>
      </c>
    </row>
  </sheetData>
  <dataValidations count="1">
    <dataValidation sqref="B6" showDropDown="0" showInputMessage="0" showErrorMessage="0" allowBlank="0" type="list">
      <formula1>PackNames</formula1>
    </dataValidation>
  </dataValidations>
  <pageMargins left="0.4" right="0.4" top="1" bottom="1" header="0.5" footer="0.5"/>
  <pageSetup orientation="landscape" paperSize="9" fitToHeight="0" fitToWidth="1"/>
  <headerFooter>
    <oddHeader/>
    <oddFooter>&amp;CiNXT BrokerVerse OOTB ROI calculator, iorta TechNXT Corp.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54"/>
  <sheetViews>
    <sheetView workbookViewId="0">
      <pane ySplit="3" topLeftCell="A4" activePane="bottomLeft" state="frozen"/>
      <selection pane="bottomLeft" activeCell="A1" sqref="A1"/>
    </sheetView>
  </sheetViews>
  <sheetFormatPr baseColWidth="8" defaultRowHeight="15"/>
  <cols>
    <col width="58" customWidth="1" min="1" max="1"/>
    <col width="17" customWidth="1" min="2" max="2"/>
    <col width="17" customWidth="1" min="3" max="3"/>
    <col width="17" customWidth="1" min="4" max="4"/>
    <col width="17" customWidth="1" min="5" max="5"/>
    <col width="17" customWidth="1" min="6" max="6"/>
    <col width="18" customWidth="1" min="7" max="7"/>
  </cols>
  <sheetData>
    <row r="1">
      <c r="A1" s="1" t="inlineStr">
        <is>
          <t>Results</t>
        </is>
      </c>
    </row>
    <row r="2">
      <c r="A2" s="2" t="inlineStr">
        <is>
          <t>PHP, exclusive of VAT. Formula driven from Inputs and Packages.</t>
        </is>
      </c>
    </row>
    <row r="4">
      <c r="A4" s="6" t="inlineStr">
        <is>
          <t>Hours saved by task (full year)</t>
        </is>
      </c>
      <c r="B4" s="7" t="n"/>
      <c r="C4" s="7" t="n"/>
      <c r="D4" s="7" t="n"/>
      <c r="E4" s="7" t="n"/>
      <c r="F4" s="7" t="n"/>
      <c r="G4" s="7" t="n"/>
    </row>
    <row r="5" ht="32" customHeight="1">
      <c r="A5" s="3" t="inlineStr">
        <is>
          <t>Task</t>
        </is>
      </c>
      <c r="B5" s="3" t="inlineStr">
        <is>
          <t>Items a year</t>
        </is>
      </c>
      <c r="C5" s="3" t="inlineStr">
        <is>
          <t>Hours a year today</t>
        </is>
      </c>
      <c r="D5" s="3" t="inlineStr">
        <is>
          <t>Reduction</t>
        </is>
      </c>
      <c r="E5" s="3" t="inlineStr">
        <is>
          <t>Hours saved a year</t>
        </is>
      </c>
      <c r="F5" s="3" t="inlineStr">
        <is>
          <t>Cost of hours saved (PHP)</t>
        </is>
      </c>
      <c r="G5" s="3" t="inlineStr">
        <is>
          <t>Cash saving (PHP)</t>
        </is>
      </c>
    </row>
    <row r="6">
      <c r="A6" s="8">
        <f>Inputs!A26</f>
        <v/>
      </c>
      <c r="B6" s="17">
        <f>V_Policy*1</f>
        <v/>
      </c>
      <c r="C6" s="17">
        <f>B6*Inputs!B26/60</f>
        <v/>
      </c>
      <c r="D6" s="18">
        <f>Inputs!C26</f>
        <v/>
      </c>
      <c r="E6" s="17">
        <f>C6*D6</f>
        <v/>
      </c>
      <c r="F6" s="17">
        <f>E6*Hour_Cost</f>
        <v/>
      </c>
      <c r="G6" s="17">
        <f>F6*Cash_Share</f>
        <v/>
      </c>
    </row>
    <row r="7">
      <c r="A7" s="8">
        <f>Inputs!A27</f>
        <v/>
      </c>
      <c r="B7" s="17">
        <f>V_Renew*1</f>
        <v/>
      </c>
      <c r="C7" s="17">
        <f>B7*Inputs!B27/60</f>
        <v/>
      </c>
      <c r="D7" s="18">
        <f>Inputs!C27</f>
        <v/>
      </c>
      <c r="E7" s="17">
        <f>C7*D7</f>
        <v/>
      </c>
      <c r="F7" s="17">
        <f>E7*Hour_Cost</f>
        <v/>
      </c>
      <c r="G7" s="17">
        <f>F7*Cash_Share</f>
        <v/>
      </c>
    </row>
    <row r="8">
      <c r="A8" s="8">
        <f>Inputs!A28</f>
        <v/>
      </c>
      <c r="B8" s="17">
        <f>V_Endt*1</f>
        <v/>
      </c>
      <c r="C8" s="17">
        <f>B8*Inputs!B28/60</f>
        <v/>
      </c>
      <c r="D8" s="18">
        <f>Inputs!C28</f>
        <v/>
      </c>
      <c r="E8" s="17">
        <f>C8*D8</f>
        <v/>
      </c>
      <c r="F8" s="17">
        <f>E8*Hour_Cost</f>
        <v/>
      </c>
      <c r="G8" s="17">
        <f>F8*Cash_Share</f>
        <v/>
      </c>
    </row>
    <row r="9">
      <c r="A9" s="8">
        <f>Inputs!A29</f>
        <v/>
      </c>
      <c r="B9" s="17">
        <f>V_Claim*1</f>
        <v/>
      </c>
      <c r="C9" s="17">
        <f>B9*Inputs!B29/60</f>
        <v/>
      </c>
      <c r="D9" s="18">
        <f>Inputs!C29</f>
        <v/>
      </c>
      <c r="E9" s="17">
        <f>C9*D9</f>
        <v/>
      </c>
      <c r="F9" s="17">
        <f>E9*Hour_Cost</f>
        <v/>
      </c>
      <c r="G9" s="17">
        <f>F9*Cash_Share</f>
        <v/>
      </c>
    </row>
    <row r="10">
      <c r="A10" s="8">
        <f>Inputs!A30</f>
        <v/>
      </c>
      <c r="B10" s="17">
        <f>V_OR*1</f>
        <v/>
      </c>
      <c r="C10" s="17">
        <f>B10*Inputs!B30/60</f>
        <v/>
      </c>
      <c r="D10" s="18">
        <f>Inputs!C30</f>
        <v/>
      </c>
      <c r="E10" s="17">
        <f>C10*D10</f>
        <v/>
      </c>
      <c r="F10" s="17">
        <f>E10*Hour_Cost</f>
        <v/>
      </c>
      <c r="G10" s="17">
        <f>F10*Cash_Share</f>
        <v/>
      </c>
    </row>
    <row r="11">
      <c r="A11" s="8">
        <f>Inputs!A31</f>
        <v/>
      </c>
      <c r="B11" s="17">
        <f>V_Remit*12</f>
        <v/>
      </c>
      <c r="C11" s="17">
        <f>B11*Inputs!B31/60</f>
        <v/>
      </c>
      <c r="D11" s="18">
        <f>Inputs!C31</f>
        <v/>
      </c>
      <c r="E11" s="17">
        <f>C11*D11</f>
        <v/>
      </c>
      <c r="F11" s="17">
        <f>E11*Hour_Cost</f>
        <v/>
      </c>
      <c r="G11" s="17">
        <f>F11*Cash_Share</f>
        <v/>
      </c>
    </row>
    <row r="12">
      <c r="A12" s="8">
        <f>Inputs!A32</f>
        <v/>
      </c>
      <c r="B12" s="17">
        <f>V_Bank*12</f>
        <v/>
      </c>
      <c r="C12" s="17">
        <f>B12*Inputs!B32/60</f>
        <v/>
      </c>
      <c r="D12" s="18">
        <f>Inputs!C32</f>
        <v/>
      </c>
      <c r="E12" s="17">
        <f>C12*D12</f>
        <v/>
      </c>
      <c r="F12" s="17">
        <f>E12*Hour_Cost</f>
        <v/>
      </c>
      <c r="G12" s="17">
        <f>F12*Cash_Share</f>
        <v/>
      </c>
    </row>
    <row r="13">
      <c r="A13" s="8">
        <f>Inputs!A33</f>
        <v/>
      </c>
      <c r="B13" s="17">
        <f>12</f>
        <v/>
      </c>
      <c r="C13" s="17">
        <f>B13*Inputs!B33/60</f>
        <v/>
      </c>
      <c r="D13" s="18">
        <f>Inputs!C33</f>
        <v/>
      </c>
      <c r="E13" s="17">
        <f>C13*D13</f>
        <v/>
      </c>
      <c r="F13" s="17">
        <f>E13*Hour_Cost</f>
        <v/>
      </c>
      <c r="G13" s="17">
        <f>F13*Cash_Share</f>
        <v/>
      </c>
    </row>
    <row r="14">
      <c r="A14" s="8">
        <f>Inputs!A34</f>
        <v/>
      </c>
      <c r="B14" s="17">
        <f>12</f>
        <v/>
      </c>
      <c r="C14" s="17">
        <f>B14*Inputs!B34/60</f>
        <v/>
      </c>
      <c r="D14" s="18">
        <f>Inputs!C34</f>
        <v/>
      </c>
      <c r="E14" s="17">
        <f>C14*D14</f>
        <v/>
      </c>
      <c r="F14" s="17">
        <f>E14*Hour_Cost</f>
        <v/>
      </c>
      <c r="G14" s="17">
        <f>F14*Cash_Share</f>
        <v/>
      </c>
    </row>
    <row r="15">
      <c r="A15" s="13" t="inlineStr">
        <is>
          <t>Total</t>
        </is>
      </c>
      <c r="C15" s="19">
        <f>SUM(C6:C14)</f>
        <v/>
      </c>
      <c r="E15" s="19">
        <f>SUM(E6:E14)</f>
        <v/>
      </c>
      <c r="F15" s="19">
        <f>SUM(F6:F14)</f>
        <v/>
      </c>
      <c r="G15" s="19">
        <f>SUM(G6:G14)</f>
        <v/>
      </c>
    </row>
    <row r="16">
      <c r="A16" s="8" t="inlineStr">
        <is>
          <t>Full-time equivalents released (hours saved / yearly hours of one person)</t>
        </is>
      </c>
      <c r="E16" s="20">
        <f>E15/(Hours_Month*12)</f>
        <v/>
      </c>
    </row>
    <row r="18">
      <c r="A18" s="6" t="inlineStr">
        <is>
          <t>Yearly benefit at full run rate</t>
        </is>
      </c>
      <c r="B18" s="7" t="n"/>
      <c r="C18" s="7" t="n"/>
      <c r="D18" s="7" t="n"/>
      <c r="E18" s="7" t="n"/>
      <c r="F18" s="7" t="n"/>
      <c r="G18" s="7" t="n"/>
    </row>
    <row r="19">
      <c r="A19" s="3" t="inlineStr">
        <is>
          <t>Benefit</t>
        </is>
      </c>
      <c r="B19" s="3" t="inlineStr">
        <is>
          <t>PHP a year</t>
        </is>
      </c>
      <c r="C19" s="3" t="inlineStr">
        <is>
          <t>How it is computed</t>
        </is>
      </c>
      <c r="D19" s="21" t="n"/>
      <c r="E19" s="21" t="n"/>
      <c r="F19" s="21" t="n"/>
      <c r="G19" s="22" t="n"/>
    </row>
    <row r="20">
      <c r="A20" s="8" t="inlineStr">
        <is>
          <t>Staff time saved (cash share)</t>
        </is>
      </c>
      <c r="B20" s="17">
        <f>G15</f>
        <v/>
      </c>
      <c r="C20" s="8" t="inlineStr">
        <is>
          <t>Hours saved x hourly cost x share that becomes a cost saving.</t>
        </is>
      </c>
      <c r="D20" s="21" t="n"/>
      <c r="E20" s="21" t="n"/>
      <c r="F20" s="21" t="n"/>
      <c r="G20" s="22" t="n"/>
    </row>
    <row r="21">
      <c r="A21" s="8" t="inlineStr">
        <is>
          <t>Rework avoided</t>
        </is>
      </c>
      <c r="B21" s="17">
        <f>(V_Policy+V_Renew+V_Endt+V_OR)*Err_Rate*Err_Red*Err_Hours*Hour_Cost</f>
        <v/>
      </c>
      <c r="C21" s="8" t="inlineStr">
        <is>
          <t>Transactions x error rate x reduction x hours per error x hourly cost.</t>
        </is>
      </c>
      <c r="D21" s="21" t="n"/>
      <c r="E21" s="21" t="n"/>
      <c r="F21" s="21" t="n"/>
      <c r="G21" s="22" t="n"/>
    </row>
    <row r="22">
      <c r="A22" s="8" t="inlineStr">
        <is>
          <t>Late remittance charges avoided</t>
        </is>
      </c>
      <c r="B22" s="17">
        <f>Late_Charges*Late_Red</f>
        <v/>
      </c>
      <c r="C22" s="8" t="inlineStr">
        <is>
          <t>Charges today x expected reduction.</t>
        </is>
      </c>
      <c r="D22" s="21" t="n"/>
      <c r="E22" s="21" t="n"/>
      <c r="F22" s="21" t="n"/>
      <c r="G22" s="22" t="n"/>
    </row>
    <row r="23">
      <c r="A23" s="8" t="inlineStr">
        <is>
          <t>Commission collected earlier (cost of money)</t>
        </is>
      </c>
      <c r="B23" s="17">
        <f>Comm_Income*Comm_Delay_Red/365*Cost_Money</f>
        <v/>
      </c>
      <c r="C23" s="8" t="inlineStr">
        <is>
          <t>Commission income x days gained / 365 x cost of money.</t>
        </is>
      </c>
      <c r="D23" s="21" t="n"/>
      <c r="E23" s="21" t="n"/>
      <c r="F23" s="21" t="n"/>
      <c r="G23" s="22" t="n"/>
    </row>
    <row r="24">
      <c r="A24" s="8" t="inlineStr">
        <is>
          <t>Commission leakage recovered</t>
        </is>
      </c>
      <c r="B24" s="17">
        <f>Comm_Income*Leak_Rate*Leak_Red</f>
        <v/>
      </c>
      <c r="C24" s="8" t="inlineStr">
        <is>
          <t>Commission income x leakage rate x recovery.</t>
        </is>
      </c>
      <c r="D24" s="21" t="n"/>
      <c r="E24" s="21" t="n"/>
      <c r="F24" s="21" t="n"/>
      <c r="G24" s="22" t="n"/>
    </row>
    <row r="25">
      <c r="A25" s="8" t="inlineStr">
        <is>
          <t>Renewal retention gain</t>
        </is>
      </c>
      <c r="B25" s="17">
        <f>Comm_Income*Renew_Share*Ret_Gain</f>
        <v/>
      </c>
      <c r="C25" s="8" t="inlineStr">
        <is>
          <t>Renewable commission x improvement in retention (percentage points).</t>
        </is>
      </c>
      <c r="D25" s="21" t="n"/>
      <c r="E25" s="21" t="n"/>
      <c r="F25" s="21" t="n"/>
      <c r="G25" s="22" t="n"/>
    </row>
    <row r="26">
      <c r="A26" s="8" t="inlineStr">
        <is>
          <t>Current system costs avoided</t>
        </is>
      </c>
      <c r="B26" s="17">
        <f>Legacy</f>
        <v/>
      </c>
      <c r="C26" s="8" t="inlineStr">
        <is>
          <t>As entered.</t>
        </is>
      </c>
      <c r="D26" s="21" t="n"/>
      <c r="E26" s="21" t="n"/>
      <c r="F26" s="21" t="n"/>
      <c r="G26" s="22" t="n"/>
    </row>
    <row r="27">
      <c r="A27" s="13" t="inlineStr">
        <is>
          <t>Total yearly benefit at full run rate</t>
        </is>
      </c>
      <c r="B27" s="19">
        <f>SUM(B20:B26)</f>
        <v/>
      </c>
    </row>
    <row r="28">
      <c r="A28" s="8" t="inlineStr">
        <is>
          <t>Benefit as a share of commission income</t>
        </is>
      </c>
      <c r="B28" s="23">
        <f>B27/Comm_Income</f>
        <v/>
      </c>
    </row>
    <row r="30">
      <c r="A30" s="6" t="inlineStr">
        <is>
          <t>Benefit against the cost of the selected package</t>
        </is>
      </c>
      <c r="B30" s="7" t="n"/>
      <c r="C30" s="7" t="n"/>
      <c r="D30" s="7" t="n"/>
      <c r="E30" s="7" t="n"/>
      <c r="F30" s="7" t="n"/>
      <c r="G30" s="7" t="n"/>
    </row>
    <row r="31">
      <c r="A31" s="13" t="inlineStr">
        <is>
          <t>Selected package</t>
        </is>
      </c>
      <c r="B31" s="24">
        <f>Pack</f>
        <v/>
      </c>
      <c r="C31" s="21" t="n"/>
      <c r="D31" s="21" t="n"/>
      <c r="E31" s="21" t="n"/>
      <c r="F31" s="21" t="n"/>
      <c r="G31" s="22" t="n"/>
    </row>
    <row r="32">
      <c r="A32" s="3" t="inlineStr">
        <is>
          <t>Line</t>
        </is>
      </c>
      <c r="B32" s="3" t="inlineStr">
        <is>
          <t>Year 1</t>
        </is>
      </c>
      <c r="C32" s="3" t="inlineStr">
        <is>
          <t>Year 2</t>
        </is>
      </c>
      <c r="D32" s="3" t="inlineStr">
        <is>
          <t>Year 3</t>
        </is>
      </c>
      <c r="E32" s="3" t="inlineStr">
        <is>
          <t>Year 4</t>
        </is>
      </c>
      <c r="F32" s="3" t="inlineStr">
        <is>
          <t>Year 5</t>
        </is>
      </c>
      <c r="G32" s="3" t="inlineStr">
        <is>
          <t>5-year total</t>
        </is>
      </c>
    </row>
    <row r="33">
      <c r="A33" s="8" t="inlineStr">
        <is>
          <t>Share of full benefit realised</t>
        </is>
      </c>
      <c r="B33" s="18">
        <f>Real_Y1</f>
        <v/>
      </c>
      <c r="C33" s="18">
        <f>Real_Y2</f>
        <v/>
      </c>
      <c r="D33" s="18">
        <f>Real_Y3</f>
        <v/>
      </c>
      <c r="E33" s="18">
        <f>Real_Y3</f>
        <v/>
      </c>
      <c r="F33" s="18">
        <f>Real_Y3</f>
        <v/>
      </c>
    </row>
    <row r="34">
      <c r="A34" s="8" t="inlineStr">
        <is>
          <t>Volume growth factor</t>
        </is>
      </c>
      <c r="B34" s="25">
        <f>(1+Growth)^(1-1)</f>
        <v/>
      </c>
      <c r="C34" s="25">
        <f>(1+Growth)^(2-1)</f>
        <v/>
      </c>
      <c r="D34" s="25">
        <f>(1+Growth)^(3-1)</f>
        <v/>
      </c>
      <c r="E34" s="25">
        <f>(1+Growth)^(4-1)</f>
        <v/>
      </c>
      <c r="F34" s="25">
        <f>(1+Growth)^(5-1)</f>
        <v/>
      </c>
    </row>
    <row r="35">
      <c r="A35" s="8" t="inlineStr">
        <is>
          <t>Benefit</t>
        </is>
      </c>
      <c r="B35" s="17">
        <f>$B$27*B33*B34</f>
        <v/>
      </c>
      <c r="C35" s="17">
        <f>$B$27*C33*C34</f>
        <v/>
      </c>
      <c r="D35" s="17">
        <f>$B$27*D33*D34</f>
        <v/>
      </c>
      <c r="E35" s="17">
        <f>$B$27*E33*E34</f>
        <v/>
      </c>
      <c r="F35" s="17">
        <f>$B$27*F33*F34</f>
        <v/>
      </c>
      <c r="G35" s="19">
        <f>SUM(B35:F35)</f>
        <v/>
      </c>
    </row>
    <row r="36">
      <c r="A36" s="8" t="inlineStr">
        <is>
          <t>Package cost</t>
        </is>
      </c>
      <c r="B36" s="17">
        <f>INDEX(PackCosts,MATCH(Pack,PackNames,0),1)</f>
        <v/>
      </c>
      <c r="C36" s="17">
        <f>INDEX(PackCosts,MATCH(Pack,PackNames,0),2)</f>
        <v/>
      </c>
      <c r="D36" s="17">
        <f>INDEX(PackCosts,MATCH(Pack,PackNames,0),3)</f>
        <v/>
      </c>
      <c r="E36" s="17">
        <f>INDEX(PackCosts,MATCH(Pack,PackNames,0),4)</f>
        <v/>
      </c>
      <c r="F36" s="17">
        <f>INDEX(PackCosts,MATCH(Pack,PackNames,0),5)</f>
        <v/>
      </c>
      <c r="G36" s="19">
        <f>SUM(B36:F36)</f>
        <v/>
      </c>
    </row>
    <row r="37">
      <c r="A37" s="13" t="inlineStr">
        <is>
          <t>Net benefit</t>
        </is>
      </c>
      <c r="B37" s="14">
        <f>B35-B36</f>
        <v/>
      </c>
      <c r="C37" s="14">
        <f>C35-C36</f>
        <v/>
      </c>
      <c r="D37" s="14">
        <f>D35-D36</f>
        <v/>
      </c>
      <c r="E37" s="14">
        <f>E35-E36</f>
        <v/>
      </c>
      <c r="F37" s="14">
        <f>F35-F36</f>
        <v/>
      </c>
      <c r="G37" s="19">
        <f>SUM(B37:F37)</f>
        <v/>
      </c>
    </row>
    <row r="38">
      <c r="A38" s="13" t="inlineStr">
        <is>
          <t>Cumulative net benefit</t>
        </is>
      </c>
      <c r="B38" s="14">
        <f>0+B37</f>
        <v/>
      </c>
      <c r="C38" s="14">
        <f>B38+C37</f>
        <v/>
      </c>
      <c r="D38" s="14">
        <f>C38+D37</f>
        <v/>
      </c>
      <c r="E38" s="14">
        <f>D38+E37</f>
        <v/>
      </c>
      <c r="F38" s="14">
        <f>E38+F37</f>
        <v/>
      </c>
    </row>
    <row r="39">
      <c r="A39" s="8" t="inlineStr">
        <is>
          <t>Payback helper (months)</t>
        </is>
      </c>
      <c r="B39" s="26">
        <f>IF(AND(0&lt;0,B38&gt;=0),(1-1)*12+12*(-0)/B37,IF(AND(1=1,B38&gt;=0),12*B36/B35,""))</f>
        <v/>
      </c>
      <c r="C39" s="26">
        <f>IF(AND(B38&lt;0,C38&gt;=0),(2-1)*12+12*(-B38)/C37,IF(AND(2=1,C38&gt;=0),12*C36/C35,""))</f>
        <v/>
      </c>
      <c r="D39" s="26">
        <f>IF(AND(C38&lt;0,D38&gt;=0),(3-1)*12+12*(-C38)/D37,IF(AND(3=1,D38&gt;=0),12*D36/D35,""))</f>
        <v/>
      </c>
      <c r="E39" s="26">
        <f>IF(AND(D38&lt;0,E38&gt;=0),(4-1)*12+12*(-D38)/E37,IF(AND(4=1,E38&gt;=0),12*E36/E35,""))</f>
        <v/>
      </c>
      <c r="F39" s="26">
        <f>IF(AND(E38&lt;0,F38&gt;=0),(5-1)*12+12*(-E38)/F37,IF(AND(5=1,F38&gt;=0),12*F36/F35,""))</f>
        <v/>
      </c>
    </row>
    <row r="41">
      <c r="A41" s="6" t="inlineStr">
        <is>
          <t>Summary</t>
        </is>
      </c>
      <c r="B41" s="7" t="n"/>
      <c r="C41" s="7" t="n"/>
      <c r="D41" s="7" t="n"/>
      <c r="E41" s="7" t="n"/>
      <c r="F41" s="7" t="n"/>
      <c r="G41" s="7" t="n"/>
    </row>
    <row r="42">
      <c r="A42" s="13" t="inlineStr">
        <is>
          <t>Hours saved a year at full run rate</t>
        </is>
      </c>
      <c r="B42" s="19">
        <f>E15</f>
        <v/>
      </c>
    </row>
    <row r="43">
      <c r="A43" s="13" t="inlineStr">
        <is>
          <t>Full-time equivalents released</t>
        </is>
      </c>
      <c r="B43" s="27">
        <f>E15/(Hours_Month*12)</f>
        <v/>
      </c>
    </row>
    <row r="44">
      <c r="A44" s="13" t="inlineStr">
        <is>
          <t>Cost saved a year at full run rate (staff time and rework)</t>
        </is>
      </c>
      <c r="B44" s="19">
        <f>B20+B21</f>
        <v/>
      </c>
    </row>
    <row r="45">
      <c r="A45" s="13" t="inlineStr">
        <is>
          <t>Renewal retention gain a year</t>
        </is>
      </c>
      <c r="B45" s="19">
        <f>B25</f>
        <v/>
      </c>
    </row>
    <row r="46">
      <c r="A46" s="13" t="inlineStr">
        <is>
          <t>Total yearly benefit at full run rate</t>
        </is>
      </c>
      <c r="B46" s="19">
        <f>B27</f>
        <v/>
      </c>
    </row>
    <row r="47">
      <c r="A47" s="13" t="inlineStr">
        <is>
          <t>5-year benefit</t>
        </is>
      </c>
      <c r="B47" s="19">
        <f>G35</f>
        <v/>
      </c>
    </row>
    <row r="48">
      <c r="A48" s="13" t="inlineStr">
        <is>
          <t>5-year package cost</t>
        </is>
      </c>
      <c r="B48" s="19">
        <f>G36</f>
        <v/>
      </c>
    </row>
    <row r="49">
      <c r="A49" s="13" t="inlineStr">
        <is>
          <t>5-year net benefit</t>
        </is>
      </c>
      <c r="B49" s="19">
        <f>G37</f>
        <v/>
      </c>
    </row>
    <row r="50">
      <c r="A50" s="13" t="inlineStr">
        <is>
          <t>Return on investment over 5 years (net benefit / cost)</t>
        </is>
      </c>
      <c r="B50" s="28">
        <f>IF(G36=0,"",G37/G36)</f>
        <v/>
      </c>
    </row>
    <row r="51">
      <c r="A51" s="13" t="inlineStr">
        <is>
          <t>Net present value over 5 years</t>
        </is>
      </c>
      <c r="B51" s="19">
        <f>NPV(Disc_Rate,B37:F37)</f>
        <v/>
      </c>
    </row>
    <row r="52">
      <c r="A52" s="13" t="inlineStr">
        <is>
          <t>Payback period (months from the start of contract year 1)</t>
        </is>
      </c>
      <c r="B52" s="27">
        <f>IF(COUNT(B39:F39)=0,"Not within 5 years",MIN(B39:F39))</f>
        <v/>
      </c>
    </row>
    <row r="54">
      <c r="A54" s="2" t="inlineStr">
        <is>
          <t>The results are estimates from the inputs. They are not a commitment by iorta TechNXT Corp. to any benefit; the broker validates the inputs.</t>
        </is>
      </c>
    </row>
  </sheetData>
  <mergeCells count="10">
    <mergeCell ref="C21:G21"/>
    <mergeCell ref="C20:G20"/>
    <mergeCell ref="C24:G24"/>
    <mergeCell ref="B31:G31"/>
    <mergeCell ref="C25:G25"/>
    <mergeCell ref="C19:G19"/>
    <mergeCell ref="A54:G54"/>
    <mergeCell ref="C23:G23"/>
    <mergeCell ref="C22:G22"/>
    <mergeCell ref="C26:G26"/>
  </mergeCells>
  <pageMargins left="0.4" right="0.4" top="1" bottom="1" header="0.5" footer="0.5"/>
  <pageSetup orientation="landscape" paperSize="9" fitToHeight="0" fitToWidth="1"/>
  <headerFooter>
    <oddHeader/>
    <oddFooter>&amp;CiNXT BrokerVerse OOTB ROI calculator, iorta TechNXT Corp.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6" customWidth="1" min="7" max="7"/>
  </cols>
  <sheetData>
    <row r="1">
      <c r="A1" s="1" t="inlineStr">
        <is>
          <t>Package costs by contract year (PHP, excl. VAT, list price)</t>
        </is>
      </c>
    </row>
    <row r="2">
      <c r="A2" s="2" t="inlineStr">
        <is>
          <t>From the Pre-set Packages sheet of the price book. Custom: type the yearly costs of a specific quotation (Quick Quote, year by year table).</t>
        </is>
      </c>
    </row>
    <row r="4">
      <c r="A4" s="3" t="inlineStr">
        <is>
          <t>Package</t>
        </is>
      </c>
      <c r="B4" s="3" t="inlineStr">
        <is>
          <t>Year 1</t>
        </is>
      </c>
      <c r="C4" s="3" t="inlineStr">
        <is>
          <t>Year 2</t>
        </is>
      </c>
      <c r="D4" s="3" t="inlineStr">
        <is>
          <t>Year 3</t>
        </is>
      </c>
      <c r="E4" s="3" t="inlineStr">
        <is>
          <t>Year 4</t>
        </is>
      </c>
      <c r="F4" s="3" t="inlineStr">
        <is>
          <t>Year 5</t>
        </is>
      </c>
      <c r="G4" s="3" t="inlineStr">
        <is>
          <t>5-year total</t>
        </is>
      </c>
    </row>
    <row r="5">
      <c r="A5" s="8" t="inlineStr">
        <is>
          <t>Small: Essentials (subscription, Self-hosted)</t>
        </is>
      </c>
      <c r="B5" s="17" t="n">
        <v>1706000</v>
      </c>
      <c r="C5" s="17" t="n">
        <v>604800</v>
      </c>
      <c r="D5" s="17" t="n">
        <v>635040</v>
      </c>
      <c r="E5" s="17" t="n">
        <v>666792</v>
      </c>
      <c r="F5" s="17" t="n">
        <v>700131.6</v>
      </c>
      <c r="G5" s="14">
        <f>SUM(B5:F5)</f>
        <v/>
      </c>
    </row>
    <row r="6">
      <c r="A6" s="8" t="inlineStr">
        <is>
          <t>Small: Standard (subscription, AWS)</t>
        </is>
      </c>
      <c r="B6" s="17" t="n">
        <v>2264000</v>
      </c>
      <c r="C6" s="17" t="n">
        <v>1141800</v>
      </c>
      <c r="D6" s="17" t="n">
        <v>1172040</v>
      </c>
      <c r="E6" s="17" t="n">
        <v>1203792</v>
      </c>
      <c r="F6" s="17" t="n">
        <v>1237131.6</v>
      </c>
      <c r="G6" s="14">
        <f>SUM(B6:F6)</f>
        <v/>
      </c>
    </row>
    <row r="7">
      <c r="A7" s="8" t="inlineStr">
        <is>
          <t>Small: Ownership (perpetual, AWS)</t>
        </is>
      </c>
      <c r="B7" s="17" t="n">
        <v>3038000</v>
      </c>
      <c r="C7" s="17" t="n">
        <v>834000</v>
      </c>
      <c r="D7" s="17" t="n">
        <v>848850</v>
      </c>
      <c r="E7" s="17" t="n">
        <v>864442.5</v>
      </c>
      <c r="F7" s="17" t="n">
        <v>880814.62</v>
      </c>
      <c r="G7" s="14">
        <f>SUM(B7:F7)</f>
        <v/>
      </c>
    </row>
    <row r="8">
      <c r="A8" s="8" t="inlineStr">
        <is>
          <t>Small: Ownership Plus (perpetual, Local partner)</t>
        </is>
      </c>
      <c r="B8" s="17" t="n">
        <v>3564000</v>
      </c>
      <c r="C8" s="17" t="n">
        <v>1073000</v>
      </c>
      <c r="D8" s="17" t="n">
        <v>1100450</v>
      </c>
      <c r="E8" s="17" t="n">
        <v>1129272.5</v>
      </c>
      <c r="F8" s="17" t="n">
        <v>1159536.12</v>
      </c>
      <c r="G8" s="14">
        <f>SUM(B8:F8)</f>
        <v/>
      </c>
    </row>
    <row r="9">
      <c r="A9" s="8" t="inlineStr">
        <is>
          <t>Medium: Essentials (subscription, Self-hosted)</t>
        </is>
      </c>
      <c r="B9" s="17" t="n">
        <v>4226000</v>
      </c>
      <c r="C9" s="17" t="n">
        <v>2242800</v>
      </c>
      <c r="D9" s="17" t="n">
        <v>2354940</v>
      </c>
      <c r="E9" s="17" t="n">
        <v>2472687</v>
      </c>
      <c r="F9" s="17" t="n">
        <v>2596321.35</v>
      </c>
      <c r="G9" s="14">
        <f>SUM(B9:F9)</f>
        <v/>
      </c>
    </row>
    <row r="10">
      <c r="A10" s="8" t="inlineStr">
        <is>
          <t>Medium: Standard (subscription, AWS)</t>
        </is>
      </c>
      <c r="B10" s="17" t="n">
        <v>5148000</v>
      </c>
      <c r="C10" s="17" t="n">
        <v>3117800</v>
      </c>
      <c r="D10" s="17" t="n">
        <v>3229940</v>
      </c>
      <c r="E10" s="17" t="n">
        <v>3347687</v>
      </c>
      <c r="F10" s="17" t="n">
        <v>3471321.35</v>
      </c>
      <c r="G10" s="14">
        <f>SUM(B10:F10)</f>
        <v/>
      </c>
    </row>
    <row r="11">
      <c r="A11" s="8" t="inlineStr">
        <is>
          <t>Medium: Ownership (perpetual, AWS)</t>
        </is>
      </c>
      <c r="B11" s="17" t="n">
        <v>7992000</v>
      </c>
      <c r="C11" s="17" t="n">
        <v>1970600</v>
      </c>
      <c r="D11" s="17" t="n">
        <v>2025380</v>
      </c>
      <c r="E11" s="17" t="n">
        <v>2082899</v>
      </c>
      <c r="F11" s="17" t="n">
        <v>2143293.95</v>
      </c>
      <c r="G11" s="14">
        <f>SUM(B11:F11)</f>
        <v/>
      </c>
    </row>
    <row r="12">
      <c r="A12" s="8" t="inlineStr">
        <is>
          <t>Medium: Ownership Plus (perpetual, Local partner)</t>
        </is>
      </c>
      <c r="B12" s="17" t="n">
        <v>8744000</v>
      </c>
      <c r="C12" s="17" t="n">
        <v>2448600</v>
      </c>
      <c r="D12" s="17" t="n">
        <v>2528580</v>
      </c>
      <c r="E12" s="17" t="n">
        <v>2612559</v>
      </c>
      <c r="F12" s="17" t="n">
        <v>2700736.95</v>
      </c>
      <c r="G12" s="14">
        <f>SUM(B12:F12)</f>
        <v/>
      </c>
    </row>
    <row r="13">
      <c r="A13" s="8" t="inlineStr">
        <is>
          <t>Large: Essentials (subscription, Self-hosted)</t>
        </is>
      </c>
      <c r="B13" s="17" t="n">
        <v>9484000</v>
      </c>
      <c r="C13" s="17" t="n">
        <v>6073200</v>
      </c>
      <c r="D13" s="17" t="n">
        <v>6376860</v>
      </c>
      <c r="E13" s="17" t="n">
        <v>6695703</v>
      </c>
      <c r="F13" s="17" t="n">
        <v>7030488.15</v>
      </c>
      <c r="G13" s="14">
        <f>SUM(B13:F13)</f>
        <v/>
      </c>
    </row>
    <row r="14">
      <c r="A14" s="8" t="inlineStr">
        <is>
          <t>Large: Standard (subscription, AWS)</t>
        </is>
      </c>
      <c r="B14" s="17" t="n">
        <v>11372000</v>
      </c>
      <c r="C14" s="17" t="n">
        <v>7875200</v>
      </c>
      <c r="D14" s="17" t="n">
        <v>8178860</v>
      </c>
      <c r="E14" s="17" t="n">
        <v>8497703</v>
      </c>
      <c r="F14" s="17" t="n">
        <v>8832488.15</v>
      </c>
      <c r="G14" s="14">
        <f>SUM(B14:F14)</f>
        <v/>
      </c>
    </row>
    <row r="15">
      <c r="A15" s="8" t="inlineStr">
        <is>
          <t>Large: Ownership (perpetual, AWS)</t>
        </is>
      </c>
      <c r="B15" s="17" t="n">
        <v>18968000</v>
      </c>
      <c r="C15" s="17" t="n">
        <v>4745600</v>
      </c>
      <c r="D15" s="17" t="n">
        <v>4892780</v>
      </c>
      <c r="E15" s="17" t="n">
        <v>5047319</v>
      </c>
      <c r="F15" s="17" t="n">
        <v>5209584.95</v>
      </c>
      <c r="G15" s="14">
        <f>SUM(B15:F15)</f>
        <v/>
      </c>
    </row>
    <row r="16">
      <c r="A16" s="8" t="inlineStr">
        <is>
          <t>Large: Ownership Plus (perpetual, Local partner)</t>
        </is>
      </c>
      <c r="B16" s="17" t="n">
        <v>20064000</v>
      </c>
      <c r="C16" s="17" t="n">
        <v>5590600</v>
      </c>
      <c r="D16" s="17" t="n">
        <v>5785030</v>
      </c>
      <c r="E16" s="17" t="n">
        <v>5989181.5</v>
      </c>
      <c r="F16" s="17" t="n">
        <v>6203540.58</v>
      </c>
      <c r="G16" s="14">
        <f>SUM(B16:F16)</f>
        <v/>
      </c>
    </row>
    <row r="17">
      <c r="A17" s="8" t="inlineStr">
        <is>
          <t>Enterprise: Essentials (subscription, Self-hosted)</t>
        </is>
      </c>
      <c r="B17" s="17" t="n">
        <v>17440000</v>
      </c>
      <c r="C17" s="17" t="n">
        <v>12222000</v>
      </c>
      <c r="D17" s="17" t="n">
        <v>12833100</v>
      </c>
      <c r="E17" s="17" t="n">
        <v>13474755</v>
      </c>
      <c r="F17" s="17" t="n">
        <v>14148492.75</v>
      </c>
      <c r="G17" s="14">
        <f>SUM(B17:F17)</f>
        <v/>
      </c>
    </row>
    <row r="18">
      <c r="A18" s="8" t="inlineStr">
        <is>
          <t>Enterprise: Standard (subscription, AWS)</t>
        </is>
      </c>
      <c r="B18" s="17" t="n">
        <v>20850000</v>
      </c>
      <c r="C18" s="17" t="n">
        <v>15463000</v>
      </c>
      <c r="D18" s="17" t="n">
        <v>16074100</v>
      </c>
      <c r="E18" s="17" t="n">
        <v>16715755</v>
      </c>
      <c r="F18" s="17" t="n">
        <v>17389492.75</v>
      </c>
      <c r="G18" s="14">
        <f>SUM(B18:F18)</f>
        <v/>
      </c>
    </row>
    <row r="19">
      <c r="A19" s="8" t="inlineStr">
        <is>
          <t>Enterprise: Ownership (perpetual, AWS)</t>
        </is>
      </c>
      <c r="B19" s="17" t="n">
        <v>35910000</v>
      </c>
      <c r="C19" s="17" t="n">
        <v>9115000</v>
      </c>
      <c r="D19" s="17" t="n">
        <v>9408700</v>
      </c>
      <c r="E19" s="17" t="n">
        <v>9717085</v>
      </c>
      <c r="F19" s="17" t="n">
        <v>10040889.25</v>
      </c>
      <c r="G19" s="14">
        <f>SUM(B19:F19)</f>
        <v/>
      </c>
    </row>
    <row r="20">
      <c r="A20" s="8" t="inlineStr">
        <is>
          <t>Enterprise: Ownership Plus (perpetual, Local partner)</t>
        </is>
      </c>
      <c r="B20" s="17" t="n">
        <v>37524000</v>
      </c>
      <c r="C20" s="17" t="n">
        <v>10513000</v>
      </c>
      <c r="D20" s="17" t="n">
        <v>10885450</v>
      </c>
      <c r="E20" s="17" t="n">
        <v>11276522.5</v>
      </c>
      <c r="F20" s="17" t="n">
        <v>11687148.62</v>
      </c>
      <c r="G20" s="14">
        <f>SUM(B20:F20)</f>
        <v/>
      </c>
    </row>
    <row r="21">
      <c r="A21" s="13" t="inlineStr">
        <is>
          <t>Custom</t>
        </is>
      </c>
      <c r="B21" s="10" t="n">
        <v>4970000</v>
      </c>
      <c r="C21" s="10" t="n">
        <v>2986800</v>
      </c>
      <c r="D21" s="10" t="n">
        <v>3098940</v>
      </c>
      <c r="E21" s="10" t="n">
        <v>3216687</v>
      </c>
      <c r="F21" s="10" t="n">
        <v>3340321</v>
      </c>
      <c r="G21" s="14">
        <f>SUM(B21:F21)</f>
        <v/>
      </c>
    </row>
  </sheetData>
  <pageMargins left="0.4" right="0.4" top="1" bottom="1" header="0.5" footer="0.5"/>
  <pageSetup orientation="landscape" paperSize="9" fitToHeight="0" fitToWidth="1"/>
  <headerFooter>
    <oddHeader/>
    <oddFooter>&amp;CiNXT BrokerVerse OOTB ROI calculator, iorta TechNXT Corp.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2026-10-04T05:29:47Z</dcterms:created>
  <dcterms:modified xmlns:dcterms="http://purl.org/dc/terms/" xmlns:xsi="http://www.w3.org/2001/XMLSchema-instance" xsi:type="dcterms:W3CDTF">2026-10-04T05:29:47Z</dcterms:modified>
</cp:coreProperties>
</file>