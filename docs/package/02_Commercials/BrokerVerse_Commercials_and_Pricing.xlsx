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puts" sheetId="2" state="visible" r:id="rId2"/>
    <sheet xmlns:r="http://schemas.openxmlformats.org/officeDocument/2006/relationships" name="Size Tiers" sheetId="3" state="visible" r:id="rId3"/>
    <sheet xmlns:r="http://schemas.openxmlformats.org/officeDocument/2006/relationships" name="Perpetual Model" sheetId="4" state="visible" r:id="rId4"/>
    <sheet xmlns:r="http://schemas.openxmlformats.org/officeDocument/2006/relationships" name="Subscription Model" sheetId="5" state="visible" r:id="rId5"/>
    <sheet xmlns:r="http://schemas.openxmlformats.org/officeDocument/2006/relationships" name="Infrastructure" sheetId="6" state="visible" r:id="rId6"/>
    <sheet xmlns:r="http://schemas.openxmlformats.org/officeDocument/2006/relationships" name="Change Requests" sheetId="7" state="visible" r:id="rId7"/>
    <sheet xmlns:r="http://schemas.openxmlformats.org/officeDocument/2006/relationships" name="Optional Services" sheetId="8" state="visible" r:id="rId8"/>
    <sheet xmlns:r="http://schemas.openxmlformats.org/officeDocument/2006/relationships" name="Sample Quotes" sheetId="9" state="visible" r:id="rId9"/>
    <sheet xmlns:r="http://schemas.openxmlformats.org/officeDocument/2006/relationships" name="Market Benchmark" sheetId="10" state="visible" r:id="rId10"/>
    <sheet xmlns:r="http://schemas.openxmlformats.org/officeDocument/2006/relationships" name="Sources" sheetId="11" state="visible" r:id="rId11"/>
  </sheets>
  <definedNames>
    <definedName name="FX">Inputs!$B$6</definedName>
    <definedName name="FX_Date">Inputs!$B$7</definedName>
    <definedName name="VAT">Inputs!$B$8</definedName>
    <definedName name="AMC_Rate">Inputs!$B$9</definedName>
    <definedName name="Esc">Inputs!$B$10</definedName>
    <definedName name="AMC_Start">Inputs!$B$11</definedName>
    <definedName name="Onboard_Pct">Inputs!$B$12</definedName>
    <definedName name="Infra_Margin">Inputs!$B$13</definedName>
    <definedName name="Infra_Esc">Inputs!$B$14</definedName>
    <definedName name="Days_per_LOB">Inputs!$B$15</definedName>
    <definedName name="Round_To">Inputs!$B$16</definedName>
    <definedName name="IT_Low">Inputs!$B$17</definedName>
    <definedName name="IT_High">Inputs!$B$18</definedName>
    <definedName name="Validity">Inputs!$B$19</definedName>
    <definedName name="Calc_Users">Inputs!$B$23</definedName>
    <definedName name="Calc_LOBs">Inputs!$B$24</definedName>
    <definedName name="Rate_BA">Inputs!$B$36</definedName>
    <definedName name="Rate_Dev">Inputs!$B$37</definedName>
    <definedName name="Rate_QA">Inputs!$B$38</definedName>
    <definedName name="Rate_PM">Inputs!$B$39</definedName>
    <definedName name="Blended">Inputs!$B$40</definedName>
    <definedName name="Rate_Trainer">Inputs!$B$41</definedName>
    <definedName name="Rate_Onsite">Inputs!$B$42</definedName>
    <definedName name="CR_BA">Inputs!$B$46</definedName>
    <definedName name="CR_QA">Inputs!$B$47</definedName>
    <definedName name="CR_PM">Inputs!$B$48</definedName>
    <definedName name="CR_Cont">Inputs!$B$49</definedName>
    <definedName name="CR_Small_Max">Inputs!$B$50</definedName>
    <definedName name="CR_Med_Max">Inputs!$B$51</definedName>
    <definedName name="CR_Large_Max">Inputs!$B$52</definedName>
    <definedName name="CR_Dev_Days">Inputs!$B$53</definedName>
    <definedName name="Env_Setup_Days">Inputs!$B$57</definedName>
    <definedName name="Env_Monthly_USD">Inputs!$B$58</definedName>
    <definedName name="Mig_Days_Source">Inputs!$B$59</definedName>
    <definedName name="Int_Std_Days">Inputs!$B$60</definedName>
    <definedName name="Int_Cx_Days">Inputs!$B$61</definedName>
    <definedName name="Report_Days">Inputs!$B$62</definedName>
    <definedName name="Azure_Factor">Inputs!$B$74</definedName>
    <definedName name="Local_Factor">Inputs!$B$75</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quot;x&quot;"/>
  </numFmts>
  <fonts count="7">
    <font>
      <name val="Calibri"/>
      <family val="2"/>
      <color theme="1"/>
      <sz val="11"/>
      <scheme val="minor"/>
    </font>
    <font>
      <name val="Calibri"/>
      <b val="1"/>
      <color rgb="000F4761"/>
      <sz val="14"/>
    </font>
    <font>
      <name val="Calibri"/>
      <i val="1"/>
      <color rgb="00595959"/>
    </font>
    <font>
      <name val="Calibri"/>
      <b val="1"/>
      <color rgb="00FFFFFF"/>
    </font>
    <font>
      <name val="Calibri"/>
      <b val="1"/>
    </font>
    <font>
      <name val="Calibri"/>
      <b val="1"/>
      <color rgb="000F4761"/>
      <sz val="12"/>
    </font>
    <font>
      <name val="Calibri"/>
      <color rgb="001F3FBF"/>
    </font>
  </fonts>
  <fills count="7">
    <fill>
      <patternFill/>
    </fill>
    <fill>
      <patternFill patternType="gray125"/>
    </fill>
    <fill>
      <patternFill patternType="solid">
        <fgColor rgb="000F4761"/>
      </patternFill>
    </fill>
    <fill>
      <patternFill patternType="solid">
        <fgColor rgb="00D9E2F3"/>
      </patternFill>
    </fill>
    <fill>
      <patternFill patternType="solid">
        <fgColor rgb="00FFF2CC"/>
      </patternFill>
    </fill>
    <fill>
      <patternFill patternType="solid">
        <fgColor rgb="00FCE4D6"/>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0" fillId="0" borderId="1" applyAlignment="1" pivotButton="0" quotePrefix="0" xfId="0">
      <alignment vertical="top" wrapText="1"/>
    </xf>
    <xf numFmtId="0" fontId="5" fillId="3" borderId="0" pivotButton="0" quotePrefix="0" xfId="0"/>
    <xf numFmtId="0" fontId="0" fillId="3" borderId="0" pivotButton="0" quotePrefix="0" xfId="0"/>
    <xf numFmtId="0" fontId="0" fillId="0" borderId="4" pivotButton="0" quotePrefix="0" xfId="0"/>
    <xf numFmtId="0" fontId="0" fillId="0" borderId="5" pivotButton="0" quotePrefix="0" xfId="0"/>
    <xf numFmtId="0" fontId="0" fillId="0" borderId="1" pivotButton="0" quotePrefix="0" xfId="0"/>
    <xf numFmtId="2" fontId="6" fillId="4" borderId="1" pivotButton="0" quotePrefix="0" xfId="0"/>
    <xf numFmtId="0" fontId="6" fillId="4" borderId="1" pivotButton="0" quotePrefix="0" xfId="0"/>
    <xf numFmtId="9" fontId="6" fillId="4" borderId="1" pivotButton="0" quotePrefix="0" xfId="0"/>
    <xf numFmtId="1" fontId="6" fillId="4" borderId="1" pivotButton="0" quotePrefix="0" xfId="0"/>
    <xf numFmtId="0" fontId="0" fillId="5" borderId="1" pivotButton="0" quotePrefix="0" xfId="0"/>
    <xf numFmtId="3" fontId="6" fillId="4" borderId="1" pivotButton="0" quotePrefix="0" xfId="0"/>
    <xf numFmtId="164" fontId="6" fillId="4" borderId="1" pivotButton="0" quotePrefix="0" xfId="0"/>
    <xf numFmtId="0" fontId="4" fillId="0" borderId="1" pivotButton="0" quotePrefix="0" xfId="0"/>
    <xf numFmtId="0" fontId="0" fillId="5" borderId="1" applyAlignment="1" pivotButton="0" quotePrefix="0" xfId="0">
      <alignment vertical="top" wrapText="1"/>
    </xf>
    <xf numFmtId="3" fontId="0" fillId="0" borderId="1" pivotButton="0" quotePrefix="0" xfId="0"/>
    <xf numFmtId="3" fontId="0" fillId="6" borderId="1" pivotButton="0" quotePrefix="0" xfId="0"/>
    <xf numFmtId="9" fontId="0" fillId="0" borderId="1" pivotButton="0" quotePrefix="0" xfId="0"/>
    <xf numFmtId="165" fontId="6" fillId="4" borderId="1" pivotButton="0" quotePrefix="0" xfId="0"/>
    <xf numFmtId="1" fontId="0" fillId="0" borderId="1" pivotButton="0" quotePrefix="0" xfId="0"/>
    <xf numFmtId="0" fontId="0" fillId="0" borderId="0" applyAlignment="1" pivotButton="0" quotePrefix="0" xfId="0">
      <alignment vertical="top" wrapText="1"/>
    </xf>
    <xf numFmtId="3" fontId="0" fillId="5" borderId="1" pivotButton="0" quotePrefix="0" xfId="0"/>
    <xf numFmtId="164" fontId="0" fillId="0" borderId="1" pivotButton="0" quotePrefix="0" xfId="0"/>
    <xf numFmtId="0" fontId="4" fillId="3" borderId="1" pivotButton="0" quotePrefix="0" xfId="0"/>
    <xf numFmtId="0" fontId="0" fillId="3" borderId="1" pivotButton="0" quotePrefix="0" xfId="0"/>
    <xf numFmtId="1" fontId="0" fillId="3" borderId="1" pivotButton="0" quotePrefix="0" xfId="0"/>
    <xf numFmtId="0" fontId="4" fillId="6" borderId="1" pivotButton="0" quotePrefix="0" xfId="0"/>
    <xf numFmtId="0" fontId="0" fillId="6" borderId="1" pivotButton="0" quotePrefix="0" xfId="0"/>
    <xf numFmtId="3" fontId="4" fillId="6" borderId="1" pivotButton="0" quotePrefix="0" xfId="0"/>
    <xf numFmtId="3" fontId="4" fillId="0" borderId="1" pivotButton="0" quotePrefix="0" xfId="0"/>
    <xf numFmtId="1" fontId="0" fillId="4" borderId="1" pivotButton="0" quotePrefix="0" xfId="0"/>
    <xf numFmtId="1" fontId="2" fillId="0" borderId="1" pivotButton="0" quotePrefix="0" xfId="0"/>
    <xf numFmtId="166" fontId="0" fillId="0" borderId="1" pivotButton="0" quotePrefix="0" xfId="0"/>
    <xf numFmtId="166" fontId="6" fillId="4" borderId="1" pivotButton="0" quotePrefix="0" xfId="0"/>
    <xf numFmtId="166" fontId="4" fillId="0" borderId="1" pivotButton="0" quotePrefix="0" xfId="0"/>
    <xf numFmtId="0" fontId="4" fillId="0" borderId="0" pivotButton="0" quotePrefix="0" xfId="0"/>
    <xf numFmtId="0" fontId="2" fillId="0" borderId="1" pivotButton="0" quotePrefix="0" xfId="0"/>
    <xf numFmtId="167"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7"/>
  <sheetViews>
    <sheetView zoomScale="90" workbookViewId="0">
      <pane ySplit="4" topLeftCell="A5" activePane="bottomLeft" state="frozen"/>
      <selection pane="bottomLeft" activeCell="A1" sqref="A1"/>
    </sheetView>
  </sheetViews>
  <sheetFormatPr baseColWidth="8" defaultRowHeight="15"/>
  <cols>
    <col width="26" customWidth="1" min="1" max="1"/>
    <col width="120" customWidth="1" min="2" max="2"/>
  </cols>
  <sheetData>
    <row r="1">
      <c r="A1" s="1" t="inlineStr">
        <is>
          <t>BrokerVerse OOTB: commercials and pricing workbook</t>
        </is>
      </c>
    </row>
    <row r="2">
      <c r="A2" s="2" t="inlineStr">
        <is>
          <t>iorta TechNXT. Prepared 03 October 2026. Prices in PHP, exclusive of 12% VAT. For discussion with prospective broker customers.</t>
        </is>
      </c>
    </row>
    <row r="4">
      <c r="A4" s="3" t="inlineStr">
        <is>
          <t>Topic</t>
        </is>
      </c>
      <c r="B4" s="3" t="inlineStr">
        <is>
          <t>Notes</t>
        </is>
      </c>
    </row>
    <row r="5" ht="60" customHeight="1">
      <c r="A5" s="4" t="inlineStr">
        <is>
          <t>Purpose</t>
        </is>
      </c>
      <c r="B5" s="5" t="inlineStr">
        <is>
          <t>Sets the commercial model for BrokerVerse OOTB (the out-of-the-box, as-is version) for Philippine non-life insurance brokers: Model A perpetual licence with Annual Maintenance Contract (AMC), Model B monthly subscription (SaaS), optional infrastructure, change request (CR) rates and optional services, with three worked quotes and the market evidence behind the price points.</t>
        </is>
      </c>
    </row>
    <row r="6" ht="135" customHeight="1">
      <c r="A6" s="4" t="inlineStr">
        <is>
          <t>How to use</t>
        </is>
      </c>
      <c r="B6" s="5" t="inlineStr">
        <is>
          <t>1. Change drivers only on the Inputs sheet (yellow cells, blue text). Every other sheet is formula driven.
2. To price a prospect, enter its user count and number of lines of business in Inputs (Calculator section). The calculators on Perpetual Model and Subscription Model update, with the break-even year.
3. To change the three worked examples, edit the Sample quote scenarios table in Inputs.
4. Infrastructure is optional and separate. Pick AWS, Azure or Local partner per scenario; the customer may host itself at no fee.
5. Recalculate (F9) if your spreadsheet tool does not recalculate on open.</t>
        </is>
      </c>
    </row>
    <row r="7" ht="60" customHeight="1">
      <c r="A7" s="4" t="inlineStr">
        <is>
          <t>Size tiers and user slabs</t>
        </is>
      </c>
      <c r="B7" s="5" t="inlineStr">
        <is>
          <t>Small 1 to 25 users, Medium 26 to 100, Large 101 to 300, Enterprise above 300. User prices are graduated: the first 25 users are charged at the Small slab rate, users 26 to 100 at the Medium rate, and so on. This avoids a price drop when a broker crosses a tier boundary. The tier of the customer (by total users) sets the implementation effort, the minimum billable users for subscription, the included training days and the infrastructure size.</t>
        </is>
      </c>
    </row>
    <row r="8" ht="30" customHeight="1">
      <c r="A8" s="4" t="inlineStr">
        <is>
          <t>Users</t>
        </is>
      </c>
      <c r="B8" s="5" t="inlineStr">
        <is>
          <t>A user is a named person with a BrokerVerse sign-in (one role per user, as set up in Master &gt; Generals &gt; User Management &gt; User). Inactive users are not counted. Read-only or customer-portal access is outside this price list.</t>
        </is>
      </c>
    </row>
    <row r="9" ht="60" customHeight="1">
      <c r="A9" s="4" t="inlineStr">
        <is>
          <t>Model A: perpetual</t>
        </is>
      </c>
      <c r="B9" s="5" t="inlineStr">
        <is>
          <t>One-time implementation fee by size and lines of business; one-time perpetual licence fee by user slab, payable on go-live; AMC at 22% of the licence fee from the AMC start year (default Year 2, after a 12-month warranty), increasing 5% a year. AMC covers corrections, product updates of the OOTB version, regulatory form updates released for all customers and standard support.</t>
        </is>
      </c>
    </row>
    <row r="10" ht="60" customHeight="1">
      <c r="A10" s="4" t="inlineStr">
        <is>
          <t>Model B: subscription</t>
        </is>
      </c>
      <c r="B10" s="5" t="inlineStr">
        <is>
          <t>Monthly price per user by slab, billed monthly in advance, increasing 5% at each contract anniversary. Minimum billable users apply per tier. The onboarding fee equals the implementation fee times the onboarding percentage in Inputs (default 100%). Subscription includes the licence right for the term, updates and standard support. Hosting is not included and is quoted separately.</t>
        </is>
      </c>
    </row>
    <row r="11" ht="75" customHeight="1">
      <c r="A11" s="4" t="inlineStr">
        <is>
          <t>Implementation effort</t>
        </is>
      </c>
      <c r="B11" s="5" t="inlineStr">
        <is>
          <t>Implementation = (base man-days for the tier + extra man-days for each line of business above the number included) x blended day rate, rounded to PHP 10,000. Each line of business needs product and cover set-up in the product configurator, rating and tax lines (documentary stamp tax, VAT or premium tax, local government tax, fire service tax where relevant), policy and endorsement document templates, insurer commission rates and UAT test cases. That is why the count of lines of business changes the effort.</t>
        </is>
      </c>
    </row>
    <row r="12" ht="75" customHeight="1">
      <c r="A12" s="4" t="inlineStr">
        <is>
          <t>Taxes</t>
        </is>
      </c>
      <c r="B12" s="5" t="inlineStr">
        <is>
          <t>All prices exclude 12% VAT, which is added on the invoice (Philippine VAT on services and on the sale or licensing of software). Customers who are withholding agents deduct creditable withholding tax as their status and the payment type require, commonly 2% for services and 1% to 2% on software or subscription fees under RR 2-98 as amended, and issue BIR Form 2307 to iorta TechNXT. Withholding does not reduce the invoice price. The rates are to be confirmed by the customer's and iorta TechNXT's tax advisers.</t>
        </is>
      </c>
    </row>
    <row r="13" ht="30" customHeight="1">
      <c r="A13" s="4" t="inlineStr">
        <is>
          <t>Exchange rate</t>
        </is>
      </c>
      <c r="B13" s="5" t="inlineStr">
        <is>
          <t>USD columns are for reference only and use the PHP per USD rate in Inputs (BSP reference rate 62.75 on 25 September 2026). The contract currency is PHP.</t>
        </is>
      </c>
    </row>
    <row r="14" ht="45" customHeight="1">
      <c r="A14" s="4" t="inlineStr">
        <is>
          <t>Estimates and assumptions</t>
        </is>
      </c>
      <c r="B14" s="5" t="inlineStr">
        <is>
          <t>Rows and cells shaded light orange, and figures marked "Estimate" or "Assumption", are not published facts. They are the basis stated beside them and must be confirmed before a binding quotation. Competitor prices in Market Benchmark are mostly third-party estimates because the vendors do not publish list prices.</t>
        </is>
      </c>
    </row>
    <row r="15" ht="30" customHeight="1">
      <c r="A15" s="4" t="inlineStr">
        <is>
          <t>Validity</t>
        </is>
      </c>
      <c r="B15" s="5" t="inlineStr">
        <is>
          <t>Prices are valid for 90 days from the quotation date and for contracts signed in that period. Day rates are fixed for 12 months from signing.</t>
        </is>
      </c>
    </row>
    <row r="16" ht="30" customHeight="1">
      <c r="A16" s="4" t="inlineStr">
        <is>
          <t>Colour key</t>
        </is>
      </c>
      <c r="B16" s="5" t="inlineStr">
        <is>
          <t>Yellow cell with blue text: input. Green: total. Light orange: estimate or assumption. Navy header: column titles.</t>
        </is>
      </c>
    </row>
    <row r="17" ht="30" customHeight="1">
      <c r="A17" s="4" t="inlineStr">
        <is>
          <t>Sheets</t>
        </is>
      </c>
      <c r="B17" s="5" t="inlineStr">
        <is>
          <t>Inputs, Size Tiers, Perpetual Model, Subscription Model, Infrastructure, Change Requests, Optional Services, Sample Quotes, Market Benchmark, Sources.</t>
        </is>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N86"/>
  <sheetViews>
    <sheetView zoomScale="90"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2" customWidth="1" min="3" max="3"/>
    <col width="14" customWidth="1" min="4" max="4"/>
    <col width="14" customWidth="1" min="5" max="5"/>
    <col width="12" customWidth="1" min="6" max="6"/>
    <col width="13" customWidth="1" min="7" max="7"/>
    <col width="12" customWidth="1" min="8" max="8"/>
    <col width="11" customWidth="1" min="9" max="9"/>
    <col width="12" customWidth="1" min="10" max="10"/>
    <col width="12" customWidth="1" min="11" max="11"/>
    <col width="14" customWidth="1" min="12" max="12"/>
    <col width="16" customWidth="1" min="13" max="13"/>
    <col width="44" customWidth="1" min="14" max="14"/>
  </cols>
  <sheetData>
    <row r="1">
      <c r="A1" s="1" t="inlineStr">
        <is>
          <t>Inputs: all editable drivers</t>
        </is>
      </c>
    </row>
    <row r="2">
      <c r="A2" s="2" t="inlineStr">
        <is>
          <t>Change yellow cells only. Light orange notes mark estimates or assumptions.</t>
        </is>
      </c>
    </row>
    <row r="4">
      <c r="A4" s="6" t="inlineStr">
        <is>
          <t>General drivers</t>
        </is>
      </c>
      <c r="B4" s="7" t="n"/>
      <c r="C4" s="7" t="n"/>
      <c r="D4" s="7" t="n"/>
      <c r="E4" s="7" t="n"/>
      <c r="F4" s="7" t="n"/>
      <c r="G4" s="7" t="n"/>
      <c r="H4" s="7" t="n"/>
      <c r="I4" s="7" t="n"/>
      <c r="J4" s="7" t="n"/>
      <c r="K4" s="7" t="n"/>
      <c r="L4" s="7" t="n"/>
      <c r="M4" s="7" t="n"/>
      <c r="N4" s="7" t="n"/>
    </row>
    <row r="5">
      <c r="A5" s="3" t="inlineStr">
        <is>
          <t>Driver</t>
        </is>
      </c>
      <c r="B5" s="3" t="inlineStr">
        <is>
          <t>Value</t>
        </is>
      </c>
      <c r="C5" s="3" t="inlineStr">
        <is>
          <t>Unit</t>
        </is>
      </c>
      <c r="D5" s="3" t="inlineStr">
        <is>
          <t>Basis</t>
        </is>
      </c>
      <c r="E5" s="8" t="n"/>
      <c r="F5" s="8" t="n"/>
      <c r="G5" s="8" t="n"/>
      <c r="H5" s="8" t="n"/>
      <c r="I5" s="8" t="n"/>
      <c r="J5" s="8" t="n"/>
      <c r="K5" s="8" t="n"/>
      <c r="L5" s="8" t="n"/>
      <c r="M5" s="8" t="n"/>
      <c r="N5" s="9" t="n"/>
    </row>
    <row r="6">
      <c r="A6" s="10" t="inlineStr">
        <is>
          <t>Exchange rate</t>
        </is>
      </c>
      <c r="B6" s="11" t="n">
        <v>62.75</v>
      </c>
      <c r="C6" s="10" t="inlineStr">
        <is>
          <t>PHP per USD</t>
        </is>
      </c>
      <c r="D6" s="10" t="inlineStr">
        <is>
          <t>BSP reference rate, 25 September 2026 (source S14). Reference only.</t>
        </is>
      </c>
      <c r="E6" s="8" t="n"/>
      <c r="F6" s="8" t="n"/>
      <c r="G6" s="8" t="n"/>
      <c r="H6" s="8" t="n"/>
      <c r="I6" s="8" t="n"/>
      <c r="J6" s="8" t="n"/>
      <c r="K6" s="8" t="n"/>
      <c r="L6" s="8" t="n"/>
      <c r="M6" s="8" t="n"/>
      <c r="N6" s="9" t="n"/>
    </row>
    <row r="7">
      <c r="A7" s="10" t="inlineStr">
        <is>
          <t>Exchange rate date</t>
        </is>
      </c>
      <c r="B7" s="12" t="inlineStr">
        <is>
          <t>25 Sep 2026</t>
        </is>
      </c>
      <c r="C7" s="10" t="inlineStr">
        <is>
          <t>date</t>
        </is>
      </c>
      <c r="D7" s="10" t="inlineStr">
        <is>
          <t>Update with the rate on the quotation date.</t>
        </is>
      </c>
      <c r="E7" s="8" t="n"/>
      <c r="F7" s="8" t="n"/>
      <c r="G7" s="8" t="n"/>
      <c r="H7" s="8" t="n"/>
      <c r="I7" s="8" t="n"/>
      <c r="J7" s="8" t="n"/>
      <c r="K7" s="8" t="n"/>
      <c r="L7" s="8" t="n"/>
      <c r="M7" s="8" t="n"/>
      <c r="N7" s="9" t="n"/>
    </row>
    <row r="8">
      <c r="A8" s="10" t="inlineStr">
        <is>
          <t>VAT rate</t>
        </is>
      </c>
      <c r="B8" s="13" t="n">
        <v>0.12</v>
      </c>
      <c r="C8" s="10" t="inlineStr">
        <is>
          <t>%</t>
        </is>
      </c>
      <c r="D8" s="10" t="inlineStr">
        <is>
          <t>Philippine VAT, added to all prices (prices exclusive of VAT).</t>
        </is>
      </c>
      <c r="E8" s="8" t="n"/>
      <c r="F8" s="8" t="n"/>
      <c r="G8" s="8" t="n"/>
      <c r="H8" s="8" t="n"/>
      <c r="I8" s="8" t="n"/>
      <c r="J8" s="8" t="n"/>
      <c r="K8" s="8" t="n"/>
      <c r="L8" s="8" t="n"/>
      <c r="M8" s="8" t="n"/>
      <c r="N8" s="9" t="n"/>
    </row>
    <row r="9">
      <c r="A9" s="10" t="inlineStr">
        <is>
          <t>AMC rate (of perpetual licence fee)</t>
        </is>
      </c>
      <c r="B9" s="13" t="n">
        <v>0.22</v>
      </c>
      <c r="C9" s="10" t="inlineStr">
        <is>
          <t>%</t>
        </is>
      </c>
      <c r="D9" s="10" t="inlineStr">
        <is>
          <t>Business owner instruction.</t>
        </is>
      </c>
      <c r="E9" s="8" t="n"/>
      <c r="F9" s="8" t="n"/>
      <c r="G9" s="8" t="n"/>
      <c r="H9" s="8" t="n"/>
      <c r="I9" s="8" t="n"/>
      <c r="J9" s="8" t="n"/>
      <c r="K9" s="8" t="n"/>
      <c r="L9" s="8" t="n"/>
      <c r="M9" s="8" t="n"/>
      <c r="N9" s="9" t="n"/>
    </row>
    <row r="10">
      <c r="A10" s="10" t="inlineStr">
        <is>
          <t>Annual escalation (AMC, subscription, support)</t>
        </is>
      </c>
      <c r="B10" s="13" t="n">
        <v>0.05</v>
      </c>
      <c r="C10" s="10" t="inlineStr">
        <is>
          <t>%</t>
        </is>
      </c>
      <c r="D10" s="10" t="inlineStr">
        <is>
          <t>Business owner instruction. Applied at each anniversary.</t>
        </is>
      </c>
      <c r="E10" s="8" t="n"/>
      <c r="F10" s="8" t="n"/>
      <c r="G10" s="8" t="n"/>
      <c r="H10" s="8" t="n"/>
      <c r="I10" s="8" t="n"/>
      <c r="J10" s="8" t="n"/>
      <c r="K10" s="8" t="n"/>
      <c r="L10" s="8" t="n"/>
      <c r="M10" s="8" t="n"/>
      <c r="N10" s="9" t="n"/>
    </row>
    <row r="11">
      <c r="A11" s="10" t="inlineStr">
        <is>
          <t>AMC starts in contract year</t>
        </is>
      </c>
      <c r="B11" s="14" t="n">
        <v>2</v>
      </c>
      <c r="C11" s="10" t="inlineStr">
        <is>
          <t>year</t>
        </is>
      </c>
      <c r="D11" s="15" t="inlineStr">
        <is>
          <t>Assumption: Year 1 after go-live is covered by a 12-month warranty. Set to 1 to bill AMC from go-live.</t>
        </is>
      </c>
      <c r="E11" s="8" t="n"/>
      <c r="F11" s="8" t="n"/>
      <c r="G11" s="8" t="n"/>
      <c r="H11" s="8" t="n"/>
      <c r="I11" s="8" t="n"/>
      <c r="J11" s="8" t="n"/>
      <c r="K11" s="8" t="n"/>
      <c r="L11" s="8" t="n"/>
      <c r="M11" s="8" t="n"/>
      <c r="N11" s="9" t="n"/>
    </row>
    <row r="12">
      <c r="A12" s="10" t="inlineStr">
        <is>
          <t>Subscription onboarding fee as % of implementation fee</t>
        </is>
      </c>
      <c r="B12" s="13" t="n">
        <v>1</v>
      </c>
      <c r="C12" s="10" t="inlineStr">
        <is>
          <t>%</t>
        </is>
      </c>
      <c r="D12" s="15" t="inlineStr">
        <is>
          <t>Assumption: same set-up work in both models.</t>
        </is>
      </c>
      <c r="E12" s="8" t="n"/>
      <c r="F12" s="8" t="n"/>
      <c r="G12" s="8" t="n"/>
      <c r="H12" s="8" t="n"/>
      <c r="I12" s="8" t="n"/>
      <c r="J12" s="8" t="n"/>
      <c r="K12" s="8" t="n"/>
      <c r="L12" s="8" t="n"/>
      <c r="M12" s="8" t="n"/>
      <c r="N12" s="9" t="n"/>
    </row>
    <row r="13">
      <c r="A13" s="10" t="inlineStr">
        <is>
          <t>Infrastructure margin on cloud cost</t>
        </is>
      </c>
      <c r="B13" s="13" t="n">
        <v>0.2</v>
      </c>
      <c r="C13" s="10" t="inlineStr">
        <is>
          <t>%</t>
        </is>
      </c>
      <c r="D13" s="15" t="inlineStr">
        <is>
          <t>Assumption: covers FX movement, monitoring, patching and backup checks.</t>
        </is>
      </c>
      <c r="E13" s="8" t="n"/>
      <c r="F13" s="8" t="n"/>
      <c r="G13" s="8" t="n"/>
      <c r="H13" s="8" t="n"/>
      <c r="I13" s="8" t="n"/>
      <c r="J13" s="8" t="n"/>
      <c r="K13" s="8" t="n"/>
      <c r="L13" s="8" t="n"/>
      <c r="M13" s="8" t="n"/>
      <c r="N13" s="9" t="n"/>
    </row>
    <row r="14">
      <c r="A14" s="10" t="inlineStr">
        <is>
          <t>Infrastructure annual change</t>
        </is>
      </c>
      <c r="B14" s="13" t="n">
        <v>0</v>
      </c>
      <c r="C14" s="10" t="inlineStr">
        <is>
          <t>%</t>
        </is>
      </c>
      <c r="D14" s="15" t="inlineStr">
        <is>
          <t>Assumption: cloud list prices are flat; review yearly against FX.</t>
        </is>
      </c>
      <c r="E14" s="8" t="n"/>
      <c r="F14" s="8" t="n"/>
      <c r="G14" s="8" t="n"/>
      <c r="H14" s="8" t="n"/>
      <c r="I14" s="8" t="n"/>
      <c r="J14" s="8" t="n"/>
      <c r="K14" s="8" t="n"/>
      <c r="L14" s="8" t="n"/>
      <c r="M14" s="8" t="n"/>
      <c r="N14" s="9" t="n"/>
    </row>
    <row r="15">
      <c r="A15" s="10" t="inlineStr">
        <is>
          <t>Extra implementation man-days per line of business above the included count</t>
        </is>
      </c>
      <c r="B15" s="14" t="n">
        <v>6</v>
      </c>
      <c r="C15" s="10" t="inlineStr">
        <is>
          <t>man-days</t>
        </is>
      </c>
      <c r="D15" s="15" t="inlineStr">
        <is>
          <t>Estimate: product and cover set-up, rating and tax lines, 2 to 3 document templates, insurer commission rates, UAT cases.</t>
        </is>
      </c>
      <c r="E15" s="8" t="n"/>
      <c r="F15" s="8" t="n"/>
      <c r="G15" s="8" t="n"/>
      <c r="H15" s="8" t="n"/>
      <c r="I15" s="8" t="n"/>
      <c r="J15" s="8" t="n"/>
      <c r="K15" s="8" t="n"/>
      <c r="L15" s="8" t="n"/>
      <c r="M15" s="8" t="n"/>
      <c r="N15" s="9" t="n"/>
    </row>
    <row r="16">
      <c r="A16" s="10" t="inlineStr">
        <is>
          <t>Round implementation and service fees to</t>
        </is>
      </c>
      <c r="B16" s="16" t="n">
        <v>10000</v>
      </c>
      <c r="C16" s="10" t="inlineStr">
        <is>
          <t>PHP</t>
        </is>
      </c>
      <c r="D16" s="10" t="inlineStr">
        <is>
          <t>Presentation.</t>
        </is>
      </c>
      <c r="E16" s="8" t="n"/>
      <c r="F16" s="8" t="n"/>
      <c r="G16" s="8" t="n"/>
      <c r="H16" s="8" t="n"/>
      <c r="I16" s="8" t="n"/>
      <c r="J16" s="8" t="n"/>
      <c r="K16" s="8" t="n"/>
      <c r="L16" s="8" t="n"/>
      <c r="M16" s="8" t="n"/>
      <c r="N16" s="9" t="n"/>
    </row>
    <row r="17">
      <c r="A17" s="10" t="inlineStr">
        <is>
          <t>IT budget benchmark, low (share of revenue)</t>
        </is>
      </c>
      <c r="B17" s="17" t="n">
        <v>0.03</v>
      </c>
      <c r="C17" s="10" t="inlineStr">
        <is>
          <t>%</t>
        </is>
      </c>
      <c r="D17" s="10" t="inlineStr">
        <is>
          <t>Gartner insurance IT spend 3.1% of revenue (2010); later benchmarks 4% to 7% (sources S10, S11).</t>
        </is>
      </c>
      <c r="E17" s="8" t="n"/>
      <c r="F17" s="8" t="n"/>
      <c r="G17" s="8" t="n"/>
      <c r="H17" s="8" t="n"/>
      <c r="I17" s="8" t="n"/>
      <c r="J17" s="8" t="n"/>
      <c r="K17" s="8" t="n"/>
      <c r="L17" s="8" t="n"/>
      <c r="M17" s="8" t="n"/>
      <c r="N17" s="9" t="n"/>
    </row>
    <row r="18">
      <c r="A18" s="10" t="inlineStr">
        <is>
          <t>IT budget benchmark, high (share of revenue)</t>
        </is>
      </c>
      <c r="B18" s="17" t="n">
        <v>0.07000000000000001</v>
      </c>
      <c r="C18" s="10" t="inlineStr">
        <is>
          <t>%</t>
        </is>
      </c>
      <c r="D18" s="10" t="inlineStr">
        <is>
          <t>As above.</t>
        </is>
      </c>
      <c r="E18" s="8" t="n"/>
      <c r="F18" s="8" t="n"/>
      <c r="G18" s="8" t="n"/>
      <c r="H18" s="8" t="n"/>
      <c r="I18" s="8" t="n"/>
      <c r="J18" s="8" t="n"/>
      <c r="K18" s="8" t="n"/>
      <c r="L18" s="8" t="n"/>
      <c r="M18" s="8" t="n"/>
      <c r="N18" s="9" t="n"/>
    </row>
    <row r="19">
      <c r="A19" s="10" t="inlineStr">
        <is>
          <t>Quotation validity</t>
        </is>
      </c>
      <c r="B19" s="14" t="n">
        <v>90</v>
      </c>
      <c r="C19" s="10" t="inlineStr">
        <is>
          <t>days</t>
        </is>
      </c>
      <c r="D19" s="10" t="inlineStr">
        <is>
          <t>Commercial policy.</t>
        </is>
      </c>
      <c r="E19" s="8" t="n"/>
      <c r="F19" s="8" t="n"/>
      <c r="G19" s="8" t="n"/>
      <c r="H19" s="8" t="n"/>
      <c r="I19" s="8" t="n"/>
      <c r="J19" s="8" t="n"/>
      <c r="K19" s="8" t="n"/>
      <c r="L19" s="8" t="n"/>
      <c r="M19" s="8" t="n"/>
      <c r="N19" s="9" t="n"/>
    </row>
    <row r="21">
      <c r="A21" s="6" t="inlineStr">
        <is>
          <t>Calculator (used by the calculators on Perpetual Model and Subscription Model)</t>
        </is>
      </c>
      <c r="B21" s="7" t="n"/>
      <c r="C21" s="7" t="n"/>
      <c r="D21" s="7" t="n"/>
      <c r="E21" s="7" t="n"/>
      <c r="F21" s="7" t="n"/>
      <c r="G21" s="7" t="n"/>
      <c r="H21" s="7" t="n"/>
      <c r="I21" s="7" t="n"/>
      <c r="J21" s="7" t="n"/>
      <c r="K21" s="7" t="n"/>
      <c r="L21" s="7" t="n"/>
      <c r="M21" s="7" t="n"/>
      <c r="N21" s="7" t="n"/>
    </row>
    <row r="22">
      <c r="A22" s="3" t="inlineStr">
        <is>
          <t>Driver</t>
        </is>
      </c>
      <c r="B22" s="3" t="inlineStr">
        <is>
          <t>Value</t>
        </is>
      </c>
      <c r="C22" s="3" t="inlineStr">
        <is>
          <t>Unit</t>
        </is>
      </c>
      <c r="D22" s="3" t="inlineStr">
        <is>
          <t>Basis</t>
        </is>
      </c>
    </row>
    <row r="23">
      <c r="A23" s="10" t="inlineStr">
        <is>
          <t>Number of named users</t>
        </is>
      </c>
      <c r="B23" s="14" t="n">
        <v>40</v>
      </c>
      <c r="C23" s="10" t="inlineStr">
        <is>
          <t>users</t>
        </is>
      </c>
      <c r="D23" s="10" t="inlineStr">
        <is>
          <t>Enter the prospect figures.</t>
        </is>
      </c>
    </row>
    <row r="24">
      <c r="A24" s="10" t="inlineStr">
        <is>
          <t>Number of lines of business to configure</t>
        </is>
      </c>
      <c r="B24" s="14" t="n">
        <v>6</v>
      </c>
      <c r="C24" s="10" t="inlineStr">
        <is>
          <t>lines</t>
        </is>
      </c>
      <c r="D24" s="10" t="inlineStr">
        <is>
          <t>Enter the prospect figures.</t>
        </is>
      </c>
    </row>
    <row r="26">
      <c r="A26" s="6" t="inlineStr">
        <is>
          <t>Size tiers, user slabs and tier parameters</t>
        </is>
      </c>
      <c r="B26" s="7" t="n"/>
      <c r="C26" s="7" t="n"/>
      <c r="D26" s="7" t="n"/>
      <c r="E26" s="7" t="n"/>
      <c r="F26" s="7" t="n"/>
      <c r="G26" s="7" t="n"/>
      <c r="H26" s="7" t="n"/>
      <c r="I26" s="7" t="n"/>
      <c r="J26" s="7" t="n"/>
      <c r="K26" s="7" t="n"/>
      <c r="L26" s="7" t="n"/>
      <c r="M26" s="7" t="n"/>
      <c r="N26" s="7" t="n"/>
    </row>
    <row r="27" ht="60" customHeight="1">
      <c r="A27" s="3" t="inlineStr">
        <is>
          <t>Tier</t>
        </is>
      </c>
      <c r="B27" s="3" t="inlineStr">
        <is>
          <t>From users</t>
        </is>
      </c>
      <c r="C27" s="3" t="inlineStr">
        <is>
          <t>To users</t>
        </is>
      </c>
      <c r="D27" s="3" t="inlineStr">
        <is>
          <t>Perpetual licence per user (PHP, slab)</t>
        </is>
      </c>
      <c r="E27" s="3" t="inlineStr">
        <is>
          <t>Subscription per user per month (PHP, slab)</t>
        </is>
      </c>
      <c r="F27" s="3" t="inlineStr">
        <is>
          <t>Minimum billable users (subscription)</t>
        </is>
      </c>
      <c r="G27" s="3" t="inlineStr">
        <is>
          <t>Implementation base man-days</t>
        </is>
      </c>
      <c r="H27" s="3" t="inlineStr">
        <is>
          <t>Lines of business included</t>
        </is>
      </c>
      <c r="I27" s="3" t="inlineStr">
        <is>
          <t>Training days included</t>
        </is>
      </c>
      <c r="J27" s="3" t="inlineStr">
        <is>
          <t>Reference users (5-year view)</t>
        </is>
      </c>
      <c r="K27" s="3" t="inlineStr">
        <is>
          <t>Reference lines of business</t>
        </is>
      </c>
      <c r="L27" s="3" t="inlineStr">
        <is>
          <t>24x7 Severity 1 support, annual (PHP)</t>
        </is>
      </c>
      <c r="M27" s="3" t="inlineStr">
        <is>
          <t>Indicative annual commission income (PHP, estimate)</t>
        </is>
      </c>
      <c r="N27" s="3" t="inlineStr">
        <is>
          <t>Basis</t>
        </is>
      </c>
    </row>
    <row r="28" ht="30" customHeight="1">
      <c r="A28" s="18" t="inlineStr">
        <is>
          <t>Small</t>
        </is>
      </c>
      <c r="B28" s="14" t="n">
        <v>1</v>
      </c>
      <c r="C28" s="14" t="n">
        <v>25</v>
      </c>
      <c r="D28" s="16" t="n">
        <v>90000</v>
      </c>
      <c r="E28" s="16" t="n">
        <v>3200</v>
      </c>
      <c r="F28" s="14" t="n">
        <v>10</v>
      </c>
      <c r="G28" s="14" t="n">
        <v>70</v>
      </c>
      <c r="H28" s="14" t="n">
        <v>5</v>
      </c>
      <c r="I28" s="14" t="n">
        <v>4</v>
      </c>
      <c r="J28" s="14" t="n">
        <v>15</v>
      </c>
      <c r="K28" s="14" t="n">
        <v>5</v>
      </c>
      <c r="L28" s="16" t="n">
        <v>240000</v>
      </c>
      <c r="M28" s="16" t="n">
        <v>25000000</v>
      </c>
      <c r="N28" s="19" t="inlineStr">
        <is>
          <t>Commission income estimate: IC 2024 ranks 30 and below (rank 30 earned PHP 55.2 million). Price slab: see Market Benchmark.</t>
        </is>
      </c>
    </row>
    <row r="29" ht="30" customHeight="1">
      <c r="A29" s="18" t="inlineStr">
        <is>
          <t>Medium</t>
        </is>
      </c>
      <c r="B29" s="14" t="n">
        <v>26</v>
      </c>
      <c r="C29" s="14" t="n">
        <v>100</v>
      </c>
      <c r="D29" s="16" t="n">
        <v>78000</v>
      </c>
      <c r="E29" s="16" t="n">
        <v>2800</v>
      </c>
      <c r="F29" s="14" t="n">
        <v>26</v>
      </c>
      <c r="G29" s="14" t="n">
        <v>130</v>
      </c>
      <c r="H29" s="14" t="n">
        <v>8</v>
      </c>
      <c r="I29" s="14" t="n">
        <v>6</v>
      </c>
      <c r="J29" s="14" t="n">
        <v>60</v>
      </c>
      <c r="K29" s="14" t="n">
        <v>8</v>
      </c>
      <c r="L29" s="16" t="n">
        <v>480000</v>
      </c>
      <c r="M29" s="16" t="n">
        <v>120000000</v>
      </c>
      <c r="N29" s="19" t="inlineStr">
        <is>
          <t>IC 2024 ranks about 10 to 30 (rank 20 earned PHP 98.0 million).</t>
        </is>
      </c>
    </row>
    <row r="30" ht="30" customHeight="1">
      <c r="A30" s="18" t="inlineStr">
        <is>
          <t>Large</t>
        </is>
      </c>
      <c r="B30" s="14" t="n">
        <v>101</v>
      </c>
      <c r="C30" s="14" t="n">
        <v>300</v>
      </c>
      <c r="D30" s="16" t="n">
        <v>66000</v>
      </c>
      <c r="E30" s="16" t="n">
        <v>2400</v>
      </c>
      <c r="F30" s="14" t="n">
        <v>101</v>
      </c>
      <c r="G30" s="14" t="n">
        <v>230</v>
      </c>
      <c r="H30" s="14" t="n">
        <v>12</v>
      </c>
      <c r="I30" s="14" t="n">
        <v>10</v>
      </c>
      <c r="J30" s="14" t="n">
        <v>180</v>
      </c>
      <c r="K30" s="14" t="n">
        <v>12</v>
      </c>
      <c r="L30" s="16" t="n">
        <v>900000</v>
      </c>
      <c r="M30" s="16" t="n">
        <v>500000000</v>
      </c>
      <c r="N30" s="19" t="inlineStr">
        <is>
          <t>IC 2024 ranks 4 to 10 (Lockton PHP 712 million, PhilPacific PHP 598 million).</t>
        </is>
      </c>
    </row>
    <row r="31" ht="30" customHeight="1">
      <c r="A31" s="18" t="inlineStr">
        <is>
          <t>Enterprise</t>
        </is>
      </c>
      <c r="B31" s="14" t="n">
        <v>301</v>
      </c>
      <c r="C31" s="14" t="n">
        <v>100000</v>
      </c>
      <c r="D31" s="16" t="n">
        <v>54000</v>
      </c>
      <c r="E31" s="16" t="n">
        <v>2000</v>
      </c>
      <c r="F31" s="14" t="n">
        <v>301</v>
      </c>
      <c r="G31" s="14" t="n">
        <v>360</v>
      </c>
      <c r="H31" s="14" t="n">
        <v>16</v>
      </c>
      <c r="I31" s="14" t="n">
        <v>15</v>
      </c>
      <c r="J31" s="14" t="n">
        <v>400</v>
      </c>
      <c r="K31" s="14" t="n">
        <v>16</v>
      </c>
      <c r="L31" s="16" t="n">
        <v>1500000</v>
      </c>
      <c r="M31" s="16" t="n">
        <v>1500000000</v>
      </c>
      <c r="N31" s="19" t="inlineStr">
        <is>
          <t>IC 2024 top 3 earned PHP 2.0 to 2.4 billion each (BDO, Marsh, Aon).</t>
        </is>
      </c>
    </row>
    <row r="32" ht="30" customHeight="1">
      <c r="A32" s="19" t="inlineStr">
        <is>
          <t>Implementation base man-days, lines of business and training days are estimates for the OOTB version (configuration, data load with the standard templates, UAT support, training, go-live and hypercare). Commission income is an estimate used only for the affordability check.</t>
        </is>
      </c>
      <c r="B32" s="8" t="n"/>
      <c r="C32" s="8" t="n"/>
      <c r="D32" s="8" t="n"/>
      <c r="E32" s="8" t="n"/>
      <c r="F32" s="8" t="n"/>
      <c r="G32" s="8" t="n"/>
      <c r="H32" s="8" t="n"/>
      <c r="I32" s="8" t="n"/>
      <c r="J32" s="8" t="n"/>
      <c r="K32" s="8" t="n"/>
      <c r="L32" s="8" t="n"/>
      <c r="M32" s="8" t="n"/>
      <c r="N32" s="9" t="n"/>
    </row>
    <row r="34">
      <c r="A34" s="6" t="inlineStr">
        <is>
          <t>Day rates (PHP per man-day of 8 hours)</t>
        </is>
      </c>
      <c r="B34" s="7" t="n"/>
      <c r="C34" s="7" t="n"/>
      <c r="D34" s="7" t="n"/>
      <c r="E34" s="7" t="n"/>
      <c r="F34" s="7" t="n"/>
      <c r="G34" s="7" t="n"/>
      <c r="H34" s="7" t="n"/>
      <c r="I34" s="7" t="n"/>
      <c r="J34" s="7" t="n"/>
      <c r="K34" s="7" t="n"/>
      <c r="L34" s="7" t="n"/>
      <c r="M34" s="7" t="n"/>
      <c r="N34" s="7" t="n"/>
    </row>
    <row r="35">
      <c r="A35" s="3" t="inlineStr">
        <is>
          <t>Role</t>
        </is>
      </c>
      <c r="B35" s="3" t="inlineStr">
        <is>
          <t>Day rate (PHP)</t>
        </is>
      </c>
      <c r="C35" s="3" t="inlineStr">
        <is>
          <t>Mix for blended rate</t>
        </is>
      </c>
      <c r="D35" s="3" t="inlineStr">
        <is>
          <t>USD per day</t>
        </is>
      </c>
      <c r="E35" s="3" t="inlineStr">
        <is>
          <t>Basis</t>
        </is>
      </c>
      <c r="F35" s="8" t="n"/>
      <c r="G35" s="8" t="n"/>
      <c r="H35" s="8" t="n"/>
      <c r="I35" s="8" t="n"/>
      <c r="J35" s="8" t="n"/>
      <c r="K35" s="8" t="n"/>
      <c r="L35" s="8" t="n"/>
      <c r="M35" s="8" t="n"/>
      <c r="N35" s="9" t="n"/>
    </row>
    <row r="36">
      <c r="A36" s="10" t="inlineStr">
        <is>
          <t>Business analyst</t>
        </is>
      </c>
      <c r="B36" s="16" t="n">
        <v>18000</v>
      </c>
      <c r="C36" s="13" t="n">
        <v>0.25</v>
      </c>
      <c r="D36" s="20">
        <f>B36/FX</f>
        <v/>
      </c>
      <c r="E36" s="15" t="inlineStr">
        <is>
          <t>Estimate. PH senior BA salary about PHP 70,500 a month (S17); vendor rate covers benefits, overhead, bench and margin.</t>
        </is>
      </c>
      <c r="F36" s="8" t="n"/>
      <c r="G36" s="8" t="n"/>
      <c r="H36" s="8" t="n"/>
      <c r="I36" s="8" t="n"/>
      <c r="J36" s="8" t="n"/>
      <c r="K36" s="8" t="n"/>
      <c r="L36" s="8" t="n"/>
      <c r="M36" s="8" t="n"/>
      <c r="N36" s="9" t="n"/>
    </row>
    <row r="37">
      <c r="A37" s="10" t="inlineStr">
        <is>
          <t>Developer</t>
        </is>
      </c>
      <c r="B37" s="16" t="n">
        <v>16000</v>
      </c>
      <c r="C37" s="13" t="n">
        <v>0.4</v>
      </c>
      <c r="D37" s="20">
        <f>B37/FX</f>
        <v/>
      </c>
      <c r="E37" s="15" t="inlineStr">
        <is>
          <t>Estimate. PH outsourcing market USD 30 to 50 an hour mid-level, 50 to 75 senior (S15, S16); PHP 16,000 = USD 255 a day.</t>
        </is>
      </c>
      <c r="F37" s="8" t="n"/>
      <c r="G37" s="8" t="n"/>
      <c r="H37" s="8" t="n"/>
      <c r="I37" s="8" t="n"/>
      <c r="J37" s="8" t="n"/>
      <c r="K37" s="8" t="n"/>
      <c r="L37" s="8" t="n"/>
      <c r="M37" s="8" t="n"/>
      <c r="N37" s="9" t="n"/>
    </row>
    <row r="38">
      <c r="A38" s="10" t="inlineStr">
        <is>
          <t>QA engineer</t>
        </is>
      </c>
      <c r="B38" s="16" t="n">
        <v>12000</v>
      </c>
      <c r="C38" s="13" t="n">
        <v>0.25</v>
      </c>
      <c r="D38" s="20">
        <f>B38/FX</f>
        <v/>
      </c>
      <c r="E38" s="15" t="inlineStr">
        <is>
          <t>Estimate. PH senior QA salary about PHP 65,000 a month (S18).</t>
        </is>
      </c>
      <c r="F38" s="8" t="n"/>
      <c r="G38" s="8" t="n"/>
      <c r="H38" s="8" t="n"/>
      <c r="I38" s="8" t="n"/>
      <c r="J38" s="8" t="n"/>
      <c r="K38" s="8" t="n"/>
      <c r="L38" s="8" t="n"/>
      <c r="M38" s="8" t="n"/>
      <c r="N38" s="9" t="n"/>
    </row>
    <row r="39">
      <c r="A39" s="10" t="inlineStr">
        <is>
          <t>Project manager</t>
        </is>
      </c>
      <c r="B39" s="16" t="n">
        <v>22000</v>
      </c>
      <c r="C39" s="13" t="n">
        <v>0.1</v>
      </c>
      <c r="D39" s="20">
        <f>B39/FX</f>
        <v/>
      </c>
      <c r="E39" s="15" t="inlineStr">
        <is>
          <t>Estimate. PH IT project manager salary PHP 60,000 to 123,000 a month (S19).</t>
        </is>
      </c>
      <c r="F39" s="8" t="n"/>
      <c r="G39" s="8" t="n"/>
      <c r="H39" s="8" t="n"/>
      <c r="I39" s="8" t="n"/>
      <c r="J39" s="8" t="n"/>
      <c r="K39" s="8" t="n"/>
      <c r="L39" s="8" t="n"/>
      <c r="M39" s="8" t="n"/>
      <c r="N39" s="9" t="n"/>
    </row>
    <row r="40">
      <c r="A40" s="18" t="inlineStr">
        <is>
          <t>Blended day rate (weighted by mix)</t>
        </is>
      </c>
      <c r="B40" s="21">
        <f>ROUND(SUMPRODUCT(B36:B39,C36:C39)/SUM(C36:C39),-2)</f>
        <v/>
      </c>
      <c r="C40" s="22">
        <f>SUM(C36:C39)</f>
        <v/>
      </c>
      <c r="D40" s="20">
        <f>B40/FX</f>
        <v/>
      </c>
    </row>
    <row r="41">
      <c r="A41" s="10" t="inlineStr">
        <is>
          <t>Trainer day rate (end-user or train-the-trainer)</t>
        </is>
      </c>
      <c r="B41" s="16" t="n">
        <v>30000</v>
      </c>
      <c r="D41" s="20">
        <f>B41/FX</f>
        <v/>
      </c>
      <c r="E41" s="15" t="inlineStr">
        <is>
          <t>Assumption: one trainer, up to 15 participants, preparation included.</t>
        </is>
      </c>
      <c r="F41" s="8" t="n"/>
      <c r="G41" s="8" t="n"/>
      <c r="H41" s="8" t="n"/>
      <c r="I41" s="8" t="n"/>
      <c r="J41" s="8" t="n"/>
      <c r="K41" s="8" t="n"/>
      <c r="L41" s="8" t="n"/>
      <c r="M41" s="8" t="n"/>
      <c r="N41" s="9" t="n"/>
    </row>
    <row r="42">
      <c r="A42" s="10" t="inlineStr">
        <is>
          <t>On-site consultant day rate (Metro Manila)</t>
        </is>
      </c>
      <c r="B42" s="16" t="n">
        <v>20000</v>
      </c>
      <c r="D42" s="20">
        <f>B42/FX</f>
        <v/>
      </c>
      <c r="E42" s="15" t="inlineStr">
        <is>
          <t>Assumption: travel, lodging and meals outside Metro Manila billed at cost.</t>
        </is>
      </c>
      <c r="F42" s="8" t="n"/>
      <c r="G42" s="8" t="n"/>
      <c r="H42" s="8" t="n"/>
      <c r="I42" s="8" t="n"/>
      <c r="J42" s="8" t="n"/>
      <c r="K42" s="8" t="n"/>
      <c r="L42" s="8" t="n"/>
      <c r="M42" s="8" t="n"/>
      <c r="N42" s="9" t="n"/>
    </row>
    <row r="44">
      <c r="A44" s="6" t="inlineStr">
        <is>
          <t>Change request estimation ratios</t>
        </is>
      </c>
      <c r="B44" s="7" t="n"/>
      <c r="C44" s="7" t="n"/>
      <c r="D44" s="7" t="n"/>
      <c r="E44" s="7" t="n"/>
      <c r="F44" s="7" t="n"/>
      <c r="G44" s="7" t="n"/>
      <c r="H44" s="7" t="n"/>
      <c r="I44" s="7" t="n"/>
      <c r="J44" s="7" t="n"/>
      <c r="K44" s="7" t="n"/>
      <c r="L44" s="7" t="n"/>
      <c r="M44" s="7" t="n"/>
      <c r="N44" s="7" t="n"/>
    </row>
    <row r="45">
      <c r="A45" s="3" t="inlineStr">
        <is>
          <t>Driver</t>
        </is>
      </c>
      <c r="B45" s="3" t="inlineStr">
        <is>
          <t>Value</t>
        </is>
      </c>
      <c r="C45" s="3" t="inlineStr">
        <is>
          <t>Unit</t>
        </is>
      </c>
      <c r="D45" s="3" t="inlineStr">
        <is>
          <t>Basis</t>
        </is>
      </c>
      <c r="E45" s="8" t="n"/>
      <c r="F45" s="8" t="n"/>
      <c r="G45" s="8" t="n"/>
      <c r="H45" s="8" t="n"/>
      <c r="I45" s="8" t="n"/>
      <c r="J45" s="8" t="n"/>
      <c r="K45" s="8" t="n"/>
      <c r="L45" s="8" t="n"/>
      <c r="M45" s="8" t="n"/>
      <c r="N45" s="9" t="n"/>
    </row>
    <row r="46">
      <c r="A46" s="10" t="inlineStr">
        <is>
          <t>Business analysis effort as % of development</t>
        </is>
      </c>
      <c r="B46" s="13" t="n">
        <v>0.3</v>
      </c>
      <c r="C46" s="10" t="inlineStr">
        <is>
          <t>%</t>
        </is>
      </c>
      <c r="D46" s="15" t="inlineStr">
        <is>
          <t>Assumption: requirement note, impact analysis, UAT support.</t>
        </is>
      </c>
      <c r="E46" s="8" t="n"/>
      <c r="F46" s="8" t="n"/>
      <c r="G46" s="8" t="n"/>
      <c r="H46" s="8" t="n"/>
      <c r="I46" s="8" t="n"/>
      <c r="J46" s="8" t="n"/>
      <c r="K46" s="8" t="n"/>
      <c r="L46" s="8" t="n"/>
      <c r="M46" s="8" t="n"/>
      <c r="N46" s="9" t="n"/>
    </row>
    <row r="47">
      <c r="A47" s="10" t="inlineStr">
        <is>
          <t>Testing effort as % of development</t>
        </is>
      </c>
      <c r="B47" s="13" t="n">
        <v>0.4</v>
      </c>
      <c r="C47" s="10" t="inlineStr">
        <is>
          <t>%</t>
        </is>
      </c>
      <c r="D47" s="15" t="inlineStr">
        <is>
          <t>Assumption: test cases, regression of affected screens and reports.</t>
        </is>
      </c>
      <c r="E47" s="8" t="n"/>
      <c r="F47" s="8" t="n"/>
      <c r="G47" s="8" t="n"/>
      <c r="H47" s="8" t="n"/>
      <c r="I47" s="8" t="n"/>
      <c r="J47" s="8" t="n"/>
      <c r="K47" s="8" t="n"/>
      <c r="L47" s="8" t="n"/>
      <c r="M47" s="8" t="n"/>
      <c r="N47" s="9" t="n"/>
    </row>
    <row r="48">
      <c r="A48" s="10" t="inlineStr">
        <is>
          <t>Project management as % of BA + development + testing</t>
        </is>
      </c>
      <c r="B48" s="13" t="n">
        <v>0.1</v>
      </c>
      <c r="C48" s="10" t="inlineStr">
        <is>
          <t>%</t>
        </is>
      </c>
      <c r="D48" s="15" t="inlineStr">
        <is>
          <t>Assumption.</t>
        </is>
      </c>
      <c r="E48" s="8" t="n"/>
      <c r="F48" s="8" t="n"/>
      <c r="G48" s="8" t="n"/>
      <c r="H48" s="8" t="n"/>
      <c r="I48" s="8" t="n"/>
      <c r="J48" s="8" t="n"/>
      <c r="K48" s="8" t="n"/>
      <c r="L48" s="8" t="n"/>
      <c r="M48" s="8" t="n"/>
      <c r="N48" s="9" t="n"/>
    </row>
    <row r="49">
      <c r="A49" s="10" t="inlineStr">
        <is>
          <t>Contingency</t>
        </is>
      </c>
      <c r="B49" s="13" t="n">
        <v>0.1</v>
      </c>
      <c r="C49" s="10" t="inlineStr">
        <is>
          <t>%</t>
        </is>
      </c>
      <c r="D49" s="15" t="inlineStr">
        <is>
          <t>Assumption: unknowns found during analysis.</t>
        </is>
      </c>
      <c r="E49" s="8" t="n"/>
      <c r="F49" s="8" t="n"/>
      <c r="G49" s="8" t="n"/>
      <c r="H49" s="8" t="n"/>
      <c r="I49" s="8" t="n"/>
      <c r="J49" s="8" t="n"/>
      <c r="K49" s="8" t="n"/>
      <c r="L49" s="8" t="n"/>
      <c r="M49" s="8" t="n"/>
      <c r="N49" s="9" t="n"/>
    </row>
    <row r="50">
      <c r="A50" s="10" t="inlineStr">
        <is>
          <t>Small CR band: total man-days up to</t>
        </is>
      </c>
      <c r="B50" s="14" t="n">
        <v>5</v>
      </c>
      <c r="C50" s="10" t="inlineStr">
        <is>
          <t>man-days</t>
        </is>
      </c>
      <c r="D50" s="10" t="inlineStr">
        <is>
          <t>Commercial policy.</t>
        </is>
      </c>
      <c r="E50" s="8" t="n"/>
      <c r="F50" s="8" t="n"/>
      <c r="G50" s="8" t="n"/>
      <c r="H50" s="8" t="n"/>
      <c r="I50" s="8" t="n"/>
      <c r="J50" s="8" t="n"/>
      <c r="K50" s="8" t="n"/>
      <c r="L50" s="8" t="n"/>
      <c r="M50" s="8" t="n"/>
      <c r="N50" s="9" t="n"/>
    </row>
    <row r="51">
      <c r="A51" s="10" t="inlineStr">
        <is>
          <t>Medium CR band: total man-days up to</t>
        </is>
      </c>
      <c r="B51" s="14" t="n">
        <v>20</v>
      </c>
      <c r="C51" s="10" t="inlineStr">
        <is>
          <t>man-days</t>
        </is>
      </c>
      <c r="D51" s="10" t="inlineStr">
        <is>
          <t>Commercial policy.</t>
        </is>
      </c>
      <c r="E51" s="8" t="n"/>
      <c r="F51" s="8" t="n"/>
      <c r="G51" s="8" t="n"/>
      <c r="H51" s="8" t="n"/>
      <c r="I51" s="8" t="n"/>
      <c r="J51" s="8" t="n"/>
      <c r="K51" s="8" t="n"/>
      <c r="L51" s="8" t="n"/>
      <c r="M51" s="8" t="n"/>
      <c r="N51" s="9" t="n"/>
    </row>
    <row r="52">
      <c r="A52" s="10" t="inlineStr">
        <is>
          <t>Large CR band: total man-days up to (above this, a separate project)</t>
        </is>
      </c>
      <c r="B52" s="14" t="n">
        <v>60</v>
      </c>
      <c r="C52" s="10" t="inlineStr">
        <is>
          <t>man-days</t>
        </is>
      </c>
      <c r="D52" s="10" t="inlineStr">
        <is>
          <t>Commercial policy.</t>
        </is>
      </c>
      <c r="E52" s="8" t="n"/>
      <c r="F52" s="8" t="n"/>
      <c r="G52" s="8" t="n"/>
      <c r="H52" s="8" t="n"/>
      <c r="I52" s="8" t="n"/>
      <c r="J52" s="8" t="n"/>
      <c r="K52" s="8" t="n"/>
      <c r="L52" s="8" t="n"/>
      <c r="M52" s="8" t="n"/>
      <c r="N52" s="9" t="n"/>
    </row>
    <row r="53">
      <c r="A53" s="10" t="inlineStr">
        <is>
          <t>CR calculator: development man-days estimated</t>
        </is>
      </c>
      <c r="B53" s="23" t="n">
        <v>8</v>
      </c>
      <c r="C53" s="10" t="inlineStr">
        <is>
          <t>man-days</t>
        </is>
      </c>
      <c r="D53" s="10" t="inlineStr">
        <is>
          <t>Enter the developer estimate for the change.</t>
        </is>
      </c>
      <c r="E53" s="8" t="n"/>
      <c r="F53" s="8" t="n"/>
      <c r="G53" s="8" t="n"/>
      <c r="H53" s="8" t="n"/>
      <c r="I53" s="8" t="n"/>
      <c r="J53" s="8" t="n"/>
      <c r="K53" s="8" t="n"/>
      <c r="L53" s="8" t="n"/>
      <c r="M53" s="8" t="n"/>
      <c r="N53" s="9" t="n"/>
    </row>
    <row r="55">
      <c r="A55" s="6" t="inlineStr">
        <is>
          <t>Optional services drivers</t>
        </is>
      </c>
      <c r="B55" s="7" t="n"/>
      <c r="C55" s="7" t="n"/>
      <c r="D55" s="7" t="n"/>
      <c r="E55" s="7" t="n"/>
      <c r="F55" s="7" t="n"/>
      <c r="G55" s="7" t="n"/>
      <c r="H55" s="7" t="n"/>
      <c r="I55" s="7" t="n"/>
      <c r="J55" s="7" t="n"/>
      <c r="K55" s="7" t="n"/>
      <c r="L55" s="7" t="n"/>
      <c r="M55" s="7" t="n"/>
      <c r="N55" s="7" t="n"/>
    </row>
    <row r="56">
      <c r="A56" s="3" t="inlineStr">
        <is>
          <t>Driver</t>
        </is>
      </c>
      <c r="B56" s="3" t="inlineStr">
        <is>
          <t>Value</t>
        </is>
      </c>
      <c r="C56" s="3" t="inlineStr">
        <is>
          <t>Unit</t>
        </is>
      </c>
      <c r="D56" s="3" t="inlineStr">
        <is>
          <t>Basis</t>
        </is>
      </c>
      <c r="E56" s="8" t="n"/>
      <c r="F56" s="8" t="n"/>
      <c r="G56" s="8" t="n"/>
      <c r="H56" s="8" t="n"/>
      <c r="I56" s="8" t="n"/>
      <c r="J56" s="8" t="n"/>
      <c r="K56" s="8" t="n"/>
      <c r="L56" s="8" t="n"/>
      <c r="M56" s="8" t="n"/>
      <c r="N56" s="9" t="n"/>
    </row>
    <row r="57">
      <c r="A57" s="10" t="inlineStr">
        <is>
          <t>Additional environment: set-up man-days</t>
        </is>
      </c>
      <c r="B57" s="14" t="n">
        <v>6</v>
      </c>
      <c r="C57" s="10" t="inlineStr">
        <is>
          <t>man-days</t>
        </is>
      </c>
      <c r="D57" s="15" t="inlineStr">
        <is>
          <t>Estimate: provisioning, deployment, configuration copy, smoke test.</t>
        </is>
      </c>
      <c r="E57" s="8" t="n"/>
      <c r="F57" s="8" t="n"/>
      <c r="G57" s="8" t="n"/>
      <c r="H57" s="8" t="n"/>
      <c r="I57" s="8" t="n"/>
      <c r="J57" s="8" t="n"/>
      <c r="K57" s="8" t="n"/>
      <c r="L57" s="8" t="n"/>
      <c r="M57" s="8" t="n"/>
      <c r="N57" s="9" t="n"/>
    </row>
    <row r="58">
      <c r="A58" s="10" t="inlineStr">
        <is>
          <t>Additional non-production environment: cloud cost per month</t>
        </is>
      </c>
      <c r="B58" s="16" t="n">
        <v>150</v>
      </c>
      <c r="C58" s="10" t="inlineStr">
        <is>
          <t>USD</t>
        </is>
      </c>
      <c r="D58" s="15" t="inlineStr">
        <is>
          <t>Estimate: 1 small container, small single-zone database, storage (S3 for compute and database pricing references).</t>
        </is>
      </c>
      <c r="E58" s="8" t="n"/>
      <c r="F58" s="8" t="n"/>
      <c r="G58" s="8" t="n"/>
      <c r="H58" s="8" t="n"/>
      <c r="I58" s="8" t="n"/>
      <c r="J58" s="8" t="n"/>
      <c r="K58" s="8" t="n"/>
      <c r="L58" s="8" t="n"/>
      <c r="M58" s="8" t="n"/>
      <c r="N58" s="9" t="n"/>
    </row>
    <row r="59">
      <c r="A59" s="10" t="inlineStr">
        <is>
          <t>Data migration beyond templates: man-days per additional legacy source</t>
        </is>
      </c>
      <c r="B59" s="14" t="n">
        <v>15</v>
      </c>
      <c r="C59" s="10" t="inlineStr">
        <is>
          <t>man-days</t>
        </is>
      </c>
      <c r="D59" s="15" t="inlineStr">
        <is>
          <t>Estimate: mapping, extraction scripts, 2 trial loads, reconciliation.</t>
        </is>
      </c>
      <c r="E59" s="8" t="n"/>
      <c r="F59" s="8" t="n"/>
      <c r="G59" s="8" t="n"/>
      <c r="H59" s="8" t="n"/>
      <c r="I59" s="8" t="n"/>
      <c r="J59" s="8" t="n"/>
      <c r="K59" s="8" t="n"/>
      <c r="L59" s="8" t="n"/>
      <c r="M59" s="8" t="n"/>
      <c r="N59" s="9" t="n"/>
    </row>
    <row r="60">
      <c r="A60" s="10" t="inlineStr">
        <is>
          <t>Additional integration, standard (documented API or file)</t>
        </is>
      </c>
      <c r="B60" s="14" t="n">
        <v>20</v>
      </c>
      <c r="C60" s="10" t="inlineStr">
        <is>
          <t>man-days</t>
        </is>
      </c>
      <c r="D60" s="15" t="inlineStr">
        <is>
          <t>Estimate: e.g. one insurer API, SMS gateway, payment gateway variant.</t>
        </is>
      </c>
      <c r="E60" s="8" t="n"/>
      <c r="F60" s="8" t="n"/>
      <c r="G60" s="8" t="n"/>
      <c r="H60" s="8" t="n"/>
      <c r="I60" s="8" t="n"/>
      <c r="J60" s="8" t="n"/>
      <c r="K60" s="8" t="n"/>
      <c r="L60" s="8" t="n"/>
      <c r="M60" s="8" t="n"/>
      <c r="N60" s="9" t="n"/>
    </row>
    <row r="61">
      <c r="A61" s="10" t="inlineStr">
        <is>
          <t>Additional integration, complex (no API, two-way, or batch reconciliation)</t>
        </is>
      </c>
      <c r="B61" s="14" t="n">
        <v>45</v>
      </c>
      <c r="C61" s="10" t="inlineStr">
        <is>
          <t>man-days</t>
        </is>
      </c>
      <c r="D61" s="15" t="inlineStr">
        <is>
          <t>Estimate.</t>
        </is>
      </c>
      <c r="E61" s="8" t="n"/>
      <c r="F61" s="8" t="n"/>
      <c r="G61" s="8" t="n"/>
      <c r="H61" s="8" t="n"/>
      <c r="I61" s="8" t="n"/>
      <c r="J61" s="8" t="n"/>
      <c r="K61" s="8" t="n"/>
      <c r="L61" s="8" t="n"/>
      <c r="M61" s="8" t="n"/>
      <c r="N61" s="9" t="n"/>
    </row>
    <row r="62">
      <c r="A62" s="10" t="inlineStr">
        <is>
          <t>New report or document template (typical)</t>
        </is>
      </c>
      <c r="B62" s="14" t="n">
        <v>4</v>
      </c>
      <c r="C62" s="10" t="inlineStr">
        <is>
          <t>man-days</t>
        </is>
      </c>
      <c r="D62" s="15" t="inlineStr">
        <is>
          <t>Estimate: falls in the Small CR band.</t>
        </is>
      </c>
      <c r="E62" s="8" t="n"/>
      <c r="F62" s="8" t="n"/>
      <c r="G62" s="8" t="n"/>
      <c r="H62" s="8" t="n"/>
      <c r="I62" s="8" t="n"/>
      <c r="J62" s="8" t="n"/>
      <c r="K62" s="8" t="n"/>
      <c r="L62" s="8" t="n"/>
      <c r="M62" s="8" t="n"/>
      <c r="N62" s="9" t="n"/>
    </row>
    <row r="64">
      <c r="A64" s="6" t="inlineStr">
        <is>
          <t>Infrastructure: AWS reference cost per month (USD, production plus one UAT environment)</t>
        </is>
      </c>
      <c r="B64" s="7" t="n"/>
      <c r="C64" s="7" t="n"/>
      <c r="D64" s="7" t="n"/>
      <c r="E64" s="7" t="n"/>
      <c r="F64" s="7" t="n"/>
      <c r="G64" s="7" t="n"/>
      <c r="H64" s="7" t="n"/>
      <c r="I64" s="7" t="n"/>
      <c r="J64" s="7" t="n"/>
      <c r="K64" s="7" t="n"/>
      <c r="L64" s="7" t="n"/>
      <c r="M64" s="7" t="n"/>
      <c r="N64" s="7" t="n"/>
    </row>
    <row r="65">
      <c r="A65" s="3" t="inlineStr">
        <is>
          <t>Component</t>
        </is>
      </c>
      <c r="B65" s="3" t="inlineStr">
        <is>
          <t>Small</t>
        </is>
      </c>
      <c r="C65" s="3" t="inlineStr">
        <is>
          <t>Medium</t>
        </is>
      </c>
      <c r="D65" s="3" t="inlineStr">
        <is>
          <t>Large</t>
        </is>
      </c>
      <c r="E65" s="3" t="inlineStr">
        <is>
          <t>Enterprise</t>
        </is>
      </c>
      <c r="F65" s="3" t="inlineStr">
        <is>
          <t>Basis</t>
        </is>
      </c>
      <c r="G65" s="8" t="n"/>
      <c r="H65" s="8" t="n"/>
      <c r="I65" s="8" t="n"/>
      <c r="J65" s="8" t="n"/>
      <c r="K65" s="8" t="n"/>
      <c r="L65" s="8" t="n"/>
      <c r="M65" s="8" t="n"/>
      <c r="N65" s="9" t="n"/>
    </row>
    <row r="66">
      <c r="A66" s="10" t="inlineStr">
        <is>
          <t>Application containers (API, web, scheduler)</t>
        </is>
      </c>
      <c r="B66" s="16" t="n">
        <v>90</v>
      </c>
      <c r="C66" s="16" t="n">
        <v>135</v>
      </c>
      <c r="D66" s="16" t="n">
        <v>180</v>
      </c>
      <c r="E66" s="16" t="n">
        <v>360</v>
      </c>
      <c r="F66" s="15" t="inlineStr">
        <is>
          <t>Estimate: 2/3/4/8 containers of 1 vCPU, 2 GB (Fargate, Singapore).</t>
        </is>
      </c>
      <c r="G66" s="8" t="n"/>
      <c r="H66" s="8" t="n"/>
      <c r="I66" s="8" t="n"/>
      <c r="J66" s="8" t="n"/>
      <c r="K66" s="8" t="n"/>
      <c r="L66" s="8" t="n"/>
      <c r="M66" s="8" t="n"/>
      <c r="N66" s="9" t="n"/>
    </row>
    <row r="67">
      <c r="A67" s="10" t="inlineStr">
        <is>
          <t>Managed PostgreSQL 16 (instance and storage)</t>
        </is>
      </c>
      <c r="B67" s="16" t="n">
        <v>85</v>
      </c>
      <c r="C67" s="16" t="n">
        <v>320</v>
      </c>
      <c r="D67" s="16" t="n">
        <v>640</v>
      </c>
      <c r="E67" s="16" t="n">
        <v>1280</v>
      </c>
      <c r="F67" s="15" t="inlineStr">
        <is>
          <t>Estimate: db.t4g.medium single-AZ / db.m7g.large Multi-AZ / m7g.xlarge Multi-AZ / m7g.2xlarge Multi-AZ (S20).</t>
        </is>
      </c>
      <c r="G67" s="8" t="n"/>
      <c r="H67" s="8" t="n"/>
      <c r="I67" s="8" t="n"/>
      <c r="J67" s="8" t="n"/>
      <c r="K67" s="8" t="n"/>
      <c r="L67" s="8" t="n"/>
      <c r="M67" s="8" t="n"/>
      <c r="N67" s="9" t="n"/>
    </row>
    <row r="68">
      <c r="A68" s="10" t="inlineStr">
        <is>
          <t>Object storage and backups (documents, snapshots)</t>
        </is>
      </c>
      <c r="B68" s="16" t="n">
        <v>20</v>
      </c>
      <c r="C68" s="16" t="n">
        <v>40</v>
      </c>
      <c r="D68" s="16" t="n">
        <v>90</v>
      </c>
      <c r="E68" s="16" t="n">
        <v>180</v>
      </c>
      <c r="F68" s="15" t="inlineStr">
        <is>
          <t>Estimate: S3 and snapshot storage, growing with policies and uploads.</t>
        </is>
      </c>
      <c r="G68" s="8" t="n"/>
      <c r="H68" s="8" t="n"/>
      <c r="I68" s="8" t="n"/>
      <c r="J68" s="8" t="n"/>
      <c r="K68" s="8" t="n"/>
      <c r="L68" s="8" t="n"/>
      <c r="M68" s="8" t="n"/>
      <c r="N68" s="9" t="n"/>
    </row>
    <row r="69">
      <c r="A69" s="10" t="inlineStr">
        <is>
          <t>Network (load balancer, CDN, data transfer)</t>
        </is>
      </c>
      <c r="B69" s="16" t="n">
        <v>45</v>
      </c>
      <c r="C69" s="16" t="n">
        <v>70</v>
      </c>
      <c r="D69" s="16" t="n">
        <v>120</v>
      </c>
      <c r="E69" s="16" t="n">
        <v>220</v>
      </c>
      <c r="F69" s="15" t="inlineStr">
        <is>
          <t>Estimate.</t>
        </is>
      </c>
      <c r="G69" s="8" t="n"/>
      <c r="H69" s="8" t="n"/>
      <c r="I69" s="8" t="n"/>
      <c r="J69" s="8" t="n"/>
      <c r="K69" s="8" t="n"/>
      <c r="L69" s="8" t="n"/>
      <c r="M69" s="8" t="n"/>
      <c r="N69" s="9" t="n"/>
    </row>
    <row r="70">
      <c r="A70" s="10" t="inlineStr">
        <is>
          <t>Security and monitoring (WAF, logs, alarms, secrets, keys)</t>
        </is>
      </c>
      <c r="B70" s="16" t="n">
        <v>35</v>
      </c>
      <c r="C70" s="16" t="n">
        <v>60</v>
      </c>
      <c r="D70" s="16" t="n">
        <v>110</v>
      </c>
      <c r="E70" s="16" t="n">
        <v>200</v>
      </c>
      <c r="F70" s="15" t="inlineStr">
        <is>
          <t>Estimate.</t>
        </is>
      </c>
      <c r="G70" s="8" t="n"/>
      <c r="H70" s="8" t="n"/>
      <c r="I70" s="8" t="n"/>
      <c r="J70" s="8" t="n"/>
      <c r="K70" s="8" t="n"/>
      <c r="L70" s="8" t="n"/>
      <c r="M70" s="8" t="n"/>
      <c r="N70" s="9" t="n"/>
    </row>
    <row r="71">
      <c r="A71" s="10" t="inlineStr">
        <is>
          <t>UAT environment (scaled down)</t>
        </is>
      </c>
      <c r="B71" s="16" t="n">
        <v>120</v>
      </c>
      <c r="C71" s="16" t="n">
        <v>200</v>
      </c>
      <c r="D71" s="16" t="n">
        <v>350</v>
      </c>
      <c r="E71" s="16" t="n">
        <v>600</v>
      </c>
      <c r="F71" s="15" t="inlineStr">
        <is>
          <t>Estimate.</t>
        </is>
      </c>
      <c r="G71" s="8" t="n"/>
      <c r="H71" s="8" t="n"/>
      <c r="I71" s="8" t="n"/>
      <c r="J71" s="8" t="n"/>
      <c r="K71" s="8" t="n"/>
      <c r="L71" s="8" t="n"/>
      <c r="M71" s="8" t="n"/>
      <c r="N71" s="9" t="n"/>
    </row>
    <row r="72">
      <c r="A72" s="10" t="inlineStr">
        <is>
          <t>Disaster recovery copy (cross-region backups)</t>
        </is>
      </c>
      <c r="B72" s="16" t="n">
        <v>0</v>
      </c>
      <c r="C72" s="16" t="n">
        <v>0</v>
      </c>
      <c r="D72" s="16" t="n">
        <v>0</v>
      </c>
      <c r="E72" s="16" t="n">
        <v>400</v>
      </c>
      <c r="F72" s="15" t="inlineStr">
        <is>
          <t>Estimate: Enterprise only; optional for others.</t>
        </is>
      </c>
      <c r="G72" s="8" t="n"/>
      <c r="H72" s="8" t="n"/>
      <c r="I72" s="8" t="n"/>
      <c r="J72" s="8" t="n"/>
      <c r="K72" s="8" t="n"/>
      <c r="L72" s="8" t="n"/>
      <c r="M72" s="8" t="n"/>
      <c r="N72" s="9" t="n"/>
    </row>
    <row r="73">
      <c r="A73" s="18" t="inlineStr">
        <is>
          <t>Total AWS reference cost per month (USD)</t>
        </is>
      </c>
      <c r="B73" s="21">
        <f>SUM(B66:B72)</f>
        <v/>
      </c>
      <c r="C73" s="21">
        <f>SUM(C66:C72)</f>
        <v/>
      </c>
      <c r="D73" s="21">
        <f>SUM(D66:D72)</f>
        <v/>
      </c>
      <c r="E73" s="21">
        <f>SUM(E66:E72)</f>
        <v/>
      </c>
    </row>
    <row r="74">
      <c r="A74" s="10" t="inlineStr">
        <is>
          <t>Azure cost relative to AWS</t>
        </is>
      </c>
      <c r="B74" s="11" t="n">
        <v>1.05</v>
      </c>
      <c r="F74" s="15" t="inlineStr">
        <is>
          <t>Assumption: comparable list prices in Southeast Asia (D4s v5 Linux about USD 158 a month, S21); +5% for managed PostgreSQL and WAF differences.</t>
        </is>
      </c>
      <c r="G74" s="8" t="n"/>
      <c r="H74" s="8" t="n"/>
      <c r="I74" s="8" t="n"/>
      <c r="J74" s="8" t="n"/>
      <c r="K74" s="8" t="n"/>
      <c r="L74" s="8" t="n"/>
      <c r="M74" s="8" t="n"/>
      <c r="N74" s="9" t="n"/>
    </row>
    <row r="75">
      <c r="A75" s="10" t="inlineStr">
        <is>
          <t>Local partner cloud cost relative to AWS</t>
        </is>
      </c>
      <c r="B75" s="11" t="n">
        <v>0.95</v>
      </c>
      <c r="F75" s="15" t="inlineStr">
        <is>
          <t>Assumption: Philippine data-centre or partner cloud priced in PHP; lower compute and bandwidth, database run as managed VM. Confirm with a partner quotation.</t>
        </is>
      </c>
      <c r="G75" s="8" t="n"/>
      <c r="H75" s="8" t="n"/>
      <c r="I75" s="8" t="n"/>
      <c r="J75" s="8" t="n"/>
      <c r="K75" s="8" t="n"/>
      <c r="L75" s="8" t="n"/>
      <c r="M75" s="8" t="n"/>
      <c r="N75" s="9" t="n"/>
    </row>
    <row r="77">
      <c r="A77" s="6" t="inlineStr">
        <is>
          <t>Sample quote scenarios (used by Sample Quotes)</t>
        </is>
      </c>
      <c r="B77" s="7" t="n"/>
      <c r="C77" s="7" t="n"/>
      <c r="D77" s="7" t="n"/>
      <c r="E77" s="7" t="n"/>
      <c r="F77" s="7" t="n"/>
      <c r="G77" s="7" t="n"/>
      <c r="H77" s="7" t="n"/>
      <c r="I77" s="7" t="n"/>
      <c r="J77" s="7" t="n"/>
      <c r="K77" s="7" t="n"/>
      <c r="L77" s="7" t="n"/>
      <c r="M77" s="7" t="n"/>
      <c r="N77" s="7" t="n"/>
    </row>
    <row r="78">
      <c r="A78" s="3" t="inlineStr">
        <is>
          <t>Driver</t>
        </is>
      </c>
      <c r="B78" s="3" t="inlineStr">
        <is>
          <t>Example 1</t>
        </is>
      </c>
      <c r="C78" s="3" t="inlineStr">
        <is>
          <t>Example 2</t>
        </is>
      </c>
      <c r="D78" s="3" t="inlineStr">
        <is>
          <t>Example 3</t>
        </is>
      </c>
      <c r="E78" s="3" t="inlineStr"/>
      <c r="F78" s="3" t="inlineStr">
        <is>
          <t>Notes</t>
        </is>
      </c>
      <c r="G78" s="8" t="n"/>
      <c r="H78" s="8" t="n"/>
      <c r="I78" s="8" t="n"/>
      <c r="J78" s="8" t="n"/>
      <c r="K78" s="8" t="n"/>
      <c r="L78" s="8" t="n"/>
      <c r="M78" s="8" t="n"/>
      <c r="N78" s="9" t="n"/>
    </row>
    <row r="79">
      <c r="A79" s="10" t="inlineStr">
        <is>
          <t>Broker profile</t>
        </is>
      </c>
      <c r="B79" s="12" t="inlineStr">
        <is>
          <t>Small broker</t>
        </is>
      </c>
      <c r="C79" s="12" t="inlineStr">
        <is>
          <t>Medium broker</t>
        </is>
      </c>
      <c r="D79" s="12" t="inlineStr">
        <is>
          <t>Large broker</t>
        </is>
      </c>
      <c r="F79" s="10" t="inlineStr">
        <is>
          <t>Label only.</t>
        </is>
      </c>
      <c r="G79" s="8" t="n"/>
      <c r="H79" s="8" t="n"/>
      <c r="I79" s="8" t="n"/>
      <c r="J79" s="8" t="n"/>
      <c r="K79" s="8" t="n"/>
      <c r="L79" s="8" t="n"/>
      <c r="M79" s="8" t="n"/>
      <c r="N79" s="9" t="n"/>
    </row>
    <row r="80">
      <c r="A80" s="10" t="inlineStr">
        <is>
          <t>Named users</t>
        </is>
      </c>
      <c r="B80" s="14" t="n">
        <v>15</v>
      </c>
      <c r="C80" s="14" t="n">
        <v>60</v>
      </c>
      <c r="D80" s="14" t="n">
        <v>180</v>
      </c>
      <c r="F80" s="10" t="inlineStr">
        <is>
          <t>Tier follows from the user count.</t>
        </is>
      </c>
      <c r="G80" s="8" t="n"/>
      <c r="H80" s="8" t="n"/>
      <c r="I80" s="8" t="n"/>
      <c r="J80" s="8" t="n"/>
      <c r="K80" s="8" t="n"/>
      <c r="L80" s="8" t="n"/>
      <c r="M80" s="8" t="n"/>
      <c r="N80" s="9" t="n"/>
    </row>
    <row r="81">
      <c r="A81" s="10" t="inlineStr">
        <is>
          <t>Lines of business</t>
        </is>
      </c>
      <c r="B81" s="14" t="n">
        <v>5</v>
      </c>
      <c r="C81" s="14" t="n">
        <v>8</v>
      </c>
      <c r="D81" s="14" t="n">
        <v>12</v>
      </c>
      <c r="F81" s="10" t="inlineStr">
        <is>
          <t>Motor, fire, marine, casualty, engineering, bonds and so on.</t>
        </is>
      </c>
      <c r="G81" s="8" t="n"/>
      <c r="H81" s="8" t="n"/>
      <c r="I81" s="8" t="n"/>
      <c r="J81" s="8" t="n"/>
      <c r="K81" s="8" t="n"/>
      <c r="L81" s="8" t="n"/>
      <c r="M81" s="8" t="n"/>
      <c r="N81" s="9" t="n"/>
    </row>
    <row r="82">
      <c r="A82" s="10" t="inlineStr">
        <is>
          <t>Infrastructure provider (AWS, Azure, Local partner, Customer)</t>
        </is>
      </c>
      <c r="B82" s="12" t="inlineStr">
        <is>
          <t>AWS</t>
        </is>
      </c>
      <c r="C82" s="12" t="inlineStr">
        <is>
          <t>Azure</t>
        </is>
      </c>
      <c r="D82" s="12" t="inlineStr">
        <is>
          <t>Local partner</t>
        </is>
      </c>
      <c r="F82" s="10" t="inlineStr">
        <is>
          <t>"Customer" means the broker hosts itself: no infrastructure fee.</t>
        </is>
      </c>
      <c r="G82" s="8" t="n"/>
      <c r="H82" s="8" t="n"/>
      <c r="I82" s="8" t="n"/>
      <c r="J82" s="8" t="n"/>
      <c r="K82" s="8" t="n"/>
      <c r="L82" s="8" t="n"/>
      <c r="M82" s="8" t="n"/>
      <c r="N82" s="9" t="n"/>
    </row>
    <row r="83">
      <c r="A83" s="10" t="inlineStr">
        <is>
          <t>24x7 Severity 1 support (Yes/No)</t>
        </is>
      </c>
      <c r="B83" s="12" t="inlineStr">
        <is>
          <t>No</t>
        </is>
      </c>
      <c r="C83" s="12" t="inlineStr">
        <is>
          <t>Yes</t>
        </is>
      </c>
      <c r="D83" s="12" t="inlineStr">
        <is>
          <t>Yes</t>
        </is>
      </c>
      <c r="F83" s="10" t="inlineStr">
        <is>
          <t>Optional.</t>
        </is>
      </c>
      <c r="G83" s="8" t="n"/>
      <c r="H83" s="8" t="n"/>
      <c r="I83" s="8" t="n"/>
      <c r="J83" s="8" t="n"/>
      <c r="K83" s="8" t="n"/>
      <c r="L83" s="8" t="n"/>
      <c r="M83" s="8" t="n"/>
      <c r="N83" s="9" t="n"/>
    </row>
    <row r="84">
      <c r="A84" s="10" t="inlineStr">
        <is>
          <t>Extra training days</t>
        </is>
      </c>
      <c r="B84" s="14" t="n">
        <v>0</v>
      </c>
      <c r="C84" s="14" t="n">
        <v>2</v>
      </c>
      <c r="D84" s="14" t="n">
        <v>4</v>
      </c>
      <c r="F84" s="10" t="inlineStr">
        <is>
          <t>Beyond the days included for the tier.</t>
        </is>
      </c>
      <c r="G84" s="8" t="n"/>
      <c r="H84" s="8" t="n"/>
      <c r="I84" s="8" t="n"/>
      <c r="J84" s="8" t="n"/>
      <c r="K84" s="8" t="n"/>
      <c r="L84" s="8" t="n"/>
      <c r="M84" s="8" t="n"/>
      <c r="N84" s="9" t="n"/>
    </row>
    <row r="85">
      <c r="A85" s="10" t="inlineStr">
        <is>
          <t>Extra legacy data sources to migrate</t>
        </is>
      </c>
      <c r="B85" s="14" t="n">
        <v>0</v>
      </c>
      <c r="C85" s="14" t="n">
        <v>1</v>
      </c>
      <c r="D85" s="14" t="n">
        <v>2</v>
      </c>
      <c r="F85" s="10" t="inlineStr">
        <is>
          <t>Beyond the standard templates.</t>
        </is>
      </c>
      <c r="G85" s="8" t="n"/>
      <c r="H85" s="8" t="n"/>
      <c r="I85" s="8" t="n"/>
      <c r="J85" s="8" t="n"/>
      <c r="K85" s="8" t="n"/>
      <c r="L85" s="8" t="n"/>
      <c r="M85" s="8" t="n"/>
      <c r="N85" s="9" t="n"/>
    </row>
    <row r="86">
      <c r="A86" s="10" t="inlineStr">
        <is>
          <t>Additional standard integrations</t>
        </is>
      </c>
      <c r="B86" s="14" t="n">
        <v>0</v>
      </c>
      <c r="C86" s="14" t="n">
        <v>1</v>
      </c>
      <c r="D86" s="14" t="n">
        <v>2</v>
      </c>
      <c r="F86" s="10" t="inlineStr">
        <is>
          <t>One-time.</t>
        </is>
      </c>
      <c r="G86" s="8" t="n"/>
      <c r="H86" s="8" t="n"/>
      <c r="I86" s="8" t="n"/>
      <c r="J86" s="8" t="n"/>
      <c r="K86" s="8" t="n"/>
      <c r="L86" s="8" t="n"/>
      <c r="M86" s="8" t="n"/>
      <c r="N86" s="9" t="n"/>
    </row>
  </sheetData>
  <mergeCells count="58">
    <mergeCell ref="E36:N36"/>
    <mergeCell ref="D59:N59"/>
    <mergeCell ref="D50:N50"/>
    <mergeCell ref="F86:N86"/>
    <mergeCell ref="F80:N80"/>
    <mergeCell ref="D60:N60"/>
    <mergeCell ref="F85:N85"/>
    <mergeCell ref="D19:N19"/>
    <mergeCell ref="D10:N10"/>
    <mergeCell ref="F70:N70"/>
    <mergeCell ref="F79:N79"/>
    <mergeCell ref="F66:N66"/>
    <mergeCell ref="D46:N46"/>
    <mergeCell ref="F75:N75"/>
    <mergeCell ref="E41:N41"/>
    <mergeCell ref="D45:N45"/>
    <mergeCell ref="F72:N72"/>
    <mergeCell ref="E37:N37"/>
    <mergeCell ref="D6:N6"/>
    <mergeCell ref="F81:N81"/>
    <mergeCell ref="D52:N52"/>
    <mergeCell ref="D11:N11"/>
    <mergeCell ref="D49:N49"/>
    <mergeCell ref="D57:N57"/>
    <mergeCell ref="F71:N71"/>
    <mergeCell ref="D13:N13"/>
    <mergeCell ref="F67:N67"/>
    <mergeCell ref="E42:N42"/>
    <mergeCell ref="D48:N48"/>
    <mergeCell ref="D17:N17"/>
    <mergeCell ref="D61:N61"/>
    <mergeCell ref="D53:N53"/>
    <mergeCell ref="F82:N82"/>
    <mergeCell ref="E39:N39"/>
    <mergeCell ref="D16:N16"/>
    <mergeCell ref="D47:N47"/>
    <mergeCell ref="D7:N7"/>
    <mergeCell ref="E35:N35"/>
    <mergeCell ref="E38:N38"/>
    <mergeCell ref="D62:N62"/>
    <mergeCell ref="A32:N32"/>
    <mergeCell ref="D18:N18"/>
    <mergeCell ref="D56:N56"/>
    <mergeCell ref="F69:N69"/>
    <mergeCell ref="D9:N9"/>
    <mergeCell ref="F78:N78"/>
    <mergeCell ref="D12:N12"/>
    <mergeCell ref="D58:N58"/>
    <mergeCell ref="D8:N8"/>
    <mergeCell ref="F68:N68"/>
    <mergeCell ref="F65:N65"/>
    <mergeCell ref="D15:N15"/>
    <mergeCell ref="F84:N84"/>
    <mergeCell ref="D5:N5"/>
    <mergeCell ref="D51:N51"/>
    <mergeCell ref="F74:N74"/>
    <mergeCell ref="D14:N14"/>
    <mergeCell ref="F83:N83"/>
  </mergeCells>
  <dataValidations count="2">
    <dataValidation sqref="B82:D82" showDropDown="0" showInputMessage="0" showErrorMessage="0" allowBlank="0" type="list">
      <formula1>"AWS,Azure,Local partner,Customer"</formula1>
    </dataValidation>
    <dataValidation sqref="B83:D83" showDropDown="0" showInputMessage="0" showErrorMessage="0" allowBlank="0" type="list">
      <formula1>"Yes,No"</formula1>
    </dataValidation>
  </dataValidation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12" customWidth="1" min="3" max="3"/>
    <col width="34" customWidth="1" min="4" max="4"/>
    <col width="30" customWidth="1" min="5" max="5"/>
    <col width="22" customWidth="1" min="6" max="6"/>
    <col width="20" customWidth="1" min="7" max="7"/>
    <col width="20" customWidth="1" min="8" max="8"/>
    <col width="18" customWidth="1" min="9" max="9"/>
    <col width="18" customWidth="1" min="10" max="10"/>
  </cols>
  <sheetData>
    <row r="1">
      <c r="A1" s="1" t="inlineStr">
        <is>
          <t>Size tiers and user slabs</t>
        </is>
      </c>
    </row>
    <row r="2">
      <c r="A2" s="2" t="inlineStr">
        <is>
          <t>Tier definitions come from Inputs. Profile columns are estimates from the Insurance Commission broker ranking (2024) and market practice.</t>
        </is>
      </c>
    </row>
    <row r="4" ht="45" customHeight="1">
      <c r="A4" s="3" t="inlineStr">
        <is>
          <t>Tier</t>
        </is>
      </c>
      <c r="B4" s="3" t="inlineStr">
        <is>
          <t>From users</t>
        </is>
      </c>
      <c r="C4" s="3" t="inlineStr">
        <is>
          <t>To users</t>
        </is>
      </c>
      <c r="D4" s="3" t="inlineStr">
        <is>
          <t>Typical broker profile (estimate)</t>
        </is>
      </c>
      <c r="E4" s="3" t="inlineStr">
        <is>
          <t>IC 2024 commission ranking position (evidence)</t>
        </is>
      </c>
      <c r="F4" s="3" t="inlineStr">
        <is>
          <t>Perpetual licence per user, slab (PHP)</t>
        </is>
      </c>
      <c r="G4" s="3" t="inlineStr">
        <is>
          <t>Subscription per user per month, slab (PHP)</t>
        </is>
      </c>
      <c r="H4" s="3" t="inlineStr">
        <is>
          <t>Minimum billable users</t>
        </is>
      </c>
      <c r="I4" s="3" t="inlineStr">
        <is>
          <t>Lines of business included</t>
        </is>
      </c>
      <c r="J4" s="3" t="inlineStr">
        <is>
          <t>Training days included</t>
        </is>
      </c>
    </row>
    <row r="5" ht="48" customHeight="1">
      <c r="A5" s="18">
        <f>Inputs!A28</f>
        <v/>
      </c>
      <c r="B5" s="24">
        <f>Inputs!B28</f>
        <v/>
      </c>
      <c r="C5" s="24">
        <f>IF(Inputs!C28&gt;=100000,"and above",Inputs!C28)</f>
        <v/>
      </c>
      <c r="D5" s="19" t="inlineStr">
        <is>
          <t>Single office or 2 to 3 branches; 10 to 40 staff; SME, motor and fire focus; owner-managed finance.</t>
        </is>
      </c>
      <c r="E5" s="5" t="inlineStr">
        <is>
          <t>Rank 30 to 67: commission up to about PHP 55 million (rank 30, Moneyhero, PHP 55.2 million).</t>
        </is>
      </c>
      <c r="F5" s="20">
        <f>Inputs!D28</f>
        <v/>
      </c>
      <c r="G5" s="20">
        <f>Inputs!E28</f>
        <v/>
      </c>
      <c r="H5" s="24">
        <f>Inputs!F28</f>
        <v/>
      </c>
      <c r="I5" s="24">
        <f>Inputs!H28</f>
        <v/>
      </c>
      <c r="J5" s="24">
        <f>Inputs!I28</f>
        <v/>
      </c>
    </row>
    <row r="6" ht="48" customHeight="1">
      <c r="A6" s="18">
        <f>Inputs!A29</f>
        <v/>
      </c>
      <c r="B6" s="24">
        <f>Inputs!B29</f>
        <v/>
      </c>
      <c r="C6" s="24">
        <f>IF(Inputs!C29&gt;=100000,"and above",Inputs!C29)</f>
        <v/>
      </c>
      <c r="D6" s="19" t="inlineStr">
        <is>
          <t>Several branches; 40 to 150 staff; corporate and affinity accounts; in-house accounting team.</t>
        </is>
      </c>
      <c r="E6" s="5" t="inlineStr">
        <is>
          <t>Rank 10 to 30: PHP 55 to 250 million (rank 20, East West, PHP 98.0 million).</t>
        </is>
      </c>
      <c r="F6" s="20">
        <f>Inputs!D29</f>
        <v/>
      </c>
      <c r="G6" s="20">
        <f>Inputs!E29</f>
        <v/>
      </c>
      <c r="H6" s="24">
        <f>Inputs!F29</f>
        <v/>
      </c>
      <c r="I6" s="24">
        <f>Inputs!H29</f>
        <v/>
      </c>
      <c r="J6" s="24">
        <f>Inputs!I29</f>
        <v/>
      </c>
    </row>
    <row r="7" ht="48" customHeight="1">
      <c r="A7" s="18">
        <f>Inputs!A30</f>
        <v/>
      </c>
      <c r="B7" s="24">
        <f>Inputs!B30</f>
        <v/>
      </c>
      <c r="C7" s="24">
        <f>IF(Inputs!C30&gt;=100000,"and above",Inputs!C30)</f>
        <v/>
      </c>
      <c r="D7" s="19" t="inlineStr">
        <is>
          <t>National branch network or multinational; 150 to 400 staff; large corporate and reinsurance placements.</t>
        </is>
      </c>
      <c r="E7" s="5" t="inlineStr">
        <is>
          <t>Rank 4 to 10: PHP 250 to 800 million (Lockton PHP 712 million; PhilPacific PHP 598 million).</t>
        </is>
      </c>
      <c r="F7" s="20">
        <f>Inputs!D30</f>
        <v/>
      </c>
      <c r="G7" s="20">
        <f>Inputs!E30</f>
        <v/>
      </c>
      <c r="H7" s="24">
        <f>Inputs!F30</f>
        <v/>
      </c>
      <c r="I7" s="24">
        <f>Inputs!H30</f>
        <v/>
      </c>
      <c r="J7" s="24">
        <f>Inputs!I30</f>
        <v/>
      </c>
    </row>
    <row r="8" ht="48" customHeight="1">
      <c r="A8" s="18">
        <f>Inputs!A31</f>
        <v/>
      </c>
      <c r="B8" s="24">
        <f>Inputs!B31</f>
        <v/>
      </c>
      <c r="C8" s="24">
        <f>IF(Inputs!C31&gt;=100000,"and above",Inputs!C31)</f>
        <v/>
      </c>
      <c r="D8" s="19" t="inlineStr">
        <is>
          <t>Bank-affiliated or global broker; over 400 staff; high transaction volumes and bancassurance.</t>
        </is>
      </c>
      <c r="E8" s="5" t="inlineStr">
        <is>
          <t>Top 3: PHP 2.0 to 2.4 billion (BDO PHP 2,434 million; Marsh PHP 2,075 million; Aon PHP 2,047 million).</t>
        </is>
      </c>
      <c r="F8" s="20">
        <f>Inputs!D31</f>
        <v/>
      </c>
      <c r="G8" s="20">
        <f>Inputs!E31</f>
        <v/>
      </c>
      <c r="H8" s="24">
        <f>Inputs!F31</f>
        <v/>
      </c>
      <c r="I8" s="24">
        <f>Inputs!H31</f>
        <v/>
      </c>
      <c r="J8" s="24">
        <f>Inputs!I31</f>
        <v/>
      </c>
    </row>
    <row r="10">
      <c r="A10" s="6" t="inlineStr">
        <is>
          <t>How the graduated slabs work</t>
        </is>
      </c>
      <c r="B10" s="7" t="n"/>
      <c r="C10" s="7" t="n"/>
      <c r="D10" s="7" t="n"/>
      <c r="E10" s="7" t="n"/>
      <c r="F10" s="7" t="n"/>
      <c r="G10" s="7" t="n"/>
      <c r="H10" s="7" t="n"/>
      <c r="I10" s="7" t="n"/>
      <c r="J10" s="7" t="n"/>
    </row>
    <row r="11" ht="32" customHeight="1">
      <c r="A11" s="25" t="inlineStr">
        <is>
          <t>Each user is priced at the rate of the slab it falls in. Example: 40 users = 25 users at the Small rate + 15 users at the Medium rate. The broker tier (by total users) sets implementation effort, minimum billable users, included training and infrastructure size.</t>
        </is>
      </c>
    </row>
    <row r="13">
      <c r="A13" s="6" t="inlineStr">
        <is>
          <t>Affordability check against IT budget norms (reference users per tier, Year 1 prices)</t>
        </is>
      </c>
      <c r="B13" s="7" t="n"/>
      <c r="C13" s="7" t="n"/>
      <c r="D13" s="7" t="n"/>
      <c r="E13" s="7" t="n"/>
      <c r="F13" s="7" t="n"/>
      <c r="G13" s="7" t="n"/>
      <c r="H13" s="7" t="n"/>
      <c r="I13" s="7" t="n"/>
      <c r="J13" s="7" t="n"/>
    </row>
    <row r="14" ht="60" customHeight="1">
      <c r="A14" s="3" t="inlineStr">
        <is>
          <t>Tier</t>
        </is>
      </c>
      <c r="B14" s="3" t="inlineStr">
        <is>
          <t>Reference users</t>
        </is>
      </c>
      <c r="C14" s="3" t="inlineStr">
        <is>
          <t>Commission income (PHP, estimate)</t>
        </is>
      </c>
      <c r="D14" s="3" t="inlineStr">
        <is>
          <t>IT budget at low benchmark (PHP)</t>
        </is>
      </c>
      <c r="E14" s="3" t="inlineStr">
        <is>
          <t>IT budget at high benchmark (PHP)</t>
        </is>
      </c>
      <c r="F14" s="3" t="inlineStr">
        <is>
          <t>Subscription Year 1 (PHP)</t>
        </is>
      </c>
      <c r="G14" s="3" t="inlineStr">
        <is>
          <t>Subscription as % of income</t>
        </is>
      </c>
      <c r="H14" s="3" t="inlineStr">
        <is>
          <t>Perpetual 5-year average per year incl. implementation (PHP)</t>
        </is>
      </c>
      <c r="I14" s="3" t="inlineStr">
        <is>
          <t>Perpetual average as % of income</t>
        </is>
      </c>
      <c r="J14" s="3" t="inlineStr">
        <is>
          <t>Within IT budget?</t>
        </is>
      </c>
    </row>
    <row r="15">
      <c r="A15" s="18">
        <f>Inputs!A28</f>
        <v/>
      </c>
      <c r="B15" s="24">
        <f>Inputs!J28</f>
        <v/>
      </c>
      <c r="C15" s="26">
        <f>Inputs!M28</f>
        <v/>
      </c>
      <c r="D15" s="20">
        <f>C15*IT_Low</f>
        <v/>
      </c>
      <c r="E15" s="20">
        <f>C15*IT_High</f>
        <v/>
      </c>
      <c r="F15" s="20">
        <f>'Subscription Model'!C8</f>
        <v/>
      </c>
      <c r="G15" s="27">
        <f>F15/C15</f>
        <v/>
      </c>
      <c r="H15" s="20">
        <f>'Perpetual Model'!H9/5</f>
        <v/>
      </c>
      <c r="I15" s="27">
        <f>H15/C15</f>
        <v/>
      </c>
      <c r="J15" s="10">
        <f>IF(MAX(G15,I15)&lt;=IT_High,"Yes","Review")</f>
        <v/>
      </c>
    </row>
    <row r="16">
      <c r="A16" s="18">
        <f>Inputs!A29</f>
        <v/>
      </c>
      <c r="B16" s="24">
        <f>Inputs!J29</f>
        <v/>
      </c>
      <c r="C16" s="26">
        <f>Inputs!M29</f>
        <v/>
      </c>
      <c r="D16" s="20">
        <f>C16*IT_Low</f>
        <v/>
      </c>
      <c r="E16" s="20">
        <f>C16*IT_High</f>
        <v/>
      </c>
      <c r="F16" s="20">
        <f>'Subscription Model'!C16</f>
        <v/>
      </c>
      <c r="G16" s="27">
        <f>F16/C16</f>
        <v/>
      </c>
      <c r="H16" s="20">
        <f>'Perpetual Model'!H17/5</f>
        <v/>
      </c>
      <c r="I16" s="27">
        <f>H16/C16</f>
        <v/>
      </c>
      <c r="J16" s="10">
        <f>IF(MAX(G16,I16)&lt;=IT_High,"Yes","Review")</f>
        <v/>
      </c>
    </row>
    <row r="17">
      <c r="A17" s="18">
        <f>Inputs!A30</f>
        <v/>
      </c>
      <c r="B17" s="24">
        <f>Inputs!J30</f>
        <v/>
      </c>
      <c r="C17" s="26">
        <f>Inputs!M30</f>
        <v/>
      </c>
      <c r="D17" s="20">
        <f>C17*IT_Low</f>
        <v/>
      </c>
      <c r="E17" s="20">
        <f>C17*IT_High</f>
        <v/>
      </c>
      <c r="F17" s="20">
        <f>'Subscription Model'!C24</f>
        <v/>
      </c>
      <c r="G17" s="27">
        <f>F17/C17</f>
        <v/>
      </c>
      <c r="H17" s="20">
        <f>'Perpetual Model'!H25/5</f>
        <v/>
      </c>
      <c r="I17" s="27">
        <f>H17/C17</f>
        <v/>
      </c>
      <c r="J17" s="10">
        <f>IF(MAX(G17,I17)&lt;=IT_High,"Yes","Review")</f>
        <v/>
      </c>
    </row>
    <row r="18">
      <c r="A18" s="18">
        <f>Inputs!A31</f>
        <v/>
      </c>
      <c r="B18" s="24">
        <f>Inputs!J31</f>
        <v/>
      </c>
      <c r="C18" s="26">
        <f>Inputs!M31</f>
        <v/>
      </c>
      <c r="D18" s="20">
        <f>C18*IT_Low</f>
        <v/>
      </c>
      <c r="E18" s="20">
        <f>C18*IT_High</f>
        <v/>
      </c>
      <c r="F18" s="20">
        <f>'Subscription Model'!C32</f>
        <v/>
      </c>
      <c r="G18" s="27">
        <f>F18/C18</f>
        <v/>
      </c>
      <c r="H18" s="20">
        <f>'Perpetual Model'!H33/5</f>
        <v/>
      </c>
      <c r="I18" s="27">
        <f>H18/C18</f>
        <v/>
      </c>
      <c r="J18" s="10">
        <f>IF(MAX(G18,I18)&lt;=IT_High,"Yes","Review")</f>
        <v/>
      </c>
    </row>
    <row r="20">
      <c r="A20" s="2" t="inlineStr">
        <is>
          <t>Note: the IT budget also pays for hardware, network, office systems and staff. BrokerVerse should take well under the full budget; the check shows the software cost against the benchmark band, not a recommendation of spend.</t>
        </is>
      </c>
    </row>
  </sheetData>
  <mergeCells count="2">
    <mergeCell ref="A20:J20"/>
    <mergeCell ref="A11:J11"/>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5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15" customWidth="1" min="3" max="3"/>
    <col width="15" customWidth="1" min="4" max="4"/>
    <col width="15" customWidth="1" min="5" max="5"/>
    <col width="15" customWidth="1" min="6" max="6"/>
    <col width="15" customWidth="1" min="7" max="7"/>
    <col width="17" customWidth="1" min="8" max="8"/>
    <col width="15" customWidth="1" min="9" max="9"/>
  </cols>
  <sheetData>
    <row r="1">
      <c r="A1" s="1" t="inlineStr">
        <is>
          <t>Model A: perpetual licence with AMC</t>
        </is>
      </c>
    </row>
    <row r="2">
      <c r="A2" s="2" t="inlineStr">
        <is>
          <t>Implementation and licence in Year 1; AMC at 22% of the licence fee from the AMC start year, +5% a year. PHP, exclusive of VAT unless stated.</t>
        </is>
      </c>
    </row>
    <row r="4">
      <c r="A4" s="3" t="inlineStr">
        <is>
          <t>Tier / item</t>
        </is>
      </c>
      <c r="B4" s="3" t="inlineStr">
        <is>
          <t>Basis</t>
        </is>
      </c>
      <c r="C4" s="3" t="inlineStr">
        <is>
          <t>Year 1</t>
        </is>
      </c>
      <c r="D4" s="3" t="inlineStr">
        <is>
          <t>Year 2</t>
        </is>
      </c>
      <c r="E4" s="3" t="inlineStr">
        <is>
          <t>Year 3</t>
        </is>
      </c>
      <c r="F4" s="3" t="inlineStr">
        <is>
          <t>Year 4</t>
        </is>
      </c>
      <c r="G4" s="3" t="inlineStr">
        <is>
          <t>Year 5</t>
        </is>
      </c>
      <c r="H4" s="3" t="inlineStr">
        <is>
          <t>5-year total (PHP)</t>
        </is>
      </c>
      <c r="I4" s="3" t="inlineStr">
        <is>
          <t>5-year total (USD)</t>
        </is>
      </c>
    </row>
    <row r="5">
      <c r="A5" s="28">
        <f>Inputs!A28&amp;" (reference)"</f>
        <v/>
      </c>
      <c r="B5" s="29" t="inlineStr">
        <is>
          <t>Users / lines of business</t>
        </is>
      </c>
      <c r="C5" s="30">
        <f>Inputs!J28</f>
        <v/>
      </c>
      <c r="D5" s="30">
        <f>Inputs!K28</f>
        <v/>
      </c>
      <c r="E5" s="7" t="n"/>
      <c r="F5" s="7" t="n"/>
      <c r="G5" s="7" t="n"/>
      <c r="H5" s="7" t="n"/>
      <c r="I5" s="7" t="n"/>
    </row>
    <row r="6">
      <c r="A6" s="10" t="inlineStr">
        <is>
          <t>Implementation fee</t>
        </is>
      </c>
      <c r="B6" s="10" t="inlineStr">
        <is>
          <t>Base + extra lines x blended rate</t>
        </is>
      </c>
      <c r="C6" s="20">
        <f>ROUND((INDEX(Inputs!$G$28:$G$31,MATCH($C$5,Inputs!$B$28:$B$31,1))+MAX(0,$D$5-INDEX(Inputs!$H$28:$H$31,MATCH($C$5,Inputs!$B$28:$B$31,1)))*Days_per_LOB)*Blended/Round_To,0)*Round_To</f>
        <v/>
      </c>
      <c r="D6" s="20" t="n">
        <v>0</v>
      </c>
      <c r="E6" s="20" t="n">
        <v>0</v>
      </c>
      <c r="F6" s="20" t="n">
        <v>0</v>
      </c>
      <c r="G6" s="20" t="n">
        <v>0</v>
      </c>
      <c r="H6" s="20">
        <f>SUM(C6:G6)</f>
        <v/>
      </c>
      <c r="I6" s="20">
        <f>H6/FX</f>
        <v/>
      </c>
    </row>
    <row r="7">
      <c r="A7" s="10" t="inlineStr">
        <is>
          <t>Perpetual licence fee</t>
        </is>
      </c>
      <c r="B7" s="10" t="inlineStr">
        <is>
          <t>Graduated user slabs</t>
        </is>
      </c>
      <c r="C7" s="20">
        <f>MAX(0,MIN($C$5,Inputs!$C$28)-Inputs!$B$28+1)*Inputs!$D$28+MAX(0,MIN($C$5,Inputs!$C$29)-Inputs!$B$29+1)*Inputs!$D$29+MAX(0,MIN($C$5,Inputs!$C$30)-Inputs!$B$30+1)*Inputs!$D$30+MAX(0,MIN($C$5,Inputs!$C$31)-Inputs!$B$31+1)*Inputs!$D$31</f>
        <v/>
      </c>
      <c r="D7" s="20" t="n">
        <v>0</v>
      </c>
      <c r="E7" s="20" t="n">
        <v>0</v>
      </c>
      <c r="F7" s="20" t="n">
        <v>0</v>
      </c>
      <c r="G7" s="20" t="n">
        <v>0</v>
      </c>
      <c r="H7" s="20">
        <f>SUM(C7:G7)</f>
        <v/>
      </c>
      <c r="I7" s="20">
        <f>H7/FX</f>
        <v/>
      </c>
    </row>
    <row r="8">
      <c r="A8" s="10" t="inlineStr">
        <is>
          <t>AMC</t>
        </is>
      </c>
      <c r="B8" s="10" t="inlineStr">
        <is>
          <t>22% of licence, +5% a year</t>
        </is>
      </c>
      <c r="C8" s="20">
        <f>IF(1&gt;=AMC_Start,$C$7*AMC_Rate*(1+Esc)^(1-AMC_Start),0)</f>
        <v/>
      </c>
      <c r="D8" s="20">
        <f>IF(2&gt;=AMC_Start,$C$7*AMC_Rate*(1+Esc)^(2-AMC_Start),0)</f>
        <v/>
      </c>
      <c r="E8" s="20">
        <f>IF(3&gt;=AMC_Start,$C$7*AMC_Rate*(1+Esc)^(3-AMC_Start),0)</f>
        <v/>
      </c>
      <c r="F8" s="20">
        <f>IF(4&gt;=AMC_Start,$C$7*AMC_Rate*(1+Esc)^(4-AMC_Start),0)</f>
        <v/>
      </c>
      <c r="G8" s="20">
        <f>IF(5&gt;=AMC_Start,$C$7*AMC_Rate*(1+Esc)^(5-AMC_Start),0)</f>
        <v/>
      </c>
      <c r="H8" s="20">
        <f>SUM(C8:G8)</f>
        <v/>
      </c>
      <c r="I8" s="20">
        <f>H8/FX</f>
        <v/>
      </c>
    </row>
    <row r="9">
      <c r="A9" s="31" t="inlineStr">
        <is>
          <t>Total excl. VAT</t>
        </is>
      </c>
      <c r="B9" s="32" t="inlineStr"/>
      <c r="C9" s="33">
        <f>SUM(C6:C8)</f>
        <v/>
      </c>
      <c r="D9" s="33">
        <f>SUM(D6:D8)</f>
        <v/>
      </c>
      <c r="E9" s="33">
        <f>SUM(E6:E8)</f>
        <v/>
      </c>
      <c r="F9" s="33">
        <f>SUM(F6:F8)</f>
        <v/>
      </c>
      <c r="G9" s="33">
        <f>SUM(G6:G8)</f>
        <v/>
      </c>
      <c r="H9" s="33">
        <f>SUM(H6:H8)</f>
        <v/>
      </c>
      <c r="I9" s="21">
        <f>H9/FX</f>
        <v/>
      </c>
    </row>
    <row r="10">
      <c r="A10" s="10" t="inlineStr">
        <is>
          <t>VAT</t>
        </is>
      </c>
      <c r="B10" s="10">
        <f>TEXT(VAT,"0%")</f>
        <v/>
      </c>
      <c r="C10" s="20">
        <f>C9*VAT</f>
        <v/>
      </c>
      <c r="D10" s="20">
        <f>D9*VAT</f>
        <v/>
      </c>
      <c r="E10" s="20">
        <f>E9*VAT</f>
        <v/>
      </c>
      <c r="F10" s="20">
        <f>F9*VAT</f>
        <v/>
      </c>
      <c r="G10" s="20">
        <f>G9*VAT</f>
        <v/>
      </c>
      <c r="H10" s="20">
        <f>H9*VAT</f>
        <v/>
      </c>
      <c r="I10" s="20">
        <f>H10/FX</f>
        <v/>
      </c>
    </row>
    <row r="11">
      <c r="A11" s="18" t="inlineStr">
        <is>
          <t>Total incl. VAT</t>
        </is>
      </c>
      <c r="B11" s="10" t="inlineStr"/>
      <c r="C11" s="34">
        <f>C9+C10</f>
        <v/>
      </c>
      <c r="D11" s="34">
        <f>D9+D10</f>
        <v/>
      </c>
      <c r="E11" s="34">
        <f>E9+E10</f>
        <v/>
      </c>
      <c r="F11" s="34">
        <f>F9+F10</f>
        <v/>
      </c>
      <c r="G11" s="34">
        <f>G9+G10</f>
        <v/>
      </c>
      <c r="H11" s="34">
        <f>H9+H10</f>
        <v/>
      </c>
      <c r="I11" s="20">
        <f>H11/FX</f>
        <v/>
      </c>
    </row>
    <row r="13">
      <c r="A13" s="28">
        <f>Inputs!A29&amp;" (reference)"</f>
        <v/>
      </c>
      <c r="B13" s="29" t="inlineStr">
        <is>
          <t>Users / lines of business</t>
        </is>
      </c>
      <c r="C13" s="30">
        <f>Inputs!J29</f>
        <v/>
      </c>
      <c r="D13" s="30">
        <f>Inputs!K29</f>
        <v/>
      </c>
      <c r="E13" s="7" t="n"/>
      <c r="F13" s="7" t="n"/>
      <c r="G13" s="7" t="n"/>
      <c r="H13" s="7" t="n"/>
      <c r="I13" s="7" t="n"/>
    </row>
    <row r="14">
      <c r="A14" s="10" t="inlineStr">
        <is>
          <t>Implementation fee</t>
        </is>
      </c>
      <c r="B14" s="10" t="inlineStr">
        <is>
          <t>Base + extra lines x blended rate</t>
        </is>
      </c>
      <c r="C14" s="20">
        <f>ROUND((INDEX(Inputs!$G$28:$G$31,MATCH($C$13,Inputs!$B$28:$B$31,1))+MAX(0,$D$13-INDEX(Inputs!$H$28:$H$31,MATCH($C$13,Inputs!$B$28:$B$31,1)))*Days_per_LOB)*Blended/Round_To,0)*Round_To</f>
        <v/>
      </c>
      <c r="D14" s="20" t="n">
        <v>0</v>
      </c>
      <c r="E14" s="20" t="n">
        <v>0</v>
      </c>
      <c r="F14" s="20" t="n">
        <v>0</v>
      </c>
      <c r="G14" s="20" t="n">
        <v>0</v>
      </c>
      <c r="H14" s="20">
        <f>SUM(C14:G14)</f>
        <v/>
      </c>
      <c r="I14" s="20">
        <f>H14/FX</f>
        <v/>
      </c>
    </row>
    <row r="15">
      <c r="A15" s="10" t="inlineStr">
        <is>
          <t>Perpetual licence fee</t>
        </is>
      </c>
      <c r="B15" s="10" t="inlineStr">
        <is>
          <t>Graduated user slabs</t>
        </is>
      </c>
      <c r="C15" s="20">
        <f>MAX(0,MIN($C$13,Inputs!$C$28)-Inputs!$B$28+1)*Inputs!$D$28+MAX(0,MIN($C$13,Inputs!$C$29)-Inputs!$B$29+1)*Inputs!$D$29+MAX(0,MIN($C$13,Inputs!$C$30)-Inputs!$B$30+1)*Inputs!$D$30+MAX(0,MIN($C$13,Inputs!$C$31)-Inputs!$B$31+1)*Inputs!$D$31</f>
        <v/>
      </c>
      <c r="D15" s="20" t="n">
        <v>0</v>
      </c>
      <c r="E15" s="20" t="n">
        <v>0</v>
      </c>
      <c r="F15" s="20" t="n">
        <v>0</v>
      </c>
      <c r="G15" s="20" t="n">
        <v>0</v>
      </c>
      <c r="H15" s="20">
        <f>SUM(C15:G15)</f>
        <v/>
      </c>
      <c r="I15" s="20">
        <f>H15/FX</f>
        <v/>
      </c>
    </row>
    <row r="16">
      <c r="A16" s="10" t="inlineStr">
        <is>
          <t>AMC</t>
        </is>
      </c>
      <c r="B16" s="10" t="inlineStr">
        <is>
          <t>22% of licence, +5% a year</t>
        </is>
      </c>
      <c r="C16" s="20">
        <f>IF(1&gt;=AMC_Start,$C$15*AMC_Rate*(1+Esc)^(1-AMC_Start),0)</f>
        <v/>
      </c>
      <c r="D16" s="20">
        <f>IF(2&gt;=AMC_Start,$C$15*AMC_Rate*(1+Esc)^(2-AMC_Start),0)</f>
        <v/>
      </c>
      <c r="E16" s="20">
        <f>IF(3&gt;=AMC_Start,$C$15*AMC_Rate*(1+Esc)^(3-AMC_Start),0)</f>
        <v/>
      </c>
      <c r="F16" s="20">
        <f>IF(4&gt;=AMC_Start,$C$15*AMC_Rate*(1+Esc)^(4-AMC_Start),0)</f>
        <v/>
      </c>
      <c r="G16" s="20">
        <f>IF(5&gt;=AMC_Start,$C$15*AMC_Rate*(1+Esc)^(5-AMC_Start),0)</f>
        <v/>
      </c>
      <c r="H16" s="20">
        <f>SUM(C16:G16)</f>
        <v/>
      </c>
      <c r="I16" s="20">
        <f>H16/FX</f>
        <v/>
      </c>
    </row>
    <row r="17">
      <c r="A17" s="31" t="inlineStr">
        <is>
          <t>Total excl. VAT</t>
        </is>
      </c>
      <c r="B17" s="32" t="inlineStr"/>
      <c r="C17" s="33">
        <f>SUM(C14:C16)</f>
        <v/>
      </c>
      <c r="D17" s="33">
        <f>SUM(D14:D16)</f>
        <v/>
      </c>
      <c r="E17" s="33">
        <f>SUM(E14:E16)</f>
        <v/>
      </c>
      <c r="F17" s="33">
        <f>SUM(F14:F16)</f>
        <v/>
      </c>
      <c r="G17" s="33">
        <f>SUM(G14:G16)</f>
        <v/>
      </c>
      <c r="H17" s="33">
        <f>SUM(H14:H16)</f>
        <v/>
      </c>
      <c r="I17" s="21">
        <f>H17/FX</f>
        <v/>
      </c>
    </row>
    <row r="18">
      <c r="A18" s="10" t="inlineStr">
        <is>
          <t>VAT</t>
        </is>
      </c>
      <c r="B18" s="10">
        <f>TEXT(VAT,"0%")</f>
        <v/>
      </c>
      <c r="C18" s="20">
        <f>C17*VAT</f>
        <v/>
      </c>
      <c r="D18" s="20">
        <f>D17*VAT</f>
        <v/>
      </c>
      <c r="E18" s="20">
        <f>E17*VAT</f>
        <v/>
      </c>
      <c r="F18" s="20">
        <f>F17*VAT</f>
        <v/>
      </c>
      <c r="G18" s="20">
        <f>G17*VAT</f>
        <v/>
      </c>
      <c r="H18" s="20">
        <f>H17*VAT</f>
        <v/>
      </c>
      <c r="I18" s="20">
        <f>H18/FX</f>
        <v/>
      </c>
    </row>
    <row r="19">
      <c r="A19" s="18" t="inlineStr">
        <is>
          <t>Total incl. VAT</t>
        </is>
      </c>
      <c r="B19" s="10" t="inlineStr"/>
      <c r="C19" s="34">
        <f>C17+C18</f>
        <v/>
      </c>
      <c r="D19" s="34">
        <f>D17+D18</f>
        <v/>
      </c>
      <c r="E19" s="34">
        <f>E17+E18</f>
        <v/>
      </c>
      <c r="F19" s="34">
        <f>F17+F18</f>
        <v/>
      </c>
      <c r="G19" s="34">
        <f>G17+G18</f>
        <v/>
      </c>
      <c r="H19" s="34">
        <f>H17+H18</f>
        <v/>
      </c>
      <c r="I19" s="20">
        <f>H19/FX</f>
        <v/>
      </c>
    </row>
    <row r="21">
      <c r="A21" s="28">
        <f>Inputs!A30&amp;" (reference)"</f>
        <v/>
      </c>
      <c r="B21" s="29" t="inlineStr">
        <is>
          <t>Users / lines of business</t>
        </is>
      </c>
      <c r="C21" s="30">
        <f>Inputs!J30</f>
        <v/>
      </c>
      <c r="D21" s="30">
        <f>Inputs!K30</f>
        <v/>
      </c>
      <c r="E21" s="7" t="n"/>
      <c r="F21" s="7" t="n"/>
      <c r="G21" s="7" t="n"/>
      <c r="H21" s="7" t="n"/>
      <c r="I21" s="7" t="n"/>
    </row>
    <row r="22">
      <c r="A22" s="10" t="inlineStr">
        <is>
          <t>Implementation fee</t>
        </is>
      </c>
      <c r="B22" s="10" t="inlineStr">
        <is>
          <t>Base + extra lines x blended rate</t>
        </is>
      </c>
      <c r="C22" s="20">
        <f>ROUND((INDEX(Inputs!$G$28:$G$31,MATCH($C$21,Inputs!$B$28:$B$31,1))+MAX(0,$D$21-INDEX(Inputs!$H$28:$H$31,MATCH($C$21,Inputs!$B$28:$B$31,1)))*Days_per_LOB)*Blended/Round_To,0)*Round_To</f>
        <v/>
      </c>
      <c r="D22" s="20" t="n">
        <v>0</v>
      </c>
      <c r="E22" s="20" t="n">
        <v>0</v>
      </c>
      <c r="F22" s="20" t="n">
        <v>0</v>
      </c>
      <c r="G22" s="20" t="n">
        <v>0</v>
      </c>
      <c r="H22" s="20">
        <f>SUM(C22:G22)</f>
        <v/>
      </c>
      <c r="I22" s="20">
        <f>H22/FX</f>
        <v/>
      </c>
    </row>
    <row r="23">
      <c r="A23" s="10" t="inlineStr">
        <is>
          <t>Perpetual licence fee</t>
        </is>
      </c>
      <c r="B23" s="10" t="inlineStr">
        <is>
          <t>Graduated user slabs</t>
        </is>
      </c>
      <c r="C23" s="20">
        <f>MAX(0,MIN($C$21,Inputs!$C$28)-Inputs!$B$28+1)*Inputs!$D$28+MAX(0,MIN($C$21,Inputs!$C$29)-Inputs!$B$29+1)*Inputs!$D$29+MAX(0,MIN($C$21,Inputs!$C$30)-Inputs!$B$30+1)*Inputs!$D$30+MAX(0,MIN($C$21,Inputs!$C$31)-Inputs!$B$31+1)*Inputs!$D$31</f>
        <v/>
      </c>
      <c r="D23" s="20" t="n">
        <v>0</v>
      </c>
      <c r="E23" s="20" t="n">
        <v>0</v>
      </c>
      <c r="F23" s="20" t="n">
        <v>0</v>
      </c>
      <c r="G23" s="20" t="n">
        <v>0</v>
      </c>
      <c r="H23" s="20">
        <f>SUM(C23:G23)</f>
        <v/>
      </c>
      <c r="I23" s="20">
        <f>H23/FX</f>
        <v/>
      </c>
    </row>
    <row r="24">
      <c r="A24" s="10" t="inlineStr">
        <is>
          <t>AMC</t>
        </is>
      </c>
      <c r="B24" s="10" t="inlineStr">
        <is>
          <t>22% of licence, +5% a year</t>
        </is>
      </c>
      <c r="C24" s="20">
        <f>IF(1&gt;=AMC_Start,$C$23*AMC_Rate*(1+Esc)^(1-AMC_Start),0)</f>
        <v/>
      </c>
      <c r="D24" s="20">
        <f>IF(2&gt;=AMC_Start,$C$23*AMC_Rate*(1+Esc)^(2-AMC_Start),0)</f>
        <v/>
      </c>
      <c r="E24" s="20">
        <f>IF(3&gt;=AMC_Start,$C$23*AMC_Rate*(1+Esc)^(3-AMC_Start),0)</f>
        <v/>
      </c>
      <c r="F24" s="20">
        <f>IF(4&gt;=AMC_Start,$C$23*AMC_Rate*(1+Esc)^(4-AMC_Start),0)</f>
        <v/>
      </c>
      <c r="G24" s="20">
        <f>IF(5&gt;=AMC_Start,$C$23*AMC_Rate*(1+Esc)^(5-AMC_Start),0)</f>
        <v/>
      </c>
      <c r="H24" s="20">
        <f>SUM(C24:G24)</f>
        <v/>
      </c>
      <c r="I24" s="20">
        <f>H24/FX</f>
        <v/>
      </c>
    </row>
    <row r="25">
      <c r="A25" s="31" t="inlineStr">
        <is>
          <t>Total excl. VAT</t>
        </is>
      </c>
      <c r="B25" s="32" t="inlineStr"/>
      <c r="C25" s="33">
        <f>SUM(C22:C24)</f>
        <v/>
      </c>
      <c r="D25" s="33">
        <f>SUM(D22:D24)</f>
        <v/>
      </c>
      <c r="E25" s="33">
        <f>SUM(E22:E24)</f>
        <v/>
      </c>
      <c r="F25" s="33">
        <f>SUM(F22:F24)</f>
        <v/>
      </c>
      <c r="G25" s="33">
        <f>SUM(G22:G24)</f>
        <v/>
      </c>
      <c r="H25" s="33">
        <f>SUM(H22:H24)</f>
        <v/>
      </c>
      <c r="I25" s="21">
        <f>H25/FX</f>
        <v/>
      </c>
    </row>
    <row r="26">
      <c r="A26" s="10" t="inlineStr">
        <is>
          <t>VAT</t>
        </is>
      </c>
      <c r="B26" s="10">
        <f>TEXT(VAT,"0%")</f>
        <v/>
      </c>
      <c r="C26" s="20">
        <f>C25*VAT</f>
        <v/>
      </c>
      <c r="D26" s="20">
        <f>D25*VAT</f>
        <v/>
      </c>
      <c r="E26" s="20">
        <f>E25*VAT</f>
        <v/>
      </c>
      <c r="F26" s="20">
        <f>F25*VAT</f>
        <v/>
      </c>
      <c r="G26" s="20">
        <f>G25*VAT</f>
        <v/>
      </c>
      <c r="H26" s="20">
        <f>H25*VAT</f>
        <v/>
      </c>
      <c r="I26" s="20">
        <f>H26/FX</f>
        <v/>
      </c>
    </row>
    <row r="27">
      <c r="A27" s="18" t="inlineStr">
        <is>
          <t>Total incl. VAT</t>
        </is>
      </c>
      <c r="B27" s="10" t="inlineStr"/>
      <c r="C27" s="34">
        <f>C25+C26</f>
        <v/>
      </c>
      <c r="D27" s="34">
        <f>D25+D26</f>
        <v/>
      </c>
      <c r="E27" s="34">
        <f>E25+E26</f>
        <v/>
      </c>
      <c r="F27" s="34">
        <f>F25+F26</f>
        <v/>
      </c>
      <c r="G27" s="34">
        <f>G25+G26</f>
        <v/>
      </c>
      <c r="H27" s="34">
        <f>H25+H26</f>
        <v/>
      </c>
      <c r="I27" s="20">
        <f>H27/FX</f>
        <v/>
      </c>
    </row>
    <row r="29">
      <c r="A29" s="28">
        <f>Inputs!A31&amp;" (reference)"</f>
        <v/>
      </c>
      <c r="B29" s="29" t="inlineStr">
        <is>
          <t>Users / lines of business</t>
        </is>
      </c>
      <c r="C29" s="30">
        <f>Inputs!J31</f>
        <v/>
      </c>
      <c r="D29" s="30">
        <f>Inputs!K31</f>
        <v/>
      </c>
      <c r="E29" s="7" t="n"/>
      <c r="F29" s="7" t="n"/>
      <c r="G29" s="7" t="n"/>
      <c r="H29" s="7" t="n"/>
      <c r="I29" s="7" t="n"/>
    </row>
    <row r="30">
      <c r="A30" s="10" t="inlineStr">
        <is>
          <t>Implementation fee</t>
        </is>
      </c>
      <c r="B30" s="10" t="inlineStr">
        <is>
          <t>Base + extra lines x blended rate</t>
        </is>
      </c>
      <c r="C30" s="20">
        <f>ROUND((INDEX(Inputs!$G$28:$G$31,MATCH($C$29,Inputs!$B$28:$B$31,1))+MAX(0,$D$29-INDEX(Inputs!$H$28:$H$31,MATCH($C$29,Inputs!$B$28:$B$31,1)))*Days_per_LOB)*Blended/Round_To,0)*Round_To</f>
        <v/>
      </c>
      <c r="D30" s="20" t="n">
        <v>0</v>
      </c>
      <c r="E30" s="20" t="n">
        <v>0</v>
      </c>
      <c r="F30" s="20" t="n">
        <v>0</v>
      </c>
      <c r="G30" s="20" t="n">
        <v>0</v>
      </c>
      <c r="H30" s="20">
        <f>SUM(C30:G30)</f>
        <v/>
      </c>
      <c r="I30" s="20">
        <f>H30/FX</f>
        <v/>
      </c>
    </row>
    <row r="31">
      <c r="A31" s="10" t="inlineStr">
        <is>
          <t>Perpetual licence fee</t>
        </is>
      </c>
      <c r="B31" s="10" t="inlineStr">
        <is>
          <t>Graduated user slabs</t>
        </is>
      </c>
      <c r="C31" s="20">
        <f>MAX(0,MIN($C$29,Inputs!$C$28)-Inputs!$B$28+1)*Inputs!$D$28+MAX(0,MIN($C$29,Inputs!$C$29)-Inputs!$B$29+1)*Inputs!$D$29+MAX(0,MIN($C$29,Inputs!$C$30)-Inputs!$B$30+1)*Inputs!$D$30+MAX(0,MIN($C$29,Inputs!$C$31)-Inputs!$B$31+1)*Inputs!$D$31</f>
        <v/>
      </c>
      <c r="D31" s="20" t="n">
        <v>0</v>
      </c>
      <c r="E31" s="20" t="n">
        <v>0</v>
      </c>
      <c r="F31" s="20" t="n">
        <v>0</v>
      </c>
      <c r="G31" s="20" t="n">
        <v>0</v>
      </c>
      <c r="H31" s="20">
        <f>SUM(C31:G31)</f>
        <v/>
      </c>
      <c r="I31" s="20">
        <f>H31/FX</f>
        <v/>
      </c>
    </row>
    <row r="32">
      <c r="A32" s="10" t="inlineStr">
        <is>
          <t>AMC</t>
        </is>
      </c>
      <c r="B32" s="10" t="inlineStr">
        <is>
          <t>22% of licence, +5% a year</t>
        </is>
      </c>
      <c r="C32" s="20">
        <f>IF(1&gt;=AMC_Start,$C$31*AMC_Rate*(1+Esc)^(1-AMC_Start),0)</f>
        <v/>
      </c>
      <c r="D32" s="20">
        <f>IF(2&gt;=AMC_Start,$C$31*AMC_Rate*(1+Esc)^(2-AMC_Start),0)</f>
        <v/>
      </c>
      <c r="E32" s="20">
        <f>IF(3&gt;=AMC_Start,$C$31*AMC_Rate*(1+Esc)^(3-AMC_Start),0)</f>
        <v/>
      </c>
      <c r="F32" s="20">
        <f>IF(4&gt;=AMC_Start,$C$31*AMC_Rate*(1+Esc)^(4-AMC_Start),0)</f>
        <v/>
      </c>
      <c r="G32" s="20">
        <f>IF(5&gt;=AMC_Start,$C$31*AMC_Rate*(1+Esc)^(5-AMC_Start),0)</f>
        <v/>
      </c>
      <c r="H32" s="20">
        <f>SUM(C32:G32)</f>
        <v/>
      </c>
      <c r="I32" s="20">
        <f>H32/FX</f>
        <v/>
      </c>
    </row>
    <row r="33">
      <c r="A33" s="31" t="inlineStr">
        <is>
          <t>Total excl. VAT</t>
        </is>
      </c>
      <c r="B33" s="32" t="inlineStr"/>
      <c r="C33" s="33">
        <f>SUM(C30:C32)</f>
        <v/>
      </c>
      <c r="D33" s="33">
        <f>SUM(D30:D32)</f>
        <v/>
      </c>
      <c r="E33" s="33">
        <f>SUM(E30:E32)</f>
        <v/>
      </c>
      <c r="F33" s="33">
        <f>SUM(F30:F32)</f>
        <v/>
      </c>
      <c r="G33" s="33">
        <f>SUM(G30:G32)</f>
        <v/>
      </c>
      <c r="H33" s="33">
        <f>SUM(H30:H32)</f>
        <v/>
      </c>
      <c r="I33" s="21">
        <f>H33/FX</f>
        <v/>
      </c>
    </row>
    <row r="34">
      <c r="A34" s="10" t="inlineStr">
        <is>
          <t>VAT</t>
        </is>
      </c>
      <c r="B34" s="10">
        <f>TEXT(VAT,"0%")</f>
        <v/>
      </c>
      <c r="C34" s="20">
        <f>C33*VAT</f>
        <v/>
      </c>
      <c r="D34" s="20">
        <f>D33*VAT</f>
        <v/>
      </c>
      <c r="E34" s="20">
        <f>E33*VAT</f>
        <v/>
      </c>
      <c r="F34" s="20">
        <f>F33*VAT</f>
        <v/>
      </c>
      <c r="G34" s="20">
        <f>G33*VAT</f>
        <v/>
      </c>
      <c r="H34" s="20">
        <f>H33*VAT</f>
        <v/>
      </c>
      <c r="I34" s="20">
        <f>H34/FX</f>
        <v/>
      </c>
    </row>
    <row r="35">
      <c r="A35" s="18" t="inlineStr">
        <is>
          <t>Total incl. VAT</t>
        </is>
      </c>
      <c r="B35" s="10" t="inlineStr"/>
      <c r="C35" s="34">
        <f>C33+C34</f>
        <v/>
      </c>
      <c r="D35" s="34">
        <f>D33+D34</f>
        <v/>
      </c>
      <c r="E35" s="34">
        <f>E33+E34</f>
        <v/>
      </c>
      <c r="F35" s="34">
        <f>F33+F34</f>
        <v/>
      </c>
      <c r="G35" s="34">
        <f>G33+G34</f>
        <v/>
      </c>
      <c r="H35" s="34">
        <f>H33+H34</f>
        <v/>
      </c>
      <c r="I35" s="20">
        <f>H35/FX</f>
        <v/>
      </c>
    </row>
    <row r="38">
      <c r="A38" s="6" t="inlineStr">
        <is>
          <t>Calculator for a chosen user count (change users and lines of business in Inputs, Calculator section)</t>
        </is>
      </c>
      <c r="B38" s="7" t="n"/>
      <c r="C38" s="7" t="n"/>
      <c r="D38" s="7" t="n"/>
      <c r="E38" s="7" t="n"/>
      <c r="F38" s="7" t="n"/>
      <c r="G38" s="7" t="n"/>
      <c r="H38" s="7" t="n"/>
      <c r="I38" s="7" t="n"/>
    </row>
    <row r="39">
      <c r="A39" s="10" t="inlineStr">
        <is>
          <t>Named users</t>
        </is>
      </c>
      <c r="C39" s="35">
        <f>Calc_Users</f>
        <v/>
      </c>
    </row>
    <row r="40">
      <c r="A40" s="10" t="inlineStr">
        <is>
          <t>Lines of business</t>
        </is>
      </c>
      <c r="C40" s="35">
        <f>Calc_LOBs</f>
        <v/>
      </c>
    </row>
    <row r="41">
      <c r="A41" s="10" t="inlineStr">
        <is>
          <t>Tier</t>
        </is>
      </c>
      <c r="C41" s="18">
        <f>INDEX(Inputs!$A$28:$A$31,MATCH(C39,Inputs!$B$28:$B$31,1))</f>
        <v/>
      </c>
    </row>
    <row r="43">
      <c r="A43" s="3" t="inlineStr">
        <is>
          <t>Slab</t>
        </is>
      </c>
      <c r="B43" s="3" t="inlineStr">
        <is>
          <t>Users from - to</t>
        </is>
      </c>
      <c r="C43" s="3" t="inlineStr">
        <is>
          <t>Users in slab</t>
        </is>
      </c>
      <c r="D43" s="3" t="inlineStr">
        <is>
          <t>Price per user (PHP)</t>
        </is>
      </c>
      <c r="E43" s="3" t="inlineStr">
        <is>
          <t>Amount (PHP)</t>
        </is>
      </c>
    </row>
    <row r="44">
      <c r="A44" s="10">
        <f>Inputs!A28</f>
        <v/>
      </c>
      <c r="B44" s="10">
        <f>Inputs!B28&amp;" - "&amp;IF(Inputs!C28&gt;=100000,"above",Inputs!C28)</f>
        <v/>
      </c>
      <c r="C44" s="24">
        <f>MAX(0,MIN($C$39,Inputs!C28)-Inputs!B28+1)</f>
        <v/>
      </c>
      <c r="D44" s="20">
        <f>Inputs!D28</f>
        <v/>
      </c>
      <c r="E44" s="20">
        <f>C44*D44</f>
        <v/>
      </c>
    </row>
    <row r="45">
      <c r="A45" s="10">
        <f>Inputs!A29</f>
        <v/>
      </c>
      <c r="B45" s="10">
        <f>Inputs!B29&amp;" - "&amp;IF(Inputs!C29&gt;=100000,"above",Inputs!C29)</f>
        <v/>
      </c>
      <c r="C45" s="24">
        <f>MAX(0,MIN($C$39,Inputs!C29)-Inputs!B29+1)</f>
        <v/>
      </c>
      <c r="D45" s="20">
        <f>Inputs!D29</f>
        <v/>
      </c>
      <c r="E45" s="20">
        <f>C45*D45</f>
        <v/>
      </c>
    </row>
    <row r="46">
      <c r="A46" s="10">
        <f>Inputs!A30</f>
        <v/>
      </c>
      <c r="B46" s="10">
        <f>Inputs!B30&amp;" - "&amp;IF(Inputs!C30&gt;=100000,"above",Inputs!C30)</f>
        <v/>
      </c>
      <c r="C46" s="24">
        <f>MAX(0,MIN($C$39,Inputs!C30)-Inputs!B30+1)</f>
        <v/>
      </c>
      <c r="D46" s="20">
        <f>Inputs!D30</f>
        <v/>
      </c>
      <c r="E46" s="20">
        <f>C46*D46</f>
        <v/>
      </c>
    </row>
    <row r="47">
      <c r="A47" s="10">
        <f>Inputs!A31</f>
        <v/>
      </c>
      <c r="B47" s="10">
        <f>Inputs!B31&amp;" - "&amp;IF(Inputs!C31&gt;=100000,"above",Inputs!C31)</f>
        <v/>
      </c>
      <c r="C47" s="24">
        <f>MAX(0,MIN($C$39,Inputs!C31)-Inputs!B31+1)</f>
        <v/>
      </c>
      <c r="D47" s="20">
        <f>Inputs!D31</f>
        <v/>
      </c>
      <c r="E47" s="20">
        <f>C47*D47</f>
        <v/>
      </c>
    </row>
    <row r="48">
      <c r="A48" s="18" t="inlineStr">
        <is>
          <t>Perpetual licence fee</t>
        </is>
      </c>
      <c r="E48" s="33">
        <f>SUM(E44:E47)</f>
        <v/>
      </c>
    </row>
    <row r="49">
      <c r="A49" s="10" t="inlineStr">
        <is>
          <t>Effective licence price per user</t>
        </is>
      </c>
      <c r="E49" s="20">
        <f>E48/$C$39</f>
        <v/>
      </c>
    </row>
    <row r="50">
      <c r="A50" s="10" t="inlineStr">
        <is>
          <t>Implementation fee</t>
        </is>
      </c>
      <c r="B50" s="10" t="inlineStr">
        <is>
          <t>Base man-days for tier + extra lines</t>
        </is>
      </c>
      <c r="E50" s="20">
        <f>ROUND((INDEX(Inputs!$G$28:$G$31,MATCH($C$39,Inputs!$B$28:$B$31,1))+MAX(0,$C$40-INDEX(Inputs!$H$28:$H$31,MATCH($C$39,Inputs!$B$28:$B$31,1)))*Days_per_LOB)*Blended/Round_To,0)*Round_To</f>
        <v/>
      </c>
    </row>
    <row r="51">
      <c r="A51" s="10" t="inlineStr">
        <is>
          <t>Implementation man-days (before rounding)</t>
        </is>
      </c>
      <c r="E51" s="24">
        <f>INDEX(Inputs!$G$28:$G$31,MATCH($C$39,Inputs!$B$28:$B$31,1))+MAX(0,$C$40-INDEX(Inputs!$H$28:$H$31,MATCH($C$39,Inputs!$B$28:$B$31,1)))*Days_per_LOB</f>
        <v/>
      </c>
    </row>
    <row r="53">
      <c r="A53" s="3" t="inlineStr">
        <is>
          <t>Item</t>
        </is>
      </c>
      <c r="B53" s="3" t="inlineStr">
        <is>
          <t>Basis</t>
        </is>
      </c>
      <c r="C53" s="3" t="inlineStr">
        <is>
          <t>Year 1</t>
        </is>
      </c>
      <c r="D53" s="3" t="inlineStr">
        <is>
          <t>Year 2</t>
        </is>
      </c>
      <c r="E53" s="3" t="inlineStr">
        <is>
          <t>Year 3</t>
        </is>
      </c>
      <c r="F53" s="3" t="inlineStr">
        <is>
          <t>Year 4</t>
        </is>
      </c>
      <c r="G53" s="3" t="inlineStr">
        <is>
          <t>Year 5</t>
        </is>
      </c>
      <c r="H53" s="3" t="inlineStr">
        <is>
          <t>5-year total (PHP)</t>
        </is>
      </c>
      <c r="I53" s="3" t="inlineStr">
        <is>
          <t>5-year total (USD)</t>
        </is>
      </c>
    </row>
    <row r="54">
      <c r="A54" s="10" t="inlineStr">
        <is>
          <t>Implementation fee</t>
        </is>
      </c>
      <c r="C54" s="20">
        <f>$E$50</f>
        <v/>
      </c>
      <c r="D54" s="20" t="n">
        <v>0</v>
      </c>
      <c r="E54" s="20" t="n">
        <v>0</v>
      </c>
      <c r="F54" s="20" t="n">
        <v>0</v>
      </c>
      <c r="G54" s="20" t="n">
        <v>0</v>
      </c>
      <c r="H54" s="20">
        <f>SUM(C54:G54)</f>
        <v/>
      </c>
      <c r="I54" s="20">
        <f>H54/FX</f>
        <v/>
      </c>
    </row>
    <row r="55">
      <c r="A55" s="10" t="inlineStr">
        <is>
          <t>Perpetual licence fee</t>
        </is>
      </c>
      <c r="C55" s="20">
        <f>$E$48</f>
        <v/>
      </c>
      <c r="D55" s="20" t="n">
        <v>0</v>
      </c>
      <c r="E55" s="20" t="n">
        <v>0</v>
      </c>
      <c r="F55" s="20" t="n">
        <v>0</v>
      </c>
      <c r="G55" s="20" t="n">
        <v>0</v>
      </c>
      <c r="H55" s="20">
        <f>SUM(C55:G55)</f>
        <v/>
      </c>
      <c r="I55" s="20">
        <f>H55/FX</f>
        <v/>
      </c>
    </row>
    <row r="56">
      <c r="A56" s="10" t="inlineStr">
        <is>
          <t>AMC</t>
        </is>
      </c>
      <c r="C56" s="20">
        <f>IF(1&gt;=AMC_Start,$E$48*AMC_Rate*(1+Esc)^(1-AMC_Start),0)</f>
        <v/>
      </c>
      <c r="D56" s="20">
        <f>IF(2&gt;=AMC_Start,$E$48*AMC_Rate*(1+Esc)^(2-AMC_Start),0)</f>
        <v/>
      </c>
      <c r="E56" s="20">
        <f>IF(3&gt;=AMC_Start,$E$48*AMC_Rate*(1+Esc)^(3-AMC_Start),0)</f>
        <v/>
      </c>
      <c r="F56" s="20">
        <f>IF(4&gt;=AMC_Start,$E$48*AMC_Rate*(1+Esc)^(4-AMC_Start),0)</f>
        <v/>
      </c>
      <c r="G56" s="20">
        <f>IF(5&gt;=AMC_Start,$E$48*AMC_Rate*(1+Esc)^(5-AMC_Start),0)</f>
        <v/>
      </c>
      <c r="H56" s="20">
        <f>SUM(C56:G56)</f>
        <v/>
      </c>
      <c r="I56" s="20">
        <f>H56/FX</f>
        <v/>
      </c>
    </row>
    <row r="57">
      <c r="A57" s="31" t="inlineStr">
        <is>
          <t>Total excl. VAT</t>
        </is>
      </c>
      <c r="C57" s="33">
        <f>SUM(C54:C56)</f>
        <v/>
      </c>
      <c r="D57" s="33">
        <f>SUM(D54:D56)</f>
        <v/>
      </c>
      <c r="E57" s="33">
        <f>SUM(E54:E56)</f>
        <v/>
      </c>
      <c r="F57" s="33">
        <f>SUM(F54:F56)</f>
        <v/>
      </c>
      <c r="G57" s="33">
        <f>SUM(G54:G56)</f>
        <v/>
      </c>
      <c r="H57" s="33">
        <f>SUM(H54:H56)</f>
        <v/>
      </c>
      <c r="I57" s="21">
        <f>H57/FX</f>
        <v/>
      </c>
    </row>
    <row r="58">
      <c r="A58" s="10" t="inlineStr">
        <is>
          <t>VAT</t>
        </is>
      </c>
      <c r="C58" s="20">
        <f>C57*VAT</f>
        <v/>
      </c>
      <c r="D58" s="20">
        <f>D57*VAT</f>
        <v/>
      </c>
      <c r="E58" s="20">
        <f>E57*VAT</f>
        <v/>
      </c>
      <c r="F58" s="20">
        <f>F57*VAT</f>
        <v/>
      </c>
      <c r="G58" s="20">
        <f>G57*VAT</f>
        <v/>
      </c>
      <c r="H58" s="20">
        <f>H57*VAT</f>
        <v/>
      </c>
      <c r="I58" s="20">
        <f>H58/FX</f>
        <v/>
      </c>
    </row>
    <row r="59">
      <c r="A59" s="18" t="inlineStr">
        <is>
          <t>Total incl. VAT</t>
        </is>
      </c>
      <c r="C59" s="34">
        <f>C57+C58</f>
        <v/>
      </c>
      <c r="D59" s="34">
        <f>D57+D58</f>
        <v/>
      </c>
      <c r="E59" s="34">
        <f>E57+E58</f>
        <v/>
      </c>
      <c r="F59" s="34">
        <f>F57+F58</f>
        <v/>
      </c>
      <c r="G59" s="34">
        <f>G57+G58</f>
        <v/>
      </c>
      <c r="H59" s="34">
        <f>H57+H58</f>
        <v/>
      </c>
      <c r="I59" s="20">
        <f>H59/FX</f>
        <v/>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I8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32" customWidth="1" min="1" max="1"/>
    <col width="26" customWidth="1" min="2" max="2"/>
    <col width="15" customWidth="1" min="3" max="3"/>
    <col width="15" customWidth="1" min="4" max="4"/>
    <col width="15" customWidth="1" min="5" max="5"/>
    <col width="15" customWidth="1" min="6" max="6"/>
    <col width="15" customWidth="1" min="7" max="7"/>
    <col width="17" customWidth="1" min="8" max="8"/>
    <col width="15" customWidth="1" min="9" max="9"/>
  </cols>
  <sheetData>
    <row r="1">
      <c r="A1" s="1" t="inlineStr">
        <is>
          <t>Model B: subscription (SaaS, as-is version)</t>
        </is>
      </c>
    </row>
    <row r="2">
      <c r="A2" s="2" t="inlineStr">
        <is>
          <t>Monthly per-user price by graduated slab, billed monthly in advance, +5% at each anniversary. Hosting quoted separately. PHP, exclusive of VAT unless stated.</t>
        </is>
      </c>
    </row>
    <row r="4">
      <c r="A4" s="3" t="inlineStr">
        <is>
          <t>Tier / item</t>
        </is>
      </c>
      <c r="B4" s="3" t="inlineStr">
        <is>
          <t>Basis</t>
        </is>
      </c>
      <c r="C4" s="3" t="inlineStr">
        <is>
          <t>Year 1</t>
        </is>
      </c>
      <c r="D4" s="3" t="inlineStr">
        <is>
          <t>Year 2</t>
        </is>
      </c>
      <c r="E4" s="3" t="inlineStr">
        <is>
          <t>Year 3</t>
        </is>
      </c>
      <c r="F4" s="3" t="inlineStr">
        <is>
          <t>Year 4</t>
        </is>
      </c>
      <c r="G4" s="3" t="inlineStr">
        <is>
          <t>Year 5</t>
        </is>
      </c>
      <c r="H4" s="3" t="inlineStr">
        <is>
          <t>5-year total (PHP)</t>
        </is>
      </c>
      <c r="I4" s="3" t="inlineStr">
        <is>
          <t>5-year total (USD)</t>
        </is>
      </c>
    </row>
    <row r="5">
      <c r="A5" s="28">
        <f>Inputs!A28&amp;" (reference)"</f>
        <v/>
      </c>
      <c r="B5" s="29" t="inlineStr">
        <is>
          <t>Users / billable users</t>
        </is>
      </c>
      <c r="C5" s="30">
        <f>Inputs!J28</f>
        <v/>
      </c>
      <c r="D5" s="30">
        <f>MAX($C$5,INDEX(Inputs!$F$28:$F$31,MATCH($C$5,Inputs!$B$28:$B$31,1)))</f>
        <v/>
      </c>
      <c r="E5" s="7" t="n"/>
      <c r="F5" s="7" t="n"/>
      <c r="G5" s="7" t="n"/>
      <c r="H5" s="7" t="n"/>
      <c r="I5" s="7" t="n"/>
    </row>
    <row r="6">
      <c r="A6" s="10" t="inlineStr">
        <is>
          <t>Monthly fee (Year 1 rates)</t>
        </is>
      </c>
      <c r="B6" s="10" t="inlineStr">
        <is>
          <t>Graduated slabs on billable users</t>
        </is>
      </c>
      <c r="C6" s="20">
        <f>MAX(0,MIN($D$5,Inputs!$C$28)-Inputs!$B$28+1)*Inputs!$E$28+MAX(0,MIN($D$5,Inputs!$C$29)-Inputs!$B$29+1)*Inputs!$E$29+MAX(0,MIN($D$5,Inputs!$C$30)-Inputs!$B$30+1)*Inputs!$E$30+MAX(0,MIN($D$5,Inputs!$C$31)-Inputs!$B$31+1)*Inputs!$E$31</f>
        <v/>
      </c>
      <c r="D6" s="10" t="inlineStr">
        <is>
          <t>per user:</t>
        </is>
      </c>
      <c r="E6" s="20">
        <f>C6/$D$5</f>
        <v/>
      </c>
    </row>
    <row r="7">
      <c r="A7" s="10" t="inlineStr">
        <is>
          <t>Onboarding fee</t>
        </is>
      </c>
      <c r="B7" s="10" t="inlineStr">
        <is>
          <t>Implementation x onboarding %</t>
        </is>
      </c>
      <c r="C7" s="20">
        <f>'Perpetual Model'!C6*Onboard_Pct</f>
        <v/>
      </c>
      <c r="D7" s="20" t="n">
        <v>0</v>
      </c>
      <c r="E7" s="20" t="n">
        <v>0</v>
      </c>
      <c r="F7" s="20" t="n">
        <v>0</v>
      </c>
      <c r="G7" s="20" t="n">
        <v>0</v>
      </c>
      <c r="H7" s="20">
        <f>SUM(C7:G7)</f>
        <v/>
      </c>
      <c r="I7" s="20">
        <f>H7/FX</f>
        <v/>
      </c>
    </row>
    <row r="8">
      <c r="A8" s="10" t="inlineStr">
        <is>
          <t>Subscription fees (12 months)</t>
        </is>
      </c>
      <c r="B8" s="10" t="inlineStr">
        <is>
          <t>Monthly fee x 12, +5% a year</t>
        </is>
      </c>
      <c r="C8" s="20">
        <f>$C$6*12*(1+Esc)^(1-1)</f>
        <v/>
      </c>
      <c r="D8" s="20">
        <f>$C$6*12*(1+Esc)^(2-1)</f>
        <v/>
      </c>
      <c r="E8" s="20">
        <f>$C$6*12*(1+Esc)^(3-1)</f>
        <v/>
      </c>
      <c r="F8" s="20">
        <f>$C$6*12*(1+Esc)^(4-1)</f>
        <v/>
      </c>
      <c r="G8" s="20">
        <f>$C$6*12*(1+Esc)^(5-1)</f>
        <v/>
      </c>
      <c r="H8" s="20">
        <f>SUM(C8:G8)</f>
        <v/>
      </c>
      <c r="I8" s="20">
        <f>H8/FX</f>
        <v/>
      </c>
    </row>
    <row r="9">
      <c r="A9" s="31" t="inlineStr">
        <is>
          <t>Total excl. VAT</t>
        </is>
      </c>
      <c r="B9" s="32" t="inlineStr"/>
      <c r="C9" s="33">
        <f>C7+C8</f>
        <v/>
      </c>
      <c r="D9" s="33">
        <f>D7+D8</f>
        <v/>
      </c>
      <c r="E9" s="33">
        <f>E7+E8</f>
        <v/>
      </c>
      <c r="F9" s="33">
        <f>F7+F8</f>
        <v/>
      </c>
      <c r="G9" s="33">
        <f>G7+G8</f>
        <v/>
      </c>
      <c r="H9" s="33">
        <f>H7+H8</f>
        <v/>
      </c>
      <c r="I9" s="21">
        <f>H9/FX</f>
        <v/>
      </c>
    </row>
    <row r="10">
      <c r="A10" s="10" t="inlineStr">
        <is>
          <t>VAT</t>
        </is>
      </c>
      <c r="C10" s="20">
        <f>C9*VAT</f>
        <v/>
      </c>
      <c r="D10" s="20">
        <f>D9*VAT</f>
        <v/>
      </c>
      <c r="E10" s="20">
        <f>E9*VAT</f>
        <v/>
      </c>
      <c r="F10" s="20">
        <f>F9*VAT</f>
        <v/>
      </c>
      <c r="G10" s="20">
        <f>G9*VAT</f>
        <v/>
      </c>
      <c r="H10" s="20">
        <f>H9*VAT</f>
        <v/>
      </c>
      <c r="I10" s="20">
        <f>H10/FX</f>
        <v/>
      </c>
    </row>
    <row r="11">
      <c r="A11" s="18" t="inlineStr">
        <is>
          <t>Total incl. VAT</t>
        </is>
      </c>
      <c r="C11" s="34">
        <f>C9+C10</f>
        <v/>
      </c>
      <c r="D11" s="34">
        <f>D9+D10</f>
        <v/>
      </c>
      <c r="E11" s="34">
        <f>E9+E10</f>
        <v/>
      </c>
      <c r="F11" s="34">
        <f>F9+F10</f>
        <v/>
      </c>
      <c r="G11" s="34">
        <f>G9+G10</f>
        <v/>
      </c>
      <c r="H11" s="34">
        <f>H9+H10</f>
        <v/>
      </c>
      <c r="I11" s="20">
        <f>H11/FX</f>
        <v/>
      </c>
    </row>
    <row r="13">
      <c r="A13" s="28">
        <f>Inputs!A29&amp;" (reference)"</f>
        <v/>
      </c>
      <c r="B13" s="29" t="inlineStr">
        <is>
          <t>Users / billable users</t>
        </is>
      </c>
      <c r="C13" s="30">
        <f>Inputs!J29</f>
        <v/>
      </c>
      <c r="D13" s="30">
        <f>MAX($C$13,INDEX(Inputs!$F$28:$F$31,MATCH($C$13,Inputs!$B$28:$B$31,1)))</f>
        <v/>
      </c>
      <c r="E13" s="7" t="n"/>
      <c r="F13" s="7" t="n"/>
      <c r="G13" s="7" t="n"/>
      <c r="H13" s="7" t="n"/>
      <c r="I13" s="7" t="n"/>
    </row>
    <row r="14">
      <c r="A14" s="10" t="inlineStr">
        <is>
          <t>Monthly fee (Year 1 rates)</t>
        </is>
      </c>
      <c r="B14" s="10" t="inlineStr">
        <is>
          <t>Graduated slabs on billable users</t>
        </is>
      </c>
      <c r="C14" s="20">
        <f>MAX(0,MIN($D$13,Inputs!$C$28)-Inputs!$B$28+1)*Inputs!$E$28+MAX(0,MIN($D$13,Inputs!$C$29)-Inputs!$B$29+1)*Inputs!$E$29+MAX(0,MIN($D$13,Inputs!$C$30)-Inputs!$B$30+1)*Inputs!$E$30+MAX(0,MIN($D$13,Inputs!$C$31)-Inputs!$B$31+1)*Inputs!$E$31</f>
        <v/>
      </c>
      <c r="D14" s="10" t="inlineStr">
        <is>
          <t>per user:</t>
        </is>
      </c>
      <c r="E14" s="20">
        <f>C14/$D$13</f>
        <v/>
      </c>
    </row>
    <row r="15">
      <c r="A15" s="10" t="inlineStr">
        <is>
          <t>Onboarding fee</t>
        </is>
      </c>
      <c r="B15" s="10" t="inlineStr">
        <is>
          <t>Implementation x onboarding %</t>
        </is>
      </c>
      <c r="C15" s="20">
        <f>'Perpetual Model'!C14*Onboard_Pct</f>
        <v/>
      </c>
      <c r="D15" s="20" t="n">
        <v>0</v>
      </c>
      <c r="E15" s="20" t="n">
        <v>0</v>
      </c>
      <c r="F15" s="20" t="n">
        <v>0</v>
      </c>
      <c r="G15" s="20" t="n">
        <v>0</v>
      </c>
      <c r="H15" s="20">
        <f>SUM(C15:G15)</f>
        <v/>
      </c>
      <c r="I15" s="20">
        <f>H15/FX</f>
        <v/>
      </c>
    </row>
    <row r="16">
      <c r="A16" s="10" t="inlineStr">
        <is>
          <t>Subscription fees (12 months)</t>
        </is>
      </c>
      <c r="B16" s="10" t="inlineStr">
        <is>
          <t>Monthly fee x 12, +5% a year</t>
        </is>
      </c>
      <c r="C16" s="20">
        <f>$C$14*12*(1+Esc)^(1-1)</f>
        <v/>
      </c>
      <c r="D16" s="20">
        <f>$C$14*12*(1+Esc)^(2-1)</f>
        <v/>
      </c>
      <c r="E16" s="20">
        <f>$C$14*12*(1+Esc)^(3-1)</f>
        <v/>
      </c>
      <c r="F16" s="20">
        <f>$C$14*12*(1+Esc)^(4-1)</f>
        <v/>
      </c>
      <c r="G16" s="20">
        <f>$C$14*12*(1+Esc)^(5-1)</f>
        <v/>
      </c>
      <c r="H16" s="20">
        <f>SUM(C16:G16)</f>
        <v/>
      </c>
      <c r="I16" s="20">
        <f>H16/FX</f>
        <v/>
      </c>
    </row>
    <row r="17">
      <c r="A17" s="31" t="inlineStr">
        <is>
          <t>Total excl. VAT</t>
        </is>
      </c>
      <c r="B17" s="32" t="inlineStr"/>
      <c r="C17" s="33">
        <f>C15+C16</f>
        <v/>
      </c>
      <c r="D17" s="33">
        <f>D15+D16</f>
        <v/>
      </c>
      <c r="E17" s="33">
        <f>E15+E16</f>
        <v/>
      </c>
      <c r="F17" s="33">
        <f>F15+F16</f>
        <v/>
      </c>
      <c r="G17" s="33">
        <f>G15+G16</f>
        <v/>
      </c>
      <c r="H17" s="33">
        <f>H15+H16</f>
        <v/>
      </c>
      <c r="I17" s="21">
        <f>H17/FX</f>
        <v/>
      </c>
    </row>
    <row r="18">
      <c r="A18" s="10" t="inlineStr">
        <is>
          <t>VAT</t>
        </is>
      </c>
      <c r="C18" s="20">
        <f>C17*VAT</f>
        <v/>
      </c>
      <c r="D18" s="20">
        <f>D17*VAT</f>
        <v/>
      </c>
      <c r="E18" s="20">
        <f>E17*VAT</f>
        <v/>
      </c>
      <c r="F18" s="20">
        <f>F17*VAT</f>
        <v/>
      </c>
      <c r="G18" s="20">
        <f>G17*VAT</f>
        <v/>
      </c>
      <c r="H18" s="20">
        <f>H17*VAT</f>
        <v/>
      </c>
      <c r="I18" s="20">
        <f>H18/FX</f>
        <v/>
      </c>
    </row>
    <row r="19">
      <c r="A19" s="18" t="inlineStr">
        <is>
          <t>Total incl. VAT</t>
        </is>
      </c>
      <c r="C19" s="34">
        <f>C17+C18</f>
        <v/>
      </c>
      <c r="D19" s="34">
        <f>D17+D18</f>
        <v/>
      </c>
      <c r="E19" s="34">
        <f>E17+E18</f>
        <v/>
      </c>
      <c r="F19" s="34">
        <f>F17+F18</f>
        <v/>
      </c>
      <c r="G19" s="34">
        <f>G17+G18</f>
        <v/>
      </c>
      <c r="H19" s="34">
        <f>H17+H18</f>
        <v/>
      </c>
      <c r="I19" s="20">
        <f>H19/FX</f>
        <v/>
      </c>
    </row>
    <row r="21">
      <c r="A21" s="28">
        <f>Inputs!A30&amp;" (reference)"</f>
        <v/>
      </c>
      <c r="B21" s="29" t="inlineStr">
        <is>
          <t>Users / billable users</t>
        </is>
      </c>
      <c r="C21" s="30">
        <f>Inputs!J30</f>
        <v/>
      </c>
      <c r="D21" s="30">
        <f>MAX($C$21,INDEX(Inputs!$F$28:$F$31,MATCH($C$21,Inputs!$B$28:$B$31,1)))</f>
        <v/>
      </c>
      <c r="E21" s="7" t="n"/>
      <c r="F21" s="7" t="n"/>
      <c r="G21" s="7" t="n"/>
      <c r="H21" s="7" t="n"/>
      <c r="I21" s="7" t="n"/>
    </row>
    <row r="22">
      <c r="A22" s="10" t="inlineStr">
        <is>
          <t>Monthly fee (Year 1 rates)</t>
        </is>
      </c>
      <c r="B22" s="10" t="inlineStr">
        <is>
          <t>Graduated slabs on billable users</t>
        </is>
      </c>
      <c r="C22" s="20">
        <f>MAX(0,MIN($D$21,Inputs!$C$28)-Inputs!$B$28+1)*Inputs!$E$28+MAX(0,MIN($D$21,Inputs!$C$29)-Inputs!$B$29+1)*Inputs!$E$29+MAX(0,MIN($D$21,Inputs!$C$30)-Inputs!$B$30+1)*Inputs!$E$30+MAX(0,MIN($D$21,Inputs!$C$31)-Inputs!$B$31+1)*Inputs!$E$31</f>
        <v/>
      </c>
      <c r="D22" s="10" t="inlineStr">
        <is>
          <t>per user:</t>
        </is>
      </c>
      <c r="E22" s="20">
        <f>C22/$D$21</f>
        <v/>
      </c>
    </row>
    <row r="23">
      <c r="A23" s="10" t="inlineStr">
        <is>
          <t>Onboarding fee</t>
        </is>
      </c>
      <c r="B23" s="10" t="inlineStr">
        <is>
          <t>Implementation x onboarding %</t>
        </is>
      </c>
      <c r="C23" s="20">
        <f>'Perpetual Model'!C22*Onboard_Pct</f>
        <v/>
      </c>
      <c r="D23" s="20" t="n">
        <v>0</v>
      </c>
      <c r="E23" s="20" t="n">
        <v>0</v>
      </c>
      <c r="F23" s="20" t="n">
        <v>0</v>
      </c>
      <c r="G23" s="20" t="n">
        <v>0</v>
      </c>
      <c r="H23" s="20">
        <f>SUM(C23:G23)</f>
        <v/>
      </c>
      <c r="I23" s="20">
        <f>H23/FX</f>
        <v/>
      </c>
    </row>
    <row r="24">
      <c r="A24" s="10" t="inlineStr">
        <is>
          <t>Subscription fees (12 months)</t>
        </is>
      </c>
      <c r="B24" s="10" t="inlineStr">
        <is>
          <t>Monthly fee x 12, +5% a year</t>
        </is>
      </c>
      <c r="C24" s="20">
        <f>$C$22*12*(1+Esc)^(1-1)</f>
        <v/>
      </c>
      <c r="D24" s="20">
        <f>$C$22*12*(1+Esc)^(2-1)</f>
        <v/>
      </c>
      <c r="E24" s="20">
        <f>$C$22*12*(1+Esc)^(3-1)</f>
        <v/>
      </c>
      <c r="F24" s="20">
        <f>$C$22*12*(1+Esc)^(4-1)</f>
        <v/>
      </c>
      <c r="G24" s="20">
        <f>$C$22*12*(1+Esc)^(5-1)</f>
        <v/>
      </c>
      <c r="H24" s="20">
        <f>SUM(C24:G24)</f>
        <v/>
      </c>
      <c r="I24" s="20">
        <f>H24/FX</f>
        <v/>
      </c>
    </row>
    <row r="25">
      <c r="A25" s="31" t="inlineStr">
        <is>
          <t>Total excl. VAT</t>
        </is>
      </c>
      <c r="B25" s="32" t="inlineStr"/>
      <c r="C25" s="33">
        <f>C23+C24</f>
        <v/>
      </c>
      <c r="D25" s="33">
        <f>D23+D24</f>
        <v/>
      </c>
      <c r="E25" s="33">
        <f>E23+E24</f>
        <v/>
      </c>
      <c r="F25" s="33">
        <f>F23+F24</f>
        <v/>
      </c>
      <c r="G25" s="33">
        <f>G23+G24</f>
        <v/>
      </c>
      <c r="H25" s="33">
        <f>H23+H24</f>
        <v/>
      </c>
      <c r="I25" s="21">
        <f>H25/FX</f>
        <v/>
      </c>
    </row>
    <row r="26">
      <c r="A26" s="10" t="inlineStr">
        <is>
          <t>VAT</t>
        </is>
      </c>
      <c r="C26" s="20">
        <f>C25*VAT</f>
        <v/>
      </c>
      <c r="D26" s="20">
        <f>D25*VAT</f>
        <v/>
      </c>
      <c r="E26" s="20">
        <f>E25*VAT</f>
        <v/>
      </c>
      <c r="F26" s="20">
        <f>F25*VAT</f>
        <v/>
      </c>
      <c r="G26" s="20">
        <f>G25*VAT</f>
        <v/>
      </c>
      <c r="H26" s="20">
        <f>H25*VAT</f>
        <v/>
      </c>
      <c r="I26" s="20">
        <f>H26/FX</f>
        <v/>
      </c>
    </row>
    <row r="27">
      <c r="A27" s="18" t="inlineStr">
        <is>
          <t>Total incl. VAT</t>
        </is>
      </c>
      <c r="C27" s="34">
        <f>C25+C26</f>
        <v/>
      </c>
      <c r="D27" s="34">
        <f>D25+D26</f>
        <v/>
      </c>
      <c r="E27" s="34">
        <f>E25+E26</f>
        <v/>
      </c>
      <c r="F27" s="34">
        <f>F25+F26</f>
        <v/>
      </c>
      <c r="G27" s="34">
        <f>G25+G26</f>
        <v/>
      </c>
      <c r="H27" s="34">
        <f>H25+H26</f>
        <v/>
      </c>
      <c r="I27" s="20">
        <f>H27/FX</f>
        <v/>
      </c>
    </row>
    <row r="29">
      <c r="A29" s="28">
        <f>Inputs!A31&amp;" (reference)"</f>
        <v/>
      </c>
      <c r="B29" s="29" t="inlineStr">
        <is>
          <t>Users / billable users</t>
        </is>
      </c>
      <c r="C29" s="30">
        <f>Inputs!J31</f>
        <v/>
      </c>
      <c r="D29" s="30">
        <f>MAX($C$29,INDEX(Inputs!$F$28:$F$31,MATCH($C$29,Inputs!$B$28:$B$31,1)))</f>
        <v/>
      </c>
      <c r="E29" s="7" t="n"/>
      <c r="F29" s="7" t="n"/>
      <c r="G29" s="7" t="n"/>
      <c r="H29" s="7" t="n"/>
      <c r="I29" s="7" t="n"/>
    </row>
    <row r="30">
      <c r="A30" s="10" t="inlineStr">
        <is>
          <t>Monthly fee (Year 1 rates)</t>
        </is>
      </c>
      <c r="B30" s="10" t="inlineStr">
        <is>
          <t>Graduated slabs on billable users</t>
        </is>
      </c>
      <c r="C30" s="20">
        <f>MAX(0,MIN($D$29,Inputs!$C$28)-Inputs!$B$28+1)*Inputs!$E$28+MAX(0,MIN($D$29,Inputs!$C$29)-Inputs!$B$29+1)*Inputs!$E$29+MAX(0,MIN($D$29,Inputs!$C$30)-Inputs!$B$30+1)*Inputs!$E$30+MAX(0,MIN($D$29,Inputs!$C$31)-Inputs!$B$31+1)*Inputs!$E$31</f>
        <v/>
      </c>
      <c r="D30" s="10" t="inlineStr">
        <is>
          <t>per user:</t>
        </is>
      </c>
      <c r="E30" s="20">
        <f>C30/$D$29</f>
        <v/>
      </c>
    </row>
    <row r="31">
      <c r="A31" s="10" t="inlineStr">
        <is>
          <t>Onboarding fee</t>
        </is>
      </c>
      <c r="B31" s="10" t="inlineStr">
        <is>
          <t>Implementation x onboarding %</t>
        </is>
      </c>
      <c r="C31" s="20">
        <f>'Perpetual Model'!C30*Onboard_Pct</f>
        <v/>
      </c>
      <c r="D31" s="20" t="n">
        <v>0</v>
      </c>
      <c r="E31" s="20" t="n">
        <v>0</v>
      </c>
      <c r="F31" s="20" t="n">
        <v>0</v>
      </c>
      <c r="G31" s="20" t="n">
        <v>0</v>
      </c>
      <c r="H31" s="20">
        <f>SUM(C31:G31)</f>
        <v/>
      </c>
      <c r="I31" s="20">
        <f>H31/FX</f>
        <v/>
      </c>
    </row>
    <row r="32">
      <c r="A32" s="10" t="inlineStr">
        <is>
          <t>Subscription fees (12 months)</t>
        </is>
      </c>
      <c r="B32" s="10" t="inlineStr">
        <is>
          <t>Monthly fee x 12, +5% a year</t>
        </is>
      </c>
      <c r="C32" s="20">
        <f>$C$30*12*(1+Esc)^(1-1)</f>
        <v/>
      </c>
      <c r="D32" s="20">
        <f>$C$30*12*(1+Esc)^(2-1)</f>
        <v/>
      </c>
      <c r="E32" s="20">
        <f>$C$30*12*(1+Esc)^(3-1)</f>
        <v/>
      </c>
      <c r="F32" s="20">
        <f>$C$30*12*(1+Esc)^(4-1)</f>
        <v/>
      </c>
      <c r="G32" s="20">
        <f>$C$30*12*(1+Esc)^(5-1)</f>
        <v/>
      </c>
      <c r="H32" s="20">
        <f>SUM(C32:G32)</f>
        <v/>
      </c>
      <c r="I32" s="20">
        <f>H32/FX</f>
        <v/>
      </c>
    </row>
    <row r="33">
      <c r="A33" s="31" t="inlineStr">
        <is>
          <t>Total excl. VAT</t>
        </is>
      </c>
      <c r="B33" s="32" t="inlineStr"/>
      <c r="C33" s="33">
        <f>C31+C32</f>
        <v/>
      </c>
      <c r="D33" s="33">
        <f>D31+D32</f>
        <v/>
      </c>
      <c r="E33" s="33">
        <f>E31+E32</f>
        <v/>
      </c>
      <c r="F33" s="33">
        <f>F31+F32</f>
        <v/>
      </c>
      <c r="G33" s="33">
        <f>G31+G32</f>
        <v/>
      </c>
      <c r="H33" s="33">
        <f>H31+H32</f>
        <v/>
      </c>
      <c r="I33" s="21">
        <f>H33/FX</f>
        <v/>
      </c>
    </row>
    <row r="34">
      <c r="A34" s="10" t="inlineStr">
        <is>
          <t>VAT</t>
        </is>
      </c>
      <c r="C34" s="20">
        <f>C33*VAT</f>
        <v/>
      </c>
      <c r="D34" s="20">
        <f>D33*VAT</f>
        <v/>
      </c>
      <c r="E34" s="20">
        <f>E33*VAT</f>
        <v/>
      </c>
      <c r="F34" s="20">
        <f>F33*VAT</f>
        <v/>
      </c>
      <c r="G34" s="20">
        <f>G33*VAT</f>
        <v/>
      </c>
      <c r="H34" s="20">
        <f>H33*VAT</f>
        <v/>
      </c>
      <c r="I34" s="20">
        <f>H34/FX</f>
        <v/>
      </c>
    </row>
    <row r="35">
      <c r="A35" s="18" t="inlineStr">
        <is>
          <t>Total incl. VAT</t>
        </is>
      </c>
      <c r="C35" s="34">
        <f>C33+C34</f>
        <v/>
      </c>
      <c r="D35" s="34">
        <f>D33+D34</f>
        <v/>
      </c>
      <c r="E35" s="34">
        <f>E33+E34</f>
        <v/>
      </c>
      <c r="F35" s="34">
        <f>F33+F34</f>
        <v/>
      </c>
      <c r="G35" s="34">
        <f>G33+G34</f>
        <v/>
      </c>
      <c r="H35" s="34">
        <f>H33+H34</f>
        <v/>
      </c>
      <c r="I35" s="20">
        <f>H35/FX</f>
        <v/>
      </c>
    </row>
    <row r="38">
      <c r="A38" s="6" t="inlineStr">
        <is>
          <t>Break-even against the perpetual model (cumulative cost including implementation or onboarding, excl. VAT)</t>
        </is>
      </c>
      <c r="B38" s="7" t="n"/>
      <c r="C38" s="7" t="n"/>
      <c r="D38" s="7" t="n"/>
      <c r="E38" s="7" t="n"/>
      <c r="F38" s="7" t="n"/>
      <c r="G38" s="7" t="n"/>
      <c r="H38" s="7" t="n"/>
      <c r="I38" s="7" t="n"/>
    </row>
    <row r="39">
      <c r="A39" s="3" t="inlineStr">
        <is>
          <t>Tier / item</t>
        </is>
      </c>
      <c r="B39" s="3" t="inlineStr"/>
      <c r="C39" s="3" t="inlineStr">
        <is>
          <t>Year 1</t>
        </is>
      </c>
      <c r="D39" s="3" t="inlineStr">
        <is>
          <t>Year 2</t>
        </is>
      </c>
      <c r="E39" s="3" t="inlineStr">
        <is>
          <t>Year 3</t>
        </is>
      </c>
      <c r="F39" s="3" t="inlineStr">
        <is>
          <t>Year 4</t>
        </is>
      </c>
      <c r="G39" s="3" t="inlineStr">
        <is>
          <t>Year 5</t>
        </is>
      </c>
      <c r="H39" s="3" t="inlineStr">
        <is>
          <t>Break-even</t>
        </is>
      </c>
      <c r="I39" s="3" t="inlineStr">
        <is>
          <t>Saving of perpetual over 5 years</t>
        </is>
      </c>
    </row>
    <row r="40">
      <c r="A40" s="28">
        <f>Inputs!A28</f>
        <v/>
      </c>
      <c r="B40" s="7" t="n"/>
      <c r="C40" s="7" t="n"/>
      <c r="D40" s="7" t="n"/>
      <c r="E40" s="7" t="n"/>
      <c r="F40" s="7" t="n"/>
      <c r="G40" s="7" t="n"/>
      <c r="H40" s="7" t="n"/>
      <c r="I40" s="7" t="n"/>
    </row>
    <row r="41">
      <c r="A41" s="10" t="inlineStr">
        <is>
          <t>Perpetual, cumulative</t>
        </is>
      </c>
      <c r="C41" s="20">
        <f>SUM('Perpetual Model'!$C$9:C9)</f>
        <v/>
      </c>
      <c r="D41" s="20">
        <f>SUM('Perpetual Model'!$C$9:D9)</f>
        <v/>
      </c>
      <c r="E41" s="20">
        <f>SUM('Perpetual Model'!$C$9:E9)</f>
        <v/>
      </c>
      <c r="F41" s="20">
        <f>SUM('Perpetual Model'!$C$9:F9)</f>
        <v/>
      </c>
      <c r="G41" s="20">
        <f>SUM('Perpetual Model'!$C$9:G9)</f>
        <v/>
      </c>
      <c r="H41" s="31">
        <f>IF(MIN(C43:G43)=99,"Beyond Year 5","Year "&amp;MIN(C43:G43))</f>
        <v/>
      </c>
      <c r="I41" s="21">
        <f>G42-G41</f>
        <v/>
      </c>
    </row>
    <row r="42">
      <c r="A42" s="10" t="inlineStr">
        <is>
          <t>Subscription, cumulative</t>
        </is>
      </c>
      <c r="C42" s="20">
        <f>SUM($C$9:C9)</f>
        <v/>
      </c>
      <c r="D42" s="20">
        <f>SUM($C$9:D9)</f>
        <v/>
      </c>
      <c r="E42" s="20">
        <f>SUM($C$9:E9)</f>
        <v/>
      </c>
      <c r="F42" s="20">
        <f>SUM($C$9:F9)</f>
        <v/>
      </c>
      <c r="G42" s="20">
        <f>SUM($C$9:G9)</f>
        <v/>
      </c>
    </row>
    <row r="43">
      <c r="A43" s="10" t="inlineStr">
        <is>
          <t>Helper: year subscription reaches perpetual</t>
        </is>
      </c>
      <c r="C43" s="36">
        <f>IF(C42&gt;=C41,1,99)</f>
        <v/>
      </c>
      <c r="D43" s="36">
        <f>IF(D42&gt;=D41,2,99)</f>
        <v/>
      </c>
      <c r="E43" s="36">
        <f>IF(E42&gt;=E41,3,99)</f>
        <v/>
      </c>
      <c r="F43" s="36">
        <f>IF(F42&gt;=F41,4,99)</f>
        <v/>
      </c>
      <c r="G43" s="36">
        <f>IF(G42&gt;=G41,5,99)</f>
        <v/>
      </c>
    </row>
    <row r="45">
      <c r="A45" s="28">
        <f>Inputs!A29</f>
        <v/>
      </c>
      <c r="B45" s="7" t="n"/>
      <c r="C45" s="7" t="n"/>
      <c r="D45" s="7" t="n"/>
      <c r="E45" s="7" t="n"/>
      <c r="F45" s="7" t="n"/>
      <c r="G45" s="7" t="n"/>
      <c r="H45" s="7" t="n"/>
      <c r="I45" s="7" t="n"/>
    </row>
    <row r="46">
      <c r="A46" s="10" t="inlineStr">
        <is>
          <t>Perpetual, cumulative</t>
        </is>
      </c>
      <c r="C46" s="20">
        <f>SUM('Perpetual Model'!$C$17:C17)</f>
        <v/>
      </c>
      <c r="D46" s="20">
        <f>SUM('Perpetual Model'!$C$17:D17)</f>
        <v/>
      </c>
      <c r="E46" s="20">
        <f>SUM('Perpetual Model'!$C$17:E17)</f>
        <v/>
      </c>
      <c r="F46" s="20">
        <f>SUM('Perpetual Model'!$C$17:F17)</f>
        <v/>
      </c>
      <c r="G46" s="20">
        <f>SUM('Perpetual Model'!$C$17:G17)</f>
        <v/>
      </c>
      <c r="H46" s="31">
        <f>IF(MIN(C48:G48)=99,"Beyond Year 5","Year "&amp;MIN(C48:G48))</f>
        <v/>
      </c>
      <c r="I46" s="21">
        <f>G47-G46</f>
        <v/>
      </c>
    </row>
    <row r="47">
      <c r="A47" s="10" t="inlineStr">
        <is>
          <t>Subscription, cumulative</t>
        </is>
      </c>
      <c r="C47" s="20">
        <f>SUM($C$17:C17)</f>
        <v/>
      </c>
      <c r="D47" s="20">
        <f>SUM($C$17:D17)</f>
        <v/>
      </c>
      <c r="E47" s="20">
        <f>SUM($C$17:E17)</f>
        <v/>
      </c>
      <c r="F47" s="20">
        <f>SUM($C$17:F17)</f>
        <v/>
      </c>
      <c r="G47" s="20">
        <f>SUM($C$17:G17)</f>
        <v/>
      </c>
    </row>
    <row r="48">
      <c r="A48" s="10" t="inlineStr">
        <is>
          <t>Helper: year subscription reaches perpetual</t>
        </is>
      </c>
      <c r="C48" s="36">
        <f>IF(C47&gt;=C46,1,99)</f>
        <v/>
      </c>
      <c r="D48" s="36">
        <f>IF(D47&gt;=D46,2,99)</f>
        <v/>
      </c>
      <c r="E48" s="36">
        <f>IF(E47&gt;=E46,3,99)</f>
        <v/>
      </c>
      <c r="F48" s="36">
        <f>IF(F47&gt;=F46,4,99)</f>
        <v/>
      </c>
      <c r="G48" s="36">
        <f>IF(G47&gt;=G46,5,99)</f>
        <v/>
      </c>
    </row>
    <row r="50">
      <c r="A50" s="28">
        <f>Inputs!A30</f>
        <v/>
      </c>
      <c r="B50" s="7" t="n"/>
      <c r="C50" s="7" t="n"/>
      <c r="D50" s="7" t="n"/>
      <c r="E50" s="7" t="n"/>
      <c r="F50" s="7" t="n"/>
      <c r="G50" s="7" t="n"/>
      <c r="H50" s="7" t="n"/>
      <c r="I50" s="7" t="n"/>
    </row>
    <row r="51">
      <c r="A51" s="10" t="inlineStr">
        <is>
          <t>Perpetual, cumulative</t>
        </is>
      </c>
      <c r="C51" s="20">
        <f>SUM('Perpetual Model'!$C$25:C25)</f>
        <v/>
      </c>
      <c r="D51" s="20">
        <f>SUM('Perpetual Model'!$C$25:D25)</f>
        <v/>
      </c>
      <c r="E51" s="20">
        <f>SUM('Perpetual Model'!$C$25:E25)</f>
        <v/>
      </c>
      <c r="F51" s="20">
        <f>SUM('Perpetual Model'!$C$25:F25)</f>
        <v/>
      </c>
      <c r="G51" s="20">
        <f>SUM('Perpetual Model'!$C$25:G25)</f>
        <v/>
      </c>
      <c r="H51" s="31">
        <f>IF(MIN(C53:G53)=99,"Beyond Year 5","Year "&amp;MIN(C53:G53))</f>
        <v/>
      </c>
      <c r="I51" s="21">
        <f>G52-G51</f>
        <v/>
      </c>
    </row>
    <row r="52">
      <c r="A52" s="10" t="inlineStr">
        <is>
          <t>Subscription, cumulative</t>
        </is>
      </c>
      <c r="C52" s="20">
        <f>SUM($C$25:C25)</f>
        <v/>
      </c>
      <c r="D52" s="20">
        <f>SUM($C$25:D25)</f>
        <v/>
      </c>
      <c r="E52" s="20">
        <f>SUM($C$25:E25)</f>
        <v/>
      </c>
      <c r="F52" s="20">
        <f>SUM($C$25:F25)</f>
        <v/>
      </c>
      <c r="G52" s="20">
        <f>SUM($C$25:G25)</f>
        <v/>
      </c>
    </row>
    <row r="53">
      <c r="A53" s="10" t="inlineStr">
        <is>
          <t>Helper: year subscription reaches perpetual</t>
        </is>
      </c>
      <c r="C53" s="36">
        <f>IF(C52&gt;=C51,1,99)</f>
        <v/>
      </c>
      <c r="D53" s="36">
        <f>IF(D52&gt;=D51,2,99)</f>
        <v/>
      </c>
      <c r="E53" s="36">
        <f>IF(E52&gt;=E51,3,99)</f>
        <v/>
      </c>
      <c r="F53" s="36">
        <f>IF(F52&gt;=F51,4,99)</f>
        <v/>
      </c>
      <c r="G53" s="36">
        <f>IF(G52&gt;=G51,5,99)</f>
        <v/>
      </c>
    </row>
    <row r="55">
      <c r="A55" s="28">
        <f>Inputs!A31</f>
        <v/>
      </c>
      <c r="B55" s="7" t="n"/>
      <c r="C55" s="7" t="n"/>
      <c r="D55" s="7" t="n"/>
      <c r="E55" s="7" t="n"/>
      <c r="F55" s="7" t="n"/>
      <c r="G55" s="7" t="n"/>
      <c r="H55" s="7" t="n"/>
      <c r="I55" s="7" t="n"/>
    </row>
    <row r="56">
      <c r="A56" s="10" t="inlineStr">
        <is>
          <t>Perpetual, cumulative</t>
        </is>
      </c>
      <c r="C56" s="20">
        <f>SUM('Perpetual Model'!$C$33:C33)</f>
        <v/>
      </c>
      <c r="D56" s="20">
        <f>SUM('Perpetual Model'!$C$33:D33)</f>
        <v/>
      </c>
      <c r="E56" s="20">
        <f>SUM('Perpetual Model'!$C$33:E33)</f>
        <v/>
      </c>
      <c r="F56" s="20">
        <f>SUM('Perpetual Model'!$C$33:F33)</f>
        <v/>
      </c>
      <c r="G56" s="20">
        <f>SUM('Perpetual Model'!$C$33:G33)</f>
        <v/>
      </c>
      <c r="H56" s="31">
        <f>IF(MIN(C58:G58)=99,"Beyond Year 5","Year "&amp;MIN(C58:G58))</f>
        <v/>
      </c>
      <c r="I56" s="21">
        <f>G57-G56</f>
        <v/>
      </c>
    </row>
    <row r="57">
      <c r="A57" s="10" t="inlineStr">
        <is>
          <t>Subscription, cumulative</t>
        </is>
      </c>
      <c r="C57" s="20">
        <f>SUM($C$33:C33)</f>
        <v/>
      </c>
      <c r="D57" s="20">
        <f>SUM($C$33:D33)</f>
        <v/>
      </c>
      <c r="E57" s="20">
        <f>SUM($C$33:E33)</f>
        <v/>
      </c>
      <c r="F57" s="20">
        <f>SUM($C$33:F33)</f>
        <v/>
      </c>
      <c r="G57" s="20">
        <f>SUM($C$33:G33)</f>
        <v/>
      </c>
    </row>
    <row r="58">
      <c r="A58" s="10" t="inlineStr">
        <is>
          <t>Helper: year subscription reaches perpetual</t>
        </is>
      </c>
      <c r="C58" s="36">
        <f>IF(C57&gt;=C56,1,99)</f>
        <v/>
      </c>
      <c r="D58" s="36">
        <f>IF(D57&gt;=D56,2,99)</f>
        <v/>
      </c>
      <c r="E58" s="36">
        <f>IF(E57&gt;=E56,3,99)</f>
        <v/>
      </c>
      <c r="F58" s="36">
        <f>IF(F57&gt;=F56,4,99)</f>
        <v/>
      </c>
      <c r="G58" s="36">
        <f>IF(G57&gt;=G56,5,99)</f>
        <v/>
      </c>
    </row>
    <row r="61">
      <c r="A61" s="6" t="inlineStr">
        <is>
          <t>Calculator for a chosen user count (Inputs, Calculator section)</t>
        </is>
      </c>
      <c r="B61" s="7" t="n"/>
      <c r="C61" s="7" t="n"/>
      <c r="D61" s="7" t="n"/>
      <c r="E61" s="7" t="n"/>
      <c r="F61" s="7" t="n"/>
      <c r="G61" s="7" t="n"/>
      <c r="H61" s="7" t="n"/>
      <c r="I61" s="7" t="n"/>
    </row>
    <row r="62">
      <c r="A62" s="10" t="inlineStr">
        <is>
          <t>Named users</t>
        </is>
      </c>
      <c r="C62" s="35">
        <f>Calc_Users</f>
        <v/>
      </c>
    </row>
    <row r="63">
      <c r="A63" s="10" t="inlineStr">
        <is>
          <t>Tier</t>
        </is>
      </c>
      <c r="C63" s="18">
        <f>INDEX(Inputs!$A$28:$A$31,MATCH(C62,Inputs!$B$28:$B$31,1))</f>
        <v/>
      </c>
    </row>
    <row r="64">
      <c r="A64" s="10" t="inlineStr">
        <is>
          <t>Billable users (minimum for tier applies)</t>
        </is>
      </c>
      <c r="C64" s="24">
        <f>MAX(C62,INDEX(Inputs!$F$28:$F$31,MATCH(C62,Inputs!$B$28:$B$31,1)))</f>
        <v/>
      </c>
    </row>
    <row r="66">
      <c r="A66" s="3" t="inlineStr">
        <is>
          <t>Slab</t>
        </is>
      </c>
      <c r="B66" s="3" t="inlineStr">
        <is>
          <t>Users from - to</t>
        </is>
      </c>
      <c r="C66" s="3" t="inlineStr">
        <is>
          <t>Users in slab</t>
        </is>
      </c>
      <c r="D66" s="3" t="inlineStr">
        <is>
          <t>Price per user per month (PHP)</t>
        </is>
      </c>
      <c r="E66" s="3" t="inlineStr">
        <is>
          <t>Monthly amount (PHP)</t>
        </is>
      </c>
    </row>
    <row r="67">
      <c r="A67" s="10">
        <f>Inputs!A28</f>
        <v/>
      </c>
      <c r="B67" s="10">
        <f>Inputs!B28&amp;" - "&amp;IF(Inputs!C28&gt;=100000,"above",Inputs!C28)</f>
        <v/>
      </c>
      <c r="C67" s="24">
        <f>MAX(0,MIN($C$64,Inputs!C28)-Inputs!B28+1)</f>
        <v/>
      </c>
      <c r="D67" s="20">
        <f>Inputs!E28</f>
        <v/>
      </c>
      <c r="E67" s="20">
        <f>C67*D67</f>
        <v/>
      </c>
    </row>
    <row r="68">
      <c r="A68" s="10">
        <f>Inputs!A29</f>
        <v/>
      </c>
      <c r="B68" s="10">
        <f>Inputs!B29&amp;" - "&amp;IF(Inputs!C29&gt;=100000,"above",Inputs!C29)</f>
        <v/>
      </c>
      <c r="C68" s="24">
        <f>MAX(0,MIN($C$64,Inputs!C29)-Inputs!B29+1)</f>
        <v/>
      </c>
      <c r="D68" s="20">
        <f>Inputs!E29</f>
        <v/>
      </c>
      <c r="E68" s="20">
        <f>C68*D68</f>
        <v/>
      </c>
    </row>
    <row r="69">
      <c r="A69" s="10">
        <f>Inputs!A30</f>
        <v/>
      </c>
      <c r="B69" s="10">
        <f>Inputs!B30&amp;" - "&amp;IF(Inputs!C30&gt;=100000,"above",Inputs!C30)</f>
        <v/>
      </c>
      <c r="C69" s="24">
        <f>MAX(0,MIN($C$64,Inputs!C30)-Inputs!B30+1)</f>
        <v/>
      </c>
      <c r="D69" s="20">
        <f>Inputs!E30</f>
        <v/>
      </c>
      <c r="E69" s="20">
        <f>C69*D69</f>
        <v/>
      </c>
    </row>
    <row r="70">
      <c r="A70" s="10">
        <f>Inputs!A31</f>
        <v/>
      </c>
      <c r="B70" s="10">
        <f>Inputs!B31&amp;" - "&amp;IF(Inputs!C31&gt;=100000,"above",Inputs!C31)</f>
        <v/>
      </c>
      <c r="C70" s="24">
        <f>MAX(0,MIN($C$64,Inputs!C31)-Inputs!B31+1)</f>
        <v/>
      </c>
      <c r="D70" s="20">
        <f>Inputs!E31</f>
        <v/>
      </c>
      <c r="E70" s="20">
        <f>C70*D70</f>
        <v/>
      </c>
    </row>
    <row r="71">
      <c r="A71" s="18" t="inlineStr">
        <is>
          <t>Monthly subscription, Year 1</t>
        </is>
      </c>
      <c r="E71" s="33">
        <f>SUM(E67:E70)</f>
        <v/>
      </c>
    </row>
    <row r="72">
      <c r="A72" s="10" t="inlineStr">
        <is>
          <t>Effective price per user per month</t>
        </is>
      </c>
      <c r="E72" s="20">
        <f>E71/$C$64</f>
        <v/>
      </c>
    </row>
    <row r="73">
      <c r="A73" s="10" t="inlineStr">
        <is>
          <t>Onboarding fee</t>
        </is>
      </c>
      <c r="E73" s="20">
        <f>'Perpetual Model'!$E$50*Onboard_Pct</f>
        <v/>
      </c>
    </row>
    <row r="75">
      <c r="A75" s="3" t="inlineStr">
        <is>
          <t>Item</t>
        </is>
      </c>
      <c r="B75" s="3" t="inlineStr">
        <is>
          <t>Basis</t>
        </is>
      </c>
      <c r="C75" s="3" t="inlineStr">
        <is>
          <t>Year 1</t>
        </is>
      </c>
      <c r="D75" s="3" t="inlineStr">
        <is>
          <t>Year 2</t>
        </is>
      </c>
      <c r="E75" s="3" t="inlineStr">
        <is>
          <t>Year 3</t>
        </is>
      </c>
      <c r="F75" s="3" t="inlineStr">
        <is>
          <t>Year 4</t>
        </is>
      </c>
      <c r="G75" s="3" t="inlineStr">
        <is>
          <t>Year 5</t>
        </is>
      </c>
      <c r="H75" s="3" t="inlineStr">
        <is>
          <t>5-year total (PHP)</t>
        </is>
      </c>
      <c r="I75" s="3" t="inlineStr">
        <is>
          <t>5-year total (USD)</t>
        </is>
      </c>
    </row>
    <row r="76">
      <c r="A76" s="10" t="inlineStr">
        <is>
          <t>Onboarding fee</t>
        </is>
      </c>
      <c r="C76" s="20">
        <f>$E$73</f>
        <v/>
      </c>
      <c r="D76" s="20" t="n">
        <v>0</v>
      </c>
      <c r="E76" s="20" t="n">
        <v>0</v>
      </c>
      <c r="F76" s="20" t="n">
        <v>0</v>
      </c>
      <c r="G76" s="20" t="n">
        <v>0</v>
      </c>
      <c r="H76" s="20">
        <f>SUM(C76:G76)</f>
        <v/>
      </c>
      <c r="I76" s="20">
        <f>H76/FX</f>
        <v/>
      </c>
    </row>
    <row r="77">
      <c r="A77" s="10" t="inlineStr">
        <is>
          <t>Subscription fees (12 months)</t>
        </is>
      </c>
      <c r="C77" s="20">
        <f>$E$71*12*(1+Esc)^(1-1)</f>
        <v/>
      </c>
      <c r="D77" s="20">
        <f>$E$71*12*(1+Esc)^(2-1)</f>
        <v/>
      </c>
      <c r="E77" s="20">
        <f>$E$71*12*(1+Esc)^(3-1)</f>
        <v/>
      </c>
      <c r="F77" s="20">
        <f>$E$71*12*(1+Esc)^(4-1)</f>
        <v/>
      </c>
      <c r="G77" s="20">
        <f>$E$71*12*(1+Esc)^(5-1)</f>
        <v/>
      </c>
      <c r="H77" s="20">
        <f>SUM(C77:G77)</f>
        <v/>
      </c>
      <c r="I77" s="20">
        <f>H77/FX</f>
        <v/>
      </c>
    </row>
    <row r="78">
      <c r="A78" s="31" t="inlineStr">
        <is>
          <t>Total excl. VAT</t>
        </is>
      </c>
      <c r="C78" s="33">
        <f>C76+C77</f>
        <v/>
      </c>
      <c r="D78" s="33">
        <f>D76+D77</f>
        <v/>
      </c>
      <c r="E78" s="33">
        <f>E76+E77</f>
        <v/>
      </c>
      <c r="F78" s="33">
        <f>F76+F77</f>
        <v/>
      </c>
      <c r="G78" s="33">
        <f>G76+G77</f>
        <v/>
      </c>
      <c r="H78" s="33">
        <f>H76+H77</f>
        <v/>
      </c>
      <c r="I78" s="21">
        <f>H78/FX</f>
        <v/>
      </c>
    </row>
    <row r="79">
      <c r="A79" s="10" t="inlineStr">
        <is>
          <t>VAT</t>
        </is>
      </c>
      <c r="C79" s="20">
        <f>C78*VAT</f>
        <v/>
      </c>
      <c r="D79" s="20">
        <f>D78*VAT</f>
        <v/>
      </c>
      <c r="E79" s="20">
        <f>E78*VAT</f>
        <v/>
      </c>
      <c r="F79" s="20">
        <f>F78*VAT</f>
        <v/>
      </c>
      <c r="G79" s="20">
        <f>G78*VAT</f>
        <v/>
      </c>
      <c r="H79" s="20">
        <f>H78*VAT</f>
        <v/>
      </c>
      <c r="I79" s="20">
        <f>H79/FX</f>
        <v/>
      </c>
    </row>
    <row r="80">
      <c r="A80" s="18" t="inlineStr">
        <is>
          <t>Total incl. VAT</t>
        </is>
      </c>
      <c r="C80" s="34">
        <f>C78+C79</f>
        <v/>
      </c>
      <c r="D80" s="34">
        <f>D78+D79</f>
        <v/>
      </c>
      <c r="E80" s="34">
        <f>E78+E79</f>
        <v/>
      </c>
      <c r="F80" s="34">
        <f>F78+F79</f>
        <v/>
      </c>
      <c r="G80" s="34">
        <f>G78+G79</f>
        <v/>
      </c>
      <c r="H80" s="34">
        <f>H78+H79</f>
        <v/>
      </c>
      <c r="I80" s="20">
        <f>H80/FX</f>
        <v/>
      </c>
    </row>
    <row r="82">
      <c r="A82" s="10" t="inlineStr">
        <is>
          <t>Perpetual, cumulative (calculator)</t>
        </is>
      </c>
      <c r="C82" s="20">
        <f>SUM('Perpetual Model'!$C$57:C57)</f>
        <v/>
      </c>
      <c r="D82" s="20">
        <f>SUM('Perpetual Model'!$C$57:D57)</f>
        <v/>
      </c>
      <c r="E82" s="20">
        <f>SUM('Perpetual Model'!$C$57:E57)</f>
        <v/>
      </c>
      <c r="F82" s="20">
        <f>SUM('Perpetual Model'!$C$57:F57)</f>
        <v/>
      </c>
      <c r="G82" s="20">
        <f>SUM('Perpetual Model'!$C$57:G57)</f>
        <v/>
      </c>
      <c r="H82" s="31">
        <f>IF(MIN(C84:G84)=99,"Beyond Year 5","Break-even Year "&amp;MIN(C84:G84))</f>
        <v/>
      </c>
    </row>
    <row r="83">
      <c r="A83" s="10" t="inlineStr">
        <is>
          <t>Subscription, cumulative (calculator)</t>
        </is>
      </c>
      <c r="C83" s="20">
        <f>SUM($C$78:C78)</f>
        <v/>
      </c>
      <c r="D83" s="20">
        <f>SUM($C$78:D78)</f>
        <v/>
      </c>
      <c r="E83" s="20">
        <f>SUM($C$78:E78)</f>
        <v/>
      </c>
      <c r="F83" s="20">
        <f>SUM($C$78:F78)</f>
        <v/>
      </c>
      <c r="G83" s="20">
        <f>SUM($C$78:G78)</f>
        <v/>
      </c>
    </row>
    <row r="84">
      <c r="A84" s="10" t="inlineStr">
        <is>
          <t>Helper</t>
        </is>
      </c>
      <c r="C84" s="24">
        <f>IF(C83&gt;=C82,1,99)</f>
        <v/>
      </c>
      <c r="D84" s="24">
        <f>IF(D83&gt;=D82,2,99)</f>
        <v/>
      </c>
      <c r="E84" s="24">
        <f>IF(E83&gt;=E82,3,99)</f>
        <v/>
      </c>
      <c r="F84" s="24">
        <f>IF(F83&gt;=F82,4,99)</f>
        <v/>
      </c>
      <c r="G84" s="24">
        <f>IF(G83&gt;=G82,5,99)</f>
        <v/>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2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8" customWidth="1" min="3" max="3"/>
    <col width="18" customWidth="1" min="4" max="4"/>
    <col width="18" customWidth="1" min="5" max="5"/>
    <col width="20" customWidth="1" min="6" max="6"/>
    <col width="20" customWidth="1" min="7" max="7"/>
    <col width="16" customWidth="1" min="8" max="8"/>
    <col width="50" customWidth="1" min="9" max="9"/>
  </cols>
  <sheetData>
    <row r="1">
      <c r="A1" s="1" t="inlineStr">
        <is>
          <t>Infrastructure (optional and separate)</t>
        </is>
      </c>
    </row>
    <row r="2">
      <c r="A2" s="2" t="inlineStr">
        <is>
          <t>Indicative monthly cost by provider and tier, with margin. Production plus one UAT environment. The customer may host BrokerVerse itself at no fee.</t>
        </is>
      </c>
    </row>
    <row r="4" ht="45" customHeight="1">
      <c r="A4" s="3" t="inlineStr">
        <is>
          <t>Provider</t>
        </is>
      </c>
      <c r="B4" s="3" t="inlineStr">
        <is>
          <t>Tier</t>
        </is>
      </c>
      <c r="C4" s="3" t="inlineStr">
        <is>
          <t>Cloud cost per month (USD)</t>
        </is>
      </c>
      <c r="D4" s="3" t="inlineStr">
        <is>
          <t>Cloud cost per month (PHP)</t>
        </is>
      </c>
      <c r="E4" s="3" t="inlineStr">
        <is>
          <t>Margin (PHP)</t>
        </is>
      </c>
      <c r="F4" s="3" t="inlineStr">
        <is>
          <t>Price per month (PHP)</t>
        </is>
      </c>
      <c r="G4" s="3" t="inlineStr">
        <is>
          <t>Price per year, Year 1 (PHP)</t>
        </is>
      </c>
      <c r="H4" s="3" t="inlineStr">
        <is>
          <t>Price per month (USD)</t>
        </is>
      </c>
      <c r="I4" s="3" t="inlineStr">
        <is>
          <t>Notes</t>
        </is>
      </c>
    </row>
    <row r="5">
      <c r="A5" s="18" t="inlineStr">
        <is>
          <t>AWS</t>
        </is>
      </c>
      <c r="B5" s="10">
        <f>Inputs!A28</f>
        <v/>
      </c>
      <c r="C5" s="26">
        <f>Inputs!B73*1</f>
        <v/>
      </c>
      <c r="D5" s="20">
        <f>C5*FX</f>
        <v/>
      </c>
      <c r="E5" s="20">
        <f>D5*Infra_Margin</f>
        <v/>
      </c>
      <c r="F5" s="33">
        <f>ROUND(D5+E5,-3)</f>
        <v/>
      </c>
      <c r="G5" s="20">
        <f>F5*12</f>
        <v/>
      </c>
      <c r="H5" s="20">
        <f>F5/FX</f>
        <v/>
      </c>
      <c r="I5" s="5" t="inlineStr">
        <is>
          <t>Singapore region (ap-southeast-1); a Manila Local Zone exists for latency-sensitive parts (S22).</t>
        </is>
      </c>
    </row>
    <row r="6">
      <c r="A6" s="10" t="inlineStr">
        <is>
          <t>AWS</t>
        </is>
      </c>
      <c r="B6" s="10">
        <f>Inputs!A29</f>
        <v/>
      </c>
      <c r="C6" s="26">
        <f>Inputs!C73*1</f>
        <v/>
      </c>
      <c r="D6" s="20">
        <f>C6*FX</f>
        <v/>
      </c>
      <c r="E6" s="20">
        <f>D6*Infra_Margin</f>
        <v/>
      </c>
      <c r="F6" s="33">
        <f>ROUND(D6+E6,-3)</f>
        <v/>
      </c>
      <c r="G6" s="20">
        <f>F6*12</f>
        <v/>
      </c>
      <c r="H6" s="20">
        <f>F6/FX</f>
        <v/>
      </c>
      <c r="I6" s="5" t="inlineStr"/>
    </row>
    <row r="7">
      <c r="A7" s="10" t="inlineStr">
        <is>
          <t>AWS</t>
        </is>
      </c>
      <c r="B7" s="10">
        <f>Inputs!A30</f>
        <v/>
      </c>
      <c r="C7" s="26">
        <f>Inputs!D73*1</f>
        <v/>
      </c>
      <c r="D7" s="20">
        <f>C7*FX</f>
        <v/>
      </c>
      <c r="E7" s="20">
        <f>D7*Infra_Margin</f>
        <v/>
      </c>
      <c r="F7" s="33">
        <f>ROUND(D7+E7,-3)</f>
        <v/>
      </c>
      <c r="G7" s="20">
        <f>F7*12</f>
        <v/>
      </c>
      <c r="H7" s="20">
        <f>F7/FX</f>
        <v/>
      </c>
      <c r="I7" s="5" t="inlineStr"/>
    </row>
    <row r="8">
      <c r="A8" s="10" t="inlineStr">
        <is>
          <t>AWS</t>
        </is>
      </c>
      <c r="B8" s="10">
        <f>Inputs!A31</f>
        <v/>
      </c>
      <c r="C8" s="26">
        <f>Inputs!E73*1</f>
        <v/>
      </c>
      <c r="D8" s="20">
        <f>C8*FX</f>
        <v/>
      </c>
      <c r="E8" s="20">
        <f>D8*Infra_Margin</f>
        <v/>
      </c>
      <c r="F8" s="33">
        <f>ROUND(D8+E8,-3)</f>
        <v/>
      </c>
      <c r="G8" s="20">
        <f>F8*12</f>
        <v/>
      </c>
      <c r="H8" s="20">
        <f>F8/FX</f>
        <v/>
      </c>
      <c r="I8" s="5" t="inlineStr"/>
    </row>
    <row r="9">
      <c r="A9" s="18" t="inlineStr">
        <is>
          <t>Azure</t>
        </is>
      </c>
      <c r="B9" s="10">
        <f>Inputs!A28</f>
        <v/>
      </c>
      <c r="C9" s="26">
        <f>Inputs!B73*Azure_Factor</f>
        <v/>
      </c>
      <c r="D9" s="20">
        <f>C9*FX</f>
        <v/>
      </c>
      <c r="E9" s="20">
        <f>D9*Infra_Margin</f>
        <v/>
      </c>
      <c r="F9" s="33">
        <f>ROUND(D9+E9,-3)</f>
        <v/>
      </c>
      <c r="G9" s="20">
        <f>F9*12</f>
        <v/>
      </c>
      <c r="H9" s="20">
        <f>F9/FX</f>
        <v/>
      </c>
      <c r="I9" s="5" t="inlineStr">
        <is>
          <t>Southeast Asia region (Singapore).</t>
        </is>
      </c>
    </row>
    <row r="10">
      <c r="A10" s="10" t="inlineStr">
        <is>
          <t>Azure</t>
        </is>
      </c>
      <c r="B10" s="10">
        <f>Inputs!A29</f>
        <v/>
      </c>
      <c r="C10" s="26">
        <f>Inputs!C73*Azure_Factor</f>
        <v/>
      </c>
      <c r="D10" s="20">
        <f>C10*FX</f>
        <v/>
      </c>
      <c r="E10" s="20">
        <f>D10*Infra_Margin</f>
        <v/>
      </c>
      <c r="F10" s="33">
        <f>ROUND(D10+E10,-3)</f>
        <v/>
      </c>
      <c r="G10" s="20">
        <f>F10*12</f>
        <v/>
      </c>
      <c r="H10" s="20">
        <f>F10/FX</f>
        <v/>
      </c>
      <c r="I10" s="5" t="inlineStr"/>
    </row>
    <row r="11">
      <c r="A11" s="10" t="inlineStr">
        <is>
          <t>Azure</t>
        </is>
      </c>
      <c r="B11" s="10">
        <f>Inputs!A30</f>
        <v/>
      </c>
      <c r="C11" s="26">
        <f>Inputs!D73*Azure_Factor</f>
        <v/>
      </c>
      <c r="D11" s="20">
        <f>C11*FX</f>
        <v/>
      </c>
      <c r="E11" s="20">
        <f>D11*Infra_Margin</f>
        <v/>
      </c>
      <c r="F11" s="33">
        <f>ROUND(D11+E11,-3)</f>
        <v/>
      </c>
      <c r="G11" s="20">
        <f>F11*12</f>
        <v/>
      </c>
      <c r="H11" s="20">
        <f>F11/FX</f>
        <v/>
      </c>
      <c r="I11" s="5" t="inlineStr"/>
    </row>
    <row r="12">
      <c r="A12" s="10" t="inlineStr">
        <is>
          <t>Azure</t>
        </is>
      </c>
      <c r="B12" s="10">
        <f>Inputs!A31</f>
        <v/>
      </c>
      <c r="C12" s="26">
        <f>Inputs!E73*Azure_Factor</f>
        <v/>
      </c>
      <c r="D12" s="20">
        <f>C12*FX</f>
        <v/>
      </c>
      <c r="E12" s="20">
        <f>D12*Infra_Margin</f>
        <v/>
      </c>
      <c r="F12" s="33">
        <f>ROUND(D12+E12,-3)</f>
        <v/>
      </c>
      <c r="G12" s="20">
        <f>F12*12</f>
        <v/>
      </c>
      <c r="H12" s="20">
        <f>F12/FX</f>
        <v/>
      </c>
      <c r="I12" s="5" t="inlineStr"/>
    </row>
    <row r="13">
      <c r="A13" s="18" t="inlineStr">
        <is>
          <t>Local partner</t>
        </is>
      </c>
      <c r="B13" s="10">
        <f>Inputs!A28</f>
        <v/>
      </c>
      <c r="C13" s="26">
        <f>Inputs!B73*Local_Factor</f>
        <v/>
      </c>
      <c r="D13" s="20">
        <f>C13*FX</f>
        <v/>
      </c>
      <c r="E13" s="20">
        <f>D13*Infra_Margin</f>
        <v/>
      </c>
      <c r="F13" s="33">
        <f>ROUND(D13+E13,-3)</f>
        <v/>
      </c>
      <c r="G13" s="20">
        <f>F13*12</f>
        <v/>
      </c>
      <c r="H13" s="20">
        <f>F13/FX</f>
        <v/>
      </c>
      <c r="I13" s="5" t="inlineStr">
        <is>
          <t>Philippine data centre or partner cloud; data stays in the Philippines.</t>
        </is>
      </c>
    </row>
    <row r="14">
      <c r="A14" s="10" t="inlineStr">
        <is>
          <t>Local partner</t>
        </is>
      </c>
      <c r="B14" s="10">
        <f>Inputs!A29</f>
        <v/>
      </c>
      <c r="C14" s="26">
        <f>Inputs!C73*Local_Factor</f>
        <v/>
      </c>
      <c r="D14" s="20">
        <f>C14*FX</f>
        <v/>
      </c>
      <c r="E14" s="20">
        <f>D14*Infra_Margin</f>
        <v/>
      </c>
      <c r="F14" s="33">
        <f>ROUND(D14+E14,-3)</f>
        <v/>
      </c>
      <c r="G14" s="20">
        <f>F14*12</f>
        <v/>
      </c>
      <c r="H14" s="20">
        <f>F14/FX</f>
        <v/>
      </c>
      <c r="I14" s="5" t="inlineStr"/>
    </row>
    <row r="15">
      <c r="A15" s="10" t="inlineStr">
        <is>
          <t>Local partner</t>
        </is>
      </c>
      <c r="B15" s="10">
        <f>Inputs!A30</f>
        <v/>
      </c>
      <c r="C15" s="26">
        <f>Inputs!D73*Local_Factor</f>
        <v/>
      </c>
      <c r="D15" s="20">
        <f>C15*FX</f>
        <v/>
      </c>
      <c r="E15" s="20">
        <f>D15*Infra_Margin</f>
        <v/>
      </c>
      <c r="F15" s="33">
        <f>ROUND(D15+E15,-3)</f>
        <v/>
      </c>
      <c r="G15" s="20">
        <f>F15*12</f>
        <v/>
      </c>
      <c r="H15" s="20">
        <f>F15/FX</f>
        <v/>
      </c>
      <c r="I15" s="5" t="inlineStr"/>
    </row>
    <row r="16">
      <c r="A16" s="10" t="inlineStr">
        <is>
          <t>Local partner</t>
        </is>
      </c>
      <c r="B16" s="10">
        <f>Inputs!A31</f>
        <v/>
      </c>
      <c r="C16" s="26">
        <f>Inputs!E73*Local_Factor</f>
        <v/>
      </c>
      <c r="D16" s="20">
        <f>C16*FX</f>
        <v/>
      </c>
      <c r="E16" s="20">
        <f>D16*Infra_Margin</f>
        <v/>
      </c>
      <c r="F16" s="33">
        <f>ROUND(D16+E16,-3)</f>
        <v/>
      </c>
      <c r="G16" s="20">
        <f>F16*12</f>
        <v/>
      </c>
      <c r="H16" s="20">
        <f>F16/FX</f>
        <v/>
      </c>
      <c r="I16" s="5" t="inlineStr"/>
    </row>
    <row r="17">
      <c r="A17" s="18" t="inlineStr">
        <is>
          <t>Customer</t>
        </is>
      </c>
      <c r="B17" s="10">
        <f>Inputs!A28</f>
        <v/>
      </c>
      <c r="C17" s="20" t="n">
        <v>0</v>
      </c>
      <c r="D17" s="20" t="n">
        <v>0</v>
      </c>
      <c r="E17" s="20" t="n">
        <v>0</v>
      </c>
      <c r="F17" s="20" t="n">
        <v>0</v>
      </c>
      <c r="G17" s="20" t="n">
        <v>0</v>
      </c>
      <c r="H17" s="20" t="n">
        <v>0</v>
      </c>
      <c r="I17" s="5" t="inlineStr">
        <is>
          <t>Broker hosts itself (cloud account or own data centre). Deployment guide supplied; set-up support at day rates.</t>
        </is>
      </c>
    </row>
    <row r="18">
      <c r="A18" s="10" t="inlineStr">
        <is>
          <t>Customer</t>
        </is>
      </c>
      <c r="B18" s="10">
        <f>Inputs!A29</f>
        <v/>
      </c>
      <c r="C18" s="20" t="n">
        <v>0</v>
      </c>
      <c r="D18" s="20" t="n">
        <v>0</v>
      </c>
      <c r="E18" s="20" t="n">
        <v>0</v>
      </c>
      <c r="F18" s="20" t="n">
        <v>0</v>
      </c>
      <c r="G18" s="20" t="n">
        <v>0</v>
      </c>
      <c r="H18" s="20" t="n">
        <v>0</v>
      </c>
      <c r="I18" s="5" t="inlineStr"/>
    </row>
    <row r="19">
      <c r="A19" s="10" t="inlineStr">
        <is>
          <t>Customer</t>
        </is>
      </c>
      <c r="B19" s="10">
        <f>Inputs!A30</f>
        <v/>
      </c>
      <c r="C19" s="20" t="n">
        <v>0</v>
      </c>
      <c r="D19" s="20" t="n">
        <v>0</v>
      </c>
      <c r="E19" s="20" t="n">
        <v>0</v>
      </c>
      <c r="F19" s="20" t="n">
        <v>0</v>
      </c>
      <c r="G19" s="20" t="n">
        <v>0</v>
      </c>
      <c r="H19" s="20" t="n">
        <v>0</v>
      </c>
      <c r="I19" s="5" t="inlineStr"/>
    </row>
    <row r="20">
      <c r="A20" s="10" t="inlineStr">
        <is>
          <t>Customer</t>
        </is>
      </c>
      <c r="B20" s="10">
        <f>Inputs!A31</f>
        <v/>
      </c>
      <c r="C20" s="20" t="n">
        <v>0</v>
      </c>
      <c r="D20" s="20" t="n">
        <v>0</v>
      </c>
      <c r="E20" s="20" t="n">
        <v>0</v>
      </c>
      <c r="F20" s="20" t="n">
        <v>0</v>
      </c>
      <c r="G20" s="20" t="n">
        <v>0</v>
      </c>
      <c r="H20" s="20" t="n">
        <v>0</v>
      </c>
      <c r="I20" s="5" t="inlineStr"/>
    </row>
    <row r="22">
      <c r="A22" s="6" t="inlineStr">
        <is>
          <t>What the infrastructure price covers</t>
        </is>
      </c>
      <c r="B22" s="7" t="n"/>
      <c r="C22" s="7" t="n"/>
      <c r="D22" s="7" t="n"/>
      <c r="E22" s="7" t="n"/>
      <c r="F22" s="7" t="n"/>
      <c r="G22" s="7" t="n"/>
      <c r="H22" s="7" t="n"/>
      <c r="I22" s="7" t="n"/>
    </row>
    <row r="23" ht="30" customHeight="1">
      <c r="A23" s="25" t="inlineStr">
        <is>
          <t>Covers: cloud resources for production and one UAT environment, daily backups, monitoring and alarms, operating system and database patching, TLS certificates.</t>
        </is>
      </c>
    </row>
    <row r="24" ht="30" customHeight="1">
      <c r="A24" s="25" t="inlineStr">
        <is>
          <t>Reference sizing: the BrokerVerse capacity document sizes 200 named users (80 concurrent) at 2 API containers of 1 vCPU, 2 GB and Amazon RDS for PostgreSQL 16 db.m7g.large Multi-AZ, 100 GB gp3 storage.</t>
        </is>
      </c>
    </row>
    <row r="25" ht="30" customHeight="1">
      <c r="A25" s="25" t="inlineStr">
        <is>
          <t>Excludes: e-mail sending service charges above normal volumes, SMS, payment gateway fees, domain names, extra environments (see Optional Services) and disaster-recovery copies for tiers other than Enterprise.</t>
        </is>
      </c>
    </row>
    <row r="26" ht="30" customHeight="1">
      <c r="A26" s="25" t="inlineStr">
        <is>
          <t>All cloud figures are estimates from public on-demand list prices, rounded up. Confirm with the provider pricing calculator and a partner quotation before a binding offer. Reserved instances or savings plans can lower cost 20% to 40% for a 1 to 3 year commitment.</t>
        </is>
      </c>
    </row>
    <row r="27" ht="30" customHeight="1">
      <c r="A27" s="25" t="inlineStr">
        <is>
          <t>Billing: monthly in advance in PHP. The margin line covers FX movement between USD cloud billing and PHP invoicing, and the operations effort.</t>
        </is>
      </c>
    </row>
  </sheetData>
  <mergeCells count="5">
    <mergeCell ref="A25:I25"/>
    <mergeCell ref="A23:I23"/>
    <mergeCell ref="A27:I27"/>
    <mergeCell ref="A26:I26"/>
    <mergeCell ref="A24:I24"/>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4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50" customWidth="1" min="8" max="8"/>
  </cols>
  <sheetData>
    <row r="1">
      <c r="A1" s="1" t="inlineStr">
        <is>
          <t>Change requests (CR)</t>
        </is>
      </c>
    </row>
    <row r="2">
      <c r="A2" s="2" t="inlineStr">
        <is>
          <t>Man-day rates by role, blended rate, CR bands and the estimation method. PHP, exclusive of VAT.</t>
        </is>
      </c>
    </row>
    <row r="4">
      <c r="A4" s="3" t="inlineStr">
        <is>
          <t>Role</t>
        </is>
      </c>
      <c r="B4" s="3" t="inlineStr">
        <is>
          <t>Day rate (PHP)</t>
        </is>
      </c>
      <c r="C4" s="3" t="inlineStr">
        <is>
          <t>Day rate (USD)</t>
        </is>
      </c>
      <c r="D4" s="3" t="inlineStr">
        <is>
          <t>Hourly equivalent (PHP)</t>
        </is>
      </c>
      <c r="E4" s="3" t="inlineStr">
        <is>
          <t>Mix in blended rate</t>
        </is>
      </c>
    </row>
    <row r="5">
      <c r="A5" s="10">
        <f>Inputs!A36</f>
        <v/>
      </c>
      <c r="B5" s="20">
        <f>Inputs!B36</f>
        <v/>
      </c>
      <c r="C5" s="20">
        <f>B5/FX</f>
        <v/>
      </c>
      <c r="D5" s="20">
        <f>B5/8</f>
        <v/>
      </c>
      <c r="E5" s="22">
        <f>Inputs!C36</f>
        <v/>
      </c>
    </row>
    <row r="6">
      <c r="A6" s="10">
        <f>Inputs!A37</f>
        <v/>
      </c>
      <c r="B6" s="20">
        <f>Inputs!B37</f>
        <v/>
      </c>
      <c r="C6" s="20">
        <f>B6/FX</f>
        <v/>
      </c>
      <c r="D6" s="20">
        <f>B6/8</f>
        <v/>
      </c>
      <c r="E6" s="22">
        <f>Inputs!C37</f>
        <v/>
      </c>
    </row>
    <row r="7">
      <c r="A7" s="10">
        <f>Inputs!A38</f>
        <v/>
      </c>
      <c r="B7" s="20">
        <f>Inputs!B38</f>
        <v/>
      </c>
      <c r="C7" s="20">
        <f>B7/FX</f>
        <v/>
      </c>
      <c r="D7" s="20">
        <f>B7/8</f>
        <v/>
      </c>
      <c r="E7" s="22">
        <f>Inputs!C38</f>
        <v/>
      </c>
    </row>
    <row r="8">
      <c r="A8" s="10">
        <f>Inputs!A39</f>
        <v/>
      </c>
      <c r="B8" s="20">
        <f>Inputs!B39</f>
        <v/>
      </c>
      <c r="C8" s="20">
        <f>B8/FX</f>
        <v/>
      </c>
      <c r="D8" s="20">
        <f>B8/8</f>
        <v/>
      </c>
      <c r="E8" s="22">
        <f>Inputs!C39</f>
        <v/>
      </c>
    </row>
    <row r="9">
      <c r="A9" s="31" t="inlineStr">
        <is>
          <t>Blended rate</t>
        </is>
      </c>
      <c r="B9" s="33">
        <f>Blended</f>
        <v/>
      </c>
      <c r="C9" s="20">
        <f>B9/FX</f>
        <v/>
      </c>
      <c r="D9" s="20">
        <f>B9/8</f>
        <v/>
      </c>
    </row>
    <row r="11">
      <c r="A11" s="6" t="inlineStr">
        <is>
          <t>Estimation method</t>
        </is>
      </c>
      <c r="B11" s="7" t="n"/>
      <c r="C11" s="7" t="n"/>
      <c r="D11" s="7" t="n"/>
      <c r="E11" s="7" t="n"/>
      <c r="F11" s="7" t="n"/>
      <c r="G11" s="7" t="n"/>
      <c r="H11" s="7" t="n"/>
    </row>
    <row r="12" ht="30" customHeight="1">
      <c r="A12" s="25" t="inlineStr">
        <is>
          <t>1. The broker raises the CR with the business need and examples. iorta TechNXT replies with an impact note within 5 business days (Small) or 10 (Medium, Large).</t>
        </is>
      </c>
    </row>
    <row r="13" ht="30" customHeight="1">
      <c r="A13" s="25" t="inlineStr">
        <is>
          <t>2. Developer man-days are estimated from the screens, APIs, reports, database changes and jobs affected.</t>
        </is>
      </c>
    </row>
    <row r="14" ht="30" customHeight="1">
      <c r="A14" s="25" t="inlineStr">
        <is>
          <t>3. Business analysis = development x BA %; testing = development x QA %; project management = (BA + development + testing) x PM %; contingency on the total. Days are rounded up to the half day.</t>
        </is>
      </c>
    </row>
    <row r="15" ht="30" customHeight="1">
      <c r="A15" s="25" t="inlineStr">
        <is>
          <t>4. Cost = days by role x role day rate. The band decides the approval route and the payment terms: Small, billed on delivery; Medium, 50% on approval and 50% on UAT sign-off; Large, 30% / 50% / 20% like a project.</t>
        </is>
      </c>
    </row>
    <row r="16" ht="30" customHeight="1">
      <c r="A16" s="25" t="inlineStr">
        <is>
          <t>5. CRs change the OOTB version for that customer only. The changed code is covered by AMC or subscription support only when merged into the product line; otherwise support of the change is billed at day rates.</t>
        </is>
      </c>
    </row>
    <row r="18">
      <c r="A18" s="6" t="inlineStr">
        <is>
          <t>CR bands</t>
        </is>
      </c>
      <c r="B18" s="7" t="n"/>
      <c r="C18" s="7" t="n"/>
      <c r="D18" s="7" t="n"/>
      <c r="E18" s="7" t="n"/>
      <c r="F18" s="7" t="n"/>
      <c r="G18" s="7" t="n"/>
      <c r="H18" s="7" t="n"/>
    </row>
    <row r="19">
      <c r="A19" s="3" t="inlineStr">
        <is>
          <t>Band</t>
        </is>
      </c>
      <c r="B19" s="3" t="inlineStr">
        <is>
          <t>Total man-days from</t>
        </is>
      </c>
      <c r="C19" s="3" t="inlineStr">
        <is>
          <t>Total man-days to</t>
        </is>
      </c>
      <c r="D19" s="3" t="inlineStr">
        <is>
          <t>Indicative cost from (PHP, blended)</t>
        </is>
      </c>
      <c r="E19" s="3" t="inlineStr">
        <is>
          <t>Indicative cost to (PHP, blended)</t>
        </is>
      </c>
      <c r="F19" s="3" t="inlineStr">
        <is>
          <t>Approval</t>
        </is>
      </c>
      <c r="G19" s="3" t="inlineStr"/>
      <c r="H19" s="3" t="inlineStr">
        <is>
          <t>Typical examples</t>
        </is>
      </c>
    </row>
    <row r="20" ht="30" customHeight="1">
      <c r="A20" s="18" t="inlineStr">
        <is>
          <t>Small</t>
        </is>
      </c>
      <c r="B20" s="37">
        <f>0.5</f>
        <v/>
      </c>
      <c r="C20" s="37">
        <f>CR_Small_Max</f>
        <v/>
      </c>
      <c r="D20" s="20">
        <f>B20*Blended</f>
        <v/>
      </c>
      <c r="E20" s="20">
        <f>C20*Blended</f>
        <v/>
      </c>
      <c r="F20" s="5" t="inlineStr">
        <is>
          <t>Broker IT or operations head</t>
        </is>
      </c>
      <c r="H20" s="5" t="inlineStr">
        <is>
          <t>New report column or filter; document template wording; new validation; new field on a screen.</t>
        </is>
      </c>
    </row>
    <row r="21" ht="30" customHeight="1">
      <c r="A21" s="18" t="inlineStr">
        <is>
          <t>Medium</t>
        </is>
      </c>
      <c r="B21" s="37">
        <f>CR_Small_Max+0.5</f>
        <v/>
      </c>
      <c r="C21" s="37">
        <f>CR_Med_Max</f>
        <v/>
      </c>
      <c r="D21" s="20">
        <f>B21*Blended</f>
        <v/>
      </c>
      <c r="E21" s="20">
        <f>C21*Blended</f>
        <v/>
      </c>
      <c r="F21" s="5" t="inlineStr">
        <is>
          <t>Broker sponsor</t>
        </is>
      </c>
      <c r="H21" s="5" t="inlineStr">
        <is>
          <t>New report; new letter or statement; change to a commission or tax computation; new upload template.</t>
        </is>
      </c>
    </row>
    <row r="22" ht="30" customHeight="1">
      <c r="A22" s="18" t="inlineStr">
        <is>
          <t>Large</t>
        </is>
      </c>
      <c r="B22" s="37">
        <f>CR_Med_Max+0.5</f>
        <v/>
      </c>
      <c r="C22" s="37">
        <f>CR_Large_Max</f>
        <v/>
      </c>
      <c r="D22" s="20">
        <f>B22*Blended</f>
        <v/>
      </c>
      <c r="E22" s="20">
        <f>C22*Blended</f>
        <v/>
      </c>
      <c r="F22" s="5" t="inlineStr">
        <is>
          <t>Steering committee</t>
        </is>
      </c>
      <c r="H22" s="5" t="inlineStr">
        <is>
          <t>New module screen set; new insurer or bank integration; new workflow with approvals.</t>
        </is>
      </c>
    </row>
    <row r="23">
      <c r="A23" s="2" t="inlineStr">
        <is>
          <t>Above the Large band: treated as a separate project with its own statement of work.</t>
        </is>
      </c>
    </row>
    <row r="25">
      <c r="A25" s="6" t="inlineStr">
        <is>
          <t>Worked examples and calculator</t>
        </is>
      </c>
      <c r="B25" s="7" t="n"/>
      <c r="C25" s="7" t="n"/>
      <c r="D25" s="7" t="n"/>
      <c r="E25" s="7" t="n"/>
      <c r="F25" s="7" t="n"/>
      <c r="G25" s="7" t="n"/>
      <c r="H25" s="7" t="n"/>
    </row>
    <row r="26">
      <c r="A26" s="3" t="inlineStr">
        <is>
          <t>Line</t>
        </is>
      </c>
      <c r="B26" s="3" t="inlineStr">
        <is>
          <t>Example Small</t>
        </is>
      </c>
      <c r="C26" s="3" t="inlineStr">
        <is>
          <t>Example Medium</t>
        </is>
      </c>
      <c r="D26" s="3" t="inlineStr">
        <is>
          <t>Example Large</t>
        </is>
      </c>
      <c r="E26" s="3" t="inlineStr">
        <is>
          <t>Calculator (Inputs)</t>
        </is>
      </c>
      <c r="F26" s="3" t="inlineStr"/>
      <c r="G26" s="3" t="inlineStr"/>
      <c r="H26" s="3" t="inlineStr">
        <is>
          <t>Notes</t>
        </is>
      </c>
    </row>
    <row r="27">
      <c r="A27" s="10" t="inlineStr">
        <is>
          <t>Development man-days</t>
        </is>
      </c>
      <c r="B27" s="38" t="n">
        <v>2</v>
      </c>
      <c r="C27" s="38" t="n">
        <v>7</v>
      </c>
      <c r="D27" s="38" t="n">
        <v>20</v>
      </c>
      <c r="E27" s="37">
        <f>CR_Dev_Days</f>
        <v/>
      </c>
      <c r="H27" s="10" t="inlineStr">
        <is>
          <t>Examples are illustrative; the calculator column reads CR_Dev_Days in Inputs.</t>
        </is>
      </c>
    </row>
    <row r="28">
      <c r="A28" s="10" t="inlineStr">
        <is>
          <t>Business analysis man-days</t>
        </is>
      </c>
      <c r="B28" s="37">
        <f>ROUNDUP(B27*CR_BA*2,0)/2</f>
        <v/>
      </c>
      <c r="C28" s="37">
        <f>ROUNDUP(C27*CR_BA*2,0)/2</f>
        <v/>
      </c>
      <c r="D28" s="37">
        <f>ROUNDUP(D27*CR_BA*2,0)/2</f>
        <v/>
      </c>
      <c r="E28" s="37">
        <f>ROUNDUP(E27*CR_BA*2,0)/2</f>
        <v/>
      </c>
    </row>
    <row r="29">
      <c r="A29" s="10" t="inlineStr">
        <is>
          <t>Testing man-days</t>
        </is>
      </c>
      <c r="B29" s="37">
        <f>ROUNDUP(B27*CR_QA*2,0)/2</f>
        <v/>
      </c>
      <c r="C29" s="37">
        <f>ROUNDUP(C27*CR_QA*2,0)/2</f>
        <v/>
      </c>
      <c r="D29" s="37">
        <f>ROUNDUP(D27*CR_QA*2,0)/2</f>
        <v/>
      </c>
      <c r="E29" s="37">
        <f>ROUNDUP(E27*CR_QA*2,0)/2</f>
        <v/>
      </c>
    </row>
    <row r="30">
      <c r="A30" s="10" t="inlineStr">
        <is>
          <t>Project management man-days</t>
        </is>
      </c>
      <c r="B30" s="37">
        <f>ROUNDUP((B27+B28+B29)*CR_PM*2,0)/2</f>
        <v/>
      </c>
      <c r="C30" s="37">
        <f>ROUNDUP((C27+C28+C29)*CR_PM*2,0)/2</f>
        <v/>
      </c>
      <c r="D30" s="37">
        <f>ROUNDUP((D27+D28+D29)*CR_PM*2,0)/2</f>
        <v/>
      </c>
      <c r="E30" s="37">
        <f>ROUNDUP((E27+E28+E29)*CR_PM*2,0)/2</f>
        <v/>
      </c>
    </row>
    <row r="31">
      <c r="A31" s="10" t="inlineStr">
        <is>
          <t>Contingency man-days</t>
        </is>
      </c>
      <c r="B31" s="37">
        <f>ROUNDUP((B27+B28+B29+B30)*CR_Cont*2,0)/2</f>
        <v/>
      </c>
      <c r="C31" s="37">
        <f>ROUNDUP((C27+C28+C29+C30)*CR_Cont*2,0)/2</f>
        <v/>
      </c>
      <c r="D31" s="37">
        <f>ROUNDUP((D27+D28+D29+D30)*CR_Cont*2,0)/2</f>
        <v/>
      </c>
      <c r="E31" s="37">
        <f>ROUNDUP((E27+E28+E29+E30)*CR_Cont*2,0)/2</f>
        <v/>
      </c>
    </row>
    <row r="32">
      <c r="A32" s="18" t="inlineStr">
        <is>
          <t>Total man-days</t>
        </is>
      </c>
      <c r="B32" s="39">
        <f>SUM(B27:B31)</f>
        <v/>
      </c>
      <c r="C32" s="39">
        <f>SUM(C27:C31)</f>
        <v/>
      </c>
      <c r="D32" s="39">
        <f>SUM(D27:D31)</f>
        <v/>
      </c>
      <c r="E32" s="39">
        <f>SUM(E27:E31)</f>
        <v/>
      </c>
    </row>
    <row r="33">
      <c r="A33" s="10" t="inlineStr">
        <is>
          <t>Band</t>
        </is>
      </c>
      <c r="B33" s="18">
        <f>IF(B32&lt;=CR_Small_Max,"Small",IF(B32&lt;=CR_Med_Max,"Medium",IF(B32&lt;=CR_Large_Max,"Large","Project")))</f>
        <v/>
      </c>
      <c r="C33" s="18">
        <f>IF(C32&lt;=CR_Small_Max,"Small",IF(C32&lt;=CR_Med_Max,"Medium",IF(C32&lt;=CR_Large_Max,"Large","Project")))</f>
        <v/>
      </c>
      <c r="D33" s="18">
        <f>IF(D32&lt;=CR_Small_Max,"Small",IF(D32&lt;=CR_Med_Max,"Medium",IF(D32&lt;=CR_Large_Max,"Large","Project")))</f>
        <v/>
      </c>
      <c r="E33" s="18">
        <f>IF(E32&lt;=CR_Small_Max,"Small",IF(E32&lt;=CR_Med_Max,"Medium",IF(E32&lt;=CR_Large_Max,"Large","Project")))</f>
        <v/>
      </c>
    </row>
    <row r="34">
      <c r="A34" s="10" t="inlineStr">
        <is>
          <t>Cost: business analyst</t>
        </is>
      </c>
      <c r="B34" s="20">
        <f>B28*Rate_BA</f>
        <v/>
      </c>
      <c r="C34" s="20">
        <f>C28*Rate_BA</f>
        <v/>
      </c>
      <c r="D34" s="20">
        <f>D28*Rate_BA</f>
        <v/>
      </c>
      <c r="E34" s="20">
        <f>E28*Rate_BA</f>
        <v/>
      </c>
    </row>
    <row r="35">
      <c r="A35" s="10" t="inlineStr">
        <is>
          <t>Cost: developer</t>
        </is>
      </c>
      <c r="B35" s="20">
        <f>B27*Rate_Dev</f>
        <v/>
      </c>
      <c r="C35" s="20">
        <f>C27*Rate_Dev</f>
        <v/>
      </c>
      <c r="D35" s="20">
        <f>D27*Rate_Dev</f>
        <v/>
      </c>
      <c r="E35" s="20">
        <f>E27*Rate_Dev</f>
        <v/>
      </c>
    </row>
    <row r="36">
      <c r="A36" s="10" t="inlineStr">
        <is>
          <t>Cost: QA engineer</t>
        </is>
      </c>
      <c r="B36" s="20">
        <f>B29*Rate_QA</f>
        <v/>
      </c>
      <c r="C36" s="20">
        <f>C29*Rate_QA</f>
        <v/>
      </c>
      <c r="D36" s="20">
        <f>D29*Rate_QA</f>
        <v/>
      </c>
      <c r="E36" s="20">
        <f>E29*Rate_QA</f>
        <v/>
      </c>
    </row>
    <row r="37">
      <c r="A37" s="10" t="inlineStr">
        <is>
          <t>Cost: project manager</t>
        </is>
      </c>
      <c r="B37" s="20">
        <f>B30*Rate_PM</f>
        <v/>
      </c>
      <c r="C37" s="20">
        <f>C30*Rate_PM</f>
        <v/>
      </c>
      <c r="D37" s="20">
        <f>D30*Rate_PM</f>
        <v/>
      </c>
      <c r="E37" s="20">
        <f>E30*Rate_PM</f>
        <v/>
      </c>
    </row>
    <row r="38">
      <c r="A38" s="10" t="inlineStr">
        <is>
          <t>Contingency cost (blended)</t>
        </is>
      </c>
      <c r="B38" s="20">
        <f>B31*Blended</f>
        <v/>
      </c>
      <c r="C38" s="20">
        <f>C31*Blended</f>
        <v/>
      </c>
      <c r="D38" s="20">
        <f>D31*Blended</f>
        <v/>
      </c>
      <c r="E38" s="20">
        <f>E31*Blended</f>
        <v/>
      </c>
    </row>
    <row r="39">
      <c r="A39" s="18" t="inlineStr">
        <is>
          <t>CR price excl. VAT (PHP)</t>
        </is>
      </c>
      <c r="B39" s="33">
        <f>SUM(B34:B38)</f>
        <v/>
      </c>
      <c r="C39" s="33">
        <f>SUM(C34:C38)</f>
        <v/>
      </c>
      <c r="D39" s="33">
        <f>SUM(D34:D38)</f>
        <v/>
      </c>
      <c r="E39" s="33">
        <f>SUM(E34:E38)</f>
        <v/>
      </c>
    </row>
    <row r="40">
      <c r="A40" s="10" t="inlineStr">
        <is>
          <t>CR price (USD)</t>
        </is>
      </c>
      <c r="B40" s="20">
        <f>B39/FX</f>
        <v/>
      </c>
      <c r="C40" s="20">
        <f>C39/FX</f>
        <v/>
      </c>
      <c r="D40" s="20">
        <f>D39/FX</f>
        <v/>
      </c>
      <c r="E40" s="20">
        <f>E39/FX</f>
        <v/>
      </c>
    </row>
  </sheetData>
  <mergeCells count="5">
    <mergeCell ref="A12:H12"/>
    <mergeCell ref="A15:H15"/>
    <mergeCell ref="A16:H16"/>
    <mergeCell ref="A13:H13"/>
    <mergeCell ref="A14:H14"/>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22" customWidth="1" min="2" max="2"/>
    <col width="18" customWidth="1" min="3" max="3"/>
    <col width="16" customWidth="1" min="4" max="4"/>
    <col width="13" customWidth="1" min="5" max="5"/>
    <col width="62" customWidth="1" min="6" max="6"/>
  </cols>
  <sheetData>
    <row r="1">
      <c r="A1" s="1" t="inlineStr">
        <is>
          <t>Optional services</t>
        </is>
      </c>
    </row>
    <row r="2">
      <c r="A2" s="2" t="inlineStr">
        <is>
          <t>Priced on request in addition to either model. PHP, exclusive of VAT. Recurring items escalate 5% a year.</t>
        </is>
      </c>
    </row>
    <row r="4">
      <c r="A4" s="3" t="inlineStr">
        <is>
          <t>Item</t>
        </is>
      </c>
      <c r="B4" s="3" t="inlineStr">
        <is>
          <t>Unit</t>
        </is>
      </c>
      <c r="C4" s="3" t="inlineStr">
        <is>
          <t>Price (PHP)</t>
        </is>
      </c>
      <c r="D4" s="3" t="inlineStr">
        <is>
          <t>Price (USD)</t>
        </is>
      </c>
      <c r="E4" s="3" t="inlineStr">
        <is>
          <t>Man-days</t>
        </is>
      </c>
      <c r="F4" s="3" t="inlineStr">
        <is>
          <t>Basis and notes</t>
        </is>
      </c>
    </row>
    <row r="5" ht="30" customHeight="1">
      <c r="A5" s="10" t="inlineStr">
        <is>
          <t>Additional environment (training, second UAT), set-up</t>
        </is>
      </c>
      <c r="B5" s="10" t="inlineStr">
        <is>
          <t>one-time</t>
        </is>
      </c>
      <c r="C5" s="34">
        <f>ROUND(Env_Setup_Days*Blended/Round_To,0)*Round_To</f>
        <v/>
      </c>
      <c r="D5" s="20">
        <f>C5/FX</f>
        <v/>
      </c>
      <c r="E5" s="24">
        <f>Env_Setup_Days</f>
        <v/>
      </c>
      <c r="F5" s="5" t="inlineStr">
        <is>
          <t>Set-up man-days x blended rate.</t>
        </is>
      </c>
    </row>
    <row r="6" ht="30" customHeight="1">
      <c r="A6" s="10" t="inlineStr">
        <is>
          <t>Additional environment hosted by iorta TechNXT</t>
        </is>
      </c>
      <c r="B6" s="10" t="inlineStr">
        <is>
          <t>per month</t>
        </is>
      </c>
      <c r="C6" s="34">
        <f>ROUND(Env_Monthly_USD*FX*(1+Infra_Margin),-3)</f>
        <v/>
      </c>
      <c r="D6" s="20">
        <f>C6/FX</f>
        <v/>
      </c>
      <c r="E6" s="24" t="inlineStr"/>
      <c r="F6" s="5" t="inlineStr">
        <is>
          <t>Cloud cost plus infrastructure margin. Customer-hosted: set-up fee only.</t>
        </is>
      </c>
    </row>
    <row r="7" ht="30" customHeight="1">
      <c r="A7" s="10" t="inlineStr">
        <is>
          <t>Training beyond the included days</t>
        </is>
      </c>
      <c r="B7" s="10" t="inlineStr">
        <is>
          <t>per trainer day</t>
        </is>
      </c>
      <c r="C7" s="34">
        <f>Rate_Trainer</f>
        <v/>
      </c>
      <c r="D7" s="20">
        <f>C7/FX</f>
        <v/>
      </c>
      <c r="E7" s="24" t="inlineStr"/>
      <c r="F7" s="5" t="inlineStr">
        <is>
          <t>Up to 15 participants per session; customer provides the room and PCs.</t>
        </is>
      </c>
    </row>
    <row r="8" ht="30" customHeight="1">
      <c r="A8" s="10" t="inlineStr">
        <is>
          <t>Data migration beyond the standard templates</t>
        </is>
      </c>
      <c r="B8" s="10" t="inlineStr">
        <is>
          <t>per legacy source</t>
        </is>
      </c>
      <c r="C8" s="34">
        <f>ROUND(Mig_Days_Source*Blended/Round_To,0)*Round_To</f>
        <v/>
      </c>
      <c r="D8" s="20">
        <f>C8/FX</f>
        <v/>
      </c>
      <c r="E8" s="24">
        <f>Mig_Days_Source</f>
        <v/>
      </c>
      <c r="F8" s="5" t="inlineStr">
        <is>
          <t>Standard: data loaded by the broker with the BrokerVerse upload templates (docs/templates), with guidance. This item covers extraction and transformation from a legacy system.</t>
        </is>
      </c>
    </row>
    <row r="9" ht="30" customHeight="1">
      <c r="A9" s="10" t="inlineStr">
        <is>
          <t>Data migration, additional effort</t>
        </is>
      </c>
      <c r="B9" s="10" t="inlineStr">
        <is>
          <t>per man-day</t>
        </is>
      </c>
      <c r="C9" s="34">
        <f>Blended</f>
        <v/>
      </c>
      <c r="D9" s="20">
        <f>C9/FX</f>
        <v/>
      </c>
      <c r="E9" s="24" t="inlineStr"/>
      <c r="F9" s="5" t="inlineStr">
        <is>
          <t>For volume or data-quality work beyond the estimate.</t>
        </is>
      </c>
    </row>
    <row r="10" ht="30" customHeight="1">
      <c r="A10" s="10" t="inlineStr">
        <is>
          <t>Additional integration, standard</t>
        </is>
      </c>
      <c r="B10" s="10" t="inlineStr">
        <is>
          <t>per integration</t>
        </is>
      </c>
      <c r="C10" s="34">
        <f>ROUND(Int_Std_Days*Blended/Round_To,0)*Round_To</f>
        <v/>
      </c>
      <c r="D10" s="20">
        <f>C10/FX</f>
        <v/>
      </c>
      <c r="E10" s="24">
        <f>Int_Std_Days</f>
        <v/>
      </c>
      <c r="F10" s="5" t="inlineStr">
        <is>
          <t>One documented API or file exchange, one direction.</t>
        </is>
      </c>
    </row>
    <row r="11" ht="30" customHeight="1">
      <c r="A11" s="10" t="inlineStr">
        <is>
          <t>Additional integration, complex</t>
        </is>
      </c>
      <c r="B11" s="10" t="inlineStr">
        <is>
          <t>per integration</t>
        </is>
      </c>
      <c r="C11" s="34">
        <f>ROUND(Int_Cx_Days*Blended/Round_To,0)*Round_To</f>
        <v/>
      </c>
      <c r="D11" s="20">
        <f>C11/FX</f>
        <v/>
      </c>
      <c r="E11" s="24">
        <f>Int_Cx_Days</f>
        <v/>
      </c>
      <c r="F11" s="5" t="inlineStr">
        <is>
          <t>Two-way, no API, or batch with reconciliation.</t>
        </is>
      </c>
    </row>
    <row r="12" ht="30" customHeight="1">
      <c r="A12" s="10" t="inlineStr">
        <is>
          <t>Additional line of business after go-live</t>
        </is>
      </c>
      <c r="B12" s="10" t="inlineStr">
        <is>
          <t>per line</t>
        </is>
      </c>
      <c r="C12" s="34">
        <f>ROUND(Days_per_LOB*Blended/Round_To,0)*Round_To</f>
        <v/>
      </c>
      <c r="D12" s="20">
        <f>C12/FX</f>
        <v/>
      </c>
      <c r="E12" s="24">
        <f>Days_per_LOB</f>
        <v/>
      </c>
      <c r="F12" s="5" t="inlineStr">
        <is>
          <t>Product set-up, rating and tax lines, templates, testing.</t>
        </is>
      </c>
    </row>
    <row r="13" ht="30" customHeight="1">
      <c r="A13" s="10" t="inlineStr">
        <is>
          <t>New report or document template</t>
        </is>
      </c>
      <c r="B13" s="10" t="inlineStr">
        <is>
          <t>per item (typical)</t>
        </is>
      </c>
      <c r="C13" s="34">
        <f>ROUND(Report_Days*Blended/Round_To,0)*Round_To</f>
        <v/>
      </c>
      <c r="D13" s="20">
        <f>C13/FX</f>
        <v/>
      </c>
      <c r="E13" s="24">
        <f>Report_Days</f>
        <v/>
      </c>
      <c r="F13" s="5" t="inlineStr">
        <is>
          <t>Small CR band; firm price after the impact note.</t>
        </is>
      </c>
    </row>
    <row r="14" ht="30" customHeight="1">
      <c r="A14" s="10" t="inlineStr">
        <is>
          <t>On-site day (Metro Manila)</t>
        </is>
      </c>
      <c r="B14" s="10" t="inlineStr">
        <is>
          <t>per consultant day</t>
        </is>
      </c>
      <c r="C14" s="34">
        <f>Rate_Onsite</f>
        <v/>
      </c>
      <c r="D14" s="20">
        <f>C14/FX</f>
        <v/>
      </c>
      <c r="E14" s="24" t="inlineStr"/>
      <c r="F14" s="5" t="inlineStr">
        <is>
          <t>Outside Metro Manila: travel, lodging and meals at cost.</t>
        </is>
      </c>
    </row>
    <row r="15" ht="30" customHeight="1">
      <c r="A15" s="10">
        <f>"24x7 Severity 1 support, "&amp;Inputs!A28&amp;" tier"</f>
        <v/>
      </c>
      <c r="B15" s="10" t="inlineStr">
        <is>
          <t>per year, Year 1</t>
        </is>
      </c>
      <c r="C15" s="34">
        <f>Inputs!L28</f>
        <v/>
      </c>
      <c r="D15" s="20">
        <f>C15/FX</f>
        <v/>
      </c>
      <c r="F15" s="5" t="inlineStr">
        <is>
          <t>Standard support is business hours (Monday to Friday, 08:00 to 18:00 Philippine time, excluding holidays). This adds round-the-clock response to Severity 1 incidents (production down or a core process stopped for all users).</t>
        </is>
      </c>
    </row>
    <row r="16" ht="15" customHeight="1">
      <c r="A16" s="10">
        <f>"24x7 Severity 1 support, "&amp;Inputs!A29&amp;" tier"</f>
        <v/>
      </c>
      <c r="B16" s="10" t="inlineStr">
        <is>
          <t>per year, Year 1</t>
        </is>
      </c>
      <c r="C16" s="34">
        <f>Inputs!L29</f>
        <v/>
      </c>
      <c r="D16" s="20">
        <f>C16/FX</f>
        <v/>
      </c>
      <c r="F16" s="5" t="inlineStr"/>
    </row>
    <row r="17" ht="15" customHeight="1">
      <c r="A17" s="10">
        <f>"24x7 Severity 1 support, "&amp;Inputs!A30&amp;" tier"</f>
        <v/>
      </c>
      <c r="B17" s="10" t="inlineStr">
        <is>
          <t>per year, Year 1</t>
        </is>
      </c>
      <c r="C17" s="34">
        <f>Inputs!L30</f>
        <v/>
      </c>
      <c r="D17" s="20">
        <f>C17/FX</f>
        <v/>
      </c>
      <c r="F17" s="5" t="inlineStr"/>
    </row>
    <row r="18" ht="15" customHeight="1">
      <c r="A18" s="10">
        <f>"24x7 Severity 1 support, "&amp;Inputs!A31&amp;" tier"</f>
        <v/>
      </c>
      <c r="B18" s="10" t="inlineStr">
        <is>
          <t>per year, Year 1</t>
        </is>
      </c>
      <c r="C18" s="34">
        <f>Inputs!L31</f>
        <v/>
      </c>
      <c r="D18" s="20">
        <f>C18/FX</f>
        <v/>
      </c>
      <c r="F18" s="5" t="inlineStr"/>
    </row>
    <row r="20">
      <c r="A20" s="6" t="inlineStr">
        <is>
          <t>Included in the standard implementation (no extra charge)</t>
        </is>
      </c>
      <c r="B20" s="7" t="n"/>
      <c r="C20" s="7" t="n"/>
      <c r="D20" s="7" t="n"/>
      <c r="E20" s="7" t="n"/>
      <c r="F20" s="7" t="n"/>
    </row>
    <row r="21" ht="18" customHeight="1">
      <c r="A21" s="25" t="inlineStr">
        <is>
          <t>Configuration of the company, branches, users and roles, insurers, commission rates, chart of accounts, banks and the included lines of business.</t>
        </is>
      </c>
    </row>
    <row r="22" ht="18" customHeight="1">
      <c r="A22" s="25" t="inlineStr">
        <is>
          <t>Data load using the standard upload templates (about 40 templates in docs/templates), with the broker supplying clean data.</t>
        </is>
      </c>
    </row>
    <row r="23" ht="18" customHeight="1">
      <c r="A23" s="25" t="inlineStr">
        <is>
          <t>Training days included for the tier (train-the-trainer), UAT support, go-live support and 4 weeks of hypercare.</t>
        </is>
      </c>
    </row>
    <row r="24" ht="18" customHeight="1">
      <c r="A24" s="25" t="inlineStr">
        <is>
          <t>One production and one UAT environment when iorta TechNXT hosts; deployment guidance when the broker hosts.</t>
        </is>
      </c>
    </row>
  </sheetData>
  <mergeCells count="4">
    <mergeCell ref="A24:F24"/>
    <mergeCell ref="A21:F21"/>
    <mergeCell ref="A22:F22"/>
    <mergeCell ref="A23:F23"/>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73"/>
  <sheetViews>
    <sheetView zoomScale="90"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6" customWidth="1" min="7" max="7"/>
    <col width="14" customWidth="1" min="8" max="8"/>
  </cols>
  <sheetData>
    <row r="1">
      <c r="A1" s="1" t="inlineStr">
        <is>
          <t>Sample quotes: three brokers, 5-year total cost of ownership</t>
        </is>
      </c>
    </row>
    <row r="2">
      <c r="A2" s="2" t="inlineStr">
        <is>
          <t>Scenario drivers are in Inputs (Sample quote scenarios). PHP, exclusive of VAT unless stated. Optional items shown separately and added to both models.</t>
        </is>
      </c>
    </row>
    <row r="4">
      <c r="A4" s="6">
        <f>"Example 1: "&amp;Inputs!$B$79&amp;", "&amp;Inputs!$B$80&amp;" users, "&amp;Inputs!$B$81&amp;" lines of business, tier "&amp;INDEX(Inputs!$A$28:$A$31,MATCH(Inputs!$B$80,Inputs!$B$28:$B$31,1))&amp;", hosting: "&amp;Inputs!$B$82</f>
        <v/>
      </c>
      <c r="B4" s="7" t="n"/>
      <c r="C4" s="7" t="n"/>
      <c r="D4" s="7" t="n"/>
      <c r="E4" s="7" t="n"/>
      <c r="F4" s="7" t="n"/>
      <c r="G4" s="7" t="n"/>
      <c r="H4" s="7" t="n"/>
    </row>
    <row r="5">
      <c r="A5" s="3" t="inlineStr">
        <is>
          <t>Item</t>
        </is>
      </c>
      <c r="B5" s="3" t="inlineStr">
        <is>
          <t>Year 1</t>
        </is>
      </c>
      <c r="C5" s="3" t="inlineStr">
        <is>
          <t>Year 2</t>
        </is>
      </c>
      <c r="D5" s="3" t="inlineStr">
        <is>
          <t>Year 3</t>
        </is>
      </c>
      <c r="E5" s="3" t="inlineStr">
        <is>
          <t>Year 4</t>
        </is>
      </c>
      <c r="F5" s="3" t="inlineStr">
        <is>
          <t>Year 5</t>
        </is>
      </c>
      <c r="G5" s="3" t="inlineStr">
        <is>
          <t>5-year total (PHP)</t>
        </is>
      </c>
      <c r="H5" s="3" t="inlineStr">
        <is>
          <t>5-year total (USD)</t>
        </is>
      </c>
    </row>
    <row r="6">
      <c r="A6" s="40" t="inlineStr">
        <is>
          <t>Model A: perpetual</t>
        </is>
      </c>
    </row>
    <row r="7">
      <c r="A7" s="10" t="inlineStr">
        <is>
          <t>Implementation fee</t>
        </is>
      </c>
      <c r="B7" s="20">
        <f>ROUND((INDEX(Inputs!$G$28:$G$31,MATCH(Inputs!$B$80,Inputs!$B$28:$B$31,1))+MAX(0,Inputs!$B$81-INDEX(Inputs!$H$28:$H$31,MATCH(Inputs!$B$80,Inputs!$B$28:$B$31,1)))*Days_per_LOB)*Blended/Round_To,0)*Round_To</f>
        <v/>
      </c>
      <c r="C7" s="20" t="n">
        <v>0</v>
      </c>
      <c r="D7" s="20" t="n">
        <v>0</v>
      </c>
      <c r="E7" s="20" t="n">
        <v>0</v>
      </c>
      <c r="F7" s="20" t="n">
        <v>0</v>
      </c>
      <c r="G7" s="34">
        <f>SUM(B7:F7)</f>
        <v/>
      </c>
      <c r="H7" s="20">
        <f>G7/FX</f>
        <v/>
      </c>
    </row>
    <row r="8">
      <c r="A8" s="10" t="inlineStr">
        <is>
          <t>Perpetual licence fee</t>
        </is>
      </c>
      <c r="B8" s="20">
        <f>MAX(0,MIN(Inputs!$B$80,Inputs!$C$28)-Inputs!$B$28+1)*Inputs!$D$28+MAX(0,MIN(Inputs!$B$80,Inputs!$C$29)-Inputs!$B$29+1)*Inputs!$D$29+MAX(0,MIN(Inputs!$B$80,Inputs!$C$30)-Inputs!$B$30+1)*Inputs!$D$30+MAX(0,MIN(Inputs!$B$80,Inputs!$C$31)-Inputs!$B$31+1)*Inputs!$D$31</f>
        <v/>
      </c>
      <c r="C8" s="20" t="n">
        <v>0</v>
      </c>
      <c r="D8" s="20" t="n">
        <v>0</v>
      </c>
      <c r="E8" s="20" t="n">
        <v>0</v>
      </c>
      <c r="F8" s="20" t="n">
        <v>0</v>
      </c>
      <c r="G8" s="34">
        <f>SUM(B8:F8)</f>
        <v/>
      </c>
      <c r="H8" s="20">
        <f>G8/FX</f>
        <v/>
      </c>
    </row>
    <row r="9">
      <c r="A9" s="10" t="inlineStr">
        <is>
          <t>AMC (22%, +5% a year)</t>
        </is>
      </c>
      <c r="B9" s="20">
        <f>IF(1&gt;=AMC_Start,$B$8*AMC_Rate*(1+Esc)^(1-AMC_Start),0)</f>
        <v/>
      </c>
      <c r="C9" s="20">
        <f>IF(2&gt;=AMC_Start,$B$8*AMC_Rate*(1+Esc)^(2-AMC_Start),0)</f>
        <v/>
      </c>
      <c r="D9" s="20">
        <f>IF(3&gt;=AMC_Start,$B$8*AMC_Rate*(1+Esc)^(3-AMC_Start),0)</f>
        <v/>
      </c>
      <c r="E9" s="20">
        <f>IF(4&gt;=AMC_Start,$B$8*AMC_Rate*(1+Esc)^(4-AMC_Start),0)</f>
        <v/>
      </c>
      <c r="F9" s="20">
        <f>IF(5&gt;=AMC_Start,$B$8*AMC_Rate*(1+Esc)^(5-AMC_Start),0)</f>
        <v/>
      </c>
      <c r="G9" s="34">
        <f>SUM(B9:F9)</f>
        <v/>
      </c>
      <c r="H9" s="20">
        <f>G9/FX</f>
        <v/>
      </c>
    </row>
    <row r="10">
      <c r="A10" s="18" t="inlineStr">
        <is>
          <t>Software subtotal, perpetual</t>
        </is>
      </c>
      <c r="B10" s="34">
        <f>SUM(B7:B9)</f>
        <v/>
      </c>
      <c r="C10" s="34">
        <f>SUM(C7:C9)</f>
        <v/>
      </c>
      <c r="D10" s="34">
        <f>SUM(D7:D9)</f>
        <v/>
      </c>
      <c r="E10" s="34">
        <f>SUM(E7:E9)</f>
        <v/>
      </c>
      <c r="F10" s="34">
        <f>SUM(F7:F9)</f>
        <v/>
      </c>
      <c r="G10" s="34">
        <f>SUM(B10:F10)</f>
        <v/>
      </c>
      <c r="H10" s="20">
        <f>G10/FX</f>
        <v/>
      </c>
    </row>
    <row r="11">
      <c r="A11" s="40" t="inlineStr">
        <is>
          <t>Model B: subscription</t>
        </is>
      </c>
    </row>
    <row r="12">
      <c r="A12" s="10" t="inlineStr">
        <is>
          <t>Onboarding fee</t>
        </is>
      </c>
      <c r="B12" s="20">
        <f>$B$7*Onboard_Pct</f>
        <v/>
      </c>
      <c r="C12" s="20" t="n">
        <v>0</v>
      </c>
      <c r="D12" s="20" t="n">
        <v>0</v>
      </c>
      <c r="E12" s="20" t="n">
        <v>0</v>
      </c>
      <c r="F12" s="20" t="n">
        <v>0</v>
      </c>
      <c r="G12" s="34">
        <f>SUM(B12:F12)</f>
        <v/>
      </c>
      <c r="H12" s="20">
        <f>G12/FX</f>
        <v/>
      </c>
    </row>
    <row r="13">
      <c r="A13" s="10">
        <f>"Subscription ("&amp;MAX(Inputs!$B$80,INDEX(Inputs!$F$28:$F$31,MATCH(Inputs!$B$80,Inputs!$B$28:$B$31,1)))&amp;" billable users)"</f>
        <v/>
      </c>
      <c r="B13" s="20">
        <f>(MAX(0,MIN(MAX(Inputs!$B$80,INDEX(Inputs!$F$28:$F$31,MATCH(Inputs!$B$80,Inputs!$B$28:$B$31,1))),Inputs!$C$28)-Inputs!$B$28+1)*Inputs!$E$28+MAX(0,MIN(MAX(Inputs!$B$80,INDEX(Inputs!$F$28:$F$31,MATCH(Inputs!$B$80,Inputs!$B$28:$B$31,1))),Inputs!$C$29)-Inputs!$B$29+1)*Inputs!$E$29+MAX(0,MIN(MAX(Inputs!$B$80,INDEX(Inputs!$F$28:$F$31,MATCH(Inputs!$B$80,Inputs!$B$28:$B$31,1))),Inputs!$C$30)-Inputs!$B$30+1)*Inputs!$E$30+MAX(0,MIN(MAX(Inputs!$B$80,INDEX(Inputs!$F$28:$F$31,MATCH(Inputs!$B$80,Inputs!$B$28:$B$31,1))),Inputs!$C$31)-Inputs!$B$31+1)*Inputs!$E$31)*12*(1+Esc)^(1-1)</f>
        <v/>
      </c>
      <c r="C13" s="20">
        <f>(MAX(0,MIN(MAX(Inputs!$B$80,INDEX(Inputs!$F$28:$F$31,MATCH(Inputs!$B$80,Inputs!$B$28:$B$31,1))),Inputs!$C$28)-Inputs!$B$28+1)*Inputs!$E$28+MAX(0,MIN(MAX(Inputs!$B$80,INDEX(Inputs!$F$28:$F$31,MATCH(Inputs!$B$80,Inputs!$B$28:$B$31,1))),Inputs!$C$29)-Inputs!$B$29+1)*Inputs!$E$29+MAX(0,MIN(MAX(Inputs!$B$80,INDEX(Inputs!$F$28:$F$31,MATCH(Inputs!$B$80,Inputs!$B$28:$B$31,1))),Inputs!$C$30)-Inputs!$B$30+1)*Inputs!$E$30+MAX(0,MIN(MAX(Inputs!$B$80,INDEX(Inputs!$F$28:$F$31,MATCH(Inputs!$B$80,Inputs!$B$28:$B$31,1))),Inputs!$C$31)-Inputs!$B$31+1)*Inputs!$E$31)*12*(1+Esc)^(2-1)</f>
        <v/>
      </c>
      <c r="D13" s="20">
        <f>(MAX(0,MIN(MAX(Inputs!$B$80,INDEX(Inputs!$F$28:$F$31,MATCH(Inputs!$B$80,Inputs!$B$28:$B$31,1))),Inputs!$C$28)-Inputs!$B$28+1)*Inputs!$E$28+MAX(0,MIN(MAX(Inputs!$B$80,INDEX(Inputs!$F$28:$F$31,MATCH(Inputs!$B$80,Inputs!$B$28:$B$31,1))),Inputs!$C$29)-Inputs!$B$29+1)*Inputs!$E$29+MAX(0,MIN(MAX(Inputs!$B$80,INDEX(Inputs!$F$28:$F$31,MATCH(Inputs!$B$80,Inputs!$B$28:$B$31,1))),Inputs!$C$30)-Inputs!$B$30+1)*Inputs!$E$30+MAX(0,MIN(MAX(Inputs!$B$80,INDEX(Inputs!$F$28:$F$31,MATCH(Inputs!$B$80,Inputs!$B$28:$B$31,1))),Inputs!$C$31)-Inputs!$B$31+1)*Inputs!$E$31)*12*(1+Esc)^(3-1)</f>
        <v/>
      </c>
      <c r="E13" s="20">
        <f>(MAX(0,MIN(MAX(Inputs!$B$80,INDEX(Inputs!$F$28:$F$31,MATCH(Inputs!$B$80,Inputs!$B$28:$B$31,1))),Inputs!$C$28)-Inputs!$B$28+1)*Inputs!$E$28+MAX(0,MIN(MAX(Inputs!$B$80,INDEX(Inputs!$F$28:$F$31,MATCH(Inputs!$B$80,Inputs!$B$28:$B$31,1))),Inputs!$C$29)-Inputs!$B$29+1)*Inputs!$E$29+MAX(0,MIN(MAX(Inputs!$B$80,INDEX(Inputs!$F$28:$F$31,MATCH(Inputs!$B$80,Inputs!$B$28:$B$31,1))),Inputs!$C$30)-Inputs!$B$30+1)*Inputs!$E$30+MAX(0,MIN(MAX(Inputs!$B$80,INDEX(Inputs!$F$28:$F$31,MATCH(Inputs!$B$80,Inputs!$B$28:$B$31,1))),Inputs!$C$31)-Inputs!$B$31+1)*Inputs!$E$31)*12*(1+Esc)^(4-1)</f>
        <v/>
      </c>
      <c r="F13" s="20">
        <f>(MAX(0,MIN(MAX(Inputs!$B$80,INDEX(Inputs!$F$28:$F$31,MATCH(Inputs!$B$80,Inputs!$B$28:$B$31,1))),Inputs!$C$28)-Inputs!$B$28+1)*Inputs!$E$28+MAX(0,MIN(MAX(Inputs!$B$80,INDEX(Inputs!$F$28:$F$31,MATCH(Inputs!$B$80,Inputs!$B$28:$B$31,1))),Inputs!$C$29)-Inputs!$B$29+1)*Inputs!$E$29+MAX(0,MIN(MAX(Inputs!$B$80,INDEX(Inputs!$F$28:$F$31,MATCH(Inputs!$B$80,Inputs!$B$28:$B$31,1))),Inputs!$C$30)-Inputs!$B$30+1)*Inputs!$E$30+MAX(0,MIN(MAX(Inputs!$B$80,INDEX(Inputs!$F$28:$F$31,MATCH(Inputs!$B$80,Inputs!$B$28:$B$31,1))),Inputs!$C$31)-Inputs!$B$31+1)*Inputs!$E$31)*12*(1+Esc)^(5-1)</f>
        <v/>
      </c>
      <c r="G13" s="34">
        <f>SUM(B13:F13)</f>
        <v/>
      </c>
      <c r="H13" s="20">
        <f>G13/FX</f>
        <v/>
      </c>
    </row>
    <row r="14">
      <c r="A14" s="18" t="inlineStr">
        <is>
          <t>Software subtotal, subscription</t>
        </is>
      </c>
      <c r="B14" s="34">
        <f>B12+B13</f>
        <v/>
      </c>
      <c r="C14" s="34">
        <f>C12+C13</f>
        <v/>
      </c>
      <c r="D14" s="34">
        <f>D12+D13</f>
        <v/>
      </c>
      <c r="E14" s="34">
        <f>E12+E13</f>
        <v/>
      </c>
      <c r="F14" s="34">
        <f>F12+F13</f>
        <v/>
      </c>
      <c r="G14" s="34">
        <f>SUM(B14:F14)</f>
        <v/>
      </c>
      <c r="H14" s="20">
        <f>G14/FX</f>
        <v/>
      </c>
    </row>
    <row r="15">
      <c r="A15" s="40" t="inlineStr">
        <is>
          <t>Optional items (same in both models)</t>
        </is>
      </c>
    </row>
    <row r="16">
      <c r="A16" s="10">
        <f>"Infrastructure: "&amp;Inputs!$B$82</f>
        <v/>
      </c>
      <c r="B16" s="20">
        <f>SUMIFS(Infrastructure!$F$5:$F$20,Infrastructure!$A$5:$A$20,Inputs!$B$82,Infrastructure!$B$5:$B$20,INDEX(Inputs!$A$28:$A$31,MATCH(Inputs!$B$80,Inputs!$B$28:$B$31,1)))*12*(1+Infra_Esc)^(1-1)</f>
        <v/>
      </c>
      <c r="C16" s="20">
        <f>SUMIFS(Infrastructure!$F$5:$F$20,Infrastructure!$A$5:$A$20,Inputs!$B$82,Infrastructure!$B$5:$B$20,INDEX(Inputs!$A$28:$A$31,MATCH(Inputs!$B$80,Inputs!$B$28:$B$31,1)))*12*(1+Infra_Esc)^(2-1)</f>
        <v/>
      </c>
      <c r="D16" s="20">
        <f>SUMIFS(Infrastructure!$F$5:$F$20,Infrastructure!$A$5:$A$20,Inputs!$B$82,Infrastructure!$B$5:$B$20,INDEX(Inputs!$A$28:$A$31,MATCH(Inputs!$B$80,Inputs!$B$28:$B$31,1)))*12*(1+Infra_Esc)^(3-1)</f>
        <v/>
      </c>
      <c r="E16" s="20">
        <f>SUMIFS(Infrastructure!$F$5:$F$20,Infrastructure!$A$5:$A$20,Inputs!$B$82,Infrastructure!$B$5:$B$20,INDEX(Inputs!$A$28:$A$31,MATCH(Inputs!$B$80,Inputs!$B$28:$B$31,1)))*12*(1+Infra_Esc)^(4-1)</f>
        <v/>
      </c>
      <c r="F16" s="20">
        <f>SUMIFS(Infrastructure!$F$5:$F$20,Infrastructure!$A$5:$A$20,Inputs!$B$82,Infrastructure!$B$5:$B$20,INDEX(Inputs!$A$28:$A$31,MATCH(Inputs!$B$80,Inputs!$B$28:$B$31,1)))*12*(1+Infra_Esc)^(5-1)</f>
        <v/>
      </c>
      <c r="G16" s="34">
        <f>SUM(B16:F16)</f>
        <v/>
      </c>
      <c r="H16" s="20">
        <f>G16/FX</f>
        <v/>
      </c>
    </row>
    <row r="17">
      <c r="A17" s="10" t="inlineStr">
        <is>
          <t>24x7 Severity 1 support</t>
        </is>
      </c>
      <c r="B17" s="20">
        <f>IF(Inputs!$B$83="Yes",INDEX(Inputs!$L$28:$L$31,MATCH(Inputs!$B$80,Inputs!$B$28:$B$31,1))*(1+Esc)^(1-1),0)</f>
        <v/>
      </c>
      <c r="C17" s="20">
        <f>IF(Inputs!$B$83="Yes",INDEX(Inputs!$L$28:$L$31,MATCH(Inputs!$B$80,Inputs!$B$28:$B$31,1))*(1+Esc)^(2-1),0)</f>
        <v/>
      </c>
      <c r="D17" s="20">
        <f>IF(Inputs!$B$83="Yes",INDEX(Inputs!$L$28:$L$31,MATCH(Inputs!$B$80,Inputs!$B$28:$B$31,1))*(1+Esc)^(3-1),0)</f>
        <v/>
      </c>
      <c r="E17" s="20">
        <f>IF(Inputs!$B$83="Yes",INDEX(Inputs!$L$28:$L$31,MATCH(Inputs!$B$80,Inputs!$B$28:$B$31,1))*(1+Esc)^(4-1),0)</f>
        <v/>
      </c>
      <c r="F17" s="20">
        <f>IF(Inputs!$B$83="Yes",INDEX(Inputs!$L$28:$L$31,MATCH(Inputs!$B$80,Inputs!$B$28:$B$31,1))*(1+Esc)^(5-1),0)</f>
        <v/>
      </c>
      <c r="G17" s="34">
        <f>SUM(B17:F17)</f>
        <v/>
      </c>
      <c r="H17" s="20">
        <f>G17/FX</f>
        <v/>
      </c>
    </row>
    <row r="18">
      <c r="A18" s="10" t="inlineStr">
        <is>
          <t>Extra training, migration and integrations (one-time)</t>
        </is>
      </c>
      <c r="B18" s="20">
        <f>Inputs!$B$84*Rate_Trainer+ROUND(Mig_Days_Source*Blended/Round_To,0)*Round_To*Inputs!$B$85+ROUND(Int_Std_Days*Blended/Round_To,0)*Round_To*Inputs!$B$86</f>
        <v/>
      </c>
      <c r="C18" s="20" t="n">
        <v>0</v>
      </c>
      <c r="D18" s="20" t="n">
        <v>0</v>
      </c>
      <c r="E18" s="20" t="n">
        <v>0</v>
      </c>
      <c r="F18" s="20" t="n">
        <v>0</v>
      </c>
      <c r="G18" s="34">
        <f>SUM(B18:F18)</f>
        <v/>
      </c>
      <c r="H18" s="20">
        <f>G18/FX</f>
        <v/>
      </c>
    </row>
    <row r="19">
      <c r="A19" s="18" t="inlineStr">
        <is>
          <t>Optional subtotal</t>
        </is>
      </c>
      <c r="B19" s="34">
        <f>SUM(B16:B18)</f>
        <v/>
      </c>
      <c r="C19" s="34">
        <f>SUM(C16:C18)</f>
        <v/>
      </c>
      <c r="D19" s="34">
        <f>SUM(D16:D18)</f>
        <v/>
      </c>
      <c r="E19" s="34">
        <f>SUM(E16:E18)</f>
        <v/>
      </c>
      <c r="F19" s="34">
        <f>SUM(F16:F18)</f>
        <v/>
      </c>
      <c r="G19" s="34">
        <f>SUM(B19:F19)</f>
        <v/>
      </c>
      <c r="H19" s="20">
        <f>G19/FX</f>
        <v/>
      </c>
    </row>
    <row r="20">
      <c r="A20" s="40" t="inlineStr">
        <is>
          <t>Total cost of ownership</t>
        </is>
      </c>
    </row>
    <row r="21">
      <c r="A21" s="31" t="inlineStr">
        <is>
          <t>Perpetual with options, excl. VAT</t>
        </is>
      </c>
      <c r="B21" s="33">
        <f>B10+B19</f>
        <v/>
      </c>
      <c r="C21" s="33">
        <f>C10+C19</f>
        <v/>
      </c>
      <c r="D21" s="33">
        <f>D10+D19</f>
        <v/>
      </c>
      <c r="E21" s="33">
        <f>E10+E19</f>
        <v/>
      </c>
      <c r="F21" s="33">
        <f>F10+F19</f>
        <v/>
      </c>
      <c r="G21" s="34">
        <f>SUM(B21:F21)</f>
        <v/>
      </c>
      <c r="H21" s="20">
        <f>G21/FX</f>
        <v/>
      </c>
    </row>
    <row r="22">
      <c r="A22" s="31" t="inlineStr">
        <is>
          <t>Subscription with options, excl. VAT</t>
        </is>
      </c>
      <c r="B22" s="33">
        <f>B14+B19</f>
        <v/>
      </c>
      <c r="C22" s="33">
        <f>C14+C19</f>
        <v/>
      </c>
      <c r="D22" s="33">
        <f>D14+D19</f>
        <v/>
      </c>
      <c r="E22" s="33">
        <f>E14+E19</f>
        <v/>
      </c>
      <c r="F22" s="33">
        <f>F14+F19</f>
        <v/>
      </c>
      <c r="G22" s="34">
        <f>SUM(B22:F22)</f>
        <v/>
      </c>
      <c r="H22" s="20">
        <f>G22/FX</f>
        <v/>
      </c>
    </row>
    <row r="23">
      <c r="A23" s="18" t="inlineStr">
        <is>
          <t>Perpetual with options, incl. VAT</t>
        </is>
      </c>
      <c r="B23" s="20">
        <f>B21*(1+VAT)</f>
        <v/>
      </c>
      <c r="C23" s="20">
        <f>C21*(1+VAT)</f>
        <v/>
      </c>
      <c r="D23" s="20">
        <f>D21*(1+VAT)</f>
        <v/>
      </c>
      <c r="E23" s="20">
        <f>E21*(1+VAT)</f>
        <v/>
      </c>
      <c r="F23" s="20">
        <f>F21*(1+VAT)</f>
        <v/>
      </c>
      <c r="G23" s="34">
        <f>SUM(B23:F23)</f>
        <v/>
      </c>
      <c r="H23" s="20">
        <f>G23/FX</f>
        <v/>
      </c>
    </row>
    <row r="24">
      <c r="A24" s="18" t="inlineStr">
        <is>
          <t>Subscription with options, incl. VAT</t>
        </is>
      </c>
      <c r="B24" s="20">
        <f>B22*(1+VAT)</f>
        <v/>
      </c>
      <c r="C24" s="20">
        <f>C22*(1+VAT)</f>
        <v/>
      </c>
      <c r="D24" s="20">
        <f>D22*(1+VAT)</f>
        <v/>
      </c>
      <c r="E24" s="20">
        <f>E22*(1+VAT)</f>
        <v/>
      </c>
      <c r="F24" s="20">
        <f>F22*(1+VAT)</f>
        <v/>
      </c>
      <c r="G24" s="34">
        <f>SUM(B24:F24)</f>
        <v/>
      </c>
      <c r="H24" s="20">
        <f>G24/FX</f>
        <v/>
      </c>
    </row>
    <row r="25">
      <c r="A25" s="18" t="inlineStr">
        <is>
          <t>Lower 5-year cost (excl. VAT)</t>
        </is>
      </c>
      <c r="B25" s="18">
        <f>IF(G21&lt;G22,"Perpetual","Subscription")</f>
        <v/>
      </c>
      <c r="C25" s="10" t="inlineStr">
        <is>
          <t>by (PHP)</t>
        </is>
      </c>
      <c r="D25" s="20">
        <f>ABS(G21-G22)</f>
        <v/>
      </c>
      <c r="E25" s="10" t="inlineStr">
        <is>
          <t>Year 1 cash, perpetual vs subscription</t>
        </is>
      </c>
      <c r="F25" s="9" t="n"/>
      <c r="G25" s="20">
        <f>B21</f>
        <v/>
      </c>
      <c r="H25" s="20">
        <f>B22</f>
        <v/>
      </c>
    </row>
    <row r="27">
      <c r="A27" s="6">
        <f>"Example 2: "&amp;Inputs!$C$79&amp;", "&amp;Inputs!$C$80&amp;" users, "&amp;Inputs!$C$81&amp;" lines of business, tier "&amp;INDEX(Inputs!$A$28:$A$31,MATCH(Inputs!$C$80,Inputs!$B$28:$B$31,1))&amp;", hosting: "&amp;Inputs!$C$82</f>
        <v/>
      </c>
      <c r="B27" s="7" t="n"/>
      <c r="C27" s="7" t="n"/>
      <c r="D27" s="7" t="n"/>
      <c r="E27" s="7" t="n"/>
      <c r="F27" s="7" t="n"/>
      <c r="G27" s="7" t="n"/>
      <c r="H27" s="7" t="n"/>
    </row>
    <row r="28">
      <c r="A28" s="3" t="inlineStr">
        <is>
          <t>Item</t>
        </is>
      </c>
      <c r="B28" s="3" t="inlineStr">
        <is>
          <t>Year 1</t>
        </is>
      </c>
      <c r="C28" s="3" t="inlineStr">
        <is>
          <t>Year 2</t>
        </is>
      </c>
      <c r="D28" s="3" t="inlineStr">
        <is>
          <t>Year 3</t>
        </is>
      </c>
      <c r="E28" s="3" t="inlineStr">
        <is>
          <t>Year 4</t>
        </is>
      </c>
      <c r="F28" s="3" t="inlineStr">
        <is>
          <t>Year 5</t>
        </is>
      </c>
      <c r="G28" s="3" t="inlineStr">
        <is>
          <t>5-year total (PHP)</t>
        </is>
      </c>
      <c r="H28" s="3" t="inlineStr">
        <is>
          <t>5-year total (USD)</t>
        </is>
      </c>
    </row>
    <row r="29">
      <c r="A29" s="40" t="inlineStr">
        <is>
          <t>Model A: perpetual</t>
        </is>
      </c>
    </row>
    <row r="30">
      <c r="A30" s="10" t="inlineStr">
        <is>
          <t>Implementation fee</t>
        </is>
      </c>
      <c r="B30" s="20">
        <f>ROUND((INDEX(Inputs!$G$28:$G$31,MATCH(Inputs!$C$80,Inputs!$B$28:$B$31,1))+MAX(0,Inputs!$C$81-INDEX(Inputs!$H$28:$H$31,MATCH(Inputs!$C$80,Inputs!$B$28:$B$31,1)))*Days_per_LOB)*Blended/Round_To,0)*Round_To</f>
        <v/>
      </c>
      <c r="C30" s="20" t="n">
        <v>0</v>
      </c>
      <c r="D30" s="20" t="n">
        <v>0</v>
      </c>
      <c r="E30" s="20" t="n">
        <v>0</v>
      </c>
      <c r="F30" s="20" t="n">
        <v>0</v>
      </c>
      <c r="G30" s="34">
        <f>SUM(B30:F30)</f>
        <v/>
      </c>
      <c r="H30" s="20">
        <f>G30/FX</f>
        <v/>
      </c>
    </row>
    <row r="31">
      <c r="A31" s="10" t="inlineStr">
        <is>
          <t>Perpetual licence fee</t>
        </is>
      </c>
      <c r="B31" s="20">
        <f>MAX(0,MIN(Inputs!$C$80,Inputs!$C$28)-Inputs!$B$28+1)*Inputs!$D$28+MAX(0,MIN(Inputs!$C$80,Inputs!$C$29)-Inputs!$B$29+1)*Inputs!$D$29+MAX(0,MIN(Inputs!$C$80,Inputs!$C$30)-Inputs!$B$30+1)*Inputs!$D$30+MAX(0,MIN(Inputs!$C$80,Inputs!$C$31)-Inputs!$B$31+1)*Inputs!$D$31</f>
        <v/>
      </c>
      <c r="C31" s="20" t="n">
        <v>0</v>
      </c>
      <c r="D31" s="20" t="n">
        <v>0</v>
      </c>
      <c r="E31" s="20" t="n">
        <v>0</v>
      </c>
      <c r="F31" s="20" t="n">
        <v>0</v>
      </c>
      <c r="G31" s="34">
        <f>SUM(B31:F31)</f>
        <v/>
      </c>
      <c r="H31" s="20">
        <f>G31/FX</f>
        <v/>
      </c>
    </row>
    <row r="32">
      <c r="A32" s="10" t="inlineStr">
        <is>
          <t>AMC (22%, +5% a year)</t>
        </is>
      </c>
      <c r="B32" s="20">
        <f>IF(1&gt;=AMC_Start,$B$31*AMC_Rate*(1+Esc)^(1-AMC_Start),0)</f>
        <v/>
      </c>
      <c r="C32" s="20">
        <f>IF(2&gt;=AMC_Start,$B$31*AMC_Rate*(1+Esc)^(2-AMC_Start),0)</f>
        <v/>
      </c>
      <c r="D32" s="20">
        <f>IF(3&gt;=AMC_Start,$B$31*AMC_Rate*(1+Esc)^(3-AMC_Start),0)</f>
        <v/>
      </c>
      <c r="E32" s="20">
        <f>IF(4&gt;=AMC_Start,$B$31*AMC_Rate*(1+Esc)^(4-AMC_Start),0)</f>
        <v/>
      </c>
      <c r="F32" s="20">
        <f>IF(5&gt;=AMC_Start,$B$31*AMC_Rate*(1+Esc)^(5-AMC_Start),0)</f>
        <v/>
      </c>
      <c r="G32" s="34">
        <f>SUM(B32:F32)</f>
        <v/>
      </c>
      <c r="H32" s="20">
        <f>G32/FX</f>
        <v/>
      </c>
    </row>
    <row r="33">
      <c r="A33" s="18" t="inlineStr">
        <is>
          <t>Software subtotal, perpetual</t>
        </is>
      </c>
      <c r="B33" s="34">
        <f>SUM(B30:B32)</f>
        <v/>
      </c>
      <c r="C33" s="34">
        <f>SUM(C30:C32)</f>
        <v/>
      </c>
      <c r="D33" s="34">
        <f>SUM(D30:D32)</f>
        <v/>
      </c>
      <c r="E33" s="34">
        <f>SUM(E30:E32)</f>
        <v/>
      </c>
      <c r="F33" s="34">
        <f>SUM(F30:F32)</f>
        <v/>
      </c>
      <c r="G33" s="34">
        <f>SUM(B33:F33)</f>
        <v/>
      </c>
      <c r="H33" s="20">
        <f>G33/FX</f>
        <v/>
      </c>
    </row>
    <row r="34">
      <c r="A34" s="40" t="inlineStr">
        <is>
          <t>Model B: subscription</t>
        </is>
      </c>
    </row>
    <row r="35">
      <c r="A35" s="10" t="inlineStr">
        <is>
          <t>Onboarding fee</t>
        </is>
      </c>
      <c r="B35" s="20">
        <f>$B$30*Onboard_Pct</f>
        <v/>
      </c>
      <c r="C35" s="20" t="n">
        <v>0</v>
      </c>
      <c r="D35" s="20" t="n">
        <v>0</v>
      </c>
      <c r="E35" s="20" t="n">
        <v>0</v>
      </c>
      <c r="F35" s="20" t="n">
        <v>0</v>
      </c>
      <c r="G35" s="34">
        <f>SUM(B35:F35)</f>
        <v/>
      </c>
      <c r="H35" s="20">
        <f>G35/FX</f>
        <v/>
      </c>
    </row>
    <row r="36">
      <c r="A36" s="10">
        <f>"Subscription ("&amp;MAX(Inputs!$C$80,INDEX(Inputs!$F$28:$F$31,MATCH(Inputs!$C$80,Inputs!$B$28:$B$31,1)))&amp;" billable users)"</f>
        <v/>
      </c>
      <c r="B36" s="20">
        <f>(MAX(0,MIN(MAX(Inputs!$C$80,INDEX(Inputs!$F$28:$F$31,MATCH(Inputs!$C$80,Inputs!$B$28:$B$31,1))),Inputs!$C$28)-Inputs!$B$28+1)*Inputs!$E$28+MAX(0,MIN(MAX(Inputs!$C$80,INDEX(Inputs!$F$28:$F$31,MATCH(Inputs!$C$80,Inputs!$B$28:$B$31,1))),Inputs!$C$29)-Inputs!$B$29+1)*Inputs!$E$29+MAX(0,MIN(MAX(Inputs!$C$80,INDEX(Inputs!$F$28:$F$31,MATCH(Inputs!$C$80,Inputs!$B$28:$B$31,1))),Inputs!$C$30)-Inputs!$B$30+1)*Inputs!$E$30+MAX(0,MIN(MAX(Inputs!$C$80,INDEX(Inputs!$F$28:$F$31,MATCH(Inputs!$C$80,Inputs!$B$28:$B$31,1))),Inputs!$C$31)-Inputs!$B$31+1)*Inputs!$E$31)*12*(1+Esc)^(1-1)</f>
        <v/>
      </c>
      <c r="C36" s="20">
        <f>(MAX(0,MIN(MAX(Inputs!$C$80,INDEX(Inputs!$F$28:$F$31,MATCH(Inputs!$C$80,Inputs!$B$28:$B$31,1))),Inputs!$C$28)-Inputs!$B$28+1)*Inputs!$E$28+MAX(0,MIN(MAX(Inputs!$C$80,INDEX(Inputs!$F$28:$F$31,MATCH(Inputs!$C$80,Inputs!$B$28:$B$31,1))),Inputs!$C$29)-Inputs!$B$29+1)*Inputs!$E$29+MAX(0,MIN(MAX(Inputs!$C$80,INDEX(Inputs!$F$28:$F$31,MATCH(Inputs!$C$80,Inputs!$B$28:$B$31,1))),Inputs!$C$30)-Inputs!$B$30+1)*Inputs!$E$30+MAX(0,MIN(MAX(Inputs!$C$80,INDEX(Inputs!$F$28:$F$31,MATCH(Inputs!$C$80,Inputs!$B$28:$B$31,1))),Inputs!$C$31)-Inputs!$B$31+1)*Inputs!$E$31)*12*(1+Esc)^(2-1)</f>
        <v/>
      </c>
      <c r="D36" s="20">
        <f>(MAX(0,MIN(MAX(Inputs!$C$80,INDEX(Inputs!$F$28:$F$31,MATCH(Inputs!$C$80,Inputs!$B$28:$B$31,1))),Inputs!$C$28)-Inputs!$B$28+1)*Inputs!$E$28+MAX(0,MIN(MAX(Inputs!$C$80,INDEX(Inputs!$F$28:$F$31,MATCH(Inputs!$C$80,Inputs!$B$28:$B$31,1))),Inputs!$C$29)-Inputs!$B$29+1)*Inputs!$E$29+MAX(0,MIN(MAX(Inputs!$C$80,INDEX(Inputs!$F$28:$F$31,MATCH(Inputs!$C$80,Inputs!$B$28:$B$31,1))),Inputs!$C$30)-Inputs!$B$30+1)*Inputs!$E$30+MAX(0,MIN(MAX(Inputs!$C$80,INDEX(Inputs!$F$28:$F$31,MATCH(Inputs!$C$80,Inputs!$B$28:$B$31,1))),Inputs!$C$31)-Inputs!$B$31+1)*Inputs!$E$31)*12*(1+Esc)^(3-1)</f>
        <v/>
      </c>
      <c r="E36" s="20">
        <f>(MAX(0,MIN(MAX(Inputs!$C$80,INDEX(Inputs!$F$28:$F$31,MATCH(Inputs!$C$80,Inputs!$B$28:$B$31,1))),Inputs!$C$28)-Inputs!$B$28+1)*Inputs!$E$28+MAX(0,MIN(MAX(Inputs!$C$80,INDEX(Inputs!$F$28:$F$31,MATCH(Inputs!$C$80,Inputs!$B$28:$B$31,1))),Inputs!$C$29)-Inputs!$B$29+1)*Inputs!$E$29+MAX(0,MIN(MAX(Inputs!$C$80,INDEX(Inputs!$F$28:$F$31,MATCH(Inputs!$C$80,Inputs!$B$28:$B$31,1))),Inputs!$C$30)-Inputs!$B$30+1)*Inputs!$E$30+MAX(0,MIN(MAX(Inputs!$C$80,INDEX(Inputs!$F$28:$F$31,MATCH(Inputs!$C$80,Inputs!$B$28:$B$31,1))),Inputs!$C$31)-Inputs!$B$31+1)*Inputs!$E$31)*12*(1+Esc)^(4-1)</f>
        <v/>
      </c>
      <c r="F36" s="20">
        <f>(MAX(0,MIN(MAX(Inputs!$C$80,INDEX(Inputs!$F$28:$F$31,MATCH(Inputs!$C$80,Inputs!$B$28:$B$31,1))),Inputs!$C$28)-Inputs!$B$28+1)*Inputs!$E$28+MAX(0,MIN(MAX(Inputs!$C$80,INDEX(Inputs!$F$28:$F$31,MATCH(Inputs!$C$80,Inputs!$B$28:$B$31,1))),Inputs!$C$29)-Inputs!$B$29+1)*Inputs!$E$29+MAX(0,MIN(MAX(Inputs!$C$80,INDEX(Inputs!$F$28:$F$31,MATCH(Inputs!$C$80,Inputs!$B$28:$B$31,1))),Inputs!$C$30)-Inputs!$B$30+1)*Inputs!$E$30+MAX(0,MIN(MAX(Inputs!$C$80,INDEX(Inputs!$F$28:$F$31,MATCH(Inputs!$C$80,Inputs!$B$28:$B$31,1))),Inputs!$C$31)-Inputs!$B$31+1)*Inputs!$E$31)*12*(1+Esc)^(5-1)</f>
        <v/>
      </c>
      <c r="G36" s="34">
        <f>SUM(B36:F36)</f>
        <v/>
      </c>
      <c r="H36" s="20">
        <f>G36/FX</f>
        <v/>
      </c>
    </row>
    <row r="37">
      <c r="A37" s="18" t="inlineStr">
        <is>
          <t>Software subtotal, subscription</t>
        </is>
      </c>
      <c r="B37" s="34">
        <f>B35+B36</f>
        <v/>
      </c>
      <c r="C37" s="34">
        <f>C35+C36</f>
        <v/>
      </c>
      <c r="D37" s="34">
        <f>D35+D36</f>
        <v/>
      </c>
      <c r="E37" s="34">
        <f>E35+E36</f>
        <v/>
      </c>
      <c r="F37" s="34">
        <f>F35+F36</f>
        <v/>
      </c>
      <c r="G37" s="34">
        <f>SUM(B37:F37)</f>
        <v/>
      </c>
      <c r="H37" s="20">
        <f>G37/FX</f>
        <v/>
      </c>
    </row>
    <row r="38">
      <c r="A38" s="40" t="inlineStr">
        <is>
          <t>Optional items (same in both models)</t>
        </is>
      </c>
    </row>
    <row r="39">
      <c r="A39" s="10">
        <f>"Infrastructure: "&amp;Inputs!$C$82</f>
        <v/>
      </c>
      <c r="B39" s="20">
        <f>SUMIFS(Infrastructure!$F$5:$F$20,Infrastructure!$A$5:$A$20,Inputs!$C$82,Infrastructure!$B$5:$B$20,INDEX(Inputs!$A$28:$A$31,MATCH(Inputs!$C$80,Inputs!$B$28:$B$31,1)))*12*(1+Infra_Esc)^(1-1)</f>
        <v/>
      </c>
      <c r="C39" s="20">
        <f>SUMIFS(Infrastructure!$F$5:$F$20,Infrastructure!$A$5:$A$20,Inputs!$C$82,Infrastructure!$B$5:$B$20,INDEX(Inputs!$A$28:$A$31,MATCH(Inputs!$C$80,Inputs!$B$28:$B$31,1)))*12*(1+Infra_Esc)^(2-1)</f>
        <v/>
      </c>
      <c r="D39" s="20">
        <f>SUMIFS(Infrastructure!$F$5:$F$20,Infrastructure!$A$5:$A$20,Inputs!$C$82,Infrastructure!$B$5:$B$20,INDEX(Inputs!$A$28:$A$31,MATCH(Inputs!$C$80,Inputs!$B$28:$B$31,1)))*12*(1+Infra_Esc)^(3-1)</f>
        <v/>
      </c>
      <c r="E39" s="20">
        <f>SUMIFS(Infrastructure!$F$5:$F$20,Infrastructure!$A$5:$A$20,Inputs!$C$82,Infrastructure!$B$5:$B$20,INDEX(Inputs!$A$28:$A$31,MATCH(Inputs!$C$80,Inputs!$B$28:$B$31,1)))*12*(1+Infra_Esc)^(4-1)</f>
        <v/>
      </c>
      <c r="F39" s="20">
        <f>SUMIFS(Infrastructure!$F$5:$F$20,Infrastructure!$A$5:$A$20,Inputs!$C$82,Infrastructure!$B$5:$B$20,INDEX(Inputs!$A$28:$A$31,MATCH(Inputs!$C$80,Inputs!$B$28:$B$31,1)))*12*(1+Infra_Esc)^(5-1)</f>
        <v/>
      </c>
      <c r="G39" s="34">
        <f>SUM(B39:F39)</f>
        <v/>
      </c>
      <c r="H39" s="20">
        <f>G39/FX</f>
        <v/>
      </c>
    </row>
    <row r="40">
      <c r="A40" s="10" t="inlineStr">
        <is>
          <t>24x7 Severity 1 support</t>
        </is>
      </c>
      <c r="B40" s="20">
        <f>IF(Inputs!$C$83="Yes",INDEX(Inputs!$L$28:$L$31,MATCH(Inputs!$C$80,Inputs!$B$28:$B$31,1))*(1+Esc)^(1-1),0)</f>
        <v/>
      </c>
      <c r="C40" s="20">
        <f>IF(Inputs!$C$83="Yes",INDEX(Inputs!$L$28:$L$31,MATCH(Inputs!$C$80,Inputs!$B$28:$B$31,1))*(1+Esc)^(2-1),0)</f>
        <v/>
      </c>
      <c r="D40" s="20">
        <f>IF(Inputs!$C$83="Yes",INDEX(Inputs!$L$28:$L$31,MATCH(Inputs!$C$80,Inputs!$B$28:$B$31,1))*(1+Esc)^(3-1),0)</f>
        <v/>
      </c>
      <c r="E40" s="20">
        <f>IF(Inputs!$C$83="Yes",INDEX(Inputs!$L$28:$L$31,MATCH(Inputs!$C$80,Inputs!$B$28:$B$31,1))*(1+Esc)^(4-1),0)</f>
        <v/>
      </c>
      <c r="F40" s="20">
        <f>IF(Inputs!$C$83="Yes",INDEX(Inputs!$L$28:$L$31,MATCH(Inputs!$C$80,Inputs!$B$28:$B$31,1))*(1+Esc)^(5-1),0)</f>
        <v/>
      </c>
      <c r="G40" s="34">
        <f>SUM(B40:F40)</f>
        <v/>
      </c>
      <c r="H40" s="20">
        <f>G40/FX</f>
        <v/>
      </c>
    </row>
    <row r="41">
      <c r="A41" s="10" t="inlineStr">
        <is>
          <t>Extra training, migration and integrations (one-time)</t>
        </is>
      </c>
      <c r="B41" s="20">
        <f>Inputs!$C$84*Rate_Trainer+ROUND(Mig_Days_Source*Blended/Round_To,0)*Round_To*Inputs!$C$85+ROUND(Int_Std_Days*Blended/Round_To,0)*Round_To*Inputs!$C$86</f>
        <v/>
      </c>
      <c r="C41" s="20" t="n">
        <v>0</v>
      </c>
      <c r="D41" s="20" t="n">
        <v>0</v>
      </c>
      <c r="E41" s="20" t="n">
        <v>0</v>
      </c>
      <c r="F41" s="20" t="n">
        <v>0</v>
      </c>
      <c r="G41" s="34">
        <f>SUM(B41:F41)</f>
        <v/>
      </c>
      <c r="H41" s="20">
        <f>G41/FX</f>
        <v/>
      </c>
    </row>
    <row r="42">
      <c r="A42" s="18" t="inlineStr">
        <is>
          <t>Optional subtotal</t>
        </is>
      </c>
      <c r="B42" s="34">
        <f>SUM(B39:B41)</f>
        <v/>
      </c>
      <c r="C42" s="34">
        <f>SUM(C39:C41)</f>
        <v/>
      </c>
      <c r="D42" s="34">
        <f>SUM(D39:D41)</f>
        <v/>
      </c>
      <c r="E42" s="34">
        <f>SUM(E39:E41)</f>
        <v/>
      </c>
      <c r="F42" s="34">
        <f>SUM(F39:F41)</f>
        <v/>
      </c>
      <c r="G42" s="34">
        <f>SUM(B42:F42)</f>
        <v/>
      </c>
      <c r="H42" s="20">
        <f>G42/FX</f>
        <v/>
      </c>
    </row>
    <row r="43">
      <c r="A43" s="40" t="inlineStr">
        <is>
          <t>Total cost of ownership</t>
        </is>
      </c>
    </row>
    <row r="44">
      <c r="A44" s="31" t="inlineStr">
        <is>
          <t>Perpetual with options, excl. VAT</t>
        </is>
      </c>
      <c r="B44" s="33">
        <f>B33+B42</f>
        <v/>
      </c>
      <c r="C44" s="33">
        <f>C33+C42</f>
        <v/>
      </c>
      <c r="D44" s="33">
        <f>D33+D42</f>
        <v/>
      </c>
      <c r="E44" s="33">
        <f>E33+E42</f>
        <v/>
      </c>
      <c r="F44" s="33">
        <f>F33+F42</f>
        <v/>
      </c>
      <c r="G44" s="34">
        <f>SUM(B44:F44)</f>
        <v/>
      </c>
      <c r="H44" s="20">
        <f>G44/FX</f>
        <v/>
      </c>
    </row>
    <row r="45">
      <c r="A45" s="31" t="inlineStr">
        <is>
          <t>Subscription with options, excl. VAT</t>
        </is>
      </c>
      <c r="B45" s="33">
        <f>B37+B42</f>
        <v/>
      </c>
      <c r="C45" s="33">
        <f>C37+C42</f>
        <v/>
      </c>
      <c r="D45" s="33">
        <f>D37+D42</f>
        <v/>
      </c>
      <c r="E45" s="33">
        <f>E37+E42</f>
        <v/>
      </c>
      <c r="F45" s="33">
        <f>F37+F42</f>
        <v/>
      </c>
      <c r="G45" s="34">
        <f>SUM(B45:F45)</f>
        <v/>
      </c>
      <c r="H45" s="20">
        <f>G45/FX</f>
        <v/>
      </c>
    </row>
    <row r="46">
      <c r="A46" s="18" t="inlineStr">
        <is>
          <t>Perpetual with options, incl. VAT</t>
        </is>
      </c>
      <c r="B46" s="20">
        <f>B44*(1+VAT)</f>
        <v/>
      </c>
      <c r="C46" s="20">
        <f>C44*(1+VAT)</f>
        <v/>
      </c>
      <c r="D46" s="20">
        <f>D44*(1+VAT)</f>
        <v/>
      </c>
      <c r="E46" s="20">
        <f>E44*(1+VAT)</f>
        <v/>
      </c>
      <c r="F46" s="20">
        <f>F44*(1+VAT)</f>
        <v/>
      </c>
      <c r="G46" s="34">
        <f>SUM(B46:F46)</f>
        <v/>
      </c>
      <c r="H46" s="20">
        <f>G46/FX</f>
        <v/>
      </c>
    </row>
    <row r="47">
      <c r="A47" s="18" t="inlineStr">
        <is>
          <t>Subscription with options, incl. VAT</t>
        </is>
      </c>
      <c r="B47" s="20">
        <f>B45*(1+VAT)</f>
        <v/>
      </c>
      <c r="C47" s="20">
        <f>C45*(1+VAT)</f>
        <v/>
      </c>
      <c r="D47" s="20">
        <f>D45*(1+VAT)</f>
        <v/>
      </c>
      <c r="E47" s="20">
        <f>E45*(1+VAT)</f>
        <v/>
      </c>
      <c r="F47" s="20">
        <f>F45*(1+VAT)</f>
        <v/>
      </c>
      <c r="G47" s="34">
        <f>SUM(B47:F47)</f>
        <v/>
      </c>
      <c r="H47" s="20">
        <f>G47/FX</f>
        <v/>
      </c>
    </row>
    <row r="48">
      <c r="A48" s="18" t="inlineStr">
        <is>
          <t>Lower 5-year cost (excl. VAT)</t>
        </is>
      </c>
      <c r="B48" s="18">
        <f>IF(G44&lt;G45,"Perpetual","Subscription")</f>
        <v/>
      </c>
      <c r="C48" s="10" t="inlineStr">
        <is>
          <t>by (PHP)</t>
        </is>
      </c>
      <c r="D48" s="20">
        <f>ABS(G44-G45)</f>
        <v/>
      </c>
      <c r="E48" s="10" t="inlineStr">
        <is>
          <t>Year 1 cash, perpetual vs subscription</t>
        </is>
      </c>
      <c r="F48" s="9" t="n"/>
      <c r="G48" s="20">
        <f>B44</f>
        <v/>
      </c>
      <c r="H48" s="20">
        <f>B45</f>
        <v/>
      </c>
    </row>
    <row r="50">
      <c r="A50" s="6">
        <f>"Example 3: "&amp;Inputs!$D$79&amp;", "&amp;Inputs!$D$80&amp;" users, "&amp;Inputs!$D$81&amp;" lines of business, tier "&amp;INDEX(Inputs!$A$28:$A$31,MATCH(Inputs!$D$80,Inputs!$B$28:$B$31,1))&amp;", hosting: "&amp;Inputs!$D$82</f>
        <v/>
      </c>
      <c r="B50" s="7" t="n"/>
      <c r="C50" s="7" t="n"/>
      <c r="D50" s="7" t="n"/>
      <c r="E50" s="7" t="n"/>
      <c r="F50" s="7" t="n"/>
      <c r="G50" s="7" t="n"/>
      <c r="H50" s="7" t="n"/>
    </row>
    <row r="51">
      <c r="A51" s="3" t="inlineStr">
        <is>
          <t>Item</t>
        </is>
      </c>
      <c r="B51" s="3" t="inlineStr">
        <is>
          <t>Year 1</t>
        </is>
      </c>
      <c r="C51" s="3" t="inlineStr">
        <is>
          <t>Year 2</t>
        </is>
      </c>
      <c r="D51" s="3" t="inlineStr">
        <is>
          <t>Year 3</t>
        </is>
      </c>
      <c r="E51" s="3" t="inlineStr">
        <is>
          <t>Year 4</t>
        </is>
      </c>
      <c r="F51" s="3" t="inlineStr">
        <is>
          <t>Year 5</t>
        </is>
      </c>
      <c r="G51" s="3" t="inlineStr">
        <is>
          <t>5-year total (PHP)</t>
        </is>
      </c>
      <c r="H51" s="3" t="inlineStr">
        <is>
          <t>5-year total (USD)</t>
        </is>
      </c>
    </row>
    <row r="52">
      <c r="A52" s="40" t="inlineStr">
        <is>
          <t>Model A: perpetual</t>
        </is>
      </c>
    </row>
    <row r="53">
      <c r="A53" s="10" t="inlineStr">
        <is>
          <t>Implementation fee</t>
        </is>
      </c>
      <c r="B53" s="20">
        <f>ROUND((INDEX(Inputs!$G$28:$G$31,MATCH(Inputs!$D$80,Inputs!$B$28:$B$31,1))+MAX(0,Inputs!$D$81-INDEX(Inputs!$H$28:$H$31,MATCH(Inputs!$D$80,Inputs!$B$28:$B$31,1)))*Days_per_LOB)*Blended/Round_To,0)*Round_To</f>
        <v/>
      </c>
      <c r="C53" s="20" t="n">
        <v>0</v>
      </c>
      <c r="D53" s="20" t="n">
        <v>0</v>
      </c>
      <c r="E53" s="20" t="n">
        <v>0</v>
      </c>
      <c r="F53" s="20" t="n">
        <v>0</v>
      </c>
      <c r="G53" s="34">
        <f>SUM(B53:F53)</f>
        <v/>
      </c>
      <c r="H53" s="20">
        <f>G53/FX</f>
        <v/>
      </c>
    </row>
    <row r="54">
      <c r="A54" s="10" t="inlineStr">
        <is>
          <t>Perpetual licence fee</t>
        </is>
      </c>
      <c r="B54" s="20">
        <f>MAX(0,MIN(Inputs!$D$80,Inputs!$C$28)-Inputs!$B$28+1)*Inputs!$D$28+MAX(0,MIN(Inputs!$D$80,Inputs!$C$29)-Inputs!$B$29+1)*Inputs!$D$29+MAX(0,MIN(Inputs!$D$80,Inputs!$C$30)-Inputs!$B$30+1)*Inputs!$D$30+MAX(0,MIN(Inputs!$D$80,Inputs!$C$31)-Inputs!$B$31+1)*Inputs!$D$31</f>
        <v/>
      </c>
      <c r="C54" s="20" t="n">
        <v>0</v>
      </c>
      <c r="D54" s="20" t="n">
        <v>0</v>
      </c>
      <c r="E54" s="20" t="n">
        <v>0</v>
      </c>
      <c r="F54" s="20" t="n">
        <v>0</v>
      </c>
      <c r="G54" s="34">
        <f>SUM(B54:F54)</f>
        <v/>
      </c>
      <c r="H54" s="20">
        <f>G54/FX</f>
        <v/>
      </c>
    </row>
    <row r="55">
      <c r="A55" s="10" t="inlineStr">
        <is>
          <t>AMC (22%, +5% a year)</t>
        </is>
      </c>
      <c r="B55" s="20">
        <f>IF(1&gt;=AMC_Start,$B$54*AMC_Rate*(1+Esc)^(1-AMC_Start),0)</f>
        <v/>
      </c>
      <c r="C55" s="20">
        <f>IF(2&gt;=AMC_Start,$B$54*AMC_Rate*(1+Esc)^(2-AMC_Start),0)</f>
        <v/>
      </c>
      <c r="D55" s="20">
        <f>IF(3&gt;=AMC_Start,$B$54*AMC_Rate*(1+Esc)^(3-AMC_Start),0)</f>
        <v/>
      </c>
      <c r="E55" s="20">
        <f>IF(4&gt;=AMC_Start,$B$54*AMC_Rate*(1+Esc)^(4-AMC_Start),0)</f>
        <v/>
      </c>
      <c r="F55" s="20">
        <f>IF(5&gt;=AMC_Start,$B$54*AMC_Rate*(1+Esc)^(5-AMC_Start),0)</f>
        <v/>
      </c>
      <c r="G55" s="34">
        <f>SUM(B55:F55)</f>
        <v/>
      </c>
      <c r="H55" s="20">
        <f>G55/FX</f>
        <v/>
      </c>
    </row>
    <row r="56">
      <c r="A56" s="18" t="inlineStr">
        <is>
          <t>Software subtotal, perpetual</t>
        </is>
      </c>
      <c r="B56" s="34">
        <f>SUM(B53:B55)</f>
        <v/>
      </c>
      <c r="C56" s="34">
        <f>SUM(C53:C55)</f>
        <v/>
      </c>
      <c r="D56" s="34">
        <f>SUM(D53:D55)</f>
        <v/>
      </c>
      <c r="E56" s="34">
        <f>SUM(E53:E55)</f>
        <v/>
      </c>
      <c r="F56" s="34">
        <f>SUM(F53:F55)</f>
        <v/>
      </c>
      <c r="G56" s="34">
        <f>SUM(B56:F56)</f>
        <v/>
      </c>
      <c r="H56" s="20">
        <f>G56/FX</f>
        <v/>
      </c>
    </row>
    <row r="57">
      <c r="A57" s="40" t="inlineStr">
        <is>
          <t>Model B: subscription</t>
        </is>
      </c>
    </row>
    <row r="58">
      <c r="A58" s="10" t="inlineStr">
        <is>
          <t>Onboarding fee</t>
        </is>
      </c>
      <c r="B58" s="20">
        <f>$B$53*Onboard_Pct</f>
        <v/>
      </c>
      <c r="C58" s="20" t="n">
        <v>0</v>
      </c>
      <c r="D58" s="20" t="n">
        <v>0</v>
      </c>
      <c r="E58" s="20" t="n">
        <v>0</v>
      </c>
      <c r="F58" s="20" t="n">
        <v>0</v>
      </c>
      <c r="G58" s="34">
        <f>SUM(B58:F58)</f>
        <v/>
      </c>
      <c r="H58" s="20">
        <f>G58/FX</f>
        <v/>
      </c>
    </row>
    <row r="59">
      <c r="A59" s="10">
        <f>"Subscription ("&amp;MAX(Inputs!$D$80,INDEX(Inputs!$F$28:$F$31,MATCH(Inputs!$D$80,Inputs!$B$28:$B$31,1)))&amp;" billable users)"</f>
        <v/>
      </c>
      <c r="B59" s="20">
        <f>(MAX(0,MIN(MAX(Inputs!$D$80,INDEX(Inputs!$F$28:$F$31,MATCH(Inputs!$D$80,Inputs!$B$28:$B$31,1))),Inputs!$C$28)-Inputs!$B$28+1)*Inputs!$E$28+MAX(0,MIN(MAX(Inputs!$D$80,INDEX(Inputs!$F$28:$F$31,MATCH(Inputs!$D$80,Inputs!$B$28:$B$31,1))),Inputs!$C$29)-Inputs!$B$29+1)*Inputs!$E$29+MAX(0,MIN(MAX(Inputs!$D$80,INDEX(Inputs!$F$28:$F$31,MATCH(Inputs!$D$80,Inputs!$B$28:$B$31,1))),Inputs!$C$30)-Inputs!$B$30+1)*Inputs!$E$30+MAX(0,MIN(MAX(Inputs!$D$80,INDEX(Inputs!$F$28:$F$31,MATCH(Inputs!$D$80,Inputs!$B$28:$B$31,1))),Inputs!$C$31)-Inputs!$B$31+1)*Inputs!$E$31)*12*(1+Esc)^(1-1)</f>
        <v/>
      </c>
      <c r="C59" s="20">
        <f>(MAX(0,MIN(MAX(Inputs!$D$80,INDEX(Inputs!$F$28:$F$31,MATCH(Inputs!$D$80,Inputs!$B$28:$B$31,1))),Inputs!$C$28)-Inputs!$B$28+1)*Inputs!$E$28+MAX(0,MIN(MAX(Inputs!$D$80,INDEX(Inputs!$F$28:$F$31,MATCH(Inputs!$D$80,Inputs!$B$28:$B$31,1))),Inputs!$C$29)-Inputs!$B$29+1)*Inputs!$E$29+MAX(0,MIN(MAX(Inputs!$D$80,INDEX(Inputs!$F$28:$F$31,MATCH(Inputs!$D$80,Inputs!$B$28:$B$31,1))),Inputs!$C$30)-Inputs!$B$30+1)*Inputs!$E$30+MAX(0,MIN(MAX(Inputs!$D$80,INDEX(Inputs!$F$28:$F$31,MATCH(Inputs!$D$80,Inputs!$B$28:$B$31,1))),Inputs!$C$31)-Inputs!$B$31+1)*Inputs!$E$31)*12*(1+Esc)^(2-1)</f>
        <v/>
      </c>
      <c r="D59" s="20">
        <f>(MAX(0,MIN(MAX(Inputs!$D$80,INDEX(Inputs!$F$28:$F$31,MATCH(Inputs!$D$80,Inputs!$B$28:$B$31,1))),Inputs!$C$28)-Inputs!$B$28+1)*Inputs!$E$28+MAX(0,MIN(MAX(Inputs!$D$80,INDEX(Inputs!$F$28:$F$31,MATCH(Inputs!$D$80,Inputs!$B$28:$B$31,1))),Inputs!$C$29)-Inputs!$B$29+1)*Inputs!$E$29+MAX(0,MIN(MAX(Inputs!$D$80,INDEX(Inputs!$F$28:$F$31,MATCH(Inputs!$D$80,Inputs!$B$28:$B$31,1))),Inputs!$C$30)-Inputs!$B$30+1)*Inputs!$E$30+MAX(0,MIN(MAX(Inputs!$D$80,INDEX(Inputs!$F$28:$F$31,MATCH(Inputs!$D$80,Inputs!$B$28:$B$31,1))),Inputs!$C$31)-Inputs!$B$31+1)*Inputs!$E$31)*12*(1+Esc)^(3-1)</f>
        <v/>
      </c>
      <c r="E59" s="20">
        <f>(MAX(0,MIN(MAX(Inputs!$D$80,INDEX(Inputs!$F$28:$F$31,MATCH(Inputs!$D$80,Inputs!$B$28:$B$31,1))),Inputs!$C$28)-Inputs!$B$28+1)*Inputs!$E$28+MAX(0,MIN(MAX(Inputs!$D$80,INDEX(Inputs!$F$28:$F$31,MATCH(Inputs!$D$80,Inputs!$B$28:$B$31,1))),Inputs!$C$29)-Inputs!$B$29+1)*Inputs!$E$29+MAX(0,MIN(MAX(Inputs!$D$80,INDEX(Inputs!$F$28:$F$31,MATCH(Inputs!$D$80,Inputs!$B$28:$B$31,1))),Inputs!$C$30)-Inputs!$B$30+1)*Inputs!$E$30+MAX(0,MIN(MAX(Inputs!$D$80,INDEX(Inputs!$F$28:$F$31,MATCH(Inputs!$D$80,Inputs!$B$28:$B$31,1))),Inputs!$C$31)-Inputs!$B$31+1)*Inputs!$E$31)*12*(1+Esc)^(4-1)</f>
        <v/>
      </c>
      <c r="F59" s="20">
        <f>(MAX(0,MIN(MAX(Inputs!$D$80,INDEX(Inputs!$F$28:$F$31,MATCH(Inputs!$D$80,Inputs!$B$28:$B$31,1))),Inputs!$C$28)-Inputs!$B$28+1)*Inputs!$E$28+MAX(0,MIN(MAX(Inputs!$D$80,INDEX(Inputs!$F$28:$F$31,MATCH(Inputs!$D$80,Inputs!$B$28:$B$31,1))),Inputs!$C$29)-Inputs!$B$29+1)*Inputs!$E$29+MAX(0,MIN(MAX(Inputs!$D$80,INDEX(Inputs!$F$28:$F$31,MATCH(Inputs!$D$80,Inputs!$B$28:$B$31,1))),Inputs!$C$30)-Inputs!$B$30+1)*Inputs!$E$30+MAX(0,MIN(MAX(Inputs!$D$80,INDEX(Inputs!$F$28:$F$31,MATCH(Inputs!$D$80,Inputs!$B$28:$B$31,1))),Inputs!$C$31)-Inputs!$B$31+1)*Inputs!$E$31)*12*(1+Esc)^(5-1)</f>
        <v/>
      </c>
      <c r="G59" s="34">
        <f>SUM(B59:F59)</f>
        <v/>
      </c>
      <c r="H59" s="20">
        <f>G59/FX</f>
        <v/>
      </c>
    </row>
    <row r="60">
      <c r="A60" s="18" t="inlineStr">
        <is>
          <t>Software subtotal, subscription</t>
        </is>
      </c>
      <c r="B60" s="34">
        <f>B58+B59</f>
        <v/>
      </c>
      <c r="C60" s="34">
        <f>C58+C59</f>
        <v/>
      </c>
      <c r="D60" s="34">
        <f>D58+D59</f>
        <v/>
      </c>
      <c r="E60" s="34">
        <f>E58+E59</f>
        <v/>
      </c>
      <c r="F60" s="34">
        <f>F58+F59</f>
        <v/>
      </c>
      <c r="G60" s="34">
        <f>SUM(B60:F60)</f>
        <v/>
      </c>
      <c r="H60" s="20">
        <f>G60/FX</f>
        <v/>
      </c>
    </row>
    <row r="61">
      <c r="A61" s="40" t="inlineStr">
        <is>
          <t>Optional items (same in both models)</t>
        </is>
      </c>
    </row>
    <row r="62">
      <c r="A62" s="10">
        <f>"Infrastructure: "&amp;Inputs!$D$82</f>
        <v/>
      </c>
      <c r="B62" s="20">
        <f>SUMIFS(Infrastructure!$F$5:$F$20,Infrastructure!$A$5:$A$20,Inputs!$D$82,Infrastructure!$B$5:$B$20,INDEX(Inputs!$A$28:$A$31,MATCH(Inputs!$D$80,Inputs!$B$28:$B$31,1)))*12*(1+Infra_Esc)^(1-1)</f>
        <v/>
      </c>
      <c r="C62" s="20">
        <f>SUMIFS(Infrastructure!$F$5:$F$20,Infrastructure!$A$5:$A$20,Inputs!$D$82,Infrastructure!$B$5:$B$20,INDEX(Inputs!$A$28:$A$31,MATCH(Inputs!$D$80,Inputs!$B$28:$B$31,1)))*12*(1+Infra_Esc)^(2-1)</f>
        <v/>
      </c>
      <c r="D62" s="20">
        <f>SUMIFS(Infrastructure!$F$5:$F$20,Infrastructure!$A$5:$A$20,Inputs!$D$82,Infrastructure!$B$5:$B$20,INDEX(Inputs!$A$28:$A$31,MATCH(Inputs!$D$80,Inputs!$B$28:$B$31,1)))*12*(1+Infra_Esc)^(3-1)</f>
        <v/>
      </c>
      <c r="E62" s="20">
        <f>SUMIFS(Infrastructure!$F$5:$F$20,Infrastructure!$A$5:$A$20,Inputs!$D$82,Infrastructure!$B$5:$B$20,INDEX(Inputs!$A$28:$A$31,MATCH(Inputs!$D$80,Inputs!$B$28:$B$31,1)))*12*(1+Infra_Esc)^(4-1)</f>
        <v/>
      </c>
      <c r="F62" s="20">
        <f>SUMIFS(Infrastructure!$F$5:$F$20,Infrastructure!$A$5:$A$20,Inputs!$D$82,Infrastructure!$B$5:$B$20,INDEX(Inputs!$A$28:$A$31,MATCH(Inputs!$D$80,Inputs!$B$28:$B$31,1)))*12*(1+Infra_Esc)^(5-1)</f>
        <v/>
      </c>
      <c r="G62" s="34">
        <f>SUM(B62:F62)</f>
        <v/>
      </c>
      <c r="H62" s="20">
        <f>G62/FX</f>
        <v/>
      </c>
    </row>
    <row r="63">
      <c r="A63" s="10" t="inlineStr">
        <is>
          <t>24x7 Severity 1 support</t>
        </is>
      </c>
      <c r="B63" s="20">
        <f>IF(Inputs!$D$83="Yes",INDEX(Inputs!$L$28:$L$31,MATCH(Inputs!$D$80,Inputs!$B$28:$B$31,1))*(1+Esc)^(1-1),0)</f>
        <v/>
      </c>
      <c r="C63" s="20">
        <f>IF(Inputs!$D$83="Yes",INDEX(Inputs!$L$28:$L$31,MATCH(Inputs!$D$80,Inputs!$B$28:$B$31,1))*(1+Esc)^(2-1),0)</f>
        <v/>
      </c>
      <c r="D63" s="20">
        <f>IF(Inputs!$D$83="Yes",INDEX(Inputs!$L$28:$L$31,MATCH(Inputs!$D$80,Inputs!$B$28:$B$31,1))*(1+Esc)^(3-1),0)</f>
        <v/>
      </c>
      <c r="E63" s="20">
        <f>IF(Inputs!$D$83="Yes",INDEX(Inputs!$L$28:$L$31,MATCH(Inputs!$D$80,Inputs!$B$28:$B$31,1))*(1+Esc)^(4-1),0)</f>
        <v/>
      </c>
      <c r="F63" s="20">
        <f>IF(Inputs!$D$83="Yes",INDEX(Inputs!$L$28:$L$31,MATCH(Inputs!$D$80,Inputs!$B$28:$B$31,1))*(1+Esc)^(5-1),0)</f>
        <v/>
      </c>
      <c r="G63" s="34">
        <f>SUM(B63:F63)</f>
        <v/>
      </c>
      <c r="H63" s="20">
        <f>G63/FX</f>
        <v/>
      </c>
    </row>
    <row r="64">
      <c r="A64" s="10" t="inlineStr">
        <is>
          <t>Extra training, migration and integrations (one-time)</t>
        </is>
      </c>
      <c r="B64" s="20">
        <f>Inputs!$D$84*Rate_Trainer+ROUND(Mig_Days_Source*Blended/Round_To,0)*Round_To*Inputs!$D$85+ROUND(Int_Std_Days*Blended/Round_To,0)*Round_To*Inputs!$D$86</f>
        <v/>
      </c>
      <c r="C64" s="20" t="n">
        <v>0</v>
      </c>
      <c r="D64" s="20" t="n">
        <v>0</v>
      </c>
      <c r="E64" s="20" t="n">
        <v>0</v>
      </c>
      <c r="F64" s="20" t="n">
        <v>0</v>
      </c>
      <c r="G64" s="34">
        <f>SUM(B64:F64)</f>
        <v/>
      </c>
      <c r="H64" s="20">
        <f>G64/FX</f>
        <v/>
      </c>
    </row>
    <row r="65">
      <c r="A65" s="18" t="inlineStr">
        <is>
          <t>Optional subtotal</t>
        </is>
      </c>
      <c r="B65" s="34">
        <f>SUM(B62:B64)</f>
        <v/>
      </c>
      <c r="C65" s="34">
        <f>SUM(C62:C64)</f>
        <v/>
      </c>
      <c r="D65" s="34">
        <f>SUM(D62:D64)</f>
        <v/>
      </c>
      <c r="E65" s="34">
        <f>SUM(E62:E64)</f>
        <v/>
      </c>
      <c r="F65" s="34">
        <f>SUM(F62:F64)</f>
        <v/>
      </c>
      <c r="G65" s="34">
        <f>SUM(B65:F65)</f>
        <v/>
      </c>
      <c r="H65" s="20">
        <f>G65/FX</f>
        <v/>
      </c>
    </row>
    <row r="66">
      <c r="A66" s="40" t="inlineStr">
        <is>
          <t>Total cost of ownership</t>
        </is>
      </c>
    </row>
    <row r="67">
      <c r="A67" s="31" t="inlineStr">
        <is>
          <t>Perpetual with options, excl. VAT</t>
        </is>
      </c>
      <c r="B67" s="33">
        <f>B56+B65</f>
        <v/>
      </c>
      <c r="C67" s="33">
        <f>C56+C65</f>
        <v/>
      </c>
      <c r="D67" s="33">
        <f>D56+D65</f>
        <v/>
      </c>
      <c r="E67" s="33">
        <f>E56+E65</f>
        <v/>
      </c>
      <c r="F67" s="33">
        <f>F56+F65</f>
        <v/>
      </c>
      <c r="G67" s="34">
        <f>SUM(B67:F67)</f>
        <v/>
      </c>
      <c r="H67" s="20">
        <f>G67/FX</f>
        <v/>
      </c>
    </row>
    <row r="68">
      <c r="A68" s="31" t="inlineStr">
        <is>
          <t>Subscription with options, excl. VAT</t>
        </is>
      </c>
      <c r="B68" s="33">
        <f>B60+B65</f>
        <v/>
      </c>
      <c r="C68" s="33">
        <f>C60+C65</f>
        <v/>
      </c>
      <c r="D68" s="33">
        <f>D60+D65</f>
        <v/>
      </c>
      <c r="E68" s="33">
        <f>E60+E65</f>
        <v/>
      </c>
      <c r="F68" s="33">
        <f>F60+F65</f>
        <v/>
      </c>
      <c r="G68" s="34">
        <f>SUM(B68:F68)</f>
        <v/>
      </c>
      <c r="H68" s="20">
        <f>G68/FX</f>
        <v/>
      </c>
    </row>
    <row r="69">
      <c r="A69" s="18" t="inlineStr">
        <is>
          <t>Perpetual with options, incl. VAT</t>
        </is>
      </c>
      <c r="B69" s="20">
        <f>B67*(1+VAT)</f>
        <v/>
      </c>
      <c r="C69" s="20">
        <f>C67*(1+VAT)</f>
        <v/>
      </c>
      <c r="D69" s="20">
        <f>D67*(1+VAT)</f>
        <v/>
      </c>
      <c r="E69" s="20">
        <f>E67*(1+VAT)</f>
        <v/>
      </c>
      <c r="F69" s="20">
        <f>F67*(1+VAT)</f>
        <v/>
      </c>
      <c r="G69" s="34">
        <f>SUM(B69:F69)</f>
        <v/>
      </c>
      <c r="H69" s="20">
        <f>G69/FX</f>
        <v/>
      </c>
    </row>
    <row r="70">
      <c r="A70" s="18" t="inlineStr">
        <is>
          <t>Subscription with options, incl. VAT</t>
        </is>
      </c>
      <c r="B70" s="20">
        <f>B68*(1+VAT)</f>
        <v/>
      </c>
      <c r="C70" s="20">
        <f>C68*(1+VAT)</f>
        <v/>
      </c>
      <c r="D70" s="20">
        <f>D68*(1+VAT)</f>
        <v/>
      </c>
      <c r="E70" s="20">
        <f>E68*(1+VAT)</f>
        <v/>
      </c>
      <c r="F70" s="20">
        <f>F68*(1+VAT)</f>
        <v/>
      </c>
      <c r="G70" s="34">
        <f>SUM(B70:F70)</f>
        <v/>
      </c>
      <c r="H70" s="20">
        <f>G70/FX</f>
        <v/>
      </c>
    </row>
    <row r="71">
      <c r="A71" s="18" t="inlineStr">
        <is>
          <t>Lower 5-year cost (excl. VAT)</t>
        </is>
      </c>
      <c r="B71" s="18">
        <f>IF(G67&lt;G68,"Perpetual","Subscription")</f>
        <v/>
      </c>
      <c r="C71" s="10" t="inlineStr">
        <is>
          <t>by (PHP)</t>
        </is>
      </c>
      <c r="D71" s="20">
        <f>ABS(G67-G68)</f>
        <v/>
      </c>
      <c r="E71" s="10" t="inlineStr">
        <is>
          <t>Year 1 cash, perpetual vs subscription</t>
        </is>
      </c>
      <c r="F71" s="9" t="n"/>
      <c r="G71" s="20">
        <f>B67</f>
        <v/>
      </c>
      <c r="H71" s="20">
        <f>B68</f>
        <v/>
      </c>
    </row>
    <row r="73">
      <c r="A73" s="41" t="inlineStr">
        <is>
          <t>Payment terms assumed: implementation 40% on signing, 40% on UAT sign-off, 20% on go-live; perpetual licence on go-live; AMC yearly in advance; subscription and hosting monthly in advance.</t>
        </is>
      </c>
      <c r="B73" s="8" t="n"/>
      <c r="C73" s="8" t="n"/>
      <c r="D73" s="8" t="n"/>
      <c r="E73" s="8" t="n"/>
      <c r="F73" s="8" t="n"/>
      <c r="G73" s="8" t="n"/>
      <c r="H73" s="9" t="n"/>
    </row>
  </sheetData>
  <mergeCells count="4">
    <mergeCell ref="E48:F48"/>
    <mergeCell ref="E25:F25"/>
    <mergeCell ref="A73:H73"/>
    <mergeCell ref="E71:F71"/>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J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18" customWidth="1" min="2" max="2"/>
    <col width="22" customWidth="1" min="3" max="3"/>
    <col width="30" customWidth="1" min="4" max="4"/>
    <col width="13" customWidth="1" min="5" max="5"/>
    <col width="13" customWidth="1" min="6" max="6"/>
    <col width="17" customWidth="1" min="7" max="7"/>
    <col width="17" customWidth="1" min="8" max="8"/>
    <col width="12" customWidth="1" min="9" max="9"/>
    <col width="54" customWidth="1" min="10" max="10"/>
  </cols>
  <sheetData>
    <row r="1">
      <c r="A1" s="1" t="inlineStr">
        <is>
          <t>Market benchmark: comparable systems and prices</t>
        </is>
      </c>
    </row>
    <row r="2">
      <c r="A2" s="2" t="inlineStr">
        <is>
          <t>Published prices are rare in this market. "Third-party estimate" means a review or comparison site, not the vendor. Converted at the Inputs exchange rate.</t>
        </is>
      </c>
    </row>
    <row r="4" ht="45" customHeight="1">
      <c r="A4" s="3" t="inlineStr">
        <is>
          <t>Vendor / product</t>
        </is>
      </c>
      <c r="B4" s="3" t="inlineStr">
        <is>
          <t>Origin / market</t>
        </is>
      </c>
      <c r="C4" s="3" t="inlineStr">
        <is>
          <t>Pricing model</t>
        </is>
      </c>
      <c r="D4" s="3" t="inlineStr">
        <is>
          <t>Price as found</t>
        </is>
      </c>
      <c r="E4" s="3" t="inlineStr">
        <is>
          <t>Low (USD per user per month)</t>
        </is>
      </c>
      <c r="F4" s="3" t="inlineStr">
        <is>
          <t>High (USD per user per month)</t>
        </is>
      </c>
      <c r="G4" s="3" t="inlineStr">
        <is>
          <t>Low (PHP per user per month)</t>
        </is>
      </c>
      <c r="H4" s="3" t="inlineStr">
        <is>
          <t>High (PHP per user per month)</t>
        </is>
      </c>
      <c r="I4" s="3" t="inlineStr">
        <is>
          <t>Source ID</t>
        </is>
      </c>
      <c r="J4" s="3" t="inlineStr">
        <is>
          <t>Type of evidence and notes</t>
        </is>
      </c>
    </row>
    <row r="5" ht="60" customHeight="1">
      <c r="A5" s="18" t="inlineStr">
        <is>
          <t>Applied Epic</t>
        </is>
      </c>
      <c r="B5" s="5" t="inlineStr">
        <is>
          <t>USA, global</t>
        </is>
      </c>
      <c r="C5" s="5" t="inlineStr">
        <is>
          <t>Subscription per user, quote only</t>
        </is>
      </c>
      <c r="D5" s="5" t="inlineStr">
        <is>
          <t>USD 125 to 250 per user per month; set-up USD 10,000 to 25,000</t>
        </is>
      </c>
      <c r="E5" s="20" t="n">
        <v>125</v>
      </c>
      <c r="F5" s="20" t="n">
        <v>250</v>
      </c>
      <c r="G5" s="20">
        <f>IF(E5="","",E5*FX)</f>
        <v/>
      </c>
      <c r="H5" s="20">
        <f>IF(F5="","",F5*FX)</f>
        <v/>
      </c>
      <c r="I5" s="10" t="inlineStr">
        <is>
          <t>S5</t>
        </is>
      </c>
      <c r="J5" s="19" t="inlineStr">
        <is>
          <t>Third-party estimate. Large-agency system; not localised for Philippine taxes or IC reports.</t>
        </is>
      </c>
    </row>
    <row r="6" ht="60" customHeight="1">
      <c r="A6" s="18" t="inlineStr">
        <is>
          <t>Applied Sagitta</t>
        </is>
      </c>
      <c r="B6" s="5" t="inlineStr">
        <is>
          <t>USA</t>
        </is>
      </c>
      <c r="C6" s="5" t="inlineStr">
        <is>
          <t>Enterprise, quote only</t>
        </is>
      </c>
      <c r="D6" s="5" t="inlineStr">
        <is>
          <t>USD 200 to 500 per user per month plus set-up</t>
        </is>
      </c>
      <c r="E6" s="20" t="n">
        <v>200</v>
      </c>
      <c r="F6" s="20" t="n">
        <v>500</v>
      </c>
      <c r="G6" s="20">
        <f>IF(E6="","",E6*FX)</f>
        <v/>
      </c>
      <c r="H6" s="20">
        <f>IF(F6="","",F6*FX)</f>
        <v/>
      </c>
      <c r="I6" s="10" t="inlineStr">
        <is>
          <t>S9</t>
        </is>
      </c>
      <c r="J6" s="19" t="inlineStr">
        <is>
          <t>Third-party estimate.</t>
        </is>
      </c>
    </row>
    <row r="7" ht="60" customHeight="1">
      <c r="A7" s="18" t="inlineStr">
        <is>
          <t>Vertafore AMS360</t>
        </is>
      </c>
      <c r="B7" s="5" t="inlineStr">
        <is>
          <t>USA</t>
        </is>
      </c>
      <c r="C7" s="5" t="inlineStr">
        <is>
          <t>Subscription per user, quote only</t>
        </is>
      </c>
      <c r="D7" s="5" t="inlineStr">
        <is>
          <t>Listings from USD 99; agencies report USD 150 to 300 per user per month</t>
        </is>
      </c>
      <c r="E7" s="20" t="n">
        <v>150</v>
      </c>
      <c r="F7" s="20" t="n">
        <v>300</v>
      </c>
      <c r="G7" s="20">
        <f>IF(E7="","",E7*FX)</f>
        <v/>
      </c>
      <c r="H7" s="20">
        <f>IF(F7="","",F7*FX)</f>
        <v/>
      </c>
      <c r="I7" s="10" t="inlineStr">
        <is>
          <t>S6</t>
        </is>
      </c>
      <c r="J7" s="19" t="inlineStr">
        <is>
          <t>Third-party estimate.</t>
        </is>
      </c>
    </row>
    <row r="8" ht="60" customHeight="1">
      <c r="A8" s="18" t="inlineStr">
        <is>
          <t>Insly</t>
        </is>
      </c>
      <c r="B8" s="5" t="inlineStr">
        <is>
          <t>Estonia / EU, global</t>
        </is>
      </c>
      <c r="C8" s="5" t="inlineStr">
        <is>
          <t>Subscription per user, tiers</t>
        </is>
      </c>
      <c r="D8" s="5" t="inlineStr">
        <is>
          <t>USD 89 (Starter) to 199 (Professional) per user per month; EUR 149 basic</t>
        </is>
      </c>
      <c r="E8" s="20" t="n">
        <v>89</v>
      </c>
      <c r="F8" s="20" t="n">
        <v>199</v>
      </c>
      <c r="G8" s="20">
        <f>IF(E8="","",E8*FX)</f>
        <v/>
      </c>
      <c r="H8" s="20">
        <f>IF(F8="","",F8*FX)</f>
        <v/>
      </c>
      <c r="I8" s="10" t="inlineStr">
        <is>
          <t>S7</t>
        </is>
      </c>
      <c r="J8" s="5" t="inlineStr">
        <is>
          <t>Third-party listings; Enterprise tier higher.</t>
        </is>
      </c>
    </row>
    <row r="9" ht="60" customHeight="1">
      <c r="A9" s="18" t="inlineStr">
        <is>
          <t>Open GI</t>
        </is>
      </c>
      <c r="B9" s="5" t="inlineStr">
        <is>
          <t>UK</t>
        </is>
      </c>
      <c r="C9" s="5" t="inlineStr">
        <is>
          <t>Subscription per user</t>
        </is>
      </c>
      <c r="D9" s="5" t="inlineStr">
        <is>
          <t>From USD 70 per user per month</t>
        </is>
      </c>
      <c r="E9" s="20" t="n">
        <v>70</v>
      </c>
      <c r="F9" s="20" t="n">
        <v>70</v>
      </c>
      <c r="G9" s="20">
        <f>IF(E9="","",E9*FX)</f>
        <v/>
      </c>
      <c r="H9" s="20">
        <f>IF(F9="","",F9*FX)</f>
        <v/>
      </c>
      <c r="I9" s="10" t="inlineStr">
        <is>
          <t>S8</t>
        </is>
      </c>
      <c r="J9" s="5" t="inlineStr">
        <is>
          <t>Third-party listing (starting price).</t>
        </is>
      </c>
    </row>
    <row r="10" ht="60" customHeight="1">
      <c r="A10" s="18" t="inlineStr">
        <is>
          <t>Acturis</t>
        </is>
      </c>
      <c r="B10" s="5" t="inlineStr">
        <is>
          <t>UK, Europe</t>
        </is>
      </c>
      <c r="C10" s="5" t="inlineStr">
        <is>
          <t>Service fee by users and modules</t>
        </is>
      </c>
      <c r="D10" s="5" t="inlineStr">
        <is>
          <t>USD 2,000 to 25,000+ per month per firm; implementation USD 15,000 to 80,000</t>
        </is>
      </c>
      <c r="E10" s="20" t="n"/>
      <c r="F10" s="20" t="n"/>
      <c r="G10" s="20">
        <f>IF(E10="","",E10*FX)</f>
        <v/>
      </c>
      <c r="H10" s="20">
        <f>IF(F10="","",F10*FX)</f>
        <v/>
      </c>
      <c r="I10" s="10" t="inlineStr">
        <is>
          <t>S8</t>
        </is>
      </c>
      <c r="J10" s="19" t="inlineStr">
        <is>
          <t>Third-party estimate; per firm, not per user.</t>
        </is>
      </c>
    </row>
    <row r="11" ht="60" customHeight="1">
      <c r="A11" s="18" t="inlineStr">
        <is>
          <t>Salesforce Financial Services Cloud</t>
        </is>
      </c>
      <c r="B11" s="5" t="inlineStr">
        <is>
          <t>USA, global</t>
        </is>
      </c>
      <c r="C11" s="5" t="inlineStr">
        <is>
          <t>Published per user, billed annually</t>
        </is>
      </c>
      <c r="D11" s="5" t="inlineStr">
        <is>
          <t>USD 325 to 350 per user per month</t>
        </is>
      </c>
      <c r="E11" s="20" t="n">
        <v>325</v>
      </c>
      <c r="F11" s="20" t="n">
        <v>350</v>
      </c>
      <c r="G11" s="20">
        <f>IF(E11="","",E11*FX)</f>
        <v/>
      </c>
      <c r="H11" s="20">
        <f>IF(F11="","",F11*FX)</f>
        <v/>
      </c>
      <c r="I11" s="10" t="inlineStr">
        <is>
          <t>S12</t>
        </is>
      </c>
      <c r="J11" s="5" t="inlineStr">
        <is>
          <t>Published list price. CRM platform only: broking accounting, remittance and BIR reports must be built.</t>
        </is>
      </c>
    </row>
    <row r="12" ht="60" customHeight="1">
      <c r="A12" s="18" t="inlineStr">
        <is>
          <t>Zoho CRM</t>
        </is>
      </c>
      <c r="B12" s="5" t="inlineStr">
        <is>
          <t>India, global</t>
        </is>
      </c>
      <c r="C12" s="5" t="inlineStr">
        <is>
          <t>Published per user</t>
        </is>
      </c>
      <c r="D12" s="5" t="inlineStr">
        <is>
          <t>USD 23 to 50 per user per month (Professional to Enterprise)</t>
        </is>
      </c>
      <c r="E12" s="20" t="n">
        <v>23</v>
      </c>
      <c r="F12" s="20" t="n">
        <v>50</v>
      </c>
      <c r="G12" s="20">
        <f>IF(E12="","",E12*FX)</f>
        <v/>
      </c>
      <c r="H12" s="20">
        <f>IF(F12="","",F12*FX)</f>
        <v/>
      </c>
      <c r="I12" s="10" t="inlineStr">
        <is>
          <t>S13</t>
        </is>
      </c>
      <c r="J12" s="5" t="inlineStr">
        <is>
          <t>Published list price. Generic CRM floor price; no broking functions.</t>
        </is>
      </c>
    </row>
    <row r="13" ht="60" customHeight="1">
      <c r="A13" s="18" t="inlineStr">
        <is>
          <t>Agiliux</t>
        </is>
      </c>
      <c r="B13" s="5" t="inlineStr">
        <is>
          <t>Singapore / Malaysia; live clients in the Philippines</t>
        </is>
      </c>
      <c r="C13" s="5" t="inlineStr">
        <is>
          <t>Modular; pay-as-you-sell for digital</t>
        </is>
      </c>
      <c r="D13" s="5" t="inlineStr">
        <is>
          <t>No public price</t>
        </is>
      </c>
      <c r="E13" s="20" t="n"/>
      <c r="F13" s="20" t="n"/>
      <c r="G13" s="20">
        <f>IF(E13="","",E13*FX)</f>
        <v/>
      </c>
      <c r="H13" s="20">
        <f>IF(F13="","",F13*FX)</f>
        <v/>
      </c>
      <c r="I13" s="10" t="inlineStr">
        <is>
          <t>S23</t>
        </is>
      </c>
      <c r="J13" s="5" t="inlineStr">
        <is>
          <t>Main regional competitor. Price on request.</t>
        </is>
      </c>
    </row>
    <row r="14" ht="60" customHeight="1">
      <c r="A14" s="18" t="inlineStr">
        <is>
          <t>Mzapp (Mindzen)</t>
        </is>
      </c>
      <c r="B14" s="5" t="inlineStr">
        <is>
          <t>India</t>
        </is>
      </c>
      <c r="C14" s="5" t="inlineStr">
        <is>
          <t>Quote only</t>
        </is>
      </c>
      <c r="D14" s="5" t="inlineStr">
        <is>
          <t>No public per-user price</t>
        </is>
      </c>
      <c r="E14" s="20" t="n"/>
      <c r="F14" s="20" t="n"/>
      <c r="G14" s="20">
        <f>IF(E14="","",E14*FX)</f>
        <v/>
      </c>
      <c r="H14" s="20">
        <f>IF(F14="","",F14*FX)</f>
        <v/>
      </c>
      <c r="I14" s="10" t="inlineStr">
        <is>
          <t>S24</t>
        </is>
      </c>
      <c r="J14" s="5" t="inlineStr">
        <is>
          <t>Indian broker system; one listing shows a USD 200,000 starting price (basis unclear).</t>
        </is>
      </c>
    </row>
    <row r="15" ht="60" customHeight="1">
      <c r="A15" s="18" t="inlineStr">
        <is>
          <t>Sibro</t>
        </is>
      </c>
      <c r="B15" s="5" t="inlineStr">
        <is>
          <t>India; markets to the Philippines</t>
        </is>
      </c>
      <c r="C15" s="5" t="inlineStr">
        <is>
          <t>Quote only</t>
        </is>
      </c>
      <c r="D15" s="5" t="inlineStr">
        <is>
          <t>No public price</t>
        </is>
      </c>
      <c r="E15" s="20" t="n"/>
      <c r="F15" s="20" t="n"/>
      <c r="G15" s="20">
        <f>IF(E15="","",E15*FX)</f>
        <v/>
      </c>
      <c r="H15" s="20">
        <f>IF(F15="","",F15*FX)</f>
        <v/>
      </c>
      <c r="I15" s="10" t="inlineStr">
        <is>
          <t>S25</t>
        </is>
      </c>
      <c r="J15" s="5" t="inlineStr">
        <is>
          <t>Regional broker system.</t>
        </is>
      </c>
    </row>
    <row r="16" ht="60" customHeight="1">
      <c r="A16" s="18" t="inlineStr">
        <is>
          <t>BrokerEdge (Damco)</t>
        </is>
      </c>
      <c r="B16" s="5" t="inlineStr">
        <is>
          <t>India / USA</t>
        </is>
      </c>
      <c r="C16" s="5" t="inlineStr">
        <is>
          <t>Quote only</t>
        </is>
      </c>
      <c r="D16" s="5" t="inlineStr">
        <is>
          <t>No public price</t>
        </is>
      </c>
      <c r="E16" s="20" t="n"/>
      <c r="F16" s="20" t="n"/>
      <c r="G16" s="20">
        <f>IF(E16="","",E16*FX)</f>
        <v/>
      </c>
      <c r="H16" s="20">
        <f>IF(F16="","",F16*FX)</f>
        <v/>
      </c>
      <c r="I16" s="10" t="inlineStr">
        <is>
          <t>S26</t>
        </is>
      </c>
      <c r="J16" s="5" t="inlineStr">
        <is>
          <t>Feature-based pricing.</t>
        </is>
      </c>
    </row>
    <row r="17" ht="60" customHeight="1">
      <c r="A17" s="18" t="inlineStr">
        <is>
          <t>Xceedance</t>
        </is>
      </c>
      <c r="B17" s="5" t="inlineStr">
        <is>
          <t>USA / India</t>
        </is>
      </c>
      <c r="C17" s="5" t="inlineStr">
        <is>
          <t>Services and platforms, quote only</t>
        </is>
      </c>
      <c r="D17" s="5" t="inlineStr">
        <is>
          <t>No public price</t>
        </is>
      </c>
      <c r="E17" s="20" t="n"/>
      <c r="F17" s="20" t="n"/>
      <c r="G17" s="20">
        <f>IF(E17="","",E17*FX)</f>
        <v/>
      </c>
      <c r="H17" s="20">
        <f>IF(F17="","",F17*FX)</f>
        <v/>
      </c>
      <c r="I17" s="10" t="inlineStr">
        <is>
          <t>S27</t>
        </is>
      </c>
      <c r="J17" s="5" t="inlineStr">
        <is>
          <t>Builds agency and policy systems and offers operations services.</t>
        </is>
      </c>
    </row>
    <row r="18">
      <c r="A18" s="31">
        <f>"BrokerVerse OOTB, "&amp;Inputs!A28&amp;" slab"</f>
        <v/>
      </c>
      <c r="B18" s="10" t="inlineStr">
        <is>
          <t>Philippines</t>
        </is>
      </c>
      <c r="C18" s="10" t="inlineStr">
        <is>
          <t>Subscription per user, graduated slabs</t>
        </is>
      </c>
      <c r="D18" s="10">
        <f>"PHP "&amp;TEXT(Inputs!E28,"#,##0")&amp;" per user per month"</f>
        <v/>
      </c>
      <c r="E18" s="20">
        <f>Inputs!E28/FX</f>
        <v/>
      </c>
      <c r="F18" s="20">
        <f>Inputs!E28/FX</f>
        <v/>
      </c>
      <c r="G18" s="20">
        <f>Inputs!E28</f>
        <v/>
      </c>
      <c r="H18" s="20">
        <f>Inputs!E28</f>
        <v/>
      </c>
      <c r="J18" s="10" t="inlineStr">
        <is>
          <t>Recommended price (this workbook).</t>
        </is>
      </c>
    </row>
    <row r="19">
      <c r="A19" s="31">
        <f>"BrokerVerse OOTB, "&amp;Inputs!A29&amp;" slab"</f>
        <v/>
      </c>
      <c r="B19" s="10" t="inlineStr">
        <is>
          <t>Philippines</t>
        </is>
      </c>
      <c r="C19" s="10" t="inlineStr">
        <is>
          <t>Subscription per user, graduated slabs</t>
        </is>
      </c>
      <c r="D19" s="10">
        <f>"PHP "&amp;TEXT(Inputs!E29,"#,##0")&amp;" per user per month"</f>
        <v/>
      </c>
      <c r="E19" s="20">
        <f>Inputs!E29/FX</f>
        <v/>
      </c>
      <c r="F19" s="20">
        <f>Inputs!E29/FX</f>
        <v/>
      </c>
      <c r="G19" s="20">
        <f>Inputs!E29</f>
        <v/>
      </c>
      <c r="H19" s="20">
        <f>Inputs!E29</f>
        <v/>
      </c>
      <c r="J19" s="10" t="inlineStr">
        <is>
          <t>Recommended price (this workbook).</t>
        </is>
      </c>
    </row>
    <row r="20">
      <c r="A20" s="31">
        <f>"BrokerVerse OOTB, "&amp;Inputs!A30&amp;" slab"</f>
        <v/>
      </c>
      <c r="B20" s="10" t="inlineStr">
        <is>
          <t>Philippines</t>
        </is>
      </c>
      <c r="C20" s="10" t="inlineStr">
        <is>
          <t>Subscription per user, graduated slabs</t>
        </is>
      </c>
      <c r="D20" s="10">
        <f>"PHP "&amp;TEXT(Inputs!E30,"#,##0")&amp;" per user per month"</f>
        <v/>
      </c>
      <c r="E20" s="20">
        <f>Inputs!E30/FX</f>
        <v/>
      </c>
      <c r="F20" s="20">
        <f>Inputs!E30/FX</f>
        <v/>
      </c>
      <c r="G20" s="20">
        <f>Inputs!E30</f>
        <v/>
      </c>
      <c r="H20" s="20">
        <f>Inputs!E30</f>
        <v/>
      </c>
      <c r="J20" s="10" t="inlineStr">
        <is>
          <t>Recommended price (this workbook).</t>
        </is>
      </c>
    </row>
    <row r="21">
      <c r="A21" s="31">
        <f>"BrokerVerse OOTB, "&amp;Inputs!A31&amp;" slab"</f>
        <v/>
      </c>
      <c r="B21" s="10" t="inlineStr">
        <is>
          <t>Philippines</t>
        </is>
      </c>
      <c r="C21" s="10" t="inlineStr">
        <is>
          <t>Subscription per user, graduated slabs</t>
        </is>
      </c>
      <c r="D21" s="10">
        <f>"PHP "&amp;TEXT(Inputs!E31,"#,##0")&amp;" per user per month"</f>
        <v/>
      </c>
      <c r="E21" s="20">
        <f>Inputs!E31/FX</f>
        <v/>
      </c>
      <c r="F21" s="20">
        <f>Inputs!E31/FX</f>
        <v/>
      </c>
      <c r="G21" s="20">
        <f>Inputs!E31</f>
        <v/>
      </c>
      <c r="H21" s="20">
        <f>Inputs!E31</f>
        <v/>
      </c>
      <c r="J21" s="10" t="inlineStr">
        <is>
          <t>Recommended price (this workbook).</t>
        </is>
      </c>
    </row>
    <row r="23">
      <c r="A23" s="6" t="inlineStr">
        <is>
          <t>Positioning summary</t>
        </is>
      </c>
      <c r="B23" s="7" t="n"/>
      <c r="C23" s="7" t="n"/>
      <c r="D23" s="7" t="n"/>
      <c r="E23" s="7" t="n"/>
      <c r="F23" s="7" t="n"/>
      <c r="G23" s="7" t="n"/>
      <c r="H23" s="7" t="n"/>
      <c r="I23" s="7" t="n"/>
      <c r="J23" s="7" t="n"/>
    </row>
    <row r="24">
      <c r="A24" s="10" t="inlineStr">
        <is>
          <t>Global broker systems (median of low/high, USD per user per month)</t>
        </is>
      </c>
      <c r="G24" s="20">
        <f>MEDIAN(E5:F7,E9:F9)</f>
        <v/>
      </c>
      <c r="J24" s="10" t="inlineStr">
        <is>
          <t>Applied Epic, Sagitta, AMS360, Open GI (third-party estimates).</t>
        </is>
      </c>
    </row>
    <row r="25">
      <c r="A25" s="10" t="inlineStr">
        <is>
          <t>BrokerVerse Small slab as % of that median</t>
        </is>
      </c>
      <c r="G25" s="22">
        <f>(Inputs!E28/FX)/G24</f>
        <v/>
      </c>
    </row>
    <row r="26">
      <c r="A26" s="10" t="inlineStr">
        <is>
          <t>BrokerVerse Small slab vs Zoho CRM Enterprise monthly (USD 50)</t>
        </is>
      </c>
      <c r="G26" s="42">
        <f>(Inputs!E28/FX)/50</f>
        <v/>
      </c>
      <c r="J26" s="10" t="inlineStr">
        <is>
          <t>A broking system with accounting and BIR reports sits above generic CRM and below global broker systems.</t>
        </is>
      </c>
    </row>
    <row r="28">
      <c r="A28" s="6" t="inlineStr">
        <is>
          <t>Philippine IT services rates (basis for day rates)</t>
        </is>
      </c>
      <c r="B28" s="7" t="n"/>
      <c r="C28" s="7" t="n"/>
      <c r="D28" s="7" t="n"/>
      <c r="E28" s="7" t="n"/>
      <c r="F28" s="7" t="n"/>
      <c r="G28" s="7" t="n"/>
      <c r="H28" s="7" t="n"/>
      <c r="I28" s="7" t="n"/>
      <c r="J28" s="7" t="n"/>
    </row>
    <row r="29">
      <c r="A29" s="3" t="inlineStr">
        <is>
          <t>Item</t>
        </is>
      </c>
      <c r="B29" s="3" t="inlineStr">
        <is>
          <t>Market</t>
        </is>
      </c>
      <c r="C29" s="3" t="inlineStr">
        <is>
          <t>Unit</t>
        </is>
      </c>
      <c r="D29" s="3" t="inlineStr">
        <is>
          <t>Range as found</t>
        </is>
      </c>
      <c r="E29" s="3" t="inlineStr">
        <is>
          <t>Low (USD)</t>
        </is>
      </c>
      <c r="F29" s="3" t="inlineStr">
        <is>
          <t>High (USD)</t>
        </is>
      </c>
      <c r="G29" s="3" t="inlineStr">
        <is>
          <t>Low (PHP)</t>
        </is>
      </c>
      <c r="H29" s="3" t="inlineStr">
        <is>
          <t>High (PHP)</t>
        </is>
      </c>
      <c r="I29" s="3" t="inlineStr">
        <is>
          <t>Source ID</t>
        </is>
      </c>
      <c r="J29" s="3" t="inlineStr">
        <is>
          <t>Notes</t>
        </is>
      </c>
    </row>
    <row r="30">
      <c r="A30" s="18" t="inlineStr">
        <is>
          <t>Mid-level developer</t>
        </is>
      </c>
      <c r="B30" s="10" t="inlineStr">
        <is>
          <t>Philippines</t>
        </is>
      </c>
      <c r="C30" s="10" t="inlineStr">
        <is>
          <t>per hour</t>
        </is>
      </c>
      <c r="D30" s="10" t="inlineStr">
        <is>
          <t>USD 30 to 50</t>
        </is>
      </c>
      <c r="E30" s="20" t="n">
        <v>30</v>
      </c>
      <c r="F30" s="20" t="n">
        <v>50</v>
      </c>
      <c r="G30" s="20">
        <f>IF(E30="","",E30*FX)</f>
        <v/>
      </c>
      <c r="H30" s="20">
        <f>IF(F30="","",F30*FX)</f>
        <v/>
      </c>
      <c r="I30" s="10" t="inlineStr">
        <is>
          <t>S15</t>
        </is>
      </c>
      <c r="J30" s="10" t="inlineStr">
        <is>
          <t>Outsourcing market rates; day = 8 hours.</t>
        </is>
      </c>
    </row>
    <row r="31">
      <c r="A31" s="18" t="inlineStr">
        <is>
          <t>Senior developer</t>
        </is>
      </c>
      <c r="B31" s="10" t="inlineStr">
        <is>
          <t>Philippines</t>
        </is>
      </c>
      <c r="C31" s="10" t="inlineStr">
        <is>
          <t>per hour</t>
        </is>
      </c>
      <c r="D31" s="10" t="inlineStr">
        <is>
          <t>USD 50 to 75</t>
        </is>
      </c>
      <c r="E31" s="20" t="n">
        <v>50</v>
      </c>
      <c r="F31" s="20" t="n">
        <v>75</v>
      </c>
      <c r="G31" s="20">
        <f>IF(E31="","",E31*FX)</f>
        <v/>
      </c>
      <c r="H31" s="20">
        <f>IF(F31="","",F31*FX)</f>
        <v/>
      </c>
      <c r="I31" s="10" t="inlineStr">
        <is>
          <t>S15</t>
        </is>
      </c>
      <c r="J31" s="10" t="inlineStr"/>
    </row>
    <row r="32">
      <c r="A32" s="18" t="inlineStr">
        <is>
          <t>IT consulting</t>
        </is>
      </c>
      <c r="B32" s="10" t="inlineStr">
        <is>
          <t>Philippines</t>
        </is>
      </c>
      <c r="C32" s="10" t="inlineStr">
        <is>
          <t>per hour</t>
        </is>
      </c>
      <c r="D32" s="10" t="inlineStr">
        <is>
          <t>USD 30 to 70; premium firms 70 to 150</t>
        </is>
      </c>
      <c r="E32" s="20" t="n">
        <v>30</v>
      </c>
      <c r="F32" s="20" t="n">
        <v>70</v>
      </c>
      <c r="G32" s="20">
        <f>IF(E32="","",E32*FX)</f>
        <v/>
      </c>
      <c r="H32" s="20">
        <f>IF(F32="","",F32*FX)</f>
        <v/>
      </c>
      <c r="I32" s="10" t="inlineStr">
        <is>
          <t>S16</t>
        </is>
      </c>
      <c r="J32" s="10" t="inlineStr"/>
    </row>
    <row r="33">
      <c r="A33" s="18" t="inlineStr">
        <is>
          <t>Senior business analyst salary</t>
        </is>
      </c>
      <c r="B33" s="10" t="inlineStr">
        <is>
          <t>Philippines</t>
        </is>
      </c>
      <c r="C33" s="10" t="inlineStr">
        <is>
          <t>per month</t>
        </is>
      </c>
      <c r="D33" s="10" t="inlineStr">
        <is>
          <t>PHP 47,054 to 105,688 (average 70,519)</t>
        </is>
      </c>
      <c r="E33" s="20" t="n"/>
      <c r="F33" s="20" t="n"/>
      <c r="G33" s="20">
        <f>IF(E33="","",E33*FX)</f>
        <v/>
      </c>
      <c r="H33" s="20">
        <f>IF(F33="","",F33*FX)</f>
        <v/>
      </c>
      <c r="I33" s="10" t="inlineStr">
        <is>
          <t>S17</t>
        </is>
      </c>
      <c r="J33" s="10" t="inlineStr">
        <is>
          <t>Employee cost, not vendor rate.</t>
        </is>
      </c>
    </row>
    <row r="34">
      <c r="A34" s="18" t="inlineStr">
        <is>
          <t>Senior QA engineer salary</t>
        </is>
      </c>
      <c r="B34" s="10" t="inlineStr">
        <is>
          <t>Philippines</t>
        </is>
      </c>
      <c r="C34" s="10" t="inlineStr">
        <is>
          <t>per month</t>
        </is>
      </c>
      <c r="D34" s="10" t="inlineStr">
        <is>
          <t>PHP 54,000 to 100,000 (average 65,053)</t>
        </is>
      </c>
      <c r="E34" s="20" t="n"/>
      <c r="F34" s="20" t="n"/>
      <c r="G34" s="20">
        <f>IF(E34="","",E34*FX)</f>
        <v/>
      </c>
      <c r="H34" s="20">
        <f>IF(F34="","",F34*FX)</f>
        <v/>
      </c>
      <c r="I34" s="10" t="inlineStr">
        <is>
          <t>S18</t>
        </is>
      </c>
      <c r="J34" s="10" t="inlineStr">
        <is>
          <t>Employee cost.</t>
        </is>
      </c>
    </row>
    <row r="35">
      <c r="A35" s="18" t="inlineStr">
        <is>
          <t>IT project manager salary</t>
        </is>
      </c>
      <c r="B35" s="10" t="inlineStr">
        <is>
          <t>Philippines</t>
        </is>
      </c>
      <c r="C35" s="10" t="inlineStr">
        <is>
          <t>per month</t>
        </is>
      </c>
      <c r="D35" s="10" t="inlineStr">
        <is>
          <t>PHP 60,000 to 123,000 (average 64,826)</t>
        </is>
      </c>
      <c r="E35" s="20" t="n"/>
      <c r="F35" s="20" t="n"/>
      <c r="G35" s="20">
        <f>IF(E35="","",E35*FX)</f>
        <v/>
      </c>
      <c r="H35" s="20">
        <f>IF(F35="","",F35*FX)</f>
        <v/>
      </c>
      <c r="I35" s="10" t="inlineStr">
        <is>
          <t>S19</t>
        </is>
      </c>
      <c r="J35" s="10" t="inlineStr">
        <is>
          <t>Employee cost.</t>
        </is>
      </c>
    </row>
    <row r="36">
      <c r="A36" s="18" t="inlineStr">
        <is>
          <t>BrokerVerse blended day rate</t>
        </is>
      </c>
      <c r="B36" s="10" t="inlineStr">
        <is>
          <t>Philippines</t>
        </is>
      </c>
      <c r="C36" s="10" t="inlineStr">
        <is>
          <t>per day</t>
        </is>
      </c>
      <c r="D36" s="10">
        <f>TEXT(Blended,"#,##0")&amp;" PHP"</f>
        <v/>
      </c>
      <c r="E36" s="20" t="n"/>
      <c r="F36" s="20" t="n"/>
      <c r="G36" s="20">
        <f>IF(E36="","",E36*FX)</f>
        <v/>
      </c>
      <c r="H36" s="20">
        <f>IF(F36="","",F36*FX)</f>
        <v/>
      </c>
      <c r="I36" s="10" t="inlineStr"/>
      <c r="J36" s="10" t="inlineStr">
        <is>
          <t>Recommended (Inputs).</t>
        </is>
      </c>
    </row>
    <row r="38">
      <c r="A38" s="6" t="inlineStr">
        <is>
          <t>Philippine market facts used for tiers and affordability</t>
        </is>
      </c>
      <c r="B38" s="7" t="n"/>
      <c r="C38" s="7" t="n"/>
      <c r="D38" s="7" t="n"/>
      <c r="E38" s="7" t="n"/>
      <c r="F38" s="7" t="n"/>
      <c r="G38" s="7" t="n"/>
      <c r="H38" s="7" t="n"/>
      <c r="I38" s="7" t="n"/>
      <c r="J38" s="7" t="n"/>
    </row>
    <row r="39" ht="45" customHeight="1">
      <c r="A39" s="4" t="inlineStr">
        <is>
          <t>Licensed insurance brokers</t>
        </is>
      </c>
      <c r="B39" s="5" t="inlineStr">
        <is>
          <t>About 67 insurance brokers (IC key data, 2024 preliminary). A small, concentrated market: price for a few dozen realistic prospects.</t>
        </is>
      </c>
      <c r="C39" s="8" t="n"/>
      <c r="D39" s="8" t="n"/>
      <c r="E39" s="8" t="n"/>
      <c r="F39" s="8" t="n"/>
      <c r="G39" s="8" t="n"/>
      <c r="H39" s="9" t="n"/>
      <c r="I39" s="10" t="inlineStr">
        <is>
          <t>S1</t>
        </is>
      </c>
    </row>
    <row r="40" ht="45" customHeight="1">
      <c r="A40" s="4" t="inlineStr">
        <is>
          <t>Largest brokers by commission earned, 2024</t>
        </is>
      </c>
      <c r="B40" s="5" t="inlineStr">
        <is>
          <t>BDO Insurance and Reinsurance Brokers PHP 2,434 million; Marsh PHP 2,075 million; Aon PHP 2,047 million; Lockton PHP 712 million; PhilPacific PHP 598 million.</t>
        </is>
      </c>
      <c r="C40" s="8" t="n"/>
      <c r="D40" s="8" t="n"/>
      <c r="E40" s="8" t="n"/>
      <c r="F40" s="8" t="n"/>
      <c r="G40" s="8" t="n"/>
      <c r="H40" s="9" t="n"/>
      <c r="I40" s="10" t="inlineStr">
        <is>
          <t>S2</t>
        </is>
      </c>
    </row>
    <row r="41" ht="45" customHeight="1">
      <c r="A41" s="4" t="inlineStr">
        <is>
          <t>Mid-market brokers, 2024</t>
        </is>
      </c>
      <c r="B41" s="5" t="inlineStr">
        <is>
          <t>Rank 20 East West Insurance Brokerage PHP 98.0 million; rank 30 Moneyhero Insurance Brokerage PHP 55.2 million.</t>
        </is>
      </c>
      <c r="C41" s="8" t="n"/>
      <c r="D41" s="8" t="n"/>
      <c r="E41" s="8" t="n"/>
      <c r="F41" s="8" t="n"/>
      <c r="G41" s="8" t="n"/>
      <c r="H41" s="9" t="n"/>
      <c r="I41" s="10" t="inlineStr">
        <is>
          <t>S2</t>
        </is>
      </c>
    </row>
    <row r="42" ht="45" customHeight="1">
      <c r="A42" s="4" t="inlineStr">
        <is>
          <t>Premiums produced by brokers, 2024</t>
        </is>
      </c>
      <c r="B42" s="5" t="inlineStr">
        <is>
          <t>Aon was first at PHP 23.4 billion of premiums produced.</t>
        </is>
      </c>
      <c r="C42" s="8" t="n"/>
      <c r="D42" s="8" t="n"/>
      <c r="E42" s="8" t="n"/>
      <c r="F42" s="8" t="n"/>
      <c r="G42" s="8" t="n"/>
      <c r="H42" s="9" t="n"/>
      <c r="I42" s="10" t="inlineStr">
        <is>
          <t>S3</t>
        </is>
      </c>
    </row>
    <row r="43" ht="45" customHeight="1">
      <c r="A43" s="4" t="inlineStr">
        <is>
          <t>Non-life insurers, 2025</t>
        </is>
      </c>
      <c r="B43" s="5" t="inlineStr">
        <is>
          <t>Gross premiums written PHP 149.11 billion (excluding reinsurers); Pioneer PHP 20.70 billion (14%), Prudential Guarantee PHP 13.86 billion (9%), Malayan PHP 13.35 billion (9%). Pioneer first in net premiums written at PHP 6.90 billion.</t>
        </is>
      </c>
      <c r="C43" s="8" t="n"/>
      <c r="D43" s="8" t="n"/>
      <c r="E43" s="8" t="n"/>
      <c r="F43" s="8" t="n"/>
      <c r="G43" s="8" t="n"/>
      <c r="H43" s="9" t="n"/>
      <c r="I43" s="10" t="inlineStr">
        <is>
          <t>S4</t>
        </is>
      </c>
    </row>
    <row r="44" ht="45" customHeight="1">
      <c r="A44" s="4" t="inlineStr">
        <is>
          <t>What the insurer ranking suggests</t>
        </is>
      </c>
      <c r="B44" s="5" t="inlineStr">
        <is>
          <t>The top 3 insurers hold about a third of gross premiums and the rest is spread over many mid-size insurers, so a broker places with many insurers: insurer set-up, remittance and reconciliation by insurer are core needs in every tier.</t>
        </is>
      </c>
      <c r="C44" s="8" t="n"/>
      <c r="D44" s="8" t="n"/>
      <c r="E44" s="8" t="n"/>
      <c r="F44" s="8" t="n"/>
      <c r="G44" s="8" t="n"/>
      <c r="H44" s="9" t="n"/>
      <c r="I44" s="10" t="inlineStr">
        <is>
          <t>S4</t>
        </is>
      </c>
    </row>
    <row r="45" ht="45" customHeight="1">
      <c r="A45" s="4" t="inlineStr">
        <is>
          <t>IT budget norm</t>
        </is>
      </c>
      <c r="B45" s="5" t="inlineStr">
        <is>
          <t>Insurance IT spend 3.1% of revenue (Gartner, 2010); later benchmarks 4% to 7% for insurance. Used as the affordability band.</t>
        </is>
      </c>
      <c r="C45" s="8" t="n"/>
      <c r="D45" s="8" t="n"/>
      <c r="E45" s="8" t="n"/>
      <c r="F45" s="8" t="n"/>
      <c r="G45" s="8" t="n"/>
      <c r="H45" s="9" t="n"/>
      <c r="I45" s="10" t="inlineStr">
        <is>
          <t>S10, S11</t>
        </is>
      </c>
    </row>
    <row r="46" ht="45" customHeight="1">
      <c r="A46" s="4" t="inlineStr">
        <is>
          <t>Broker licensing</t>
        </is>
      </c>
      <c r="B46" s="5" t="inlineStr">
        <is>
          <t>Minimum paid-up capital PHP 20 million for an insurance broker, PHP 50 million for insurance and reinsurance broker.</t>
        </is>
      </c>
      <c r="C46" s="8" t="n"/>
      <c r="D46" s="8" t="n"/>
      <c r="E46" s="8" t="n"/>
      <c r="F46" s="8" t="n"/>
      <c r="G46" s="8" t="n"/>
      <c r="H46" s="9" t="n"/>
      <c r="I46" s="10" t="inlineStr">
        <is>
          <t>S28</t>
        </is>
      </c>
    </row>
  </sheetData>
  <mergeCells count="8">
    <mergeCell ref="B40:H40"/>
    <mergeCell ref="B41:H41"/>
    <mergeCell ref="B44:H44"/>
    <mergeCell ref="B43:H43"/>
    <mergeCell ref="B39:H39"/>
    <mergeCell ref="B42:H42"/>
    <mergeCell ref="B45:H45"/>
    <mergeCell ref="B46:H46"/>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34"/>
  <sheetViews>
    <sheetView zoomScale="90" workbookViewId="0">
      <pane ySplit="4" topLeftCell="A5" activePane="bottomLeft" state="frozen"/>
      <selection pane="bottomLeft" activeCell="A1" sqref="A1"/>
    </sheetView>
  </sheetViews>
  <sheetFormatPr baseColWidth="8" defaultRowHeight="15"/>
  <cols>
    <col width="7" customWidth="1" min="1" max="1"/>
    <col width="52" customWidth="1" min="2" max="2"/>
    <col width="70" customWidth="1" min="3" max="3"/>
    <col width="13" customWidth="1" min="4" max="4"/>
    <col width="52" customWidth="1" min="5" max="5"/>
  </cols>
  <sheetData>
    <row r="1">
      <c r="A1" s="1" t="inlineStr">
        <is>
          <t>Sources</t>
        </is>
      </c>
    </row>
    <row r="2">
      <c r="A2" s="2" t="inlineStr">
        <is>
          <t>Accessed 03 October 2026. Some Insurance Commission and BusinessWorld pages could not be opened from the research network; their figures were read from search-engine extracts of the same documents and should be checked against the originals before external use.</t>
        </is>
      </c>
    </row>
    <row r="4">
      <c r="A4" s="3" t="inlineStr">
        <is>
          <t>ID</t>
        </is>
      </c>
      <c r="B4" s="3" t="inlineStr">
        <is>
          <t>Title / publisher</t>
        </is>
      </c>
      <c r="C4" s="3" t="inlineStr">
        <is>
          <t>URL</t>
        </is>
      </c>
      <c r="D4" s="3" t="inlineStr">
        <is>
          <t>Accessed</t>
        </is>
      </c>
      <c r="E4" s="3" t="inlineStr">
        <is>
          <t>Used for</t>
        </is>
      </c>
    </row>
    <row r="5" ht="45" customHeight="1">
      <c r="A5" s="18" t="inlineStr">
        <is>
          <t>S1</t>
        </is>
      </c>
      <c r="B5" s="5" t="inlineStr">
        <is>
          <t>Insurance Commission: Key Data 2020-2024 (preliminary), Annex A</t>
        </is>
      </c>
      <c r="C5" s="5" t="inlineStr">
        <is>
          <t>https://www.insurance.gov.ph/wp-content/uploads/2026/02/Annex-A-Key-Data-2020-2024-Preliminary-Figures.pdf</t>
        </is>
      </c>
      <c r="D5" s="10" t="inlineStr">
        <is>
          <t>03 Oct 2026</t>
        </is>
      </c>
      <c r="E5" s="5" t="inlineStr">
        <is>
          <t>Number of licensed insurance brokers (about 67, 2024). Read from search extract.</t>
        </is>
      </c>
    </row>
    <row r="6" ht="45" customHeight="1">
      <c r="A6" s="18" t="inlineStr">
        <is>
          <t>S2</t>
        </is>
      </c>
      <c r="B6" s="5" t="inlineStr">
        <is>
          <t>Insurance Commission: Performance of Insurance Brokers, Commission Earned as of 31 December 2024</t>
        </is>
      </c>
      <c r="C6" s="5" t="inlineStr">
        <is>
          <t>https://www.insurance.gov.ph/wp-content/uploads/2026/01/Performance-of-Insurance-Brokers-Commission-Earned-as-of-31-December-2024.pdf</t>
        </is>
      </c>
      <c r="D6" s="10" t="inlineStr">
        <is>
          <t>03 Oct 2026</t>
        </is>
      </c>
      <c r="E6" s="5" t="inlineStr">
        <is>
          <t>Broker ranking by commission earned. Read from search extract.</t>
        </is>
      </c>
    </row>
    <row r="7" ht="45" customHeight="1">
      <c r="A7" s="18" t="inlineStr">
        <is>
          <t>S3</t>
        </is>
      </c>
      <c r="B7" s="5" t="inlineStr">
        <is>
          <t>Insurance Commission: Performance of Insurance Brokers, Premiums Produced as of 31 December 2024</t>
        </is>
      </c>
      <c r="C7" s="5" t="inlineStr">
        <is>
          <t>https://www.insurance.gov.ph/wp-content/uploads/2026/01/Performance-of-Insurance-Brokers-Premiums-Produced-as-of-31-December-2024.pdf</t>
        </is>
      </c>
      <c r="D7" s="10" t="inlineStr">
        <is>
          <t>03 Oct 2026</t>
        </is>
      </c>
      <c r="E7" s="5" t="inlineStr">
        <is>
          <t>Aon premiums produced. Read from search extract.</t>
        </is>
      </c>
    </row>
    <row r="8" ht="45" customHeight="1">
      <c r="A8" s="18" t="inlineStr">
        <is>
          <t>S4</t>
        </is>
      </c>
      <c r="B8" s="5" t="inlineStr">
        <is>
          <t>The Manila Times, "Growth on a sure footing", 31 August 2026; Insurance Commission non-life NPW and GPW rankings 2025</t>
        </is>
      </c>
      <c r="C8" s="5" t="inlineStr">
        <is>
          <t>https://www.manilatimes.net/2026/08/31/supplements/growth-on-a-sure-footing/2414786 ; https://www.insurance.gov.ph/wp-content/uploads/2026/02/Performance-of-Non-Life-Insurance-Companies-NPW-as-of-31-December-2025-Based-on-Submitted-Unaudited-EQRSFS.pdf</t>
        </is>
      </c>
      <c r="D8" s="10" t="inlineStr">
        <is>
          <t>03 Oct 2026</t>
        </is>
      </c>
      <c r="E8" s="5" t="inlineStr">
        <is>
          <t>Non-life GPW 2025 and top insurers. Read from search extract.</t>
        </is>
      </c>
    </row>
    <row r="9" ht="45" customHeight="1">
      <c r="A9" s="18" t="inlineStr">
        <is>
          <t>S5</t>
        </is>
      </c>
      <c r="B9" s="5" t="inlineStr">
        <is>
          <t>Software Finder / All Insurance CRM: Applied Epic pricing</t>
        </is>
      </c>
      <c r="C9" s="5" t="inlineStr">
        <is>
          <t>https://softwarefinder.com/insurance-software/applied-epic ; https://allinsurancecrm.com/compare/applied-epic/</t>
        </is>
      </c>
      <c r="D9" s="10" t="inlineStr">
        <is>
          <t>03 Oct 2026</t>
        </is>
      </c>
      <c r="E9" s="5" t="inlineStr">
        <is>
          <t>Applied Epic per-user estimate and set-up cost.</t>
        </is>
      </c>
    </row>
    <row r="10" ht="45" customHeight="1">
      <c r="A10" s="18" t="inlineStr">
        <is>
          <t>S6</t>
        </is>
      </c>
      <c r="B10" s="5" t="inlineStr">
        <is>
          <t>Unlocked CRM: How much does Vertafore AMS360 cost (2026)</t>
        </is>
      </c>
      <c r="C10" s="5" t="inlineStr">
        <is>
          <t>https://unlockedcrm.ai/blog/how-much-does-vertafore-ams360-really-cost</t>
        </is>
      </c>
      <c r="D10" s="10" t="inlineStr">
        <is>
          <t>03 Oct 2026</t>
        </is>
      </c>
      <c r="E10" s="5" t="inlineStr">
        <is>
          <t>AMS360 per-user estimate.</t>
        </is>
      </c>
    </row>
    <row r="11" ht="45" customHeight="1">
      <c r="A11" s="18" t="inlineStr">
        <is>
          <t>S7</t>
        </is>
      </c>
      <c r="B11" s="5" t="inlineStr">
        <is>
          <t>ITQlick / GetApp: Insly pricing</t>
        </is>
      </c>
      <c r="C11" s="5" t="inlineStr">
        <is>
          <t>https://www.itqlick.com/insly/pricing ; https://www.getapp.com/industries-software/a/insly-com/pricing/</t>
        </is>
      </c>
      <c r="D11" s="10" t="inlineStr">
        <is>
          <t>03 Oct 2026</t>
        </is>
      </c>
      <c r="E11" s="5" t="inlineStr">
        <is>
          <t>Insly tiers.</t>
        </is>
      </c>
    </row>
    <row r="12" ht="45" customHeight="1">
      <c r="A12" s="18" t="inlineStr">
        <is>
          <t>S8</t>
        </is>
      </c>
      <c r="B12" s="5" t="inlineStr">
        <is>
          <t>Capterra: Open GI and Acturis pricing; Acturis FAQ</t>
        </is>
      </c>
      <c r="C12" s="5" t="inlineStr">
        <is>
          <t>https://www.capterra.com/p/79710/Transactor/ ; https://www.capterra.com/p/238790/Acturis/ ; https://www.acturis.com/faqs/how-much-does-it-cost/</t>
        </is>
      </c>
      <c r="D12" s="10" t="inlineStr">
        <is>
          <t>03 Oct 2026</t>
        </is>
      </c>
      <c r="E12" s="5" t="inlineStr">
        <is>
          <t>Open GI starting price; Acturis monthly range and model.</t>
        </is>
      </c>
    </row>
    <row r="13" ht="45" customHeight="1">
      <c r="A13" s="18" t="inlineStr">
        <is>
          <t>S9</t>
        </is>
      </c>
      <c r="B13" s="5" t="inlineStr">
        <is>
          <t>WifiTalents / ZipDo: best insurance broking management software 2026</t>
        </is>
      </c>
      <c r="C13" s="5" t="inlineStr">
        <is>
          <t>https://wifitalents.com/best/insurance-broking-management-software/</t>
        </is>
      </c>
      <c r="D13" s="10" t="inlineStr">
        <is>
          <t>03 Oct 2026</t>
        </is>
      </c>
      <c r="E13" s="5" t="inlineStr">
        <is>
          <t>Sagitta and general price bands.</t>
        </is>
      </c>
    </row>
    <row r="14" ht="45" customHeight="1">
      <c r="A14" s="18" t="inlineStr">
        <is>
          <t>S10</t>
        </is>
      </c>
      <c r="B14" s="5" t="inlineStr">
        <is>
          <t>Gartner IT Key Metrics (2010) via Scribd</t>
        </is>
      </c>
      <c r="C14" s="5" t="inlineStr">
        <is>
          <t>https://www.scribd.com/document/670004267/Gartner-It-Spent</t>
        </is>
      </c>
      <c r="D14" s="10" t="inlineStr">
        <is>
          <t>03 Oct 2026</t>
        </is>
      </c>
      <c r="E14" s="5" t="inlineStr">
        <is>
          <t>Insurance IT spend 3.1% of revenue.</t>
        </is>
      </c>
    </row>
    <row r="15" ht="45" customHeight="1">
      <c r="A15" s="18" t="inlineStr">
        <is>
          <t>S11</t>
        </is>
      </c>
      <c r="B15" s="5" t="inlineStr">
        <is>
          <t>IT Budget Calculator: IT spending benchmarks by industry 2026</t>
        </is>
      </c>
      <c r="C15" s="5" t="inlineStr">
        <is>
          <t>https://itbudgetcalculator.com/by-industry</t>
        </is>
      </c>
      <c r="D15" s="10" t="inlineStr">
        <is>
          <t>03 Oct 2026</t>
        </is>
      </c>
      <c r="E15" s="5" t="inlineStr">
        <is>
          <t>Insurance IT spend 4% to 7% (third-party benchmark).</t>
        </is>
      </c>
    </row>
    <row r="16" ht="45" customHeight="1">
      <c r="A16" s="18" t="inlineStr">
        <is>
          <t>S12</t>
        </is>
      </c>
      <c r="B16" s="5" t="inlineStr">
        <is>
          <t>Salesforce: Financial Services Cloud pricing</t>
        </is>
      </c>
      <c r="C16" s="5" t="inlineStr">
        <is>
          <t>https://www.salesforce.com/financial-services/sales-pricing/</t>
        </is>
      </c>
      <c r="D16" s="10" t="inlineStr">
        <is>
          <t>03 Oct 2026</t>
        </is>
      </c>
      <c r="E16" s="5" t="inlineStr">
        <is>
          <t>Published list price.</t>
        </is>
      </c>
    </row>
    <row r="17" ht="45" customHeight="1">
      <c r="A17" s="18" t="inlineStr">
        <is>
          <t>S13</t>
        </is>
      </c>
      <c r="B17" s="5" t="inlineStr">
        <is>
          <t>G2: Zoho CRM pricing</t>
        </is>
      </c>
      <c r="C17" s="5" t="inlineStr">
        <is>
          <t>https://www.g2.com/products/zoho-crm/pricing</t>
        </is>
      </c>
      <c r="D17" s="10" t="inlineStr">
        <is>
          <t>03 Oct 2026</t>
        </is>
      </c>
      <c r="E17" s="5" t="inlineStr">
        <is>
          <t>Published list price.</t>
        </is>
      </c>
    </row>
    <row r="18" ht="45" customHeight="1">
      <c r="A18" s="18" t="inlineStr">
        <is>
          <t>S14</t>
        </is>
      </c>
      <c r="B18" s="5" t="inlineStr">
        <is>
          <t>Bangko Sentral ng Pilipinas reference exchange rate (via search extract of BSP bulletin and rate sites)</t>
        </is>
      </c>
      <c r="C18" s="5" t="inlineStr">
        <is>
          <t>https://www.bsp.gov.ph/Lists/RERB/Attachments/2311/10Jul2026.pdf ; https://pesohub.ph/rates/exchange-rates/usd-to-php-today/</t>
        </is>
      </c>
      <c r="D18" s="10" t="inlineStr">
        <is>
          <t>03 Oct 2026</t>
        </is>
      </c>
      <c r="E18" s="5" t="inlineStr">
        <is>
          <t>PHP 62.75 per USD on 25 September 2026.</t>
        </is>
      </c>
    </row>
    <row r="19" ht="45" customHeight="1">
      <c r="A19" s="18" t="inlineStr">
        <is>
          <t>S15</t>
        </is>
      </c>
      <c r="B19" s="5" t="inlineStr">
        <is>
          <t>Hireplicity: Philippines software developer rates</t>
        </is>
      </c>
      <c r="C19" s="5" t="inlineStr">
        <is>
          <t>https://www.hireplicity.com/blog/philippines-developer-rates-hourly-project-based</t>
        </is>
      </c>
      <c r="D19" s="10" t="inlineStr">
        <is>
          <t>03 Oct 2026</t>
        </is>
      </c>
      <c r="E19" s="5" t="inlineStr">
        <is>
          <t>Developer hourly rates.</t>
        </is>
      </c>
    </row>
    <row r="20" ht="45" customHeight="1">
      <c r="A20" s="18" t="inlineStr">
        <is>
          <t>S16</t>
        </is>
      </c>
      <c r="B20" s="5" t="inlineStr">
        <is>
          <t>Second Talent / Full Scale: offshore development rates 2026</t>
        </is>
      </c>
      <c r="C20" s="5" t="inlineStr">
        <is>
          <t>https://www.secondtalent.com/resources/software-development-outsourcing-philippines/ ; https://fullscale.io/blog/comparing-offshore-software-development-rates-by-country/</t>
        </is>
      </c>
      <c r="D20" s="10" t="inlineStr">
        <is>
          <t>03 Oct 2026</t>
        </is>
      </c>
      <c r="E20" s="5" t="inlineStr">
        <is>
          <t>IT consulting rates.</t>
        </is>
      </c>
    </row>
    <row r="21" ht="45" customHeight="1">
      <c r="A21" s="18" t="inlineStr">
        <is>
          <t>S17</t>
        </is>
      </c>
      <c r="B21" s="5" t="inlineStr">
        <is>
          <t>Indeed Philippines: senior business analyst salary</t>
        </is>
      </c>
      <c r="C21" s="5" t="inlineStr">
        <is>
          <t>https://ph.indeed.com/career/senior-business-analyst/salaries</t>
        </is>
      </c>
      <c r="D21" s="10" t="inlineStr">
        <is>
          <t>03 Oct 2026</t>
        </is>
      </c>
      <c r="E21" s="5" t="inlineStr">
        <is>
          <t>BA salary.</t>
        </is>
      </c>
    </row>
    <row r="22" ht="45" customHeight="1">
      <c r="A22" s="18" t="inlineStr">
        <is>
          <t>S18</t>
        </is>
      </c>
      <c r="B22" s="5" t="inlineStr">
        <is>
          <t>Glassdoor: senior QA engineer salary, Philippines</t>
        </is>
      </c>
      <c r="C22" s="5" t="inlineStr">
        <is>
          <t>https://www.glassdoor.com/Salaries/philippines-senior-qa-engineer-salary-SRCH_IL.0,11_IN204_KO12,30.htm</t>
        </is>
      </c>
      <c r="D22" s="10" t="inlineStr">
        <is>
          <t>03 Oct 2026</t>
        </is>
      </c>
      <c r="E22" s="5" t="inlineStr">
        <is>
          <t>QA salary.</t>
        </is>
      </c>
    </row>
    <row r="23" ht="45" customHeight="1">
      <c r="A23" s="18" t="inlineStr">
        <is>
          <t>S19</t>
        </is>
      </c>
      <c r="B23" s="5" t="inlineStr">
        <is>
          <t>Glassdoor: IT project manager salary, Philippines</t>
        </is>
      </c>
      <c r="C23" s="5" t="inlineStr">
        <is>
          <t>https://www.glassdoor.com/Salaries/philippines-it-project-manager-salary-SRCH_IL.0,11_IN204_KO12,30.htm</t>
        </is>
      </c>
      <c r="D23" s="10" t="inlineStr">
        <is>
          <t>03 Oct 2026</t>
        </is>
      </c>
      <c r="E23" s="5" t="inlineStr">
        <is>
          <t>PM salary.</t>
        </is>
      </c>
    </row>
    <row r="24" ht="45" customHeight="1">
      <c r="A24" s="18" t="inlineStr">
        <is>
          <t>S20</t>
        </is>
      </c>
      <c r="B24" s="5" t="inlineStr">
        <is>
          <t>Vantage / Economize: Amazon RDS db.m6g.large pricing</t>
        </is>
      </c>
      <c r="C24" s="5" t="inlineStr">
        <is>
          <t>https://instances.vantage.sh/aws/rds/db.m6g.large</t>
        </is>
      </c>
      <c r="D24" s="10" t="inlineStr">
        <is>
          <t>03 Oct 2026</t>
        </is>
      </c>
      <c r="E24" s="5" t="inlineStr">
        <is>
          <t>Database instance price reference (about USD 0.16 to 0.18 an hour).</t>
        </is>
      </c>
    </row>
    <row r="25" ht="45" customHeight="1">
      <c r="A25" s="18" t="inlineStr">
        <is>
          <t>S21</t>
        </is>
      </c>
      <c r="B25" s="5" t="inlineStr">
        <is>
          <t>CloudPrice: Azure Standard_D4s_v5 pricing</t>
        </is>
      </c>
      <c r="C25" s="5" t="inlineStr">
        <is>
          <t>https://cloudprice.net/vm/Standard_D4s_v5</t>
        </is>
      </c>
      <c r="D25" s="10" t="inlineStr">
        <is>
          <t>03 Oct 2026</t>
        </is>
      </c>
      <c r="E25" s="5" t="inlineStr">
        <is>
          <t>Azure VM price reference (USD 0.216 an hour, Southeast Asia).</t>
        </is>
      </c>
    </row>
    <row r="26" ht="45" customHeight="1">
      <c r="A26" s="18" t="inlineStr">
        <is>
          <t>S22</t>
        </is>
      </c>
      <c r="B26" s="5" t="inlineStr">
        <is>
          <t>AWS: Local Zones in Manila generally available (June 2023)</t>
        </is>
      </c>
      <c r="C26" s="5" t="inlineStr">
        <is>
          <t>https://aws.amazon.com/about-aws/whats-new/2023/06/general-availability-aws-local-zones-manila</t>
        </is>
      </c>
      <c r="D26" s="10" t="inlineStr">
        <is>
          <t>03 Oct 2026</t>
        </is>
      </c>
      <c r="E26" s="5" t="inlineStr">
        <is>
          <t>Hosting options.</t>
        </is>
      </c>
    </row>
    <row r="27" ht="45" customHeight="1">
      <c r="A27" s="18" t="inlineStr">
        <is>
          <t>S23</t>
        </is>
      </c>
      <c r="B27" s="5" t="inlineStr">
        <is>
          <t>Agiliux: FAQs and broker solutions</t>
        </is>
      </c>
      <c r="C27" s="5" t="inlineStr">
        <is>
          <t>https://www.agiliux.com/resource-centre/faqs/</t>
        </is>
      </c>
      <c r="D27" s="10" t="inlineStr">
        <is>
          <t>03 Oct 2026</t>
        </is>
      </c>
      <c r="E27" s="5" t="inlineStr">
        <is>
          <t>Regional competitor, pricing model.</t>
        </is>
      </c>
    </row>
    <row r="28" ht="45" customHeight="1">
      <c r="A28" s="18" t="inlineStr">
        <is>
          <t>S24</t>
        </is>
      </c>
      <c r="B28" s="5" t="inlineStr">
        <is>
          <t>Mindzen: FAQ; SoftwareSuggest Mzapp listing</t>
        </is>
      </c>
      <c r="C28" s="5" t="inlineStr">
        <is>
          <t>https://mindzen.com/faq-mindzen-insurance-products/ ; https://www.softwaresuggest.com/mzapp</t>
        </is>
      </c>
      <c r="D28" s="10" t="inlineStr">
        <is>
          <t>03 Oct 2026</t>
        </is>
      </c>
      <c r="E28" s="5" t="inlineStr">
        <is>
          <t>Indian competitor.</t>
        </is>
      </c>
    </row>
    <row r="29" ht="45" customHeight="1">
      <c r="A29" s="18" t="inlineStr">
        <is>
          <t>S25</t>
        </is>
      </c>
      <c r="B29" s="5" t="inlineStr">
        <is>
          <t>Sibro: best insurance broker management software</t>
        </is>
      </c>
      <c r="C29" s="5" t="inlineStr">
        <is>
          <t>https://sibro.xyz/best-insurance-broker-management-software/</t>
        </is>
      </c>
      <c r="D29" s="10" t="inlineStr">
        <is>
          <t>03 Oct 2026</t>
        </is>
      </c>
      <c r="E29" s="5" t="inlineStr">
        <is>
          <t>Regional competitor.</t>
        </is>
      </c>
    </row>
    <row r="30" ht="45" customHeight="1">
      <c r="A30" s="18" t="inlineStr">
        <is>
          <t>S26</t>
        </is>
      </c>
      <c r="B30" s="5" t="inlineStr">
        <is>
          <t>Damco: BrokerEdge</t>
        </is>
      </c>
      <c r="C30" s="5" t="inlineStr">
        <is>
          <t>https://www.damcogroup.com/insurance/brokeredge-broker-management-software</t>
        </is>
      </c>
      <c r="D30" s="10" t="inlineStr">
        <is>
          <t>03 Oct 2026</t>
        </is>
      </c>
      <c r="E30" s="5" t="inlineStr">
        <is>
          <t>Competitor.</t>
        </is>
      </c>
    </row>
    <row r="31" ht="45" customHeight="1">
      <c r="A31" s="18" t="inlineStr">
        <is>
          <t>S27</t>
        </is>
      </c>
      <c r="B31" s="5" t="inlineStr">
        <is>
          <t>Xceedance: broking operations</t>
        </is>
      </c>
      <c r="C31" s="5" t="inlineStr">
        <is>
          <t>https://www.xceedance.com/empowering-broking-operations/</t>
        </is>
      </c>
      <c r="D31" s="10" t="inlineStr">
        <is>
          <t>03 Oct 2026</t>
        </is>
      </c>
      <c r="E31" s="5" t="inlineStr">
        <is>
          <t>Competitor.</t>
        </is>
      </c>
    </row>
    <row r="32" ht="45" customHeight="1">
      <c r="A32" s="18" t="inlineStr">
        <is>
          <t>S28</t>
        </is>
      </c>
      <c r="B32" s="5" t="inlineStr">
        <is>
          <t>Baker McKenzie: Guide for Insurance Sales, Advisory and Distribution, Philippines</t>
        </is>
      </c>
      <c r="C32" s="5" t="inlineStr">
        <is>
          <t>https://resourcehub.bakermckenzie.com/en/resources/asia-pacific-insurance/asia-pacific/philippines/topics/guide-for-insurance-sales-advisory-and-distribution</t>
        </is>
      </c>
      <c r="D32" s="10" t="inlineStr">
        <is>
          <t>03 Oct 2026</t>
        </is>
      </c>
      <c r="E32" s="5" t="inlineStr">
        <is>
          <t>Broker capital requirement.</t>
        </is>
      </c>
    </row>
    <row r="33" ht="45" customHeight="1">
      <c r="A33" s="18" t="inlineStr">
        <is>
          <t>S29</t>
        </is>
      </c>
      <c r="B33" s="5" t="inlineStr">
        <is>
          <t>Respicio &amp; Co.: withholding tax on subscription and professional fees; HitPay withholding tax guide</t>
        </is>
      </c>
      <c r="C33" s="5" t="inlineStr">
        <is>
          <t>https://www.respicio.ph/commentaries/philippine-withholding-tax-rates-on-subscription-and-professional-fees ; https://hitpayapp.com/blog/withholding-tax-philippines</t>
        </is>
      </c>
      <c r="D33" s="10" t="inlineStr">
        <is>
          <t>03 Oct 2026</t>
        </is>
      </c>
      <c r="E33" s="5" t="inlineStr">
        <is>
          <t>Withholding tax note (to be confirmed by tax advisers).</t>
        </is>
      </c>
    </row>
    <row r="34" ht="45" customHeight="1">
      <c r="A34" s="18" t="inlineStr">
        <is>
          <t>S30</t>
        </is>
      </c>
      <c r="B34" s="5" t="inlineStr">
        <is>
          <t>BrokerVerse documentation: Capacity and Performance; Go-live data set-up; docs/templates</t>
        </is>
      </c>
      <c r="C34" s="5" t="inlineStr">
        <is>
          <t>docs/architecture/06_BrokerVerse_Capacity_and_Performance.pdf ; docs/onboarding/GO_LIVE_DATA_SETUP.md</t>
        </is>
      </c>
      <c r="D34" s="10" t="inlineStr">
        <is>
          <t>03 Oct 2026</t>
        </is>
      </c>
      <c r="E34" s="5" t="inlineStr">
        <is>
          <t>Reference sizing and the standard upload templates.</t>
        </is>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2026-10-03T16:32:02Z</dcterms:created>
  <dcterms:modified xmlns:dcterms="http://purl.org/dc/terms/" xmlns:xsi="http://www.w3.org/2001/XMLSchema-instance" xsi:type="dcterms:W3CDTF">2026-10-03T16:32:02Z</dcterms:modified>
</cp:coreProperties>
</file>