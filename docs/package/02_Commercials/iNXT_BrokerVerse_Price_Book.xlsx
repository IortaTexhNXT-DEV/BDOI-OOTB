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 Me" sheetId="1" state="visible" r:id="rId1"/>
    <sheet xmlns:r="http://schemas.openxmlformats.org/officeDocument/2006/relationships" name="Quick Quote" sheetId="2" state="visible" r:id="rId2"/>
    <sheet xmlns:r="http://schemas.openxmlformats.org/officeDocument/2006/relationships" name="Pre-set Packages" sheetId="3" state="visible" r:id="rId3"/>
    <sheet xmlns:r="http://schemas.openxmlformats.org/officeDocument/2006/relationships" name="Negotiation" sheetId="4" state="visible" r:id="rId4"/>
    <sheet xmlns:r="http://schemas.openxmlformats.org/officeDocument/2006/relationships" name="Validity and Terms" sheetId="5" state="visible" r:id="rId5"/>
    <sheet xmlns:r="http://schemas.openxmlformats.org/officeDocument/2006/relationships" name="Price Basis" sheetId="6" state="visible" r:id="rId6"/>
  </sheets>
  <definedNames>
    <definedName name="FX">'Price Basis'!$B$6</definedName>
    <definedName name="FX_Date">'Price Basis'!$B$7</definedName>
    <definedName name="VAT">'Price Basis'!$B$8</definedName>
    <definedName name="AMC_Rate">'Price Basis'!$B$9</definedName>
    <definedName name="Esc">'Price Basis'!$B$10</definedName>
    <definedName name="AMC_Start">'Price Basis'!$B$11</definedName>
    <definedName name="Onboard_Pct">'Price Basis'!$B$12</definedName>
    <definedName name="Infra_Esc">'Price Basis'!$B$13</definedName>
    <definedName name="PP_GoLive">'Price Basis'!$B$14</definedName>
    <definedName name="PP_Rel">'Price Basis'!$B$15</definedName>
    <definedName name="Rel_Year">'Price Basis'!$B$16</definedName>
    <definedName name="Days_per_LOB">'Price Basis'!$B$17</definedName>
    <definedName name="Round_To">'Price Basis'!$B$18</definedName>
    <definedName name="Validity">'Price Basis'!$B$19</definedName>
    <definedName name="Blended">'Price Basis'!$B$20</definedName>
    <definedName name="Rate_BA">'Price Basis'!$B$21</definedName>
    <definedName name="Rate_Dev">'Price Basis'!$B$22</definedName>
    <definedName name="Rate_QA">'Price Basis'!$B$23</definedName>
    <definedName name="Rate_PM">'Price Basis'!$B$24</definedName>
    <definedName name="Rate_Trainer">'Price Basis'!$B$25</definedName>
    <definedName name="Rate_Onsite">'Price Basis'!$B$26</definedName>
    <definedName name="TierName">'Price Basis'!$A$30:$A$33</definedName>
    <definedName name="TierFrom">'Price Basis'!$B$30:$B$33</definedName>
    <definedName name="TierTo">'Price Basis'!$C$30:$C$33</definedName>
    <definedName name="PerpRate">'Price Basis'!$D$30:$D$33</definedName>
    <definedName name="SubRate">'Price Basis'!$E$30:$E$33</definedName>
    <definedName name="MinBill">'Price Basis'!$F$30:$F$33</definedName>
    <definedName name="BaseDays">'Price Basis'!$G$30:$G$33</definedName>
    <definedName name="LOBIncl">'Price Basis'!$H$30:$H$33</definedName>
    <definedName name="TrainDays">'Price Basis'!$I$30:$I$33</definedName>
    <definedName name="RefUsers">'Price Basis'!$J$30:$J$33</definedName>
    <definedName name="Sup24">'Price Basis'!$K$30:$K$33</definedName>
    <definedName name="Duration">'Price Basis'!$L$30:$L$33</definedName>
    <definedName name="Host_Hdr">'Price Basis'!$B$37:$E$37</definedName>
    <definedName name="Host_Tbl">'Price Basis'!$B$38:$E$41</definedName>
    <definedName name="PP_Tbl">'Price Basis'!$B$45:$E$48</definedName>
    <definedName name="Env_Setup">'Price Basis'!$B$68</definedName>
    <definedName name="Env_Month">'Price Basis'!$B$69</definedName>
    <definedName name="Mig_Source">'Price Basis'!$B$70</definedName>
    <definedName name="Mig_Day">'Price Basis'!$B$71</definedName>
    <definedName name="Int_Std">'Price Basis'!$B$72</definedName>
    <definedName name="Int_Cx">'Price Basis'!$B$73</definedName>
    <definedName name="LOB_After">'Price Basis'!$B$74</definedName>
    <definedName name="Report_Item">'Price Basis'!$B$75</definedName>
    <definedName name="Conn_Golive">'Price Basis'!$B$76</definedName>
    <definedName name="AML_Act">'Price Basis'!$B$77</definedName>
    <definedName name="IC_Act">'Price Basis'!$B$78</definedName>
    <definedName name="BIR_Act">'Price Basis'!$B$79</definedName>
    <definedName name="Dealer_Prog">'Price Basis'!$B$80</definedName>
    <definedName name="Brand_Pack">'Price Basis'!$B$81</definedName>
    <definedName name="Disc_AM">Negotiation!$B$6</definedName>
    <definedName name="Disc_SH">Negotiation!$C$6</definedName>
    <definedName name="Disc_CEO">Negotiation!$D$6</definedName>
    <definedName name="Floor_SW">Negotiation!$E$6</definedName>
    <definedName name="Floor_Svc">Negotiation!$E$8</definedName>
    <definedName name="Host_AM">Negotiation!$B$10</definedName>
    <definedName name="Host_SH">Negotiation!$C$10</definedName>
    <definedName name="Host_CEO">Negotiation!$D$10</definedName>
    <definedName name="Floor_Host">Negotiation!$E$10</definedName>
    <definedName name="_xlnm.Print_Area" localSheetId="1">'Quick Quote'!$A$1:$H$97</definedName>
  </definedNames>
  <calcPr calcId="124519" fullCalcOnLoad="1"/>
</workbook>
</file>

<file path=xl/styles.xml><?xml version="1.0" encoding="utf-8"?>
<styleSheet xmlns="http://schemas.openxmlformats.org/spreadsheetml/2006/main">
  <numFmts count="3">
    <numFmt numFmtId="164" formatCode="dd mmm yyyy"/>
    <numFmt numFmtId="165" formatCode="0.0%"/>
    <numFmt numFmtId="166" formatCode="dd mmmm yyyy"/>
  </numFmts>
  <fonts count="8">
    <font>
      <name val="Calibri"/>
      <family val="2"/>
      <color theme="1"/>
      <sz val="11"/>
      <scheme val="minor"/>
    </font>
    <font>
      <name val="Calibri"/>
      <b val="1"/>
      <color rgb="000F4761"/>
      <sz val="14"/>
    </font>
    <font>
      <name val="Calibri"/>
      <i val="1"/>
      <color rgb="00595959"/>
    </font>
    <font>
      <name val="Calibri"/>
      <b val="1"/>
      <color rgb="00FFFFFF"/>
    </font>
    <font>
      <name val="Calibri"/>
      <b val="1"/>
    </font>
    <font>
      <name val="Calibri"/>
      <b val="1"/>
      <color rgb="000F4761"/>
      <sz val="12"/>
    </font>
    <font>
      <name val="Calibri"/>
      <color rgb="001F3FBF"/>
    </font>
    <font>
      <name val="Calibri"/>
      <b val="1"/>
      <color rgb="00C00000"/>
    </font>
  </fonts>
  <fills count="8">
    <fill>
      <patternFill/>
    </fill>
    <fill>
      <patternFill patternType="gray125"/>
    </fill>
    <fill>
      <patternFill patternType="solid">
        <fgColor rgb="000F4761"/>
      </patternFill>
    </fill>
    <fill>
      <patternFill patternType="solid">
        <fgColor rgb="00D9E2F3"/>
      </patternFill>
    </fill>
    <fill>
      <patternFill patternType="solid">
        <fgColor rgb="00FFF2CC"/>
      </patternFill>
    </fill>
    <fill>
      <patternFill patternType="solid">
        <fgColor rgb="00FCE4D6"/>
      </patternFill>
    </fill>
    <fill>
      <patternFill patternType="solid">
        <fgColor rgb="00E2EFDA"/>
      </patternFill>
    </fill>
    <fill>
      <patternFill patternType="solid">
        <fgColor rgb="00843C0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0" fillId="0" borderId="1" applyAlignment="1" pivotButton="0" quotePrefix="0" xfId="0">
      <alignment vertical="top" wrapText="1"/>
    </xf>
    <xf numFmtId="0" fontId="5" fillId="3" borderId="0" pivotButton="0" quotePrefix="0" xfId="0"/>
    <xf numFmtId="0" fontId="0" fillId="3" borderId="0" pivotButton="0" quotePrefix="0" xfId="0"/>
    <xf numFmtId="0" fontId="0" fillId="0" borderId="4" pivotButton="0" quotePrefix="0" xfId="0"/>
    <xf numFmtId="0" fontId="0" fillId="0" borderId="5" pivotButton="0" quotePrefix="0" xfId="0"/>
    <xf numFmtId="0" fontId="0" fillId="0" borderId="1" pivotButton="0" quotePrefix="0" xfId="0"/>
    <xf numFmtId="0" fontId="6" fillId="4" borderId="1" pivotButton="0" quotePrefix="0" xfId="0"/>
    <xf numFmtId="164" fontId="6" fillId="4" borderId="1" pivotButton="0" quotePrefix="0" xfId="0"/>
    <xf numFmtId="1" fontId="6" fillId="4" borderId="1" pivotButton="0" quotePrefix="0" xfId="0"/>
    <xf numFmtId="165" fontId="6" fillId="4" borderId="1" pivotButton="0" quotePrefix="0" xfId="0"/>
    <xf numFmtId="0" fontId="0" fillId="5" borderId="1" pivotButton="0" quotePrefix="0" xfId="0"/>
    <xf numFmtId="0" fontId="4" fillId="0" borderId="1" pivotButton="0" quotePrefix="0" xfId="0"/>
    <xf numFmtId="1" fontId="0" fillId="6" borderId="1" pivotButton="0" quotePrefix="0" xfId="0"/>
    <xf numFmtId="3" fontId="0" fillId="6" borderId="1" pivotButton="0" quotePrefix="0" xfId="0"/>
    <xf numFmtId="3" fontId="0" fillId="0" borderId="1" pivotButton="0" quotePrefix="0" xfId="0"/>
    <xf numFmtId="3" fontId="4" fillId="6" borderId="1" pivotButton="0" quotePrefix="0" xfId="0"/>
    <xf numFmtId="0" fontId="7" fillId="5" borderId="1" pivotButton="0" quotePrefix="0" xfId="0"/>
    <xf numFmtId="164" fontId="0" fillId="6" borderId="1" pivotButton="0" quotePrefix="0" xfId="0"/>
    <xf numFmtId="0" fontId="2" fillId="0" borderId="0" applyAlignment="1" pivotButton="0" quotePrefix="0" xfId="0">
      <alignment vertical="top" wrapText="1"/>
    </xf>
    <xf numFmtId="1" fontId="0" fillId="0" borderId="1" pivotButton="0" quotePrefix="0" xfId="0"/>
    <xf numFmtId="0" fontId="3" fillId="7" borderId="1" applyAlignment="1" pivotButton="0" quotePrefix="0" xfId="0">
      <alignment vertical="center" wrapText="1"/>
    </xf>
    <xf numFmtId="3" fontId="0" fillId="5" borderId="1" pivotButton="0" quotePrefix="0" xfId="0"/>
    <xf numFmtId="9" fontId="0" fillId="0" borderId="1" pivotButton="0" quotePrefix="0" xfId="0"/>
    <xf numFmtId="9" fontId="0" fillId="5" borderId="1" pivotButton="0" quotePrefix="0" xfId="0"/>
    <xf numFmtId="9" fontId="6" fillId="4" borderId="1" pivotButton="0" quotePrefix="0" xfId="0"/>
    <xf numFmtId="9" fontId="0" fillId="6" borderId="1" pivotButton="0" quotePrefix="0" xfId="0"/>
    <xf numFmtId="0" fontId="7" fillId="0" borderId="0" applyAlignment="1" pivotButton="0" quotePrefix="0" xfId="0">
      <alignment vertical="top" wrapText="1"/>
    </xf>
    <xf numFmtId="0" fontId="0" fillId="0" borderId="0" applyAlignment="1" pivotButton="0" quotePrefix="0" xfId="0">
      <alignment vertical="top" wrapText="1"/>
    </xf>
    <xf numFmtId="166" fontId="0" fillId="6" borderId="1" pivotButton="0" quotePrefix="0" xfId="0"/>
    <xf numFmtId="2" fontId="6" fillId="4" borderId="1" pivotButton="0" quotePrefix="0" xfId="0"/>
    <xf numFmtId="3" fontId="6"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2"/>
  <sheetViews>
    <sheetView workbookViewId="0">
      <selection activeCell="A1" sqref="A1"/>
    </sheetView>
  </sheetViews>
  <sheetFormatPr baseColWidth="8" defaultRowHeight="15"/>
  <cols>
    <col width="24" customWidth="1" min="1" max="1"/>
    <col width="120" customWidth="1" min="2" max="2"/>
  </cols>
  <sheetData>
    <row r="1">
      <c r="A1" s="1" t="inlineStr">
        <is>
          <t>iNXT BrokerVerse OOTB: price book</t>
        </is>
      </c>
    </row>
    <row r="2">
      <c r="A2" s="2" t="inlineStr">
        <is>
          <t>iorta TechNXT Corp. Prepared 03 October 2026. INTERNAL: contains discount limits and floor prices. Do not send this workbook to a client.</t>
        </is>
      </c>
    </row>
    <row r="4">
      <c r="A4" s="3" t="inlineStr">
        <is>
          <t>Topic</t>
        </is>
      </c>
      <c r="B4" s="3" t="inlineStr">
        <is>
          <t>Notes</t>
        </is>
      </c>
    </row>
    <row r="5" ht="45" customHeight="1">
      <c r="A5" s="4" t="inlineStr">
        <is>
          <t>Purpose</t>
        </is>
      </c>
      <c r="B5" s="5" t="inlineStr">
        <is>
          <t>Pre-set commercials for presentations and first quotations of iNXT BrokerVerse OOTB (the out-of-the-box, as-is version) to Philippine non-life insurance brokers. The presenter picks the size, licence model, hosting, term and options and the client sees the price on the spot.</t>
        </is>
      </c>
    </row>
    <row r="6" ht="60" customHeight="1">
      <c r="A6" s="4" t="inlineStr">
        <is>
          <t>Source of prices</t>
        </is>
      </c>
      <c r="B6" s="5" t="inlineStr">
        <is>
          <t>Every price point comes from the recommended price points of the pricing workbook BrokerVerse_Commercials_and_Pricing.xlsx (Inputs, Infrastructure and Optional Services sheets), copied to the Price Basis sheet when this book was built. If the pricing workbook changes, rebuild this book with docs/package/tools/build_price_book.py. Do not type new prices here.</t>
        </is>
      </c>
    </row>
    <row r="7" ht="45" customHeight="1">
      <c r="A7" s="4" t="inlineStr">
        <is>
          <t>Sheets</t>
        </is>
      </c>
      <c r="B7" s="5" t="inlineStr">
        <is>
          <t>Quick Quote: interactive quotation. Pre-set Packages: four ready packages per tier at list price and at the approved floor. Negotiation: approval matrix, floors and give/get levers (internal). Validity and Terms: validity, taxes and payment terms to read out with any quotation. Price Basis: the price points and drivers.</t>
        </is>
      </c>
    </row>
    <row r="8" ht="135" customHeight="1">
      <c r="A8" s="4" t="inlineStr">
        <is>
          <t>How to use Quick Quote</t>
        </is>
      </c>
      <c r="B8" s="5" t="inlineStr">
        <is>
          <t>1. Choose "Tier reference" and pick a tier, or choose "Custom" and type the user count and the number of lines of business.
2. Pick the licence model, hosting, contract term and optional services (yellow cells).
3. Leave the discount cells at 0% in front of the client. Any discount needs the approval shown in the result (Negotiation sheet).
4. Read the results and the payment schedule. The comparison block shows the other licence model with the same choices.
5. Recalculate (F9) if your spreadsheet tool does not recalculate on open.</t>
        </is>
      </c>
    </row>
    <row r="9" ht="45" customHeight="1">
      <c r="A9" s="4" t="inlineStr">
        <is>
          <t>What to show the client</t>
        </is>
      </c>
      <c r="B9" s="5" t="inlineStr">
        <is>
          <t>Quick Quote at list price, the client columns of Pre-set Packages (list price only) and Validity and Terms. Never show the floor columns or the Negotiation sheet. The client-facing rate card is iNXT_BrokerVerse_Commercial_Proposal_Rate_Card.pdf.</t>
        </is>
      </c>
    </row>
    <row r="10" ht="30" customHeight="1">
      <c r="A10" s="4" t="inlineStr">
        <is>
          <t>Prices and taxes</t>
        </is>
      </c>
      <c r="B10" s="5" t="inlineStr">
        <is>
          <t>All prices are in PHP and exclude 12% VAT. USD figures are for reference only at the exchange rate on Price Basis. Withholding tax deducted by the client does not reduce the invoice price; the client issues BIR Form 2307.</t>
        </is>
      </c>
    </row>
    <row r="11" ht="90" customHeight="1">
      <c r="A11" s="4" t="inlineStr">
        <is>
          <t>Year convention</t>
        </is>
      </c>
      <c r="B11" s="5" t="inlineStr">
        <is>
          <t>Years are contract years counted from go-live, as in the pricing workbook. Implementation and the perpetual licence fall in Year 1. Subscription, hosting and 24x7 support are priced for 12 months in each year; AMC starts in the AMC start year (default Year 2, after a 12-month warranty). Recurring prices increase 5% at each anniversary; hosting does not (infrastructure change rate 0%, pass-through of provider price changes). Hosting covers the standing environment set of the tier for 12 months a year plus the temporary Pre-Prod: 2 months in Year 1 (go-live) and 1 month a year after (one major release a year assumed).</t>
        </is>
      </c>
    </row>
    <row r="12" ht="30" customHeight="1">
      <c r="A12" s="4" t="inlineStr">
        <is>
          <t>Colour key</t>
        </is>
      </c>
      <c r="B12" s="5" t="inlineStr">
        <is>
          <t>Yellow cell with blue text: input. Green: result. Light orange: internal only (discounts, floors). Navy header: column titles.</t>
        </is>
      </c>
    </row>
  </sheetData>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149"/>
  <sheetViews>
    <sheetView workbookViewId="0">
      <pane ySplit="3" topLeftCell="A4" activePane="bottomLeft" state="frozen"/>
      <selection pane="bottomLeft" activeCell="A1" sqref="A1"/>
    </sheetView>
  </sheetViews>
  <sheetFormatPr baseColWidth="8" defaultRowHeight="15"/>
  <cols>
    <col width="52" customWidth="1" min="1" max="1"/>
    <col width="22" customWidth="1" min="2" max="2"/>
    <col width="18" customWidth="1" min="3" max="3"/>
    <col width="18" customWidth="1" min="4" max="4"/>
    <col width="18" customWidth="1" min="5" max="5"/>
    <col width="18" customWidth="1" min="6" max="6"/>
    <col width="18" customWidth="1" min="7" max="7"/>
    <col width="18" customWidth="1" min="8" max="8"/>
  </cols>
  <sheetData>
    <row r="1">
      <c r="A1" s="1" t="inlineStr">
        <is>
          <t>Quick Quote</t>
        </is>
      </c>
    </row>
    <row r="2">
      <c r="A2" s="2" t="inlineStr">
        <is>
          <t>Pick the options in the yellow cells. PHP, exclusive of 12% VAT unless stated. Valid 90 days from the quotation date.</t>
        </is>
      </c>
    </row>
    <row r="4">
      <c r="A4" s="6" t="inlineStr">
        <is>
          <t>Choices</t>
        </is>
      </c>
      <c r="B4" s="7" t="n"/>
      <c r="C4" s="7" t="n"/>
      <c r="D4" s="7" t="n"/>
      <c r="E4" s="7" t="n"/>
      <c r="F4" s="7" t="n"/>
      <c r="G4" s="7" t="n"/>
      <c r="H4" s="7" t="n"/>
    </row>
    <row r="5">
      <c r="A5" s="3" t="inlineStr">
        <is>
          <t>Choice</t>
        </is>
      </c>
      <c r="B5" s="3" t="inlineStr">
        <is>
          <t>Value</t>
        </is>
      </c>
      <c r="C5" s="3" t="inlineStr">
        <is>
          <t>Notes</t>
        </is>
      </c>
      <c r="D5" s="8" t="n"/>
      <c r="E5" s="8" t="n"/>
      <c r="F5" s="8" t="n"/>
      <c r="G5" s="8" t="n"/>
      <c r="H5" s="9" t="n"/>
    </row>
    <row r="6">
      <c r="A6" s="10" t="inlineStr">
        <is>
          <t>Client name</t>
        </is>
      </c>
      <c r="B6" s="11" t="inlineStr">
        <is>
          <t>[Client name]</t>
        </is>
      </c>
      <c r="C6" s="10" t="inlineStr">
        <is>
          <t>Shown on the quotation.</t>
        </is>
      </c>
      <c r="D6" s="8" t="n"/>
      <c r="E6" s="8" t="n"/>
      <c r="F6" s="8" t="n"/>
      <c r="G6" s="8" t="n"/>
      <c r="H6" s="9" t="n"/>
    </row>
    <row r="7">
      <c r="A7" s="10" t="inlineStr">
        <is>
          <t>Quotation date</t>
        </is>
      </c>
      <c r="B7" s="12">
        <f>DATE(2026,10,3)</f>
        <v/>
      </c>
      <c r="C7" s="10" t="inlineStr">
        <is>
          <t>Valid until the date shown in the results.</t>
        </is>
      </c>
      <c r="D7" s="8" t="n"/>
      <c r="E7" s="8" t="n"/>
      <c r="F7" s="8" t="n"/>
      <c r="G7" s="8" t="n"/>
      <c r="H7" s="9" t="n"/>
    </row>
    <row r="8">
      <c r="A8" s="10" t="inlineStr">
        <is>
          <t>Sizing method</t>
        </is>
      </c>
      <c r="B8" s="11" t="inlineStr">
        <is>
          <t>Tier reference</t>
        </is>
      </c>
      <c r="C8" s="10" t="inlineStr">
        <is>
          <t>"Tier reference" uses the reference users and lines of business of the tier. "Custom" uses the two cells below.</t>
        </is>
      </c>
      <c r="D8" s="8" t="n"/>
      <c r="E8" s="8" t="n"/>
      <c r="F8" s="8" t="n"/>
      <c r="G8" s="8" t="n"/>
      <c r="H8" s="9" t="n"/>
    </row>
    <row r="9">
      <c r="A9" s="10" t="inlineStr">
        <is>
          <t>Tier (when sizing by tier reference)</t>
        </is>
      </c>
      <c r="B9" s="11" t="inlineStr">
        <is>
          <t>Medium</t>
        </is>
      </c>
      <c r="C9" s="10" t="inlineStr">
        <is>
          <t>Small 1 to 25 users, Medium 26 to 100, Large 101 to 300, Enterprise above 300.</t>
        </is>
      </c>
      <c r="D9" s="8" t="n"/>
      <c r="E9" s="8" t="n"/>
      <c r="F9" s="8" t="n"/>
      <c r="G9" s="8" t="n"/>
      <c r="H9" s="9" t="n"/>
    </row>
    <row r="10">
      <c r="A10" s="10" t="inlineStr">
        <is>
          <t>Named users (when Custom)</t>
        </is>
      </c>
      <c r="B10" s="13" t="n">
        <v>40</v>
      </c>
      <c r="C10" s="10" t="inlineStr">
        <is>
          <t>A user is a named person with a sign-in.</t>
        </is>
      </c>
      <c r="D10" s="8" t="n"/>
      <c r="E10" s="8" t="n"/>
      <c r="F10" s="8" t="n"/>
      <c r="G10" s="8" t="n"/>
      <c r="H10" s="9" t="n"/>
    </row>
    <row r="11">
      <c r="A11" s="10" t="inlineStr">
        <is>
          <t>Lines of business to configure (when Custom)</t>
        </is>
      </c>
      <c r="B11" s="13" t="n">
        <v>6</v>
      </c>
      <c r="C11" s="10" t="inlineStr">
        <is>
          <t>Motor, fire, marine, casualty, engineering, bonds and so on.</t>
        </is>
      </c>
      <c r="D11" s="8" t="n"/>
      <c r="E11" s="8" t="n"/>
      <c r="F11" s="8" t="n"/>
      <c r="G11" s="8" t="n"/>
      <c r="H11" s="9" t="n"/>
    </row>
    <row r="12">
      <c r="A12" s="10" t="inlineStr">
        <is>
          <t>Licence model</t>
        </is>
      </c>
      <c r="B12" s="11" t="inlineStr">
        <is>
          <t>Subscription</t>
        </is>
      </c>
      <c r="C12" s="10" t="inlineStr">
        <is>
          <t>Perpetual (one-time licence plus AMC) or Subscription (monthly).</t>
        </is>
      </c>
      <c r="D12" s="8" t="n"/>
      <c r="E12" s="8" t="n"/>
      <c r="F12" s="8" t="n"/>
      <c r="G12" s="8" t="n"/>
      <c r="H12" s="9" t="n"/>
    </row>
    <row r="13">
      <c r="A13" s="10" t="inlineStr">
        <is>
          <t>Hosting</t>
        </is>
      </c>
      <c r="B13" s="11" t="inlineStr">
        <is>
          <t>AWS</t>
        </is>
      </c>
      <c r="C13" s="10" t="inlineStr">
        <is>
          <t>Self-hosted, AWS, Azure or Local partner.</t>
        </is>
      </c>
      <c r="D13" s="8" t="n"/>
      <c r="E13" s="8" t="n"/>
      <c r="F13" s="8" t="n"/>
      <c r="G13" s="8" t="n"/>
      <c r="H13" s="9" t="n"/>
    </row>
    <row r="14">
      <c r="A14" s="10" t="inlineStr">
        <is>
          <t>Contract term (years)</t>
        </is>
      </c>
      <c r="B14" s="13" t="n">
        <v>3</v>
      </c>
      <c r="C14" s="10" t="inlineStr">
        <is>
          <t>1, 3 or 5 years. The minimum subscription term is 12 months.</t>
        </is>
      </c>
      <c r="D14" s="8" t="n"/>
      <c r="E14" s="8" t="n"/>
      <c r="F14" s="8" t="n"/>
      <c r="G14" s="8" t="n"/>
      <c r="H14" s="9" t="n"/>
    </row>
    <row r="15">
      <c r="A15" s="10" t="inlineStr">
        <is>
          <t>24x7 Severity 1 support</t>
        </is>
      </c>
      <c r="B15" s="11" t="inlineStr">
        <is>
          <t>No</t>
        </is>
      </c>
      <c r="C15" s="10" t="inlineStr">
        <is>
          <t>Standard support is 08:00 to 18:00 PHT, Monday to Friday.</t>
        </is>
      </c>
      <c r="D15" s="8" t="n"/>
      <c r="E15" s="8" t="n"/>
      <c r="F15" s="8" t="n"/>
      <c r="G15" s="8" t="n"/>
      <c r="H15" s="9" t="n"/>
    </row>
    <row r="16">
      <c r="A16" s="10" t="inlineStr">
        <is>
          <t>Extra training days</t>
        </is>
      </c>
      <c r="B16" s="13" t="n">
        <v>0</v>
      </c>
      <c r="C16" s="10" t="inlineStr">
        <is>
          <t>Beyond the days included for the tier.</t>
        </is>
      </c>
      <c r="D16" s="8" t="n"/>
      <c r="E16" s="8" t="n"/>
      <c r="F16" s="8" t="n"/>
      <c r="G16" s="8" t="n"/>
      <c r="H16" s="9" t="n"/>
    </row>
    <row r="17">
      <c r="A17" s="10" t="inlineStr">
        <is>
          <t>Legacy data sources to migrate</t>
        </is>
      </c>
      <c r="B17" s="13" t="n">
        <v>0</v>
      </c>
      <c r="C17" s="10" t="inlineStr">
        <is>
          <t>Beyond the standard upload templates.</t>
        </is>
      </c>
      <c r="D17" s="8" t="n"/>
      <c r="E17" s="8" t="n"/>
      <c r="F17" s="8" t="n"/>
      <c r="G17" s="8" t="n"/>
      <c r="H17" s="9" t="n"/>
    </row>
    <row r="18">
      <c r="A18" s="10" t="inlineStr">
        <is>
          <t>Additional standard integrations</t>
        </is>
      </c>
      <c r="B18" s="13" t="n">
        <v>0</v>
      </c>
      <c r="C18" s="10" t="inlineStr">
        <is>
          <t>One documented API or file exchange, one direction.</t>
        </is>
      </c>
      <c r="D18" s="8" t="n"/>
      <c r="E18" s="8" t="n"/>
      <c r="F18" s="8" t="n"/>
      <c r="G18" s="8" t="n"/>
      <c r="H18" s="9" t="n"/>
    </row>
    <row r="19">
      <c r="A19" s="10" t="inlineStr">
        <is>
          <t>Additional complex integrations</t>
        </is>
      </c>
      <c r="B19" s="13" t="n">
        <v>0</v>
      </c>
      <c r="C19" s="10" t="inlineStr">
        <is>
          <t>Two-way, no API, or batch with reconciliation.</t>
        </is>
      </c>
      <c r="D19" s="8" t="n"/>
      <c r="E19" s="8" t="n"/>
      <c r="F19" s="8" t="n"/>
      <c r="G19" s="8" t="n"/>
      <c r="H19" s="9" t="n"/>
    </row>
    <row r="20">
      <c r="A20" s="10" t="inlineStr">
        <is>
          <t>Additional environments (training or second UAT)</t>
        </is>
      </c>
      <c r="B20" s="13" t="n">
        <v>0</v>
      </c>
      <c r="C20" s="10" t="inlineStr">
        <is>
          <t>Set-up fee, plus a monthly fee when iorta TechNXT hosts.</t>
        </is>
      </c>
      <c r="D20" s="8" t="n"/>
      <c r="E20" s="8" t="n"/>
      <c r="F20" s="8" t="n"/>
      <c r="G20" s="8" t="n"/>
      <c r="H20" s="9" t="n"/>
    </row>
    <row r="21">
      <c r="A21" s="10" t="inlineStr">
        <is>
          <t>On-site consultant days (Metro Manila)</t>
        </is>
      </c>
      <c r="B21" s="13" t="n">
        <v>0</v>
      </c>
      <c r="C21" s="10" t="inlineStr">
        <is>
          <t>Remote delivery is the default.</t>
        </is>
      </c>
      <c r="D21" s="8" t="n"/>
      <c r="E21" s="8" t="n"/>
      <c r="F21" s="8" t="n"/>
      <c r="G21" s="8" t="n"/>
      <c r="H21" s="9" t="n"/>
    </row>
    <row r="22">
      <c r="A22" s="10" t="inlineStr">
        <is>
          <t>Discount on licence or subscription</t>
        </is>
      </c>
      <c r="B22" s="14" t="n">
        <v>0</v>
      </c>
      <c r="C22" s="15" t="inlineStr">
        <is>
          <t>INTERNAL. Leave at 0% in front of the client. Approval per the Negotiation sheet.</t>
        </is>
      </c>
      <c r="D22" s="8" t="n"/>
      <c r="E22" s="8" t="n"/>
      <c r="F22" s="8" t="n"/>
      <c r="G22" s="8" t="n"/>
      <c r="H22" s="9" t="n"/>
    </row>
    <row r="23">
      <c r="A23" s="10" t="inlineStr">
        <is>
          <t>Discount on implementation, services and 24x7 support</t>
        </is>
      </c>
      <c r="B23" s="14" t="n">
        <v>0</v>
      </c>
      <c r="C23" s="15" t="inlineStr">
        <is>
          <t>INTERNAL. As above.</t>
        </is>
      </c>
      <c r="D23" s="8" t="n"/>
      <c r="E23" s="8" t="n"/>
      <c r="F23" s="8" t="n"/>
      <c r="G23" s="8" t="n"/>
      <c r="H23" s="9" t="n"/>
    </row>
    <row r="24">
      <c r="A24" s="10" t="inlineStr">
        <is>
          <t>Discount on hosting</t>
        </is>
      </c>
      <c r="B24" s="14" t="n">
        <v>0</v>
      </c>
      <c r="C24" s="15" t="inlineStr">
        <is>
          <t>INTERNAL. As above.</t>
        </is>
      </c>
      <c r="D24" s="8" t="n"/>
      <c r="E24" s="8" t="n"/>
      <c r="F24" s="8" t="n"/>
      <c r="G24" s="8" t="n"/>
      <c r="H24" s="9" t="n"/>
    </row>
    <row r="25">
      <c r="A25" s="16" t="inlineStr">
        <is>
          <t>Named users used</t>
        </is>
      </c>
      <c r="B25" s="17">
        <f>IF($B$8="Custom",$B$10,INDEX(RefUsers,MATCH($B$9,TierName,0)))</f>
        <v/>
      </c>
    </row>
    <row r="26">
      <c r="A26" s="16" t="inlineStr">
        <is>
          <t>Lines of business used</t>
        </is>
      </c>
      <c r="B26" s="17">
        <f>IF($B$8="Custom",$B$11,INDEX(LOBIncl,MATCH($B$9,TierName,0)))</f>
        <v/>
      </c>
    </row>
    <row r="28">
      <c r="A28" s="6" t="inlineStr">
        <is>
          <t>Results</t>
        </is>
      </c>
      <c r="B28" s="7" t="n"/>
      <c r="C28" s="7" t="n"/>
      <c r="D28" s="7" t="n"/>
      <c r="E28" s="7" t="n"/>
      <c r="F28" s="7" t="n"/>
      <c r="G28" s="7" t="n"/>
      <c r="H28" s="7" t="n"/>
    </row>
    <row r="29">
      <c r="A29" s="3" t="inlineStr">
        <is>
          <t>Item</t>
        </is>
      </c>
      <c r="B29" s="3" t="inlineStr">
        <is>
          <t>PHP excl. VAT</t>
        </is>
      </c>
      <c r="C29" s="3" t="inlineStr">
        <is>
          <t>PHP incl. VAT</t>
        </is>
      </c>
      <c r="D29" s="3" t="inlineStr">
        <is>
          <t>USD reference</t>
        </is>
      </c>
      <c r="E29" s="3" t="inlineStr">
        <is>
          <t>Notes</t>
        </is>
      </c>
      <c r="F29" s="8" t="n"/>
      <c r="G29" s="8" t="n"/>
      <c r="H29" s="9" t="n"/>
    </row>
    <row r="30">
      <c r="A30" s="10" t="inlineStr">
        <is>
          <t>Tier</t>
        </is>
      </c>
      <c r="B30" s="10">
        <f>B101</f>
        <v/>
      </c>
      <c r="E30" s="10">
        <f>"Implementation about "&amp;INDEX(Duration,B100)&amp;"; "&amp;B120&amp;" training days included"</f>
        <v/>
      </c>
      <c r="F30" s="8" t="n"/>
      <c r="G30" s="8" t="n"/>
      <c r="H30" s="9" t="n"/>
    </row>
    <row r="31">
      <c r="A31" s="10" t="inlineStr">
        <is>
          <t>One-time implementation fee (subscription: onboarding fee)</t>
        </is>
      </c>
      <c r="B31" s="18">
        <f>B105</f>
        <v/>
      </c>
      <c r="C31" s="19">
        <f>B31*(1+VAT)</f>
        <v/>
      </c>
      <c r="D31" s="19">
        <f>B31/FX</f>
        <v/>
      </c>
      <c r="E31" s="10">
        <f>B103&amp;" man-days at the blended rate; "&amp;$B$26&amp;" lines of business"</f>
        <v/>
      </c>
      <c r="F31" s="8" t="n"/>
      <c r="G31" s="8" t="n"/>
      <c r="H31" s="9" t="n"/>
    </row>
    <row r="32">
      <c r="A32" s="10" t="inlineStr">
        <is>
          <t>Perpetual licence fee (one-time, on go-live)</t>
        </is>
      </c>
      <c r="B32" s="18">
        <f>B107</f>
        <v/>
      </c>
      <c r="C32" s="19">
        <f>B32*(1+VAT)</f>
        <v/>
      </c>
      <c r="D32" s="19">
        <f>B32/FX</f>
        <v/>
      </c>
      <c r="E32" s="10">
        <f>IF($B$12="Perpetual",TEXT(B110,"#,##0")&amp;" per user on average, graduated slabs","Not applicable to subscription")</f>
        <v/>
      </c>
      <c r="F32" s="8" t="n"/>
      <c r="G32" s="8" t="n"/>
      <c r="H32" s="9" t="n"/>
    </row>
    <row r="33">
      <c r="A33" s="10" t="inlineStr">
        <is>
          <t>Subscription per month, Year 1</t>
        </is>
      </c>
      <c r="B33" s="18">
        <f>B109</f>
        <v/>
      </c>
      <c r="C33" s="19">
        <f>B33*(1+VAT)</f>
        <v/>
      </c>
      <c r="D33" s="19">
        <f>B33/FX</f>
        <v/>
      </c>
      <c r="E33" s="10">
        <f>IF($B$12="Subscription",B102&amp;" billable users, "&amp;TEXT(B110,"#,##0")&amp;" per user per month on average","Not applicable to perpetual")</f>
        <v/>
      </c>
      <c r="F33" s="8" t="n"/>
      <c r="G33" s="8" t="n"/>
      <c r="H33" s="9" t="n"/>
    </row>
    <row r="34">
      <c r="A34" s="10" t="inlineStr">
        <is>
          <t>AMC per year, first AMC year</t>
        </is>
      </c>
      <c r="B34" s="18">
        <f>CHOOSE(MIN(AMC_Start,5),B121,B122,B123,B124,B125)</f>
        <v/>
      </c>
      <c r="C34" s="19">
        <f>B34*(1+VAT)</f>
        <v/>
      </c>
      <c r="D34" s="19">
        <f>B34/FX</f>
        <v/>
      </c>
      <c r="E34" s="10">
        <f>IF($B$12="Perpetual","22% of the licence fee from Year "&amp;AMC_Start&amp;", then +5% a year","Not applicable: support is in the subscription")</f>
        <v/>
      </c>
      <c r="F34" s="8" t="n"/>
      <c r="G34" s="8" t="n"/>
      <c r="H34" s="9" t="n"/>
    </row>
    <row r="35">
      <c r="A35" s="10" t="inlineStr">
        <is>
          <t>Hosting per month</t>
        </is>
      </c>
      <c r="B35" s="18">
        <f>B112+B115</f>
        <v/>
      </c>
      <c r="C35" s="19">
        <f>B35*(1+VAT)</f>
        <v/>
      </c>
      <c r="D35" s="19">
        <f>B35/FX</f>
        <v/>
      </c>
      <c r="E35" s="10">
        <f>$B$13&amp;": standing environment set of the tier"&amp;IF($B$20&gt;0,", including "&amp;$B$20&amp;" additional environment(s)","")</f>
        <v/>
      </c>
      <c r="F35" s="8" t="n"/>
      <c r="G35" s="8" t="n"/>
      <c r="H35" s="9" t="n"/>
    </row>
    <row r="36">
      <c r="A36" s="10" t="inlineStr">
        <is>
          <t>Pre-Prod per month of use</t>
        </is>
      </c>
      <c r="B36" s="18">
        <f>B114</f>
        <v/>
      </c>
      <c r="C36" s="19">
        <f>B36*(1+VAT)</f>
        <v/>
      </c>
      <c r="D36" s="19">
        <f>B36/FX</f>
        <v/>
      </c>
      <c r="E36" s="10">
        <f>IF($B$13="Self-hosted","Client hosts Pre-Prod itself","Temporary: "&amp;PP_GoLive&amp;" months at go-live, "&amp;PP_Rel&amp;" per major release")</f>
        <v/>
      </c>
      <c r="F36" s="8" t="n"/>
      <c r="G36" s="8" t="n"/>
      <c r="H36" s="9" t="n"/>
    </row>
    <row r="37">
      <c r="A37" s="10" t="inlineStr">
        <is>
          <t>One-time optional services</t>
        </is>
      </c>
      <c r="B37" s="18">
        <f>B118</f>
        <v/>
      </c>
      <c r="C37" s="19">
        <f>B37*(1+VAT)</f>
        <v/>
      </c>
      <c r="D37" s="19">
        <f>B37/FX</f>
        <v/>
      </c>
      <c r="E37" s="10" t="inlineStr">
        <is>
          <t>Training, migration, integrations, environment set-up, on-site days chosen above.</t>
        </is>
      </c>
      <c r="F37" s="8" t="n"/>
      <c r="G37" s="8" t="n"/>
      <c r="H37" s="9" t="n"/>
    </row>
    <row r="38">
      <c r="A38" s="10" t="inlineStr">
        <is>
          <t>24x7 Severity 1 support per year, Year 1</t>
        </is>
      </c>
      <c r="B38" s="18">
        <f>B136</f>
        <v/>
      </c>
      <c r="C38" s="19">
        <f>B38*(1+VAT)</f>
        <v/>
      </c>
      <c r="D38" s="19">
        <f>B38/FX</f>
        <v/>
      </c>
      <c r="E38" s="10" t="inlineStr">
        <is>
          <t>Optional; +5% a year.</t>
        </is>
      </c>
      <c r="F38" s="8" t="n"/>
      <c r="G38" s="8" t="n"/>
      <c r="H38" s="9" t="n"/>
    </row>
    <row r="39">
      <c r="A39" s="16" t="inlineStr">
        <is>
          <t>Year 1 total</t>
        </is>
      </c>
      <c r="B39" s="20">
        <f>B141</f>
        <v/>
      </c>
      <c r="C39" s="19">
        <f>B39*(1+VAT)</f>
        <v/>
      </c>
      <c r="D39" s="19">
        <f>B39/FX</f>
        <v/>
      </c>
      <c r="E39" s="10" t="inlineStr">
        <is>
          <t>Everything payable in the first contract year.</t>
        </is>
      </c>
      <c r="F39" s="8" t="n"/>
      <c r="G39" s="8" t="n"/>
      <c r="H39" s="9" t="n"/>
    </row>
    <row r="40">
      <c r="A40" s="10" t="inlineStr">
        <is>
          <t>Total for the contract term</t>
        </is>
      </c>
      <c r="B40" s="20">
        <f>B146</f>
        <v/>
      </c>
      <c r="C40" s="19">
        <f>B40*(1+VAT)</f>
        <v/>
      </c>
      <c r="D40" s="19">
        <f>B40/FX</f>
        <v/>
      </c>
      <c r="E40" s="10">
        <f>"Contract term of "&amp;$B$14&amp;" year(s)"</f>
        <v/>
      </c>
      <c r="F40" s="8" t="n"/>
      <c r="G40" s="8" t="n"/>
      <c r="H40" s="9" t="n"/>
    </row>
    <row r="41">
      <c r="A41" s="16" t="inlineStr">
        <is>
          <t>5-year total cost</t>
        </is>
      </c>
      <c r="B41" s="20">
        <f>B147</f>
        <v/>
      </c>
      <c r="C41" s="19">
        <f>B41*(1+VAT)</f>
        <v/>
      </c>
      <c r="D41" s="19">
        <f>B41/FX</f>
        <v/>
      </c>
      <c r="E41" s="10" t="inlineStr">
        <is>
          <t>Assumes renewal to Year 5 at the escalated prices.</t>
        </is>
      </c>
      <c r="F41" s="8" t="n"/>
      <c r="G41" s="8" t="n"/>
      <c r="H41" s="9" t="n"/>
    </row>
    <row r="42">
      <c r="A42" s="10" t="inlineStr">
        <is>
          <t>Discount included in the 5-year total</t>
        </is>
      </c>
      <c r="B42" s="18">
        <f>C147-B147</f>
        <v/>
      </c>
      <c r="C42" s="19">
        <f>B42*(1+VAT)</f>
        <v/>
      </c>
      <c r="D42" s="19">
        <f>B42/FX</f>
        <v/>
      </c>
      <c r="E42" s="15" t="inlineStr">
        <is>
          <t>INTERNAL. 0 at list price.</t>
        </is>
      </c>
      <c r="F42" s="8" t="n"/>
      <c r="G42" s="8" t="n"/>
      <c r="H42" s="9" t="n"/>
    </row>
    <row r="43">
      <c r="A43" s="16" t="inlineStr">
        <is>
          <t>Approval needed for the discounts entered</t>
        </is>
      </c>
      <c r="B43" s="21">
        <f>CHOOSE(MAX(IF($B$22&lt;=0,0,IF($B$22&lt;=Disc_AM,1,IF($B$22&lt;=Disc_SH,2,IF($B$22&lt;=Disc_CEO,3,4)))),IF($B$23&lt;=0,0,IF($B$23&lt;=Disc_AM,1,IF($B$23&lt;=Disc_SH,2,IF($B$23&lt;=Disc_CEO,3,4)))),IF($B$24&lt;=0,0,IF($B$24&lt;=Host_AM,1,IF($B$24&lt;=Host_SH,2,IF($B$24&lt;=Host_CEO,3,4)))))+1,"None: list price","Account manager","Sales head","CEO","Not allowed: below the floor")</f>
        <v/>
      </c>
      <c r="C43" s="8" t="n"/>
      <c r="D43" s="9" t="n"/>
      <c r="E43" s="15" t="inlineStr">
        <is>
          <t>INTERNAL. Limits on the Negotiation sheet.</t>
        </is>
      </c>
      <c r="F43" s="8" t="n"/>
      <c r="G43" s="8" t="n"/>
      <c r="H43" s="9" t="n"/>
    </row>
    <row r="44">
      <c r="A44" s="16" t="inlineStr">
        <is>
          <t>Valid until</t>
        </is>
      </c>
      <c r="B44" s="22">
        <f>$B$7+Validity</f>
        <v/>
      </c>
    </row>
    <row r="46">
      <c r="A46" s="6" t="inlineStr">
        <is>
          <t>Year by year (PHP, excl. VAT)</t>
        </is>
      </c>
      <c r="B46" s="7" t="n"/>
      <c r="C46" s="7" t="n"/>
      <c r="D46" s="7" t="n"/>
      <c r="E46" s="7" t="n"/>
      <c r="F46" s="7" t="n"/>
      <c r="G46" s="7" t="n"/>
      <c r="H46" s="7" t="n"/>
    </row>
    <row r="47">
      <c r="A47" s="3" t="inlineStr">
        <is>
          <t>Item</t>
        </is>
      </c>
      <c r="B47" s="3" t="inlineStr">
        <is>
          <t>Year 1</t>
        </is>
      </c>
      <c r="C47" s="3" t="inlineStr">
        <is>
          <t>Year 2</t>
        </is>
      </c>
      <c r="D47" s="3" t="inlineStr">
        <is>
          <t>Year 3</t>
        </is>
      </c>
      <c r="E47" s="3" t="inlineStr">
        <is>
          <t>Year 4</t>
        </is>
      </c>
      <c r="F47" s="3" t="inlineStr">
        <is>
          <t>Year 5</t>
        </is>
      </c>
      <c r="G47" s="3" t="inlineStr">
        <is>
          <t>5-year total</t>
        </is>
      </c>
    </row>
    <row r="48">
      <c r="A48" s="10" t="inlineStr">
        <is>
          <t>Implementation or onboarding, licence and one-time services</t>
        </is>
      </c>
      <c r="B48" s="19">
        <f>B105+B107+B118</f>
        <v/>
      </c>
      <c r="C48" s="19">
        <f>0</f>
        <v/>
      </c>
      <c r="D48" s="19">
        <f>0</f>
        <v/>
      </c>
      <c r="E48" s="19">
        <f>0</f>
        <v/>
      </c>
      <c r="F48" s="19">
        <f>0</f>
        <v/>
      </c>
      <c r="G48" s="20">
        <f>SUM(B48:F48)</f>
        <v/>
      </c>
    </row>
    <row r="49">
      <c r="A49" s="10" t="inlineStr">
        <is>
          <t>AMC</t>
        </is>
      </c>
      <c r="B49" s="19">
        <f>B121</f>
        <v/>
      </c>
      <c r="C49" s="19">
        <f>B122</f>
        <v/>
      </c>
      <c r="D49" s="19">
        <f>B123</f>
        <v/>
      </c>
      <c r="E49" s="19">
        <f>B124</f>
        <v/>
      </c>
      <c r="F49" s="19">
        <f>B125</f>
        <v/>
      </c>
      <c r="G49" s="20">
        <f>SUM(B49:F49)</f>
        <v/>
      </c>
    </row>
    <row r="50">
      <c r="A50" s="10" t="inlineStr">
        <is>
          <t>Subscription</t>
        </is>
      </c>
      <c r="B50" s="19">
        <f>B126</f>
        <v/>
      </c>
      <c r="C50" s="19">
        <f>B127</f>
        <v/>
      </c>
      <c r="D50" s="19">
        <f>B128</f>
        <v/>
      </c>
      <c r="E50" s="19">
        <f>B129</f>
        <v/>
      </c>
      <c r="F50" s="19">
        <f>B130</f>
        <v/>
      </c>
      <c r="G50" s="20">
        <f>SUM(B50:F50)</f>
        <v/>
      </c>
    </row>
    <row r="51">
      <c r="A51" s="10" t="inlineStr">
        <is>
          <t>Hosting, additional environments and Pre-Prod</t>
        </is>
      </c>
      <c r="B51" s="19">
        <f>B131</f>
        <v/>
      </c>
      <c r="C51" s="19">
        <f>B132</f>
        <v/>
      </c>
      <c r="D51" s="19">
        <f>B133</f>
        <v/>
      </c>
      <c r="E51" s="19">
        <f>B134</f>
        <v/>
      </c>
      <c r="F51" s="19">
        <f>B135</f>
        <v/>
      </c>
      <c r="G51" s="20">
        <f>SUM(B51:F51)</f>
        <v/>
      </c>
    </row>
    <row r="52">
      <c r="A52" s="10" t="inlineStr">
        <is>
          <t>24x7 Severity 1 support</t>
        </is>
      </c>
      <c r="B52" s="19">
        <f>B136</f>
        <v/>
      </c>
      <c r="C52" s="19">
        <f>B137</f>
        <v/>
      </c>
      <c r="D52" s="19">
        <f>B138</f>
        <v/>
      </c>
      <c r="E52" s="19">
        <f>B139</f>
        <v/>
      </c>
      <c r="F52" s="19">
        <f>B140</f>
        <v/>
      </c>
      <c r="G52" s="20">
        <f>SUM(B52:F52)</f>
        <v/>
      </c>
    </row>
    <row r="53">
      <c r="A53" s="16" t="inlineStr">
        <is>
          <t>Total excl. VAT</t>
        </is>
      </c>
      <c r="B53" s="18">
        <f>B141</f>
        <v/>
      </c>
      <c r="C53" s="18">
        <f>B142</f>
        <v/>
      </c>
      <c r="D53" s="18">
        <f>B143</f>
        <v/>
      </c>
      <c r="E53" s="18">
        <f>B144</f>
        <v/>
      </c>
      <c r="F53" s="18">
        <f>B145</f>
        <v/>
      </c>
      <c r="G53" s="20">
        <f>SUM(B53:F53)</f>
        <v/>
      </c>
    </row>
    <row r="54">
      <c r="A54" s="10" t="inlineStr">
        <is>
          <t>VAT 12%</t>
        </is>
      </c>
      <c r="B54" s="19">
        <f>B53*VAT</f>
        <v/>
      </c>
      <c r="C54" s="19">
        <f>C53*VAT</f>
        <v/>
      </c>
      <c r="D54" s="19">
        <f>D53*VAT</f>
        <v/>
      </c>
      <c r="E54" s="19">
        <f>E53*VAT</f>
        <v/>
      </c>
      <c r="F54" s="19">
        <f>F53*VAT</f>
        <v/>
      </c>
      <c r="G54" s="20">
        <f>SUM(B54:F54)</f>
        <v/>
      </c>
    </row>
    <row r="55">
      <c r="A55" s="16" t="inlineStr">
        <is>
          <t>Total incl. VAT</t>
        </is>
      </c>
      <c r="B55" s="18">
        <f>B53+B54</f>
        <v/>
      </c>
      <c r="C55" s="18">
        <f>C53+C54</f>
        <v/>
      </c>
      <c r="D55" s="18">
        <f>D53+D54</f>
        <v/>
      </c>
      <c r="E55" s="18">
        <f>E53+E54</f>
        <v/>
      </c>
      <c r="F55" s="18">
        <f>F53+F54</f>
        <v/>
      </c>
      <c r="G55" s="20">
        <f>SUM(B55:F55)</f>
        <v/>
      </c>
    </row>
    <row r="57">
      <c r="A57" s="6" t="inlineStr">
        <is>
          <t>Payment schedule (PHP)</t>
        </is>
      </c>
      <c r="B57" s="7" t="n"/>
      <c r="C57" s="7" t="n"/>
      <c r="D57" s="7" t="n"/>
      <c r="E57" s="7" t="n"/>
      <c r="F57" s="7" t="n"/>
      <c r="G57" s="7" t="n"/>
      <c r="H57" s="7" t="n"/>
    </row>
    <row r="58">
      <c r="A58" s="3" t="inlineStr">
        <is>
          <t>Milestone or period</t>
        </is>
      </c>
      <c r="B58" s="3" t="inlineStr">
        <is>
          <t>Amount excl. VAT</t>
        </is>
      </c>
      <c r="C58" s="3" t="inlineStr">
        <is>
          <t>VAT</t>
        </is>
      </c>
      <c r="D58" s="3" t="inlineStr">
        <is>
          <t>Amount incl. VAT</t>
        </is>
      </c>
      <c r="E58" s="3" t="inlineStr">
        <is>
          <t>When</t>
        </is>
      </c>
      <c r="F58" s="8" t="n"/>
      <c r="G58" s="8" t="n"/>
      <c r="H58" s="9" t="n"/>
    </row>
    <row r="59">
      <c r="A59" s="10" t="inlineStr">
        <is>
          <t>Implementation or onboarding: 40% on signing</t>
        </is>
      </c>
      <c r="B59" s="19">
        <f>B105*0.4</f>
        <v/>
      </c>
      <c r="C59" s="19">
        <f>B59*VAT</f>
        <v/>
      </c>
      <c r="D59" s="18">
        <f>B59+C59</f>
        <v/>
      </c>
      <c r="E59" s="10" t="inlineStr">
        <is>
          <t>On signing of the Order Form</t>
        </is>
      </c>
      <c r="F59" s="8" t="n"/>
      <c r="G59" s="8" t="n"/>
      <c r="H59" s="9" t="n"/>
    </row>
    <row r="60">
      <c r="A60" s="10" t="inlineStr">
        <is>
          <t>Implementation or onboarding: 40% on UAT sign-off</t>
        </is>
      </c>
      <c r="B60" s="19">
        <f>B105*0.4</f>
        <v/>
      </c>
      <c r="C60" s="19">
        <f>B60*VAT</f>
        <v/>
      </c>
      <c r="D60" s="18">
        <f>B60+C60</f>
        <v/>
      </c>
      <c r="E60" s="10" t="inlineStr">
        <is>
          <t>On written UAT sign-off</t>
        </is>
      </c>
      <c r="F60" s="8" t="n"/>
      <c r="G60" s="8" t="n"/>
      <c r="H60" s="9" t="n"/>
    </row>
    <row r="61">
      <c r="A61" s="10" t="inlineStr">
        <is>
          <t>Implementation or onboarding: 20% on go-live</t>
        </is>
      </c>
      <c r="B61" s="19">
        <f>B105*0.2</f>
        <v/>
      </c>
      <c r="C61" s="19">
        <f>B61*VAT</f>
        <v/>
      </c>
      <c r="D61" s="18">
        <f>B61+C61</f>
        <v/>
      </c>
      <c r="E61" s="10" t="inlineStr">
        <is>
          <t>On go-live</t>
        </is>
      </c>
      <c r="F61" s="8" t="n"/>
      <c r="G61" s="8" t="n"/>
      <c r="H61" s="9" t="n"/>
    </row>
    <row r="62">
      <c r="A62" s="10" t="inlineStr">
        <is>
          <t>Perpetual licence fee: 100% on go-live</t>
        </is>
      </c>
      <c r="B62" s="19">
        <f>B107</f>
        <v/>
      </c>
      <c r="C62" s="19">
        <f>B62*VAT</f>
        <v/>
      </c>
      <c r="D62" s="18">
        <f>B62+C62</f>
        <v/>
      </c>
      <c r="E62" s="10" t="inlineStr">
        <is>
          <t>On go-live (perpetual model only)</t>
        </is>
      </c>
      <c r="F62" s="8" t="n"/>
      <c r="G62" s="8" t="n"/>
      <c r="H62" s="9" t="n"/>
    </row>
    <row r="63">
      <c r="A63" s="10" t="inlineStr">
        <is>
          <t>One-time optional services</t>
        </is>
      </c>
      <c r="B63" s="19">
        <f>B118</f>
        <v/>
      </c>
      <c r="C63" s="19">
        <f>B63*VAT</f>
        <v/>
      </c>
      <c r="D63" s="18">
        <f>B63+C63</f>
        <v/>
      </c>
      <c r="E63" s="10" t="inlineStr">
        <is>
          <t>On delivery, or as quoted for fixed-price items</t>
        </is>
      </c>
      <c r="F63" s="8" t="n"/>
      <c r="G63" s="8" t="n"/>
      <c r="H63" s="9" t="n"/>
    </row>
    <row r="64">
      <c r="A64" s="10" t="inlineStr">
        <is>
          <t>Subscription, per month (Year 1 rate)</t>
        </is>
      </c>
      <c r="B64" s="19">
        <f>B109</f>
        <v/>
      </c>
      <c r="C64" s="19">
        <f>B64*VAT</f>
        <v/>
      </c>
      <c r="D64" s="18">
        <f>B64+C64</f>
        <v/>
      </c>
      <c r="E64" s="10" t="inlineStr">
        <is>
          <t>Monthly in advance from go-live; +5% at each anniversary</t>
        </is>
      </c>
      <c r="F64" s="8" t="n"/>
      <c r="G64" s="8" t="n"/>
      <c r="H64" s="9" t="n"/>
    </row>
    <row r="65">
      <c r="A65" s="10" t="inlineStr">
        <is>
          <t>Hosting and environments, per month</t>
        </is>
      </c>
      <c r="B65" s="19">
        <f>B112+B115</f>
        <v/>
      </c>
      <c r="C65" s="19">
        <f>B65*VAT</f>
        <v/>
      </c>
      <c r="D65" s="18">
        <f>B65+C65</f>
        <v/>
      </c>
      <c r="E65" s="10" t="inlineStr">
        <is>
          <t>Monthly in advance from environment handover; no yearly increase</t>
        </is>
      </c>
      <c r="F65" s="8" t="n"/>
      <c r="G65" s="8" t="n"/>
      <c r="H65" s="9" t="n"/>
    </row>
    <row r="66">
      <c r="A66" s="10" t="inlineStr">
        <is>
          <t>Pre-Prod, per month of use</t>
        </is>
      </c>
      <c r="B66" s="19">
        <f>B114</f>
        <v/>
      </c>
      <c r="C66" s="19">
        <f>B66*VAT</f>
        <v/>
      </c>
      <c r="D66" s="18">
        <f>B66+C66</f>
        <v/>
      </c>
      <c r="E66" s="10" t="inlineStr">
        <is>
          <t>Monthly in advance for each month of use (go-live rehearsal, major releases)</t>
        </is>
      </c>
      <c r="F66" s="8" t="n"/>
      <c r="G66" s="8" t="n"/>
      <c r="H66" s="9" t="n"/>
    </row>
    <row r="67">
      <c r="A67" s="10" t="inlineStr">
        <is>
          <t>AMC, per year (first AMC year)</t>
        </is>
      </c>
      <c r="B67" s="19">
        <f>CHOOSE(MIN(AMC_Start,5),B121,B122,B123,B124,B125)</f>
        <v/>
      </c>
      <c r="C67" s="19">
        <f>B67*VAT</f>
        <v/>
      </c>
      <c r="D67" s="18">
        <f>B67+C67</f>
        <v/>
      </c>
      <c r="E67" s="10">
        <f>"Yearly in advance from Year "&amp;AMC_Start&amp;"; +5% a year"</f>
        <v/>
      </c>
      <c r="F67" s="8" t="n"/>
      <c r="G67" s="8" t="n"/>
      <c r="H67" s="9" t="n"/>
    </row>
    <row r="68">
      <c r="A68" s="10" t="inlineStr">
        <is>
          <t>24x7 Severity 1 support, per year (Year 1)</t>
        </is>
      </c>
      <c r="B68" s="19">
        <f>B136</f>
        <v/>
      </c>
      <c r="C68" s="19">
        <f>B68*VAT</f>
        <v/>
      </c>
      <c r="D68" s="18">
        <f>B68+C68</f>
        <v/>
      </c>
      <c r="E68" s="10" t="inlineStr">
        <is>
          <t>Yearly in advance; +5% a year</t>
        </is>
      </c>
      <c r="F68" s="8" t="n"/>
      <c r="G68" s="8" t="n"/>
      <c r="H68" s="9" t="n"/>
    </row>
    <row r="69" ht="30" customHeight="1">
      <c r="A69" s="23" t="inlineStr">
        <is>
          <t>Invoices are payable within 30 days. Clients that are withholding agents deduct creditable withholding tax as their status and the payment type require and issue BIR Form 2307; withholding does not reduce the invoice price.</t>
        </is>
      </c>
    </row>
    <row r="71">
      <c r="A71" s="6" t="inlineStr">
        <is>
          <t>Comparison: the same choices under each licence model (PHP, excl. VAT)</t>
        </is>
      </c>
      <c r="B71" s="7" t="n"/>
      <c r="C71" s="7" t="n"/>
      <c r="D71" s="7" t="n"/>
      <c r="E71" s="7" t="n"/>
      <c r="F71" s="7" t="n"/>
      <c r="G71" s="7" t="n"/>
      <c r="H71" s="7" t="n"/>
    </row>
    <row r="72">
      <c r="A72" s="3" t="inlineStr">
        <is>
          <t>Item</t>
        </is>
      </c>
      <c r="B72" s="3" t="inlineStr">
        <is>
          <t>Perpetual</t>
        </is>
      </c>
      <c r="C72" s="3" t="inlineStr">
        <is>
          <t>Subscription</t>
        </is>
      </c>
      <c r="D72" s="3" t="inlineStr">
        <is>
          <t>Difference (subscription less perpetual)</t>
        </is>
      </c>
    </row>
    <row r="73">
      <c r="A73" s="10" t="inlineStr">
        <is>
          <t>One-time fees in Year 1 (implementation, licence, services)</t>
        </is>
      </c>
      <c r="B73" s="19">
        <f>D105+D107+D118</f>
        <v/>
      </c>
      <c r="C73" s="19">
        <f>E105+E107+E118</f>
        <v/>
      </c>
      <c r="D73" s="19">
        <f>C73-B73</f>
        <v/>
      </c>
    </row>
    <row r="74">
      <c r="A74" s="10" t="inlineStr">
        <is>
          <t>Year 1 total</t>
        </is>
      </c>
      <c r="B74" s="18">
        <f>D141</f>
        <v/>
      </c>
      <c r="C74" s="18">
        <f>E141</f>
        <v/>
      </c>
      <c r="D74" s="19">
        <f>C74-B74</f>
        <v/>
      </c>
    </row>
    <row r="75">
      <c r="A75" s="16" t="inlineStr">
        <is>
          <t>5-year total cost</t>
        </is>
      </c>
      <c r="B75" s="18">
        <f>D147</f>
        <v/>
      </c>
      <c r="C75" s="18">
        <f>E147</f>
        <v/>
      </c>
      <c r="D75" s="19">
        <f>C75-B75</f>
        <v/>
      </c>
    </row>
    <row r="76">
      <c r="A76" s="10" t="inlineStr">
        <is>
          <t>Year in which subscription costs more in total than perpetual</t>
        </is>
      </c>
      <c r="B76" s="10">
        <f>IF((E141)&gt;(D141),"Year 1",IF((E141+E142)&gt;(D141+D142),"Year 2",IF((E141+E142+E143)&gt;(D141+D142+D143),"Year 3",IF((E141+E142+E143+E144)&gt;(D141+D142+D143+D144),"Year 4",IF((E141+E142+E143+E144+E145)&gt;(D141+D142+D143+D144+D145),"Year 5","After Year 5")))))</f>
        <v/>
      </c>
    </row>
    <row r="98">
      <c r="A98" s="6" t="inlineStr">
        <is>
          <t>Calculation detail (do not edit)</t>
        </is>
      </c>
      <c r="B98" s="7" t="n"/>
      <c r="C98" s="7" t="n"/>
      <c r="D98" s="7" t="n"/>
      <c r="E98" s="7" t="n"/>
      <c r="F98" s="7" t="n"/>
      <c r="G98" s="7" t="n"/>
      <c r="H98" s="7" t="n"/>
    </row>
    <row r="99">
      <c r="A99" s="3" t="inlineStr">
        <is>
          <t>Line</t>
        </is>
      </c>
      <c r="B99" s="3" t="inlineStr">
        <is>
          <t>Selected, quoted</t>
        </is>
      </c>
      <c r="C99" s="3" t="inlineStr">
        <is>
          <t>Selected, at list</t>
        </is>
      </c>
      <c r="D99" s="3" t="inlineStr">
        <is>
          <t>Perpetual, quoted</t>
        </is>
      </c>
      <c r="E99" s="3" t="inlineStr">
        <is>
          <t>Subscription, quoted</t>
        </is>
      </c>
    </row>
    <row r="100">
      <c r="A100" s="10" t="inlineStr">
        <is>
          <t>Tier index</t>
        </is>
      </c>
      <c r="B100" s="24">
        <f>MATCH($B$25,TierFrom,1)</f>
        <v/>
      </c>
      <c r="C100" s="24">
        <f>MATCH($B$25,TierFrom,1)</f>
        <v/>
      </c>
      <c r="D100" s="24">
        <f>MATCH($B$25,TierFrom,1)</f>
        <v/>
      </c>
      <c r="E100" s="24">
        <f>MATCH($B$25,TierFrom,1)</f>
        <v/>
      </c>
    </row>
    <row r="101">
      <c r="A101" s="10" t="inlineStr">
        <is>
          <t>Tier</t>
        </is>
      </c>
      <c r="B101" s="10">
        <f>INDEX(TierName,B100)</f>
        <v/>
      </c>
      <c r="C101" s="10">
        <f>INDEX(TierName,C100)</f>
        <v/>
      </c>
      <c r="D101" s="10">
        <f>INDEX(TierName,D100)</f>
        <v/>
      </c>
      <c r="E101" s="10">
        <f>INDEX(TierName,E100)</f>
        <v/>
      </c>
    </row>
    <row r="102">
      <c r="A102" s="10" t="inlineStr">
        <is>
          <t>Billable users (subscription minimum applies)</t>
        </is>
      </c>
      <c r="B102" s="24">
        <f>IF($B$12="Subscription",MAX($B$25,INDEX(MinBill,B100)),$B$25)</f>
        <v/>
      </c>
      <c r="C102" s="24">
        <f>IF($B$12="Subscription",MAX($B$25,INDEX(MinBill,C100)),$B$25)</f>
        <v/>
      </c>
      <c r="D102" s="24">
        <f>IF("Perpetual"="Subscription",MAX($B$25,INDEX(MinBill,D100)),$B$25)</f>
        <v/>
      </c>
      <c r="E102" s="24">
        <f>IF("Subscription"="Subscription",MAX($B$25,INDEX(MinBill,E100)),$B$25)</f>
        <v/>
      </c>
    </row>
    <row r="103">
      <c r="A103" s="10" t="inlineStr">
        <is>
          <t>Implementation man-days</t>
        </is>
      </c>
      <c r="B103" s="24">
        <f>INDEX(BaseDays,B100)+MAX(0,$B$26-INDEX(LOBIncl,B100))*Days_per_LOB</f>
        <v/>
      </c>
      <c r="C103" s="24">
        <f>INDEX(BaseDays,C100)+MAX(0,$B$26-INDEX(LOBIncl,C100))*Days_per_LOB</f>
        <v/>
      </c>
      <c r="D103" s="24">
        <f>INDEX(BaseDays,D100)+MAX(0,$B$26-INDEX(LOBIncl,D100))*Days_per_LOB</f>
        <v/>
      </c>
      <c r="E103" s="24">
        <f>INDEX(BaseDays,E100)+MAX(0,$B$26-INDEX(LOBIncl,E100))*Days_per_LOB</f>
        <v/>
      </c>
    </row>
    <row r="104">
      <c r="A104" s="10" t="inlineStr">
        <is>
          <t>Implementation or onboarding fee, list</t>
        </is>
      </c>
      <c r="B104" s="19">
        <f>ROUND(B103*Blended/Round_To,0)*Round_To*IF($B$12="Subscription",Onboard_Pct,1)</f>
        <v/>
      </c>
      <c r="C104" s="19">
        <f>ROUND(C103*Blended/Round_To,0)*Round_To*IF($B$12="Subscription",Onboard_Pct,1)</f>
        <v/>
      </c>
      <c r="D104" s="19">
        <f>ROUND(D103*Blended/Round_To,0)*Round_To*IF("Perpetual"="Subscription",Onboard_Pct,1)</f>
        <v/>
      </c>
      <c r="E104" s="19">
        <f>ROUND(E103*Blended/Round_To,0)*Round_To*IF("Subscription"="Subscription",Onboard_Pct,1)</f>
        <v/>
      </c>
    </row>
    <row r="105">
      <c r="A105" s="10" t="inlineStr">
        <is>
          <t>Implementation or onboarding fee, quoted</t>
        </is>
      </c>
      <c r="B105" s="19">
        <f>B104*(1-$B$23)</f>
        <v/>
      </c>
      <c r="C105" s="19">
        <f>C104*(1-0)</f>
        <v/>
      </c>
      <c r="D105" s="19">
        <f>D104*(1-$B$23)</f>
        <v/>
      </c>
      <c r="E105" s="19">
        <f>E104*(1-$B$23)</f>
        <v/>
      </c>
    </row>
    <row r="106">
      <c r="A106" s="10" t="inlineStr">
        <is>
          <t>Perpetual licence fee, list (one-time)</t>
        </is>
      </c>
      <c r="B106" s="19">
        <f>IF($B$12="Perpetual",MAX(0,MIN($B$25,'Price Basis'!$C$30)-'Price Basis'!$B$30+1)*'Price Basis'!$D$30+MAX(0,MIN($B$25,'Price Basis'!$C$31)-'Price Basis'!$B$31+1)*'Price Basis'!$D$31+MAX(0,MIN($B$25,'Price Basis'!$C$32)-'Price Basis'!$B$32+1)*'Price Basis'!$D$32+MAX(0,MIN($B$25,'Price Basis'!$C$33)-'Price Basis'!$B$33+1)*'Price Basis'!$D$33,0)</f>
        <v/>
      </c>
      <c r="C106" s="19">
        <f>IF($B$12="Perpetual",MAX(0,MIN($B$25,'Price Basis'!$C$30)-'Price Basis'!$B$30+1)*'Price Basis'!$D$30+MAX(0,MIN($B$25,'Price Basis'!$C$31)-'Price Basis'!$B$31+1)*'Price Basis'!$D$31+MAX(0,MIN($B$25,'Price Basis'!$C$32)-'Price Basis'!$B$32+1)*'Price Basis'!$D$32+MAX(0,MIN($B$25,'Price Basis'!$C$33)-'Price Basis'!$B$33+1)*'Price Basis'!$D$33,0)</f>
        <v/>
      </c>
      <c r="D106" s="19">
        <f>IF("Perpetual"="Perpetual",MAX(0,MIN($B$25,'Price Basis'!$C$30)-'Price Basis'!$B$30+1)*'Price Basis'!$D$30+MAX(0,MIN($B$25,'Price Basis'!$C$31)-'Price Basis'!$B$31+1)*'Price Basis'!$D$31+MAX(0,MIN($B$25,'Price Basis'!$C$32)-'Price Basis'!$B$32+1)*'Price Basis'!$D$32+MAX(0,MIN($B$25,'Price Basis'!$C$33)-'Price Basis'!$B$33+1)*'Price Basis'!$D$33,0)</f>
        <v/>
      </c>
      <c r="E106" s="19">
        <f>IF("Subscription"="Perpetual",MAX(0,MIN($B$25,'Price Basis'!$C$30)-'Price Basis'!$B$30+1)*'Price Basis'!$D$30+MAX(0,MIN($B$25,'Price Basis'!$C$31)-'Price Basis'!$B$31+1)*'Price Basis'!$D$31+MAX(0,MIN($B$25,'Price Basis'!$C$32)-'Price Basis'!$B$32+1)*'Price Basis'!$D$32+MAX(0,MIN($B$25,'Price Basis'!$C$33)-'Price Basis'!$B$33+1)*'Price Basis'!$D$33,0)</f>
        <v/>
      </c>
    </row>
    <row r="107">
      <c r="A107" s="10" t="inlineStr">
        <is>
          <t>Perpetual licence fee, quoted (one-time)</t>
        </is>
      </c>
      <c r="B107" s="19">
        <f>B106*(1-$B$22)</f>
        <v/>
      </c>
      <c r="C107" s="19">
        <f>C106*(1-0)</f>
        <v/>
      </c>
      <c r="D107" s="19">
        <f>D106*(1-$B$22)</f>
        <v/>
      </c>
      <c r="E107" s="19">
        <f>E106*(1-$B$22)</f>
        <v/>
      </c>
    </row>
    <row r="108">
      <c r="A108" s="10" t="inlineStr">
        <is>
          <t>Subscription per month, Year 1, list</t>
        </is>
      </c>
      <c r="B108" s="19">
        <f>IF($B$12="Subscription",MAX(0,MIN(B102,'Price Basis'!$C$30)-'Price Basis'!$B$30+1)*'Price Basis'!$E$30+MAX(0,MIN(B102,'Price Basis'!$C$31)-'Price Basis'!$B$31+1)*'Price Basis'!$E$31+MAX(0,MIN(B102,'Price Basis'!$C$32)-'Price Basis'!$B$32+1)*'Price Basis'!$E$32+MAX(0,MIN(B102,'Price Basis'!$C$33)-'Price Basis'!$B$33+1)*'Price Basis'!$E$33,0)</f>
        <v/>
      </c>
      <c r="C108" s="19">
        <f>IF($B$12="Subscription",MAX(0,MIN(C102,'Price Basis'!$C$30)-'Price Basis'!$B$30+1)*'Price Basis'!$E$30+MAX(0,MIN(C102,'Price Basis'!$C$31)-'Price Basis'!$B$31+1)*'Price Basis'!$E$31+MAX(0,MIN(C102,'Price Basis'!$C$32)-'Price Basis'!$B$32+1)*'Price Basis'!$E$32+MAX(0,MIN(C102,'Price Basis'!$C$33)-'Price Basis'!$B$33+1)*'Price Basis'!$E$33,0)</f>
        <v/>
      </c>
      <c r="D108" s="19">
        <f>IF("Perpetual"="Subscription",MAX(0,MIN(D102,'Price Basis'!$C$30)-'Price Basis'!$B$30+1)*'Price Basis'!$E$30+MAX(0,MIN(D102,'Price Basis'!$C$31)-'Price Basis'!$B$31+1)*'Price Basis'!$E$31+MAX(0,MIN(D102,'Price Basis'!$C$32)-'Price Basis'!$B$32+1)*'Price Basis'!$E$32+MAX(0,MIN(D102,'Price Basis'!$C$33)-'Price Basis'!$B$33+1)*'Price Basis'!$E$33,0)</f>
        <v/>
      </c>
      <c r="E108" s="19">
        <f>IF("Subscription"="Subscription",MAX(0,MIN(E102,'Price Basis'!$C$30)-'Price Basis'!$B$30+1)*'Price Basis'!$E$30+MAX(0,MIN(E102,'Price Basis'!$C$31)-'Price Basis'!$B$31+1)*'Price Basis'!$E$31+MAX(0,MIN(E102,'Price Basis'!$C$32)-'Price Basis'!$B$32+1)*'Price Basis'!$E$32+MAX(0,MIN(E102,'Price Basis'!$C$33)-'Price Basis'!$B$33+1)*'Price Basis'!$E$33,0)</f>
        <v/>
      </c>
    </row>
    <row r="109">
      <c r="A109" s="10" t="inlineStr">
        <is>
          <t>Subscription per month, Year 1, quoted</t>
        </is>
      </c>
      <c r="B109" s="19">
        <f>B108*(1-$B$22)</f>
        <v/>
      </c>
      <c r="C109" s="19">
        <f>C108*(1-0)</f>
        <v/>
      </c>
      <c r="D109" s="19">
        <f>D108*(1-$B$22)</f>
        <v/>
      </c>
      <c r="E109" s="19">
        <f>E108*(1-$B$22)</f>
        <v/>
      </c>
    </row>
    <row r="110">
      <c r="A110" s="10" t="inlineStr">
        <is>
          <t>Effective price per user (licence one-time, or subscription per month)</t>
        </is>
      </c>
      <c r="B110" s="19">
        <f>IF($B$12="Perpetual",B107/$B$25,B109/B102)</f>
        <v/>
      </c>
      <c r="C110" s="19">
        <f>IF($B$12="Perpetual",C107/$B$25,C109/C102)</f>
        <v/>
      </c>
      <c r="D110" s="19">
        <f>IF("Perpetual"="Perpetual",D107/$B$25,D109/D102)</f>
        <v/>
      </c>
      <c r="E110" s="19">
        <f>IF("Subscription"="Perpetual",E107/$B$25,E109/E102)</f>
        <v/>
      </c>
    </row>
    <row r="111">
      <c r="A111" s="10" t="inlineStr">
        <is>
          <t>Hosting per month, list</t>
        </is>
      </c>
      <c r="B111" s="19">
        <f>INDEX(Host_Tbl,B100,MATCH($B$13,Host_Hdr,0))</f>
        <v/>
      </c>
      <c r="C111" s="19">
        <f>INDEX(Host_Tbl,C100,MATCH($B$13,Host_Hdr,0))</f>
        <v/>
      </c>
      <c r="D111" s="19">
        <f>INDEX(Host_Tbl,D100,MATCH($B$13,Host_Hdr,0))</f>
        <v/>
      </c>
      <c r="E111" s="19">
        <f>INDEX(Host_Tbl,E100,MATCH($B$13,Host_Hdr,0))</f>
        <v/>
      </c>
    </row>
    <row r="112">
      <c r="A112" s="10" t="inlineStr">
        <is>
          <t>Hosting per month, quoted</t>
        </is>
      </c>
      <c r="B112" s="19">
        <f>B111*(1-$B$24)</f>
        <v/>
      </c>
      <c r="C112" s="19">
        <f>C111*(1-0)</f>
        <v/>
      </c>
      <c r="D112" s="19">
        <f>D111*(1-$B$24)</f>
        <v/>
      </c>
      <c r="E112" s="19">
        <f>E111*(1-$B$24)</f>
        <v/>
      </c>
    </row>
    <row r="113">
      <c r="A113" s="10" t="inlineStr">
        <is>
          <t>Pre-Prod per month of use, list</t>
        </is>
      </c>
      <c r="B113" s="19">
        <f>INDEX(PP_Tbl,B100,MATCH($B$13,Host_Hdr,0))</f>
        <v/>
      </c>
      <c r="C113" s="19">
        <f>INDEX(PP_Tbl,C100,MATCH($B$13,Host_Hdr,0))</f>
        <v/>
      </c>
      <c r="D113" s="19">
        <f>INDEX(PP_Tbl,D100,MATCH($B$13,Host_Hdr,0))</f>
        <v/>
      </c>
      <c r="E113" s="19">
        <f>INDEX(PP_Tbl,E100,MATCH($B$13,Host_Hdr,0))</f>
        <v/>
      </c>
    </row>
    <row r="114">
      <c r="A114" s="10" t="inlineStr">
        <is>
          <t>Pre-Prod per month of use, quoted</t>
        </is>
      </c>
      <c r="B114" s="19">
        <f>B113*(1-$B$24)</f>
        <v/>
      </c>
      <c r="C114" s="19">
        <f>C113*(1-0)</f>
        <v/>
      </c>
      <c r="D114" s="19">
        <f>D113*(1-$B$24)</f>
        <v/>
      </c>
      <c r="E114" s="19">
        <f>E113*(1-$B$24)</f>
        <v/>
      </c>
    </row>
    <row r="115">
      <c r="A115" s="10" t="inlineStr">
        <is>
          <t>Additional hosted environments per month</t>
        </is>
      </c>
      <c r="B115" s="19">
        <f>IF($B$13="Self-hosted",0,$B$20*Env_Month)</f>
        <v/>
      </c>
      <c r="C115" s="19">
        <f>IF($B$13="Self-hosted",0,$B$20*Env_Month)</f>
        <v/>
      </c>
      <c r="D115" s="19">
        <f>IF($B$13="Self-hosted",0,$B$20*Env_Month)</f>
        <v/>
      </c>
      <c r="E115" s="19">
        <f>IF($B$13="Self-hosted",0,$B$20*Env_Month)</f>
        <v/>
      </c>
    </row>
    <row r="116">
      <c r="A116" s="10" t="inlineStr">
        <is>
          <t>Monthly recurring at go-live (subscription, hosting, environments)</t>
        </is>
      </c>
      <c r="B116" s="19">
        <f>B109+B112+B115</f>
        <v/>
      </c>
      <c r="C116" s="19">
        <f>C109+C112+C115</f>
        <v/>
      </c>
      <c r="D116" s="19">
        <f>D109+D112+D115</f>
        <v/>
      </c>
      <c r="E116" s="19">
        <f>E109+E112+E115</f>
        <v/>
      </c>
    </row>
    <row r="117">
      <c r="A117" s="10" t="inlineStr">
        <is>
          <t>One-time optional services, list</t>
        </is>
      </c>
      <c r="B117" s="19">
        <f>$B$16*Rate_Trainer+$B$17*Mig_Source+$B$18*Int_Std+$B$19*Int_Cx+$B$20*Env_Setup+$B$21*Rate_Onsite</f>
        <v/>
      </c>
      <c r="C117" s="19">
        <f>$B$16*Rate_Trainer+$B$17*Mig_Source+$B$18*Int_Std+$B$19*Int_Cx+$B$20*Env_Setup+$B$21*Rate_Onsite</f>
        <v/>
      </c>
      <c r="D117" s="19">
        <f>$B$16*Rate_Trainer+$B$17*Mig_Source+$B$18*Int_Std+$B$19*Int_Cx+$B$20*Env_Setup+$B$21*Rate_Onsite</f>
        <v/>
      </c>
      <c r="E117" s="19">
        <f>$B$16*Rate_Trainer+$B$17*Mig_Source+$B$18*Int_Std+$B$19*Int_Cx+$B$20*Env_Setup+$B$21*Rate_Onsite</f>
        <v/>
      </c>
    </row>
    <row r="118">
      <c r="A118" s="10" t="inlineStr">
        <is>
          <t>One-time optional services, quoted</t>
        </is>
      </c>
      <c r="B118" s="19">
        <f>B117*(1-$B$23)</f>
        <v/>
      </c>
      <c r="C118" s="19">
        <f>C117*(1-0)</f>
        <v/>
      </c>
      <c r="D118" s="19">
        <f>D117*(1-$B$23)</f>
        <v/>
      </c>
      <c r="E118" s="19">
        <f>E117*(1-$B$23)</f>
        <v/>
      </c>
    </row>
    <row r="119">
      <c r="A119" s="10" t="inlineStr">
        <is>
          <t>24x7 Severity 1 support per year, Year 1, list</t>
        </is>
      </c>
      <c r="B119" s="19">
        <f>IF($B$15="Yes",INDEX(Sup24,B100),0)</f>
        <v/>
      </c>
      <c r="C119" s="19">
        <f>IF($B$15="Yes",INDEX(Sup24,C100),0)</f>
        <v/>
      </c>
      <c r="D119" s="19">
        <f>IF($B$15="Yes",INDEX(Sup24,D100),0)</f>
        <v/>
      </c>
      <c r="E119" s="19">
        <f>IF($B$15="Yes",INDEX(Sup24,E100),0)</f>
        <v/>
      </c>
    </row>
    <row r="120">
      <c r="A120" s="10" t="inlineStr">
        <is>
          <t>Training days included</t>
        </is>
      </c>
      <c r="B120" s="24">
        <f>INDEX(TrainDays,B100)</f>
        <v/>
      </c>
      <c r="C120" s="24">
        <f>INDEX(TrainDays,C100)</f>
        <v/>
      </c>
      <c r="D120" s="24">
        <f>INDEX(TrainDays,D100)</f>
        <v/>
      </c>
      <c r="E120" s="24">
        <f>INDEX(TrainDays,E100)</f>
        <v/>
      </c>
    </row>
    <row r="121">
      <c r="A121" s="10" t="inlineStr">
        <is>
          <t>AMC Year 1</t>
        </is>
      </c>
      <c r="B121" s="19">
        <f>IF(AND($B$12="Perpetual",1&gt;=AMC_Start),B107*AMC_Rate*(1+Esc)^(1-AMC_Start),0)</f>
        <v/>
      </c>
      <c r="C121" s="19">
        <f>IF(AND($B$12="Perpetual",1&gt;=AMC_Start),C107*AMC_Rate*(1+Esc)^(1-AMC_Start),0)</f>
        <v/>
      </c>
      <c r="D121" s="19">
        <f>IF(AND("Perpetual"="Perpetual",1&gt;=AMC_Start),D107*AMC_Rate*(1+Esc)^(1-AMC_Start),0)</f>
        <v/>
      </c>
      <c r="E121" s="19">
        <f>IF(AND("Subscription"="Perpetual",1&gt;=AMC_Start),E107*AMC_Rate*(1+Esc)^(1-AMC_Start),0)</f>
        <v/>
      </c>
    </row>
    <row r="122">
      <c r="A122" s="10" t="inlineStr">
        <is>
          <t>AMC Year 2</t>
        </is>
      </c>
      <c r="B122" s="19">
        <f>IF(AND($B$12="Perpetual",2&gt;=AMC_Start),B107*AMC_Rate*(1+Esc)^(2-AMC_Start),0)</f>
        <v/>
      </c>
      <c r="C122" s="19">
        <f>IF(AND($B$12="Perpetual",2&gt;=AMC_Start),C107*AMC_Rate*(1+Esc)^(2-AMC_Start),0)</f>
        <v/>
      </c>
      <c r="D122" s="19">
        <f>IF(AND("Perpetual"="Perpetual",2&gt;=AMC_Start),D107*AMC_Rate*(1+Esc)^(2-AMC_Start),0)</f>
        <v/>
      </c>
      <c r="E122" s="19">
        <f>IF(AND("Subscription"="Perpetual",2&gt;=AMC_Start),E107*AMC_Rate*(1+Esc)^(2-AMC_Start),0)</f>
        <v/>
      </c>
    </row>
    <row r="123">
      <c r="A123" s="10" t="inlineStr">
        <is>
          <t>AMC Year 3</t>
        </is>
      </c>
      <c r="B123" s="19">
        <f>IF(AND($B$12="Perpetual",3&gt;=AMC_Start),B107*AMC_Rate*(1+Esc)^(3-AMC_Start),0)</f>
        <v/>
      </c>
      <c r="C123" s="19">
        <f>IF(AND($B$12="Perpetual",3&gt;=AMC_Start),C107*AMC_Rate*(1+Esc)^(3-AMC_Start),0)</f>
        <v/>
      </c>
      <c r="D123" s="19">
        <f>IF(AND("Perpetual"="Perpetual",3&gt;=AMC_Start),D107*AMC_Rate*(1+Esc)^(3-AMC_Start),0)</f>
        <v/>
      </c>
      <c r="E123" s="19">
        <f>IF(AND("Subscription"="Perpetual",3&gt;=AMC_Start),E107*AMC_Rate*(1+Esc)^(3-AMC_Start),0)</f>
        <v/>
      </c>
    </row>
    <row r="124">
      <c r="A124" s="10" t="inlineStr">
        <is>
          <t>AMC Year 4</t>
        </is>
      </c>
      <c r="B124" s="19">
        <f>IF(AND($B$12="Perpetual",4&gt;=AMC_Start),B107*AMC_Rate*(1+Esc)^(4-AMC_Start),0)</f>
        <v/>
      </c>
      <c r="C124" s="19">
        <f>IF(AND($B$12="Perpetual",4&gt;=AMC_Start),C107*AMC_Rate*(1+Esc)^(4-AMC_Start),0)</f>
        <v/>
      </c>
      <c r="D124" s="19">
        <f>IF(AND("Perpetual"="Perpetual",4&gt;=AMC_Start),D107*AMC_Rate*(1+Esc)^(4-AMC_Start),0)</f>
        <v/>
      </c>
      <c r="E124" s="19">
        <f>IF(AND("Subscription"="Perpetual",4&gt;=AMC_Start),E107*AMC_Rate*(1+Esc)^(4-AMC_Start),0)</f>
        <v/>
      </c>
    </row>
    <row r="125">
      <c r="A125" s="10" t="inlineStr">
        <is>
          <t>AMC Year 5</t>
        </is>
      </c>
      <c r="B125" s="19">
        <f>IF(AND($B$12="Perpetual",5&gt;=AMC_Start),B107*AMC_Rate*(1+Esc)^(5-AMC_Start),0)</f>
        <v/>
      </c>
      <c r="C125" s="19">
        <f>IF(AND($B$12="Perpetual",5&gt;=AMC_Start),C107*AMC_Rate*(1+Esc)^(5-AMC_Start),0)</f>
        <v/>
      </c>
      <c r="D125" s="19">
        <f>IF(AND("Perpetual"="Perpetual",5&gt;=AMC_Start),D107*AMC_Rate*(1+Esc)^(5-AMC_Start),0)</f>
        <v/>
      </c>
      <c r="E125" s="19">
        <f>IF(AND("Subscription"="Perpetual",5&gt;=AMC_Start),E107*AMC_Rate*(1+Esc)^(5-AMC_Start),0)</f>
        <v/>
      </c>
    </row>
    <row r="126">
      <c r="A126" s="10" t="inlineStr">
        <is>
          <t>Subscription fees Year 1</t>
        </is>
      </c>
      <c r="B126" s="19">
        <f>B109*12*(1+Esc)^(1-1)</f>
        <v/>
      </c>
      <c r="C126" s="19">
        <f>C109*12*(1+Esc)^(1-1)</f>
        <v/>
      </c>
      <c r="D126" s="19">
        <f>D109*12*(1+Esc)^(1-1)</f>
        <v/>
      </c>
      <c r="E126" s="19">
        <f>E109*12*(1+Esc)^(1-1)</f>
        <v/>
      </c>
    </row>
    <row r="127">
      <c r="A127" s="10" t="inlineStr">
        <is>
          <t>Subscription fees Year 2</t>
        </is>
      </c>
      <c r="B127" s="19">
        <f>B109*12*(1+Esc)^(2-1)</f>
        <v/>
      </c>
      <c r="C127" s="19">
        <f>C109*12*(1+Esc)^(2-1)</f>
        <v/>
      </c>
      <c r="D127" s="19">
        <f>D109*12*(1+Esc)^(2-1)</f>
        <v/>
      </c>
      <c r="E127" s="19">
        <f>E109*12*(1+Esc)^(2-1)</f>
        <v/>
      </c>
    </row>
    <row r="128">
      <c r="A128" s="10" t="inlineStr">
        <is>
          <t>Subscription fees Year 3</t>
        </is>
      </c>
      <c r="B128" s="19">
        <f>B109*12*(1+Esc)^(3-1)</f>
        <v/>
      </c>
      <c r="C128" s="19">
        <f>C109*12*(1+Esc)^(3-1)</f>
        <v/>
      </c>
      <c r="D128" s="19">
        <f>D109*12*(1+Esc)^(3-1)</f>
        <v/>
      </c>
      <c r="E128" s="19">
        <f>E109*12*(1+Esc)^(3-1)</f>
        <v/>
      </c>
    </row>
    <row r="129">
      <c r="A129" s="10" t="inlineStr">
        <is>
          <t>Subscription fees Year 4</t>
        </is>
      </c>
      <c r="B129" s="19">
        <f>B109*12*(1+Esc)^(4-1)</f>
        <v/>
      </c>
      <c r="C129" s="19">
        <f>C109*12*(1+Esc)^(4-1)</f>
        <v/>
      </c>
      <c r="D129" s="19">
        <f>D109*12*(1+Esc)^(4-1)</f>
        <v/>
      </c>
      <c r="E129" s="19">
        <f>E109*12*(1+Esc)^(4-1)</f>
        <v/>
      </c>
    </row>
    <row r="130">
      <c r="A130" s="10" t="inlineStr">
        <is>
          <t>Subscription fees Year 5</t>
        </is>
      </c>
      <c r="B130" s="19">
        <f>B109*12*(1+Esc)^(5-1)</f>
        <v/>
      </c>
      <c r="C130" s="19">
        <f>C109*12*(1+Esc)^(5-1)</f>
        <v/>
      </c>
      <c r="D130" s="19">
        <f>D109*12*(1+Esc)^(5-1)</f>
        <v/>
      </c>
      <c r="E130" s="19">
        <f>E109*12*(1+Esc)^(5-1)</f>
        <v/>
      </c>
    </row>
    <row r="131">
      <c r="A131" s="10" t="inlineStr">
        <is>
          <t>Hosting and environments Year 1</t>
        </is>
      </c>
      <c r="B131" s="19">
        <f>(B112+B115)*12*(1+Infra_Esc)^(1-1)+B114*PP_GoLive</f>
        <v/>
      </c>
      <c r="C131" s="19">
        <f>(C112+C115)*12*(1+Infra_Esc)^(1-1)+C114*PP_GoLive</f>
        <v/>
      </c>
      <c r="D131" s="19">
        <f>(D112+D115)*12*(1+Infra_Esc)^(1-1)+D114*PP_GoLive</f>
        <v/>
      </c>
      <c r="E131" s="19">
        <f>(E112+E115)*12*(1+Infra_Esc)^(1-1)+E114*PP_GoLive</f>
        <v/>
      </c>
    </row>
    <row r="132">
      <c r="A132" s="10" t="inlineStr">
        <is>
          <t>Hosting and environments Year 2</t>
        </is>
      </c>
      <c r="B132" s="19">
        <f>(B112+B115)*12*(1+Infra_Esc)^(2-1)+B114*PP_Rel*Rel_Year</f>
        <v/>
      </c>
      <c r="C132" s="19">
        <f>(C112+C115)*12*(1+Infra_Esc)^(2-1)+C114*PP_Rel*Rel_Year</f>
        <v/>
      </c>
      <c r="D132" s="19">
        <f>(D112+D115)*12*(1+Infra_Esc)^(2-1)+D114*PP_Rel*Rel_Year</f>
        <v/>
      </c>
      <c r="E132" s="19">
        <f>(E112+E115)*12*(1+Infra_Esc)^(2-1)+E114*PP_Rel*Rel_Year</f>
        <v/>
      </c>
    </row>
    <row r="133">
      <c r="A133" s="10" t="inlineStr">
        <is>
          <t>Hosting and environments Year 3</t>
        </is>
      </c>
      <c r="B133" s="19">
        <f>(B112+B115)*12*(1+Infra_Esc)^(3-1)+B114*PP_Rel*Rel_Year</f>
        <v/>
      </c>
      <c r="C133" s="19">
        <f>(C112+C115)*12*(1+Infra_Esc)^(3-1)+C114*PP_Rel*Rel_Year</f>
        <v/>
      </c>
      <c r="D133" s="19">
        <f>(D112+D115)*12*(1+Infra_Esc)^(3-1)+D114*PP_Rel*Rel_Year</f>
        <v/>
      </c>
      <c r="E133" s="19">
        <f>(E112+E115)*12*(1+Infra_Esc)^(3-1)+E114*PP_Rel*Rel_Year</f>
        <v/>
      </c>
    </row>
    <row r="134">
      <c r="A134" s="10" t="inlineStr">
        <is>
          <t>Hosting and environments Year 4</t>
        </is>
      </c>
      <c r="B134" s="19">
        <f>(B112+B115)*12*(1+Infra_Esc)^(4-1)+B114*PP_Rel*Rel_Year</f>
        <v/>
      </c>
      <c r="C134" s="19">
        <f>(C112+C115)*12*(1+Infra_Esc)^(4-1)+C114*PP_Rel*Rel_Year</f>
        <v/>
      </c>
      <c r="D134" s="19">
        <f>(D112+D115)*12*(1+Infra_Esc)^(4-1)+D114*PP_Rel*Rel_Year</f>
        <v/>
      </c>
      <c r="E134" s="19">
        <f>(E112+E115)*12*(1+Infra_Esc)^(4-1)+E114*PP_Rel*Rel_Year</f>
        <v/>
      </c>
    </row>
    <row r="135">
      <c r="A135" s="10" t="inlineStr">
        <is>
          <t>Hosting and environments Year 5</t>
        </is>
      </c>
      <c r="B135" s="19">
        <f>(B112+B115)*12*(1+Infra_Esc)^(5-1)+B114*PP_Rel*Rel_Year</f>
        <v/>
      </c>
      <c r="C135" s="19">
        <f>(C112+C115)*12*(1+Infra_Esc)^(5-1)+C114*PP_Rel*Rel_Year</f>
        <v/>
      </c>
      <c r="D135" s="19">
        <f>(D112+D115)*12*(1+Infra_Esc)^(5-1)+D114*PP_Rel*Rel_Year</f>
        <v/>
      </c>
      <c r="E135" s="19">
        <f>(E112+E115)*12*(1+Infra_Esc)^(5-1)+E114*PP_Rel*Rel_Year</f>
        <v/>
      </c>
    </row>
    <row r="136">
      <c r="A136" s="10" t="inlineStr">
        <is>
          <t>24x7 support Year 1</t>
        </is>
      </c>
      <c r="B136" s="19">
        <f>B119*(1-$B$23)*(1+Esc)^(1-1)</f>
        <v/>
      </c>
      <c r="C136" s="19">
        <f>C119*(1-0)*(1+Esc)^(1-1)</f>
        <v/>
      </c>
      <c r="D136" s="19">
        <f>D119*(1-$B$23)*(1+Esc)^(1-1)</f>
        <v/>
      </c>
      <c r="E136" s="19">
        <f>E119*(1-$B$23)*(1+Esc)^(1-1)</f>
        <v/>
      </c>
    </row>
    <row r="137">
      <c r="A137" s="10" t="inlineStr">
        <is>
          <t>24x7 support Year 2</t>
        </is>
      </c>
      <c r="B137" s="19">
        <f>B119*(1-$B$23)*(1+Esc)^(2-1)</f>
        <v/>
      </c>
      <c r="C137" s="19">
        <f>C119*(1-0)*(1+Esc)^(2-1)</f>
        <v/>
      </c>
      <c r="D137" s="19">
        <f>D119*(1-$B$23)*(1+Esc)^(2-1)</f>
        <v/>
      </c>
      <c r="E137" s="19">
        <f>E119*(1-$B$23)*(1+Esc)^(2-1)</f>
        <v/>
      </c>
    </row>
    <row r="138">
      <c r="A138" s="10" t="inlineStr">
        <is>
          <t>24x7 support Year 3</t>
        </is>
      </c>
      <c r="B138" s="19">
        <f>B119*(1-$B$23)*(1+Esc)^(3-1)</f>
        <v/>
      </c>
      <c r="C138" s="19">
        <f>C119*(1-0)*(1+Esc)^(3-1)</f>
        <v/>
      </c>
      <c r="D138" s="19">
        <f>D119*(1-$B$23)*(1+Esc)^(3-1)</f>
        <v/>
      </c>
      <c r="E138" s="19">
        <f>E119*(1-$B$23)*(1+Esc)^(3-1)</f>
        <v/>
      </c>
    </row>
    <row r="139">
      <c r="A139" s="10" t="inlineStr">
        <is>
          <t>24x7 support Year 4</t>
        </is>
      </c>
      <c r="B139" s="19">
        <f>B119*(1-$B$23)*(1+Esc)^(4-1)</f>
        <v/>
      </c>
      <c r="C139" s="19">
        <f>C119*(1-0)*(1+Esc)^(4-1)</f>
        <v/>
      </c>
      <c r="D139" s="19">
        <f>D119*(1-$B$23)*(1+Esc)^(4-1)</f>
        <v/>
      </c>
      <c r="E139" s="19">
        <f>E119*(1-$B$23)*(1+Esc)^(4-1)</f>
        <v/>
      </c>
    </row>
    <row r="140">
      <c r="A140" s="10" t="inlineStr">
        <is>
          <t>24x7 support Year 5</t>
        </is>
      </c>
      <c r="B140" s="19">
        <f>B119*(1-$B$23)*(1+Esc)^(5-1)</f>
        <v/>
      </c>
      <c r="C140" s="19">
        <f>C119*(1-0)*(1+Esc)^(5-1)</f>
        <v/>
      </c>
      <c r="D140" s="19">
        <f>D119*(1-$B$23)*(1+Esc)^(5-1)</f>
        <v/>
      </c>
      <c r="E140" s="19">
        <f>E119*(1-$B$23)*(1+Esc)^(5-1)</f>
        <v/>
      </c>
    </row>
    <row r="141">
      <c r="A141" s="10" t="inlineStr">
        <is>
          <t>Total Year 1, excl. VAT</t>
        </is>
      </c>
      <c r="B141" s="20">
        <f>B105+B107+B118+B121+B126+B131+B136</f>
        <v/>
      </c>
      <c r="C141" s="20">
        <f>C105+C107+C118+C121+C126+C131+C136</f>
        <v/>
      </c>
      <c r="D141" s="20">
        <f>D105+D107+D118+D121+D126+D131+D136</f>
        <v/>
      </c>
      <c r="E141" s="20">
        <f>E105+E107+E118+E121+E126+E131+E136</f>
        <v/>
      </c>
    </row>
    <row r="142">
      <c r="A142" s="10" t="inlineStr">
        <is>
          <t>Total Year 2, excl. VAT</t>
        </is>
      </c>
      <c r="B142" s="19">
        <f>B122+B127+B132+B137</f>
        <v/>
      </c>
      <c r="C142" s="19">
        <f>C122+C127+C132+C137</f>
        <v/>
      </c>
      <c r="D142" s="19">
        <f>D122+D127+D132+D137</f>
        <v/>
      </c>
      <c r="E142" s="19">
        <f>E122+E127+E132+E137</f>
        <v/>
      </c>
    </row>
    <row r="143">
      <c r="A143" s="10" t="inlineStr">
        <is>
          <t>Total Year 3, excl. VAT</t>
        </is>
      </c>
      <c r="B143" s="19">
        <f>B123+B128+B133+B138</f>
        <v/>
      </c>
      <c r="C143" s="19">
        <f>C123+C128+C133+C138</f>
        <v/>
      </c>
      <c r="D143" s="19">
        <f>D123+D128+D133+D138</f>
        <v/>
      </c>
      <c r="E143" s="19">
        <f>E123+E128+E133+E138</f>
        <v/>
      </c>
    </row>
    <row r="144">
      <c r="A144" s="10" t="inlineStr">
        <is>
          <t>Total Year 4, excl. VAT</t>
        </is>
      </c>
      <c r="B144" s="19">
        <f>B124+B129+B134+B139</f>
        <v/>
      </c>
      <c r="C144" s="19">
        <f>C124+C129+C134+C139</f>
        <v/>
      </c>
      <c r="D144" s="19">
        <f>D124+D129+D134+D139</f>
        <v/>
      </c>
      <c r="E144" s="19">
        <f>E124+E129+E134+E139</f>
        <v/>
      </c>
    </row>
    <row r="145">
      <c r="A145" s="10" t="inlineStr">
        <is>
          <t>Total Year 5, excl. VAT</t>
        </is>
      </c>
      <c r="B145" s="19">
        <f>B125+B130+B135+B140</f>
        <v/>
      </c>
      <c r="C145" s="19">
        <f>C125+C130+C135+C140</f>
        <v/>
      </c>
      <c r="D145" s="19">
        <f>D125+D130+D135+D140</f>
        <v/>
      </c>
      <c r="E145" s="19">
        <f>E125+E130+E135+E140</f>
        <v/>
      </c>
    </row>
    <row r="146">
      <c r="A146" s="10" t="inlineStr">
        <is>
          <t>Total for the contract term, excl. VAT</t>
        </is>
      </c>
      <c r="B146" s="20">
        <f>IF($B$14&gt;=1,B141,0)+IF($B$14&gt;=2,B142,0)+IF($B$14&gt;=3,B143,0)+IF($B$14&gt;=4,B144,0)+IF($B$14&gt;=5,B145,0)</f>
        <v/>
      </c>
      <c r="C146" s="20">
        <f>IF($B$14&gt;=1,C141,0)+IF($B$14&gt;=2,C142,0)+IF($B$14&gt;=3,C143,0)+IF($B$14&gt;=4,C144,0)+IF($B$14&gt;=5,C145,0)</f>
        <v/>
      </c>
      <c r="D146" s="20">
        <f>IF($B$14&gt;=1,D141,0)+IF($B$14&gt;=2,D142,0)+IF($B$14&gt;=3,D143,0)+IF($B$14&gt;=4,D144,0)+IF($B$14&gt;=5,D145,0)</f>
        <v/>
      </c>
      <c r="E146" s="20">
        <f>IF($B$14&gt;=1,E141,0)+IF($B$14&gt;=2,E142,0)+IF($B$14&gt;=3,E143,0)+IF($B$14&gt;=4,E144,0)+IF($B$14&gt;=5,E145,0)</f>
        <v/>
      </c>
    </row>
    <row r="147">
      <c r="A147" s="10" t="inlineStr">
        <is>
          <t>5-year total cost, excl. VAT</t>
        </is>
      </c>
      <c r="B147" s="20">
        <f>B141+B142+B143+B144+B145</f>
        <v/>
      </c>
      <c r="C147" s="20">
        <f>C141+C142+C143+C144+C145</f>
        <v/>
      </c>
      <c r="D147" s="20">
        <f>D141+D142+D143+D144+D145</f>
        <v/>
      </c>
      <c r="E147" s="20">
        <f>E141+E142+E143+E144+E145</f>
        <v/>
      </c>
    </row>
    <row r="148">
      <c r="A148" s="10" t="inlineStr">
        <is>
          <t>5-year total cost, incl. VAT</t>
        </is>
      </c>
      <c r="B148" s="19">
        <f>B147*(1+VAT)</f>
        <v/>
      </c>
      <c r="C148" s="19">
        <f>C147*(1+VAT)</f>
        <v/>
      </c>
      <c r="D148" s="19">
        <f>D147*(1+VAT)</f>
        <v/>
      </c>
      <c r="E148" s="19">
        <f>E147*(1+VAT)</f>
        <v/>
      </c>
    </row>
    <row r="149">
      <c r="A149" s="10" t="inlineStr">
        <is>
          <t>5-year total cost, USD reference</t>
        </is>
      </c>
      <c r="B149" s="19">
        <f>B147/FX</f>
        <v/>
      </c>
      <c r="C149" s="19">
        <f>C147/FX</f>
        <v/>
      </c>
      <c r="D149" s="19">
        <f>D147/FX</f>
        <v/>
      </c>
      <c r="E149" s="19">
        <f>E147/FX</f>
        <v/>
      </c>
    </row>
  </sheetData>
  <mergeCells count="48">
    <mergeCell ref="C10:H10"/>
    <mergeCell ref="C16:H16"/>
    <mergeCell ref="E61:H61"/>
    <mergeCell ref="C22:H22"/>
    <mergeCell ref="C9:H9"/>
    <mergeCell ref="E41:H41"/>
    <mergeCell ref="C12:H12"/>
    <mergeCell ref="E32:H32"/>
    <mergeCell ref="C21:H21"/>
    <mergeCell ref="E37:H37"/>
    <mergeCell ref="E66:H66"/>
    <mergeCell ref="C11:H11"/>
    <mergeCell ref="A69:H69"/>
    <mergeCell ref="E43:H43"/>
    <mergeCell ref="E58:H58"/>
    <mergeCell ref="C23:H23"/>
    <mergeCell ref="C8:H8"/>
    <mergeCell ref="E62:H62"/>
    <mergeCell ref="E68:H68"/>
    <mergeCell ref="C17:H17"/>
    <mergeCell ref="E33:H33"/>
    <mergeCell ref="E67:H67"/>
    <mergeCell ref="C7:H7"/>
    <mergeCell ref="E42:H42"/>
    <mergeCell ref="C19:H19"/>
    <mergeCell ref="E39:H39"/>
    <mergeCell ref="B43:D43"/>
    <mergeCell ref="E64:H64"/>
    <mergeCell ref="C13:H13"/>
    <mergeCell ref="E35:H35"/>
    <mergeCell ref="E38:H38"/>
    <mergeCell ref="E29:H29"/>
    <mergeCell ref="C18:H18"/>
    <mergeCell ref="E63:H63"/>
    <mergeCell ref="C15:H15"/>
    <mergeCell ref="C6:H6"/>
    <mergeCell ref="C24:H24"/>
    <mergeCell ref="E40:H40"/>
    <mergeCell ref="E60:H60"/>
    <mergeCell ref="E31:H31"/>
    <mergeCell ref="C14:H14"/>
    <mergeCell ref="E65:H65"/>
    <mergeCell ref="C5:H5"/>
    <mergeCell ref="E34:H34"/>
    <mergeCell ref="E30:H30"/>
    <mergeCell ref="E59:H59"/>
    <mergeCell ref="C20:H20"/>
    <mergeCell ref="E36:H36"/>
  </mergeCells>
  <dataValidations count="17">
    <dataValidation sqref="B8" showDropDown="0" showInputMessage="0" showErrorMessage="0" allowBlank="0" type="list">
      <formula1>"Tier reference,Custom"</formula1>
    </dataValidation>
    <dataValidation sqref="B9" showDropDown="0" showInputMessage="0" showErrorMessage="0" allowBlank="0" type="list">
      <formula1>"Small,Medium,Large,Enterprise"</formula1>
    </dataValidation>
    <dataValidation sqref="B12" showDropDown="0" showInputMessage="0" showErrorMessage="0" allowBlank="0" type="list">
      <formula1>"Perpetual,Subscription"</formula1>
    </dataValidation>
    <dataValidation sqref="B13" showDropDown="0" showInputMessage="0" showErrorMessage="0" allowBlank="0" type="list">
      <formula1>"Self-hosted,AWS,Azure,Local partner"</formula1>
    </dataValidation>
    <dataValidation sqref="B14" showDropDown="0" showInputMessage="0" showErrorMessage="0" allowBlank="0" type="list">
      <formula1>"1,3,5"</formula1>
    </dataValidation>
    <dataValidation sqref="B15" showDropDown="0" showInputMessage="0" showErrorMessage="0" allowBlank="0" type="list">
      <formula1>"Yes,No"</formula1>
    </dataValidation>
    <dataValidation sqref="B10" showDropDown="0" showInputMessage="0" showErrorMessage="0" allowBlank="0" type="whole" operator="between">
      <formula1>1</formula1>
      <formula2>100000</formula2>
    </dataValidation>
    <dataValidation sqref="B11" showDropDown="0" showInputMessage="0" showErrorMessage="0" allowBlank="0" type="whole" operator="between">
      <formula1>0</formula1>
      <formula2>100000</formula2>
    </dataValidation>
    <dataValidation sqref="B16" showDropDown="0" showInputMessage="0" showErrorMessage="0" allowBlank="0" type="whole" operator="between">
      <formula1>0</formula1>
      <formula2>100000</formula2>
    </dataValidation>
    <dataValidation sqref="B17" showDropDown="0" showInputMessage="0" showErrorMessage="0" allowBlank="0" type="whole" operator="between">
      <formula1>0</formula1>
      <formula2>100000</formula2>
    </dataValidation>
    <dataValidation sqref="B18" showDropDown="0" showInputMessage="0" showErrorMessage="0" allowBlank="0" type="whole" operator="between">
      <formula1>0</formula1>
      <formula2>100000</formula2>
    </dataValidation>
    <dataValidation sqref="B19" showDropDown="0" showInputMessage="0" showErrorMessage="0" allowBlank="0" type="whole" operator="between">
      <formula1>0</formula1>
      <formula2>100000</formula2>
    </dataValidation>
    <dataValidation sqref="B20" showDropDown="0" showInputMessage="0" showErrorMessage="0" allowBlank="0" type="whole" operator="between">
      <formula1>0</formula1>
      <formula2>100000</formula2>
    </dataValidation>
    <dataValidation sqref="B21" showDropDown="0" showInputMessage="0" showErrorMessage="0" allowBlank="0" type="whole" operator="between">
      <formula1>0</formula1>
      <formula2>100000</formula2>
    </dataValidation>
    <dataValidation sqref="B22" showDropDown="0" showInputMessage="0" showErrorMessage="0" allowBlank="0" type="decimal" operator="between">
      <formula1>0</formula1>
      <formula2>0.5</formula2>
    </dataValidation>
    <dataValidation sqref="B23" showDropDown="0" showInputMessage="0" showErrorMessage="0" allowBlank="0" type="decimal" operator="between">
      <formula1>0</formula1>
      <formula2>0.5</formula2>
    </dataValidation>
    <dataValidation sqref="B24" showDropDown="0" showInputMessage="0" showErrorMessage="0" allowBlank="0" type="decimal" operator="between">
      <formula1>0</formula1>
      <formula2>0.5</formula2>
    </dataValidation>
  </dataValidations>
  <pageMargins left="0.4" right="0.4" top="1" bottom="1" header="0.5" footer="0.5"/>
  <pageSetup orientation="landscape" paperSize="9" fitToHeight="0" fitToWidth="1"/>
  <headerFooter>
    <oddHeader/>
    <oddFooter>&amp;CiNXT BrokerVerse OOTB quotation, iorta TechNXT Corp.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30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Pre-set packages: four per tier, at list and at the approved floor</t>
        </is>
      </c>
    </row>
    <row r="2">
      <c r="A2" s="2" t="inlineStr">
        <is>
          <t>Reference users and lines of business of each tier. PHP, exclusive of VAT. List columns may be shown to the client; floor columns are INTERNAL.</t>
        </is>
      </c>
    </row>
    <row r="4">
      <c r="A4" s="6" t="inlineStr">
        <is>
          <t>Summary</t>
        </is>
      </c>
      <c r="B4" s="7" t="n"/>
      <c r="C4" s="7" t="n"/>
      <c r="D4" s="7" t="n"/>
      <c r="E4" s="7" t="n"/>
      <c r="F4" s="7" t="n"/>
      <c r="G4" s="7" t="n"/>
      <c r="H4" s="7" t="n"/>
      <c r="I4" s="7" t="n"/>
    </row>
    <row r="5" ht="45" customHeight="1">
      <c r="A5" s="3" t="inlineStr">
        <is>
          <t>Tier and package</t>
        </is>
      </c>
      <c r="B5" s="3" t="inlineStr">
        <is>
          <t>One-time fees, list</t>
        </is>
      </c>
      <c r="C5" s="25" t="inlineStr">
        <is>
          <t>One-time fees, floor</t>
        </is>
      </c>
      <c r="D5" s="3" t="inlineStr">
        <is>
          <t>Monthly fees at go-live, list</t>
        </is>
      </c>
      <c r="E5" s="25" t="inlineStr">
        <is>
          <t>Monthly fees, floor</t>
        </is>
      </c>
      <c r="F5" s="3" t="inlineStr">
        <is>
          <t>Year 1 total, list</t>
        </is>
      </c>
      <c r="G5" s="25" t="inlineStr">
        <is>
          <t>Year 1 total, floor</t>
        </is>
      </c>
      <c r="H5" s="3" t="inlineStr">
        <is>
          <t>5-year total, list</t>
        </is>
      </c>
      <c r="I5" s="25" t="inlineStr">
        <is>
          <t>5-year total, floor</t>
        </is>
      </c>
    </row>
    <row r="6">
      <c r="A6" s="16" t="inlineStr">
        <is>
          <t>Small: Essentials (subscription, Self-hosted)</t>
        </is>
      </c>
      <c r="B6" s="19">
        <f>B47+B49+B60</f>
        <v/>
      </c>
      <c r="C6" s="26">
        <f>C47+C49+C60</f>
        <v/>
      </c>
      <c r="D6" s="19">
        <f>B58</f>
        <v/>
      </c>
      <c r="E6" s="26">
        <f>C58</f>
        <v/>
      </c>
      <c r="F6" s="18">
        <f>B83</f>
        <v/>
      </c>
      <c r="G6" s="26">
        <f>C83</f>
        <v/>
      </c>
      <c r="H6" s="18">
        <f>B89</f>
        <v/>
      </c>
      <c r="I6" s="26">
        <f>C89</f>
        <v/>
      </c>
    </row>
    <row r="7">
      <c r="A7" s="10" t="inlineStr">
        <is>
          <t>Small: Standard (subscription, AWS)</t>
        </is>
      </c>
      <c r="B7" s="19">
        <f>D47+D49+D60</f>
        <v/>
      </c>
      <c r="C7" s="26">
        <f>E47+E49+E60</f>
        <v/>
      </c>
      <c r="D7" s="19">
        <f>D58</f>
        <v/>
      </c>
      <c r="E7" s="26">
        <f>E58</f>
        <v/>
      </c>
      <c r="F7" s="18">
        <f>D83</f>
        <v/>
      </c>
      <c r="G7" s="26">
        <f>E83</f>
        <v/>
      </c>
      <c r="H7" s="18">
        <f>D89</f>
        <v/>
      </c>
      <c r="I7" s="26">
        <f>E89</f>
        <v/>
      </c>
    </row>
    <row r="8">
      <c r="A8" s="10" t="inlineStr">
        <is>
          <t>Small: Ownership (perpetual, AWS)</t>
        </is>
      </c>
      <c r="B8" s="19">
        <f>F47+F49+F60</f>
        <v/>
      </c>
      <c r="C8" s="26">
        <f>G47+G49+G60</f>
        <v/>
      </c>
      <c r="D8" s="19">
        <f>F58</f>
        <v/>
      </c>
      <c r="E8" s="26">
        <f>G58</f>
        <v/>
      </c>
      <c r="F8" s="18">
        <f>F83</f>
        <v/>
      </c>
      <c r="G8" s="26">
        <f>G83</f>
        <v/>
      </c>
      <c r="H8" s="18">
        <f>F89</f>
        <v/>
      </c>
      <c r="I8" s="26">
        <f>G89</f>
        <v/>
      </c>
    </row>
    <row r="9">
      <c r="A9" s="10" t="inlineStr">
        <is>
          <t>Small: Ownership Plus (perpetual, Local partner)</t>
        </is>
      </c>
      <c r="B9" s="19">
        <f>H47+H49+H60</f>
        <v/>
      </c>
      <c r="C9" s="26">
        <f>I47+I49+I60</f>
        <v/>
      </c>
      <c r="D9" s="19">
        <f>H58</f>
        <v/>
      </c>
      <c r="E9" s="26">
        <f>I58</f>
        <v/>
      </c>
      <c r="F9" s="18">
        <f>H83</f>
        <v/>
      </c>
      <c r="G9" s="26">
        <f>I83</f>
        <v/>
      </c>
      <c r="H9" s="18">
        <f>H89</f>
        <v/>
      </c>
      <c r="I9" s="26">
        <f>I89</f>
        <v/>
      </c>
    </row>
    <row r="10">
      <c r="A10" s="16" t="inlineStr">
        <is>
          <t>Medium: Essentials (subscription, Self-hosted)</t>
        </is>
      </c>
      <c r="B10" s="19">
        <f>B117+B119+B130</f>
        <v/>
      </c>
      <c r="C10" s="26">
        <f>C117+C119+C130</f>
        <v/>
      </c>
      <c r="D10" s="19">
        <f>B128</f>
        <v/>
      </c>
      <c r="E10" s="26">
        <f>C128</f>
        <v/>
      </c>
      <c r="F10" s="18">
        <f>B153</f>
        <v/>
      </c>
      <c r="G10" s="26">
        <f>C153</f>
        <v/>
      </c>
      <c r="H10" s="18">
        <f>B159</f>
        <v/>
      </c>
      <c r="I10" s="26">
        <f>C159</f>
        <v/>
      </c>
    </row>
    <row r="11">
      <c r="A11" s="10" t="inlineStr">
        <is>
          <t>Medium: Standard (subscription, AWS)</t>
        </is>
      </c>
      <c r="B11" s="19">
        <f>D117+D119+D130</f>
        <v/>
      </c>
      <c r="C11" s="26">
        <f>E117+E119+E130</f>
        <v/>
      </c>
      <c r="D11" s="19">
        <f>D128</f>
        <v/>
      </c>
      <c r="E11" s="26">
        <f>E128</f>
        <v/>
      </c>
      <c r="F11" s="18">
        <f>D153</f>
        <v/>
      </c>
      <c r="G11" s="26">
        <f>E153</f>
        <v/>
      </c>
      <c r="H11" s="18">
        <f>D159</f>
        <v/>
      </c>
      <c r="I11" s="26">
        <f>E159</f>
        <v/>
      </c>
    </row>
    <row r="12">
      <c r="A12" s="10" t="inlineStr">
        <is>
          <t>Medium: Ownership (perpetual, AWS)</t>
        </is>
      </c>
      <c r="B12" s="19">
        <f>F117+F119+F130</f>
        <v/>
      </c>
      <c r="C12" s="26">
        <f>G117+G119+G130</f>
        <v/>
      </c>
      <c r="D12" s="19">
        <f>F128</f>
        <v/>
      </c>
      <c r="E12" s="26">
        <f>G128</f>
        <v/>
      </c>
      <c r="F12" s="18">
        <f>F153</f>
        <v/>
      </c>
      <c r="G12" s="26">
        <f>G153</f>
        <v/>
      </c>
      <c r="H12" s="18">
        <f>F159</f>
        <v/>
      </c>
      <c r="I12" s="26">
        <f>G159</f>
        <v/>
      </c>
    </row>
    <row r="13">
      <c r="A13" s="10" t="inlineStr">
        <is>
          <t>Medium: Ownership Plus (perpetual, Local partner)</t>
        </is>
      </c>
      <c r="B13" s="19">
        <f>H117+H119+H130</f>
        <v/>
      </c>
      <c r="C13" s="26">
        <f>I117+I119+I130</f>
        <v/>
      </c>
      <c r="D13" s="19">
        <f>H128</f>
        <v/>
      </c>
      <c r="E13" s="26">
        <f>I128</f>
        <v/>
      </c>
      <c r="F13" s="18">
        <f>H153</f>
        <v/>
      </c>
      <c r="G13" s="26">
        <f>I153</f>
        <v/>
      </c>
      <c r="H13" s="18">
        <f>H159</f>
        <v/>
      </c>
      <c r="I13" s="26">
        <f>I159</f>
        <v/>
      </c>
    </row>
    <row r="14">
      <c r="A14" s="16" t="inlineStr">
        <is>
          <t>Large: Essentials (subscription, Self-hosted)</t>
        </is>
      </c>
      <c r="B14" s="19">
        <f>B187+B189+B200</f>
        <v/>
      </c>
      <c r="C14" s="26">
        <f>C187+C189+C200</f>
        <v/>
      </c>
      <c r="D14" s="19">
        <f>B198</f>
        <v/>
      </c>
      <c r="E14" s="26">
        <f>C198</f>
        <v/>
      </c>
      <c r="F14" s="18">
        <f>B223</f>
        <v/>
      </c>
      <c r="G14" s="26">
        <f>C223</f>
        <v/>
      </c>
      <c r="H14" s="18">
        <f>B229</f>
        <v/>
      </c>
      <c r="I14" s="26">
        <f>C229</f>
        <v/>
      </c>
    </row>
    <row r="15">
      <c r="A15" s="10" t="inlineStr">
        <is>
          <t>Large: Standard (subscription, AWS)</t>
        </is>
      </c>
      <c r="B15" s="19">
        <f>D187+D189+D200</f>
        <v/>
      </c>
      <c r="C15" s="26">
        <f>E187+E189+E200</f>
        <v/>
      </c>
      <c r="D15" s="19">
        <f>D198</f>
        <v/>
      </c>
      <c r="E15" s="26">
        <f>E198</f>
        <v/>
      </c>
      <c r="F15" s="18">
        <f>D223</f>
        <v/>
      </c>
      <c r="G15" s="26">
        <f>E223</f>
        <v/>
      </c>
      <c r="H15" s="18">
        <f>D229</f>
        <v/>
      </c>
      <c r="I15" s="26">
        <f>E229</f>
        <v/>
      </c>
    </row>
    <row r="16">
      <c r="A16" s="10" t="inlineStr">
        <is>
          <t>Large: Ownership (perpetual, AWS)</t>
        </is>
      </c>
      <c r="B16" s="19">
        <f>F187+F189+F200</f>
        <v/>
      </c>
      <c r="C16" s="26">
        <f>G187+G189+G200</f>
        <v/>
      </c>
      <c r="D16" s="19">
        <f>F198</f>
        <v/>
      </c>
      <c r="E16" s="26">
        <f>G198</f>
        <v/>
      </c>
      <c r="F16" s="18">
        <f>F223</f>
        <v/>
      </c>
      <c r="G16" s="26">
        <f>G223</f>
        <v/>
      </c>
      <c r="H16" s="18">
        <f>F229</f>
        <v/>
      </c>
      <c r="I16" s="26">
        <f>G229</f>
        <v/>
      </c>
    </row>
    <row r="17">
      <c r="A17" s="10" t="inlineStr">
        <is>
          <t>Large: Ownership Plus (perpetual, Local partner)</t>
        </is>
      </c>
      <c r="B17" s="19">
        <f>H187+H189+H200</f>
        <v/>
      </c>
      <c r="C17" s="26">
        <f>I187+I189+I200</f>
        <v/>
      </c>
      <c r="D17" s="19">
        <f>H198</f>
        <v/>
      </c>
      <c r="E17" s="26">
        <f>I198</f>
        <v/>
      </c>
      <c r="F17" s="18">
        <f>H223</f>
        <v/>
      </c>
      <c r="G17" s="26">
        <f>I223</f>
        <v/>
      </c>
      <c r="H17" s="18">
        <f>H229</f>
        <v/>
      </c>
      <c r="I17" s="26">
        <f>I229</f>
        <v/>
      </c>
    </row>
    <row r="18">
      <c r="A18" s="16" t="inlineStr">
        <is>
          <t>Enterprise: Essentials (subscription, Self-hosted)</t>
        </is>
      </c>
      <c r="B18" s="19">
        <f>B257+B259+B270</f>
        <v/>
      </c>
      <c r="C18" s="26">
        <f>C257+C259+C270</f>
        <v/>
      </c>
      <c r="D18" s="19">
        <f>B268</f>
        <v/>
      </c>
      <c r="E18" s="26">
        <f>C268</f>
        <v/>
      </c>
      <c r="F18" s="18">
        <f>B293</f>
        <v/>
      </c>
      <c r="G18" s="26">
        <f>C293</f>
        <v/>
      </c>
      <c r="H18" s="18">
        <f>B299</f>
        <v/>
      </c>
      <c r="I18" s="26">
        <f>C299</f>
        <v/>
      </c>
    </row>
    <row r="19">
      <c r="A19" s="10" t="inlineStr">
        <is>
          <t>Enterprise: Standard (subscription, AWS)</t>
        </is>
      </c>
      <c r="B19" s="19">
        <f>D257+D259+D270</f>
        <v/>
      </c>
      <c r="C19" s="26">
        <f>E257+E259+E270</f>
        <v/>
      </c>
      <c r="D19" s="19">
        <f>D268</f>
        <v/>
      </c>
      <c r="E19" s="26">
        <f>E268</f>
        <v/>
      </c>
      <c r="F19" s="18">
        <f>D293</f>
        <v/>
      </c>
      <c r="G19" s="26">
        <f>E293</f>
        <v/>
      </c>
      <c r="H19" s="18">
        <f>D299</f>
        <v/>
      </c>
      <c r="I19" s="26">
        <f>E299</f>
        <v/>
      </c>
    </row>
    <row r="20">
      <c r="A20" s="10" t="inlineStr">
        <is>
          <t>Enterprise: Ownership (perpetual, AWS)</t>
        </is>
      </c>
      <c r="B20" s="19">
        <f>F257+F259+F270</f>
        <v/>
      </c>
      <c r="C20" s="26">
        <f>G257+G259+G270</f>
        <v/>
      </c>
      <c r="D20" s="19">
        <f>F268</f>
        <v/>
      </c>
      <c r="E20" s="26">
        <f>G268</f>
        <v/>
      </c>
      <c r="F20" s="18">
        <f>F293</f>
        <v/>
      </c>
      <c r="G20" s="26">
        <f>G293</f>
        <v/>
      </c>
      <c r="H20" s="18">
        <f>F299</f>
        <v/>
      </c>
      <c r="I20" s="26">
        <f>G299</f>
        <v/>
      </c>
    </row>
    <row r="21">
      <c r="A21" s="10" t="inlineStr">
        <is>
          <t>Enterprise: Ownership Plus (perpetual, Local partner)</t>
        </is>
      </c>
      <c r="B21" s="19">
        <f>H257+H259+H270</f>
        <v/>
      </c>
      <c r="C21" s="26">
        <f>I257+I259+I270</f>
        <v/>
      </c>
      <c r="D21" s="19">
        <f>H268</f>
        <v/>
      </c>
      <c r="E21" s="26">
        <f>I268</f>
        <v/>
      </c>
      <c r="F21" s="18">
        <f>H293</f>
        <v/>
      </c>
      <c r="G21" s="26">
        <f>I293</f>
        <v/>
      </c>
      <c r="H21" s="18">
        <f>H299</f>
        <v/>
      </c>
      <c r="I21" s="26">
        <f>I299</f>
        <v/>
      </c>
    </row>
    <row r="22" ht="30" customHeight="1">
      <c r="A22" s="23" t="inlineStr">
        <is>
          <t>One-time fees: implementation or onboarding, perpetual licence and one-time services. Monthly fees: subscription, hosting of the standing environment set and additional environments; Pre-Prod months are in the yearly totals. AMC (perpetual) and 24x7 support are yearly and are in the Year 1 and 5-year totals. Floor = CEO limit on every component.</t>
        </is>
      </c>
    </row>
    <row r="24">
      <c r="A24" s="6" t="inlineStr">
        <is>
          <t>Small tier: 15 users, 5 lines of business</t>
        </is>
      </c>
      <c r="B24" s="7" t="n"/>
      <c r="C24" s="7" t="n"/>
      <c r="D24" s="7" t="n"/>
      <c r="E24" s="7" t="n"/>
      <c r="F24" s="7" t="n"/>
      <c r="G24" s="7" t="n"/>
      <c r="H24" s="7" t="n"/>
      <c r="I24" s="7" t="n"/>
    </row>
    <row r="25" ht="32" customHeight="1">
      <c r="A25" s="3" t="inlineStr">
        <is>
          <t>Line</t>
        </is>
      </c>
      <c r="B25" s="3" t="inlineStr">
        <is>
          <t>Essentials, list</t>
        </is>
      </c>
      <c r="C25" s="25" t="inlineStr">
        <is>
          <t>Essentials, floor</t>
        </is>
      </c>
      <c r="D25" s="3" t="inlineStr">
        <is>
          <t>Standard, list</t>
        </is>
      </c>
      <c r="E25" s="25" t="inlineStr">
        <is>
          <t>Standard, floor</t>
        </is>
      </c>
      <c r="F25" s="3" t="inlineStr">
        <is>
          <t>Ownership, list</t>
        </is>
      </c>
      <c r="G25" s="25" t="inlineStr">
        <is>
          <t>Ownership, floor</t>
        </is>
      </c>
      <c r="H25" s="3" t="inlineStr">
        <is>
          <t>Ownership Plus, list</t>
        </is>
      </c>
      <c r="I25" s="25" t="inlineStr">
        <is>
          <t>Ownership Plus, floor</t>
        </is>
      </c>
    </row>
    <row r="26" ht="62" customHeight="1">
      <c r="A26" s="16" t="inlineStr">
        <is>
          <t>What it is</t>
        </is>
      </c>
      <c r="B26" s="5" t="inlineStr">
        <is>
          <t>Subscription; the client hosts; standard support; 3-year term.</t>
        </is>
      </c>
      <c r="C26" s="9" t="n"/>
      <c r="D26" s="5" t="inlineStr">
        <is>
          <t>Subscription hosted by iorta TechNXT on AWS (Singapore); 3-year term.</t>
        </is>
      </c>
      <c r="E26" s="9" t="n"/>
      <c r="F26" s="5" t="inlineStr">
        <is>
          <t>Perpetual licence with AMC, hosted on AWS (Singapore); 5-year view.</t>
        </is>
      </c>
      <c r="G26" s="9" t="n"/>
      <c r="H26" s="5" t="inlineStr">
        <is>
          <t>Perpetual with AMC, hosted in the Philippines, 24x7 Severity 1 support, 2 extra training days, 1 legacy source migrated.</t>
        </is>
      </c>
      <c r="I26" s="9" t="n"/>
    </row>
    <row r="27">
      <c r="A27" s="10" t="inlineStr">
        <is>
          <t>Named users</t>
        </is>
      </c>
      <c r="B27" s="24">
        <f>'Price Basis'!J30</f>
        <v/>
      </c>
      <c r="C27" s="24">
        <f>'Price Basis'!J30</f>
        <v/>
      </c>
      <c r="D27" s="24">
        <f>'Price Basis'!J30</f>
        <v/>
      </c>
      <c r="E27" s="24">
        <f>'Price Basis'!J30</f>
        <v/>
      </c>
      <c r="F27" s="24">
        <f>'Price Basis'!J30</f>
        <v/>
      </c>
      <c r="G27" s="24">
        <f>'Price Basis'!J30</f>
        <v/>
      </c>
      <c r="H27" s="24">
        <f>'Price Basis'!J30</f>
        <v/>
      </c>
      <c r="I27" s="24">
        <f>'Price Basis'!J30</f>
        <v/>
      </c>
    </row>
    <row r="28">
      <c r="A28" s="10" t="inlineStr">
        <is>
          <t>Lines of business</t>
        </is>
      </c>
      <c r="B28" s="24">
        <f>'Price Basis'!H30</f>
        <v/>
      </c>
      <c r="C28" s="24">
        <f>'Price Basis'!H30</f>
        <v/>
      </c>
      <c r="D28" s="24">
        <f>'Price Basis'!H30</f>
        <v/>
      </c>
      <c r="E28" s="24">
        <f>'Price Basis'!H30</f>
        <v/>
      </c>
      <c r="F28" s="24">
        <f>'Price Basis'!H30</f>
        <v/>
      </c>
      <c r="G28" s="24">
        <f>'Price Basis'!H30</f>
        <v/>
      </c>
      <c r="H28" s="24">
        <f>'Price Basis'!H30</f>
        <v/>
      </c>
      <c r="I28" s="24">
        <f>'Price Basis'!H30</f>
        <v/>
      </c>
    </row>
    <row r="29">
      <c r="A29" s="10" t="inlineStr">
        <is>
          <t>Licence model</t>
        </is>
      </c>
      <c r="B29" s="10" t="inlineStr">
        <is>
          <t>Subscription</t>
        </is>
      </c>
      <c r="C29" s="10" t="inlineStr">
        <is>
          <t>Subscription</t>
        </is>
      </c>
      <c r="D29" s="10" t="inlineStr">
        <is>
          <t>Subscription</t>
        </is>
      </c>
      <c r="E29" s="10" t="inlineStr">
        <is>
          <t>Subscription</t>
        </is>
      </c>
      <c r="F29" s="10" t="inlineStr">
        <is>
          <t>Perpetual</t>
        </is>
      </c>
      <c r="G29" s="10" t="inlineStr">
        <is>
          <t>Perpetual</t>
        </is>
      </c>
      <c r="H29" s="10" t="inlineStr">
        <is>
          <t>Perpetual</t>
        </is>
      </c>
      <c r="I29" s="10" t="inlineStr">
        <is>
          <t>Perpetual</t>
        </is>
      </c>
    </row>
    <row r="30">
      <c r="A30" s="10" t="inlineStr">
        <is>
          <t>Hosting</t>
        </is>
      </c>
      <c r="B30" s="10" t="inlineStr">
        <is>
          <t>Self-hosted</t>
        </is>
      </c>
      <c r="C30" s="10" t="inlineStr">
        <is>
          <t>Self-hosted</t>
        </is>
      </c>
      <c r="D30" s="10" t="inlineStr">
        <is>
          <t>AWS</t>
        </is>
      </c>
      <c r="E30" s="10" t="inlineStr">
        <is>
          <t>AWS</t>
        </is>
      </c>
      <c r="F30" s="10" t="inlineStr">
        <is>
          <t>AWS</t>
        </is>
      </c>
      <c r="G30" s="10" t="inlineStr">
        <is>
          <t>AWS</t>
        </is>
      </c>
      <c r="H30" s="10" t="inlineStr">
        <is>
          <t>Local partner</t>
        </is>
      </c>
      <c r="I30" s="10" t="inlineStr">
        <is>
          <t>Local partner</t>
        </is>
      </c>
    </row>
    <row r="31">
      <c r="A31" s="10" t="inlineStr">
        <is>
          <t>24x7 Severity 1 support</t>
        </is>
      </c>
      <c r="B31" s="10" t="inlineStr">
        <is>
          <t>No</t>
        </is>
      </c>
      <c r="C31" s="10" t="inlineStr">
        <is>
          <t>No</t>
        </is>
      </c>
      <c r="D31" s="10" t="inlineStr">
        <is>
          <t>No</t>
        </is>
      </c>
      <c r="E31" s="10" t="inlineStr">
        <is>
          <t>No</t>
        </is>
      </c>
      <c r="F31" s="10" t="inlineStr">
        <is>
          <t>No</t>
        </is>
      </c>
      <c r="G31" s="10" t="inlineStr">
        <is>
          <t>No</t>
        </is>
      </c>
      <c r="H31" s="10" t="inlineStr">
        <is>
          <t>Yes</t>
        </is>
      </c>
      <c r="I31" s="10" t="inlineStr">
        <is>
          <t>Yes</t>
        </is>
      </c>
    </row>
    <row r="32">
      <c r="A32" s="10" t="inlineStr">
        <is>
          <t>Extra training days</t>
        </is>
      </c>
      <c r="B32" s="24" t="n">
        <v>0</v>
      </c>
      <c r="C32" s="24" t="n">
        <v>0</v>
      </c>
      <c r="D32" s="24" t="n">
        <v>0</v>
      </c>
      <c r="E32" s="24" t="n">
        <v>0</v>
      </c>
      <c r="F32" s="24" t="n">
        <v>0</v>
      </c>
      <c r="G32" s="24" t="n">
        <v>0</v>
      </c>
      <c r="H32" s="24" t="n">
        <v>2</v>
      </c>
      <c r="I32" s="24" t="n">
        <v>2</v>
      </c>
    </row>
    <row r="33">
      <c r="A33" s="10" t="inlineStr">
        <is>
          <t>Legacy data sources migrated</t>
        </is>
      </c>
      <c r="B33" s="24" t="n">
        <v>0</v>
      </c>
      <c r="C33" s="24" t="n">
        <v>0</v>
      </c>
      <c r="D33" s="24" t="n">
        <v>0</v>
      </c>
      <c r="E33" s="24" t="n">
        <v>0</v>
      </c>
      <c r="F33" s="24" t="n">
        <v>0</v>
      </c>
      <c r="G33" s="24" t="n">
        <v>0</v>
      </c>
      <c r="H33" s="24" t="n">
        <v>1</v>
      </c>
      <c r="I33" s="24" t="n">
        <v>1</v>
      </c>
    </row>
    <row r="34">
      <c r="A34" s="10" t="inlineStr">
        <is>
          <t>Additional standard integrations</t>
        </is>
      </c>
      <c r="B34" s="24" t="n">
        <v>0</v>
      </c>
      <c r="C34" s="24" t="n">
        <v>0</v>
      </c>
      <c r="D34" s="24" t="n">
        <v>0</v>
      </c>
      <c r="E34" s="24" t="n">
        <v>0</v>
      </c>
      <c r="F34" s="24" t="n">
        <v>0</v>
      </c>
      <c r="G34" s="24" t="n">
        <v>0</v>
      </c>
      <c r="H34" s="24" t="n">
        <v>0</v>
      </c>
      <c r="I34" s="24" t="n">
        <v>0</v>
      </c>
    </row>
    <row r="35">
      <c r="A35" s="10" t="inlineStr">
        <is>
          <t>Additional complex integrations</t>
        </is>
      </c>
      <c r="B35" s="24" t="n">
        <v>0</v>
      </c>
      <c r="C35" s="24" t="n">
        <v>0</v>
      </c>
      <c r="D35" s="24" t="n">
        <v>0</v>
      </c>
      <c r="E35" s="24" t="n">
        <v>0</v>
      </c>
      <c r="F35" s="24" t="n">
        <v>0</v>
      </c>
      <c r="G35" s="24" t="n">
        <v>0</v>
      </c>
      <c r="H35" s="24" t="n">
        <v>0</v>
      </c>
      <c r="I35" s="24" t="n">
        <v>0</v>
      </c>
    </row>
    <row r="36">
      <c r="A36" s="10" t="inlineStr">
        <is>
          <t>Additional environments</t>
        </is>
      </c>
      <c r="B36" s="24" t="n">
        <v>0</v>
      </c>
      <c r="C36" s="24" t="n">
        <v>0</v>
      </c>
      <c r="D36" s="24" t="n">
        <v>0</v>
      </c>
      <c r="E36" s="24" t="n">
        <v>0</v>
      </c>
      <c r="F36" s="24" t="n">
        <v>0</v>
      </c>
      <c r="G36" s="24" t="n">
        <v>0</v>
      </c>
      <c r="H36" s="24" t="n">
        <v>0</v>
      </c>
      <c r="I36" s="24" t="n">
        <v>0</v>
      </c>
    </row>
    <row r="37">
      <c r="A37" s="10" t="inlineStr">
        <is>
          <t>On-site days</t>
        </is>
      </c>
      <c r="B37" s="24" t="n">
        <v>0</v>
      </c>
      <c r="C37" s="24" t="n">
        <v>0</v>
      </c>
      <c r="D37" s="24" t="n">
        <v>0</v>
      </c>
      <c r="E37" s="24" t="n">
        <v>0</v>
      </c>
      <c r="F37" s="24" t="n">
        <v>0</v>
      </c>
      <c r="G37" s="24" t="n">
        <v>0</v>
      </c>
      <c r="H37" s="24" t="n">
        <v>0</v>
      </c>
      <c r="I37" s="24" t="n">
        <v>0</v>
      </c>
    </row>
    <row r="38">
      <c r="A38" s="10" t="inlineStr">
        <is>
          <t>Contract term (years)</t>
        </is>
      </c>
      <c r="B38" s="24" t="n">
        <v>3</v>
      </c>
      <c r="C38" s="24" t="n">
        <v>3</v>
      </c>
      <c r="D38" s="24" t="n">
        <v>3</v>
      </c>
      <c r="E38" s="24" t="n">
        <v>3</v>
      </c>
      <c r="F38" s="24" t="n">
        <v>5</v>
      </c>
      <c r="G38" s="24" t="n">
        <v>5</v>
      </c>
      <c r="H38" s="24" t="n">
        <v>5</v>
      </c>
      <c r="I38" s="24" t="n">
        <v>5</v>
      </c>
    </row>
    <row r="39">
      <c r="A39" s="10" t="inlineStr">
        <is>
          <t>Discount on licence or subscription</t>
        </is>
      </c>
      <c r="B39" s="27" t="n">
        <v>0</v>
      </c>
      <c r="C39" s="28">
        <f>Floor_SW</f>
        <v/>
      </c>
      <c r="D39" s="27" t="n">
        <v>0</v>
      </c>
      <c r="E39" s="28">
        <f>Floor_SW</f>
        <v/>
      </c>
      <c r="F39" s="27" t="n">
        <v>0</v>
      </c>
      <c r="G39" s="28">
        <f>Floor_SW</f>
        <v/>
      </c>
      <c r="H39" s="27" t="n">
        <v>0</v>
      </c>
      <c r="I39" s="28">
        <f>Floor_SW</f>
        <v/>
      </c>
    </row>
    <row r="40">
      <c r="A40" s="10" t="inlineStr">
        <is>
          <t>Discount on implementation and services</t>
        </is>
      </c>
      <c r="B40" s="27" t="n">
        <v>0</v>
      </c>
      <c r="C40" s="28">
        <f>Floor_Svc</f>
        <v/>
      </c>
      <c r="D40" s="27" t="n">
        <v>0</v>
      </c>
      <c r="E40" s="28">
        <f>Floor_Svc</f>
        <v/>
      </c>
      <c r="F40" s="27" t="n">
        <v>0</v>
      </c>
      <c r="G40" s="28">
        <f>Floor_Svc</f>
        <v/>
      </c>
      <c r="H40" s="27" t="n">
        <v>0</v>
      </c>
      <c r="I40" s="28">
        <f>Floor_Svc</f>
        <v/>
      </c>
    </row>
    <row r="41">
      <c r="A41" s="10" t="inlineStr">
        <is>
          <t>Discount on hosting</t>
        </is>
      </c>
      <c r="B41" s="27" t="n">
        <v>0</v>
      </c>
      <c r="C41" s="28">
        <f>Floor_Host</f>
        <v/>
      </c>
      <c r="D41" s="27" t="n">
        <v>0</v>
      </c>
      <c r="E41" s="28">
        <f>Floor_Host</f>
        <v/>
      </c>
      <c r="F41" s="27" t="n">
        <v>0</v>
      </c>
      <c r="G41" s="28">
        <f>Floor_Host</f>
        <v/>
      </c>
      <c r="H41" s="27" t="n">
        <v>0</v>
      </c>
      <c r="I41" s="28">
        <f>Floor_Host</f>
        <v/>
      </c>
    </row>
    <row r="42">
      <c r="A42" s="10" t="inlineStr">
        <is>
          <t>Tier index</t>
        </is>
      </c>
      <c r="B42" s="24">
        <f>MATCH($B$27,TierFrom,1)</f>
        <v/>
      </c>
      <c r="C42" s="24">
        <f>MATCH($C$27,TierFrom,1)</f>
        <v/>
      </c>
      <c r="D42" s="24">
        <f>MATCH($D$27,TierFrom,1)</f>
        <v/>
      </c>
      <c r="E42" s="24">
        <f>MATCH($E$27,TierFrom,1)</f>
        <v/>
      </c>
      <c r="F42" s="24">
        <f>MATCH($F$27,TierFrom,1)</f>
        <v/>
      </c>
      <c r="G42" s="24">
        <f>MATCH($G$27,TierFrom,1)</f>
        <v/>
      </c>
      <c r="H42" s="24">
        <f>MATCH($H$27,TierFrom,1)</f>
        <v/>
      </c>
      <c r="I42" s="24">
        <f>MATCH($I$27,TierFrom,1)</f>
        <v/>
      </c>
    </row>
    <row r="43">
      <c r="A43" s="10" t="inlineStr">
        <is>
          <t>Tier</t>
        </is>
      </c>
      <c r="B43" s="10">
        <f>INDEX(TierName,B42)</f>
        <v/>
      </c>
      <c r="C43" s="10">
        <f>INDEX(TierName,C42)</f>
        <v/>
      </c>
      <c r="D43" s="10">
        <f>INDEX(TierName,D42)</f>
        <v/>
      </c>
      <c r="E43" s="10">
        <f>INDEX(TierName,E42)</f>
        <v/>
      </c>
      <c r="F43" s="10">
        <f>INDEX(TierName,F42)</f>
        <v/>
      </c>
      <c r="G43" s="10">
        <f>INDEX(TierName,G42)</f>
        <v/>
      </c>
      <c r="H43" s="10">
        <f>INDEX(TierName,H42)</f>
        <v/>
      </c>
      <c r="I43" s="10">
        <f>INDEX(TierName,I42)</f>
        <v/>
      </c>
    </row>
    <row r="44">
      <c r="A44" s="10" t="inlineStr">
        <is>
          <t>Billable users (subscription minimum applies)</t>
        </is>
      </c>
      <c r="B44" s="24">
        <f>IF($B$29="Subscription",MAX($B$27,INDEX(MinBill,B42)),$B$27)</f>
        <v/>
      </c>
      <c r="C44" s="24">
        <f>IF($C$29="Subscription",MAX($C$27,INDEX(MinBill,C42)),$C$27)</f>
        <v/>
      </c>
      <c r="D44" s="24">
        <f>IF($D$29="Subscription",MAX($D$27,INDEX(MinBill,D42)),$D$27)</f>
        <v/>
      </c>
      <c r="E44" s="24">
        <f>IF($E$29="Subscription",MAX($E$27,INDEX(MinBill,E42)),$E$27)</f>
        <v/>
      </c>
      <c r="F44" s="24">
        <f>IF($F$29="Subscription",MAX($F$27,INDEX(MinBill,F42)),$F$27)</f>
        <v/>
      </c>
      <c r="G44" s="24">
        <f>IF($G$29="Subscription",MAX($G$27,INDEX(MinBill,G42)),$G$27)</f>
        <v/>
      </c>
      <c r="H44" s="24">
        <f>IF($H$29="Subscription",MAX($H$27,INDEX(MinBill,H42)),$H$27)</f>
        <v/>
      </c>
      <c r="I44" s="24">
        <f>IF($I$29="Subscription",MAX($I$27,INDEX(MinBill,I42)),$I$27)</f>
        <v/>
      </c>
    </row>
    <row r="45">
      <c r="A45" s="10" t="inlineStr">
        <is>
          <t>Implementation man-days</t>
        </is>
      </c>
      <c r="B45" s="24">
        <f>INDEX(BaseDays,B42)+MAX(0,$B$28-INDEX(LOBIncl,B42))*Days_per_LOB</f>
        <v/>
      </c>
      <c r="C45" s="24">
        <f>INDEX(BaseDays,C42)+MAX(0,$C$28-INDEX(LOBIncl,C42))*Days_per_LOB</f>
        <v/>
      </c>
      <c r="D45" s="24">
        <f>INDEX(BaseDays,D42)+MAX(0,$D$28-INDEX(LOBIncl,D42))*Days_per_LOB</f>
        <v/>
      </c>
      <c r="E45" s="24">
        <f>INDEX(BaseDays,E42)+MAX(0,$E$28-INDEX(LOBIncl,E42))*Days_per_LOB</f>
        <v/>
      </c>
      <c r="F45" s="24">
        <f>INDEX(BaseDays,F42)+MAX(0,$F$28-INDEX(LOBIncl,F42))*Days_per_LOB</f>
        <v/>
      </c>
      <c r="G45" s="24">
        <f>INDEX(BaseDays,G42)+MAX(0,$G$28-INDEX(LOBIncl,G42))*Days_per_LOB</f>
        <v/>
      </c>
      <c r="H45" s="24">
        <f>INDEX(BaseDays,H42)+MAX(0,$H$28-INDEX(LOBIncl,H42))*Days_per_LOB</f>
        <v/>
      </c>
      <c r="I45" s="24">
        <f>INDEX(BaseDays,I42)+MAX(0,$I$28-INDEX(LOBIncl,I42))*Days_per_LOB</f>
        <v/>
      </c>
    </row>
    <row r="46">
      <c r="A46" s="10" t="inlineStr">
        <is>
          <t>Implementation or onboarding fee, list</t>
        </is>
      </c>
      <c r="B46" s="19">
        <f>ROUND(B45*Blended/Round_To,0)*Round_To*IF($B$29="Subscription",Onboard_Pct,1)</f>
        <v/>
      </c>
      <c r="C46" s="19">
        <f>ROUND(C45*Blended/Round_To,0)*Round_To*IF($C$29="Subscription",Onboard_Pct,1)</f>
        <v/>
      </c>
      <c r="D46" s="19">
        <f>ROUND(D45*Blended/Round_To,0)*Round_To*IF($D$29="Subscription",Onboard_Pct,1)</f>
        <v/>
      </c>
      <c r="E46" s="19">
        <f>ROUND(E45*Blended/Round_To,0)*Round_To*IF($E$29="Subscription",Onboard_Pct,1)</f>
        <v/>
      </c>
      <c r="F46" s="19">
        <f>ROUND(F45*Blended/Round_To,0)*Round_To*IF($F$29="Subscription",Onboard_Pct,1)</f>
        <v/>
      </c>
      <c r="G46" s="19">
        <f>ROUND(G45*Blended/Round_To,0)*Round_To*IF($G$29="Subscription",Onboard_Pct,1)</f>
        <v/>
      </c>
      <c r="H46" s="19">
        <f>ROUND(H45*Blended/Round_To,0)*Round_To*IF($H$29="Subscription",Onboard_Pct,1)</f>
        <v/>
      </c>
      <c r="I46" s="19">
        <f>ROUND(I45*Blended/Round_To,0)*Round_To*IF($I$29="Subscription",Onboard_Pct,1)</f>
        <v/>
      </c>
    </row>
    <row r="47">
      <c r="A47" s="10" t="inlineStr">
        <is>
          <t>Implementation or onboarding fee, quoted</t>
        </is>
      </c>
      <c r="B47" s="19">
        <f>B46*(1-$B$40)</f>
        <v/>
      </c>
      <c r="C47" s="19">
        <f>C46*(1-$C$40)</f>
        <v/>
      </c>
      <c r="D47" s="19">
        <f>D46*(1-$D$40)</f>
        <v/>
      </c>
      <c r="E47" s="19">
        <f>E46*(1-$E$40)</f>
        <v/>
      </c>
      <c r="F47" s="19">
        <f>F46*(1-$F$40)</f>
        <v/>
      </c>
      <c r="G47" s="19">
        <f>G46*(1-$G$40)</f>
        <v/>
      </c>
      <c r="H47" s="19">
        <f>H46*(1-$H$40)</f>
        <v/>
      </c>
      <c r="I47" s="19">
        <f>I46*(1-$I$40)</f>
        <v/>
      </c>
    </row>
    <row r="48">
      <c r="A48" s="10" t="inlineStr">
        <is>
          <t>Perpetual licence fee, list (one-time)</t>
        </is>
      </c>
      <c r="B48" s="19">
        <f>IF($B$29="Perpetual",MAX(0,MIN($B$27,'Price Basis'!$C$30)-'Price Basis'!$B$30+1)*'Price Basis'!$D$30+MAX(0,MIN($B$27,'Price Basis'!$C$31)-'Price Basis'!$B$31+1)*'Price Basis'!$D$31+MAX(0,MIN($B$27,'Price Basis'!$C$32)-'Price Basis'!$B$32+1)*'Price Basis'!$D$32+MAX(0,MIN($B$27,'Price Basis'!$C$33)-'Price Basis'!$B$33+1)*'Price Basis'!$D$33,0)</f>
        <v/>
      </c>
      <c r="C48" s="19">
        <f>IF($C$29="Perpetual",MAX(0,MIN($C$27,'Price Basis'!$C$30)-'Price Basis'!$B$30+1)*'Price Basis'!$D$30+MAX(0,MIN($C$27,'Price Basis'!$C$31)-'Price Basis'!$B$31+1)*'Price Basis'!$D$31+MAX(0,MIN($C$27,'Price Basis'!$C$32)-'Price Basis'!$B$32+1)*'Price Basis'!$D$32+MAX(0,MIN($C$27,'Price Basis'!$C$33)-'Price Basis'!$B$33+1)*'Price Basis'!$D$33,0)</f>
        <v/>
      </c>
      <c r="D48" s="19">
        <f>IF($D$29="Perpetual",MAX(0,MIN($D$27,'Price Basis'!$C$30)-'Price Basis'!$B$30+1)*'Price Basis'!$D$30+MAX(0,MIN($D$27,'Price Basis'!$C$31)-'Price Basis'!$B$31+1)*'Price Basis'!$D$31+MAX(0,MIN($D$27,'Price Basis'!$C$32)-'Price Basis'!$B$32+1)*'Price Basis'!$D$32+MAX(0,MIN($D$27,'Price Basis'!$C$33)-'Price Basis'!$B$33+1)*'Price Basis'!$D$33,0)</f>
        <v/>
      </c>
      <c r="E48" s="19">
        <f>IF($E$29="Perpetual",MAX(0,MIN($E$27,'Price Basis'!$C$30)-'Price Basis'!$B$30+1)*'Price Basis'!$D$30+MAX(0,MIN($E$27,'Price Basis'!$C$31)-'Price Basis'!$B$31+1)*'Price Basis'!$D$31+MAX(0,MIN($E$27,'Price Basis'!$C$32)-'Price Basis'!$B$32+1)*'Price Basis'!$D$32+MAX(0,MIN($E$27,'Price Basis'!$C$33)-'Price Basis'!$B$33+1)*'Price Basis'!$D$33,0)</f>
        <v/>
      </c>
      <c r="F48" s="19">
        <f>IF($F$29="Perpetual",MAX(0,MIN($F$27,'Price Basis'!$C$30)-'Price Basis'!$B$30+1)*'Price Basis'!$D$30+MAX(0,MIN($F$27,'Price Basis'!$C$31)-'Price Basis'!$B$31+1)*'Price Basis'!$D$31+MAX(0,MIN($F$27,'Price Basis'!$C$32)-'Price Basis'!$B$32+1)*'Price Basis'!$D$32+MAX(0,MIN($F$27,'Price Basis'!$C$33)-'Price Basis'!$B$33+1)*'Price Basis'!$D$33,0)</f>
        <v/>
      </c>
      <c r="G48" s="19">
        <f>IF($G$29="Perpetual",MAX(0,MIN($G$27,'Price Basis'!$C$30)-'Price Basis'!$B$30+1)*'Price Basis'!$D$30+MAX(0,MIN($G$27,'Price Basis'!$C$31)-'Price Basis'!$B$31+1)*'Price Basis'!$D$31+MAX(0,MIN($G$27,'Price Basis'!$C$32)-'Price Basis'!$B$32+1)*'Price Basis'!$D$32+MAX(0,MIN($G$27,'Price Basis'!$C$33)-'Price Basis'!$B$33+1)*'Price Basis'!$D$33,0)</f>
        <v/>
      </c>
      <c r="H48" s="19">
        <f>IF($H$29="Perpetual",MAX(0,MIN($H$27,'Price Basis'!$C$30)-'Price Basis'!$B$30+1)*'Price Basis'!$D$30+MAX(0,MIN($H$27,'Price Basis'!$C$31)-'Price Basis'!$B$31+1)*'Price Basis'!$D$31+MAX(0,MIN($H$27,'Price Basis'!$C$32)-'Price Basis'!$B$32+1)*'Price Basis'!$D$32+MAX(0,MIN($H$27,'Price Basis'!$C$33)-'Price Basis'!$B$33+1)*'Price Basis'!$D$33,0)</f>
        <v/>
      </c>
      <c r="I48" s="19">
        <f>IF($I$29="Perpetual",MAX(0,MIN($I$27,'Price Basis'!$C$30)-'Price Basis'!$B$30+1)*'Price Basis'!$D$30+MAX(0,MIN($I$27,'Price Basis'!$C$31)-'Price Basis'!$B$31+1)*'Price Basis'!$D$31+MAX(0,MIN($I$27,'Price Basis'!$C$32)-'Price Basis'!$B$32+1)*'Price Basis'!$D$32+MAX(0,MIN($I$27,'Price Basis'!$C$33)-'Price Basis'!$B$33+1)*'Price Basis'!$D$33,0)</f>
        <v/>
      </c>
    </row>
    <row r="49">
      <c r="A49" s="10" t="inlineStr">
        <is>
          <t>Perpetual licence fee, quoted (one-time)</t>
        </is>
      </c>
      <c r="B49" s="19">
        <f>B48*(1-$B$39)</f>
        <v/>
      </c>
      <c r="C49" s="19">
        <f>C48*(1-$C$39)</f>
        <v/>
      </c>
      <c r="D49" s="19">
        <f>D48*(1-$D$39)</f>
        <v/>
      </c>
      <c r="E49" s="19">
        <f>E48*(1-$E$39)</f>
        <v/>
      </c>
      <c r="F49" s="19">
        <f>F48*(1-$F$39)</f>
        <v/>
      </c>
      <c r="G49" s="19">
        <f>G48*(1-$G$39)</f>
        <v/>
      </c>
      <c r="H49" s="19">
        <f>H48*(1-$H$39)</f>
        <v/>
      </c>
      <c r="I49" s="19">
        <f>I48*(1-$I$39)</f>
        <v/>
      </c>
    </row>
    <row r="50">
      <c r="A50" s="10" t="inlineStr">
        <is>
          <t>Subscription per month, Year 1, list</t>
        </is>
      </c>
      <c r="B50" s="19">
        <f>IF($B$29="Subscription",MAX(0,MIN(B44,'Price Basis'!$C$30)-'Price Basis'!$B$30+1)*'Price Basis'!$E$30+MAX(0,MIN(B44,'Price Basis'!$C$31)-'Price Basis'!$B$31+1)*'Price Basis'!$E$31+MAX(0,MIN(B44,'Price Basis'!$C$32)-'Price Basis'!$B$32+1)*'Price Basis'!$E$32+MAX(0,MIN(B44,'Price Basis'!$C$33)-'Price Basis'!$B$33+1)*'Price Basis'!$E$33,0)</f>
        <v/>
      </c>
      <c r="C50" s="19">
        <f>IF($C$29="Subscription",MAX(0,MIN(C44,'Price Basis'!$C$30)-'Price Basis'!$B$30+1)*'Price Basis'!$E$30+MAX(0,MIN(C44,'Price Basis'!$C$31)-'Price Basis'!$B$31+1)*'Price Basis'!$E$31+MAX(0,MIN(C44,'Price Basis'!$C$32)-'Price Basis'!$B$32+1)*'Price Basis'!$E$32+MAX(0,MIN(C44,'Price Basis'!$C$33)-'Price Basis'!$B$33+1)*'Price Basis'!$E$33,0)</f>
        <v/>
      </c>
      <c r="D50" s="19">
        <f>IF($D$29="Subscription",MAX(0,MIN(D44,'Price Basis'!$C$30)-'Price Basis'!$B$30+1)*'Price Basis'!$E$30+MAX(0,MIN(D44,'Price Basis'!$C$31)-'Price Basis'!$B$31+1)*'Price Basis'!$E$31+MAX(0,MIN(D44,'Price Basis'!$C$32)-'Price Basis'!$B$32+1)*'Price Basis'!$E$32+MAX(0,MIN(D44,'Price Basis'!$C$33)-'Price Basis'!$B$33+1)*'Price Basis'!$E$33,0)</f>
        <v/>
      </c>
      <c r="E50" s="19">
        <f>IF($E$29="Subscription",MAX(0,MIN(E44,'Price Basis'!$C$30)-'Price Basis'!$B$30+1)*'Price Basis'!$E$30+MAX(0,MIN(E44,'Price Basis'!$C$31)-'Price Basis'!$B$31+1)*'Price Basis'!$E$31+MAX(0,MIN(E44,'Price Basis'!$C$32)-'Price Basis'!$B$32+1)*'Price Basis'!$E$32+MAX(0,MIN(E44,'Price Basis'!$C$33)-'Price Basis'!$B$33+1)*'Price Basis'!$E$33,0)</f>
        <v/>
      </c>
      <c r="F50" s="19">
        <f>IF($F$29="Subscription",MAX(0,MIN(F44,'Price Basis'!$C$30)-'Price Basis'!$B$30+1)*'Price Basis'!$E$30+MAX(0,MIN(F44,'Price Basis'!$C$31)-'Price Basis'!$B$31+1)*'Price Basis'!$E$31+MAX(0,MIN(F44,'Price Basis'!$C$32)-'Price Basis'!$B$32+1)*'Price Basis'!$E$32+MAX(0,MIN(F44,'Price Basis'!$C$33)-'Price Basis'!$B$33+1)*'Price Basis'!$E$33,0)</f>
        <v/>
      </c>
      <c r="G50" s="19">
        <f>IF($G$29="Subscription",MAX(0,MIN(G44,'Price Basis'!$C$30)-'Price Basis'!$B$30+1)*'Price Basis'!$E$30+MAX(0,MIN(G44,'Price Basis'!$C$31)-'Price Basis'!$B$31+1)*'Price Basis'!$E$31+MAX(0,MIN(G44,'Price Basis'!$C$32)-'Price Basis'!$B$32+1)*'Price Basis'!$E$32+MAX(0,MIN(G44,'Price Basis'!$C$33)-'Price Basis'!$B$33+1)*'Price Basis'!$E$33,0)</f>
        <v/>
      </c>
      <c r="H50" s="19">
        <f>IF($H$29="Subscription",MAX(0,MIN(H44,'Price Basis'!$C$30)-'Price Basis'!$B$30+1)*'Price Basis'!$E$30+MAX(0,MIN(H44,'Price Basis'!$C$31)-'Price Basis'!$B$31+1)*'Price Basis'!$E$31+MAX(0,MIN(H44,'Price Basis'!$C$32)-'Price Basis'!$B$32+1)*'Price Basis'!$E$32+MAX(0,MIN(H44,'Price Basis'!$C$33)-'Price Basis'!$B$33+1)*'Price Basis'!$E$33,0)</f>
        <v/>
      </c>
      <c r="I50" s="19">
        <f>IF($I$29="Subscription",MAX(0,MIN(I44,'Price Basis'!$C$30)-'Price Basis'!$B$30+1)*'Price Basis'!$E$30+MAX(0,MIN(I44,'Price Basis'!$C$31)-'Price Basis'!$B$31+1)*'Price Basis'!$E$31+MAX(0,MIN(I44,'Price Basis'!$C$32)-'Price Basis'!$B$32+1)*'Price Basis'!$E$32+MAX(0,MIN(I44,'Price Basis'!$C$33)-'Price Basis'!$B$33+1)*'Price Basis'!$E$33,0)</f>
        <v/>
      </c>
    </row>
    <row r="51">
      <c r="A51" s="10" t="inlineStr">
        <is>
          <t>Subscription per month, Year 1, quoted</t>
        </is>
      </c>
      <c r="B51" s="19">
        <f>B50*(1-$B$39)</f>
        <v/>
      </c>
      <c r="C51" s="19">
        <f>C50*(1-$C$39)</f>
        <v/>
      </c>
      <c r="D51" s="19">
        <f>D50*(1-$D$39)</f>
        <v/>
      </c>
      <c r="E51" s="19">
        <f>E50*(1-$E$39)</f>
        <v/>
      </c>
      <c r="F51" s="19">
        <f>F50*(1-$F$39)</f>
        <v/>
      </c>
      <c r="G51" s="19">
        <f>G50*(1-$G$39)</f>
        <v/>
      </c>
      <c r="H51" s="19">
        <f>H50*(1-$H$39)</f>
        <v/>
      </c>
      <c r="I51" s="19">
        <f>I50*(1-$I$39)</f>
        <v/>
      </c>
    </row>
    <row r="52">
      <c r="A52" s="10" t="inlineStr">
        <is>
          <t>Effective price per user (licence one-time, or subscription per month)</t>
        </is>
      </c>
      <c r="B52" s="19">
        <f>IF($B$29="Perpetual",B49/$B$27,B51/B44)</f>
        <v/>
      </c>
      <c r="C52" s="19">
        <f>IF($C$29="Perpetual",C49/$C$27,C51/C44)</f>
        <v/>
      </c>
      <c r="D52" s="19">
        <f>IF($D$29="Perpetual",D49/$D$27,D51/D44)</f>
        <v/>
      </c>
      <c r="E52" s="19">
        <f>IF($E$29="Perpetual",E49/$E$27,E51/E44)</f>
        <v/>
      </c>
      <c r="F52" s="19">
        <f>IF($F$29="Perpetual",F49/$F$27,F51/F44)</f>
        <v/>
      </c>
      <c r="G52" s="19">
        <f>IF($G$29="Perpetual",G49/$G$27,G51/G44)</f>
        <v/>
      </c>
      <c r="H52" s="19">
        <f>IF($H$29="Perpetual",H49/$H$27,H51/H44)</f>
        <v/>
      </c>
      <c r="I52" s="19">
        <f>IF($I$29="Perpetual",I49/$I$27,I51/I44)</f>
        <v/>
      </c>
    </row>
    <row r="53">
      <c r="A53" s="10" t="inlineStr">
        <is>
          <t>Hosting per month, list</t>
        </is>
      </c>
      <c r="B53" s="19">
        <f>INDEX(Host_Tbl,B42,MATCH($B$30,Host_Hdr,0))</f>
        <v/>
      </c>
      <c r="C53" s="19">
        <f>INDEX(Host_Tbl,C42,MATCH($C$30,Host_Hdr,0))</f>
        <v/>
      </c>
      <c r="D53" s="19">
        <f>INDEX(Host_Tbl,D42,MATCH($D$30,Host_Hdr,0))</f>
        <v/>
      </c>
      <c r="E53" s="19">
        <f>INDEX(Host_Tbl,E42,MATCH($E$30,Host_Hdr,0))</f>
        <v/>
      </c>
      <c r="F53" s="19">
        <f>INDEX(Host_Tbl,F42,MATCH($F$30,Host_Hdr,0))</f>
        <v/>
      </c>
      <c r="G53" s="19">
        <f>INDEX(Host_Tbl,G42,MATCH($G$30,Host_Hdr,0))</f>
        <v/>
      </c>
      <c r="H53" s="19">
        <f>INDEX(Host_Tbl,H42,MATCH($H$30,Host_Hdr,0))</f>
        <v/>
      </c>
      <c r="I53" s="19">
        <f>INDEX(Host_Tbl,I42,MATCH($I$30,Host_Hdr,0))</f>
        <v/>
      </c>
    </row>
    <row r="54">
      <c r="A54" s="10" t="inlineStr">
        <is>
          <t>Hosting per month, quoted</t>
        </is>
      </c>
      <c r="B54" s="19">
        <f>B53*(1-$B$41)</f>
        <v/>
      </c>
      <c r="C54" s="19">
        <f>C53*(1-$C$41)</f>
        <v/>
      </c>
      <c r="D54" s="19">
        <f>D53*(1-$D$41)</f>
        <v/>
      </c>
      <c r="E54" s="19">
        <f>E53*(1-$E$41)</f>
        <v/>
      </c>
      <c r="F54" s="19">
        <f>F53*(1-$F$41)</f>
        <v/>
      </c>
      <c r="G54" s="19">
        <f>G53*(1-$G$41)</f>
        <v/>
      </c>
      <c r="H54" s="19">
        <f>H53*(1-$H$41)</f>
        <v/>
      </c>
      <c r="I54" s="19">
        <f>I53*(1-$I$41)</f>
        <v/>
      </c>
    </row>
    <row r="55">
      <c r="A55" s="10" t="inlineStr">
        <is>
          <t>Pre-Prod per month of use, list</t>
        </is>
      </c>
      <c r="B55" s="19">
        <f>INDEX(PP_Tbl,B42,MATCH($B$30,Host_Hdr,0))</f>
        <v/>
      </c>
      <c r="C55" s="19">
        <f>INDEX(PP_Tbl,C42,MATCH($C$30,Host_Hdr,0))</f>
        <v/>
      </c>
      <c r="D55" s="19">
        <f>INDEX(PP_Tbl,D42,MATCH($D$30,Host_Hdr,0))</f>
        <v/>
      </c>
      <c r="E55" s="19">
        <f>INDEX(PP_Tbl,E42,MATCH($E$30,Host_Hdr,0))</f>
        <v/>
      </c>
      <c r="F55" s="19">
        <f>INDEX(PP_Tbl,F42,MATCH($F$30,Host_Hdr,0))</f>
        <v/>
      </c>
      <c r="G55" s="19">
        <f>INDEX(PP_Tbl,G42,MATCH($G$30,Host_Hdr,0))</f>
        <v/>
      </c>
      <c r="H55" s="19">
        <f>INDEX(PP_Tbl,H42,MATCH($H$30,Host_Hdr,0))</f>
        <v/>
      </c>
      <c r="I55" s="19">
        <f>INDEX(PP_Tbl,I42,MATCH($I$30,Host_Hdr,0))</f>
        <v/>
      </c>
    </row>
    <row r="56">
      <c r="A56" s="10" t="inlineStr">
        <is>
          <t>Pre-Prod per month of use, quoted</t>
        </is>
      </c>
      <c r="B56" s="19">
        <f>B55*(1-$B$41)</f>
        <v/>
      </c>
      <c r="C56" s="19">
        <f>C55*(1-$C$41)</f>
        <v/>
      </c>
      <c r="D56" s="19">
        <f>D55*(1-$D$41)</f>
        <v/>
      </c>
      <c r="E56" s="19">
        <f>E55*(1-$E$41)</f>
        <v/>
      </c>
      <c r="F56" s="19">
        <f>F55*(1-$F$41)</f>
        <v/>
      </c>
      <c r="G56" s="19">
        <f>G55*(1-$G$41)</f>
        <v/>
      </c>
      <c r="H56" s="19">
        <f>H55*(1-$H$41)</f>
        <v/>
      </c>
      <c r="I56" s="19">
        <f>I55*(1-$I$41)</f>
        <v/>
      </c>
    </row>
    <row r="57">
      <c r="A57" s="10" t="inlineStr">
        <is>
          <t>Additional hosted environments per month</t>
        </is>
      </c>
      <c r="B57" s="19">
        <f>IF($B$30="Self-hosted",0,$B$36*Env_Month)</f>
        <v/>
      </c>
      <c r="C57" s="19">
        <f>IF($C$30="Self-hosted",0,$C$36*Env_Month)</f>
        <v/>
      </c>
      <c r="D57" s="19">
        <f>IF($D$30="Self-hosted",0,$D$36*Env_Month)</f>
        <v/>
      </c>
      <c r="E57" s="19">
        <f>IF($E$30="Self-hosted",0,$E$36*Env_Month)</f>
        <v/>
      </c>
      <c r="F57" s="19">
        <f>IF($F$30="Self-hosted",0,$F$36*Env_Month)</f>
        <v/>
      </c>
      <c r="G57" s="19">
        <f>IF($G$30="Self-hosted",0,$G$36*Env_Month)</f>
        <v/>
      </c>
      <c r="H57" s="19">
        <f>IF($H$30="Self-hosted",0,$H$36*Env_Month)</f>
        <v/>
      </c>
      <c r="I57" s="19">
        <f>IF($I$30="Self-hosted",0,$I$36*Env_Month)</f>
        <v/>
      </c>
    </row>
    <row r="58">
      <c r="A58" s="10" t="inlineStr">
        <is>
          <t>Monthly recurring at go-live (subscription, hosting, environments)</t>
        </is>
      </c>
      <c r="B58" s="19">
        <f>B51+B54+B57</f>
        <v/>
      </c>
      <c r="C58" s="19">
        <f>C51+C54+C57</f>
        <v/>
      </c>
      <c r="D58" s="19">
        <f>D51+D54+D57</f>
        <v/>
      </c>
      <c r="E58" s="19">
        <f>E51+E54+E57</f>
        <v/>
      </c>
      <c r="F58" s="19">
        <f>F51+F54+F57</f>
        <v/>
      </c>
      <c r="G58" s="19">
        <f>G51+G54+G57</f>
        <v/>
      </c>
      <c r="H58" s="19">
        <f>H51+H54+H57</f>
        <v/>
      </c>
      <c r="I58" s="19">
        <f>I51+I54+I57</f>
        <v/>
      </c>
    </row>
    <row r="59">
      <c r="A59" s="10" t="inlineStr">
        <is>
          <t>One-time optional services, list</t>
        </is>
      </c>
      <c r="B59" s="19">
        <f>$B$32*Rate_Trainer+$B$33*Mig_Source+$B$34*Int_Std+$B$35*Int_Cx+$B$36*Env_Setup+$B$37*Rate_Onsite</f>
        <v/>
      </c>
      <c r="C59" s="19">
        <f>$C$32*Rate_Trainer+$C$33*Mig_Source+$C$34*Int_Std+$C$35*Int_Cx+$C$36*Env_Setup+$C$37*Rate_Onsite</f>
        <v/>
      </c>
      <c r="D59" s="19">
        <f>$D$32*Rate_Trainer+$D$33*Mig_Source+$D$34*Int_Std+$D$35*Int_Cx+$D$36*Env_Setup+$D$37*Rate_Onsite</f>
        <v/>
      </c>
      <c r="E59" s="19">
        <f>$E$32*Rate_Trainer+$E$33*Mig_Source+$E$34*Int_Std+$E$35*Int_Cx+$E$36*Env_Setup+$E$37*Rate_Onsite</f>
        <v/>
      </c>
      <c r="F59" s="19">
        <f>$F$32*Rate_Trainer+$F$33*Mig_Source+$F$34*Int_Std+$F$35*Int_Cx+$F$36*Env_Setup+$F$37*Rate_Onsite</f>
        <v/>
      </c>
      <c r="G59" s="19">
        <f>$G$32*Rate_Trainer+$G$33*Mig_Source+$G$34*Int_Std+$G$35*Int_Cx+$G$36*Env_Setup+$G$37*Rate_Onsite</f>
        <v/>
      </c>
      <c r="H59" s="19">
        <f>$H$32*Rate_Trainer+$H$33*Mig_Source+$H$34*Int_Std+$H$35*Int_Cx+$H$36*Env_Setup+$H$37*Rate_Onsite</f>
        <v/>
      </c>
      <c r="I59" s="19">
        <f>$I$32*Rate_Trainer+$I$33*Mig_Source+$I$34*Int_Std+$I$35*Int_Cx+$I$36*Env_Setup+$I$37*Rate_Onsite</f>
        <v/>
      </c>
    </row>
    <row r="60">
      <c r="A60" s="10" t="inlineStr">
        <is>
          <t>One-time optional services, quoted</t>
        </is>
      </c>
      <c r="B60" s="19">
        <f>B59*(1-$B$40)</f>
        <v/>
      </c>
      <c r="C60" s="19">
        <f>C59*(1-$C$40)</f>
        <v/>
      </c>
      <c r="D60" s="19">
        <f>D59*(1-$D$40)</f>
        <v/>
      </c>
      <c r="E60" s="19">
        <f>E59*(1-$E$40)</f>
        <v/>
      </c>
      <c r="F60" s="19">
        <f>F59*(1-$F$40)</f>
        <v/>
      </c>
      <c r="G60" s="19">
        <f>G59*(1-$G$40)</f>
        <v/>
      </c>
      <c r="H60" s="19">
        <f>H59*(1-$H$40)</f>
        <v/>
      </c>
      <c r="I60" s="19">
        <f>I59*(1-$I$40)</f>
        <v/>
      </c>
    </row>
    <row r="61">
      <c r="A61" s="10" t="inlineStr">
        <is>
          <t>24x7 Severity 1 support per year, Year 1, list</t>
        </is>
      </c>
      <c r="B61" s="19">
        <f>IF($B$31="Yes",INDEX(Sup24,B42),0)</f>
        <v/>
      </c>
      <c r="C61" s="19">
        <f>IF($C$31="Yes",INDEX(Sup24,C42),0)</f>
        <v/>
      </c>
      <c r="D61" s="19">
        <f>IF($D$31="Yes",INDEX(Sup24,D42),0)</f>
        <v/>
      </c>
      <c r="E61" s="19">
        <f>IF($E$31="Yes",INDEX(Sup24,E42),0)</f>
        <v/>
      </c>
      <c r="F61" s="19">
        <f>IF($F$31="Yes",INDEX(Sup24,F42),0)</f>
        <v/>
      </c>
      <c r="G61" s="19">
        <f>IF($G$31="Yes",INDEX(Sup24,G42),0)</f>
        <v/>
      </c>
      <c r="H61" s="19">
        <f>IF($H$31="Yes",INDEX(Sup24,H42),0)</f>
        <v/>
      </c>
      <c r="I61" s="19">
        <f>IF($I$31="Yes",INDEX(Sup24,I42),0)</f>
        <v/>
      </c>
    </row>
    <row r="62">
      <c r="A62" s="10" t="inlineStr">
        <is>
          <t>Training days included</t>
        </is>
      </c>
      <c r="B62" s="24">
        <f>INDEX(TrainDays,B42)</f>
        <v/>
      </c>
      <c r="C62" s="24">
        <f>INDEX(TrainDays,C42)</f>
        <v/>
      </c>
      <c r="D62" s="24">
        <f>INDEX(TrainDays,D42)</f>
        <v/>
      </c>
      <c r="E62" s="24">
        <f>INDEX(TrainDays,E42)</f>
        <v/>
      </c>
      <c r="F62" s="24">
        <f>INDEX(TrainDays,F42)</f>
        <v/>
      </c>
      <c r="G62" s="24">
        <f>INDEX(TrainDays,G42)</f>
        <v/>
      </c>
      <c r="H62" s="24">
        <f>INDEX(TrainDays,H42)</f>
        <v/>
      </c>
      <c r="I62" s="24">
        <f>INDEX(TrainDays,I42)</f>
        <v/>
      </c>
    </row>
    <row r="63">
      <c r="A63" s="10" t="inlineStr">
        <is>
          <t>AMC Year 1</t>
        </is>
      </c>
      <c r="B63" s="19">
        <f>IF(AND($B$29="Perpetual",1&gt;=AMC_Start),B49*AMC_Rate*(1+Esc)^(1-AMC_Start),0)</f>
        <v/>
      </c>
      <c r="C63" s="19">
        <f>IF(AND($C$29="Perpetual",1&gt;=AMC_Start),C49*AMC_Rate*(1+Esc)^(1-AMC_Start),0)</f>
        <v/>
      </c>
      <c r="D63" s="19">
        <f>IF(AND($D$29="Perpetual",1&gt;=AMC_Start),D49*AMC_Rate*(1+Esc)^(1-AMC_Start),0)</f>
        <v/>
      </c>
      <c r="E63" s="19">
        <f>IF(AND($E$29="Perpetual",1&gt;=AMC_Start),E49*AMC_Rate*(1+Esc)^(1-AMC_Start),0)</f>
        <v/>
      </c>
      <c r="F63" s="19">
        <f>IF(AND($F$29="Perpetual",1&gt;=AMC_Start),F49*AMC_Rate*(1+Esc)^(1-AMC_Start),0)</f>
        <v/>
      </c>
      <c r="G63" s="19">
        <f>IF(AND($G$29="Perpetual",1&gt;=AMC_Start),G49*AMC_Rate*(1+Esc)^(1-AMC_Start),0)</f>
        <v/>
      </c>
      <c r="H63" s="19">
        <f>IF(AND($H$29="Perpetual",1&gt;=AMC_Start),H49*AMC_Rate*(1+Esc)^(1-AMC_Start),0)</f>
        <v/>
      </c>
      <c r="I63" s="19">
        <f>IF(AND($I$29="Perpetual",1&gt;=AMC_Start),I49*AMC_Rate*(1+Esc)^(1-AMC_Start),0)</f>
        <v/>
      </c>
    </row>
    <row r="64">
      <c r="A64" s="10" t="inlineStr">
        <is>
          <t>AMC Year 2</t>
        </is>
      </c>
      <c r="B64" s="19">
        <f>IF(AND($B$29="Perpetual",2&gt;=AMC_Start),B49*AMC_Rate*(1+Esc)^(2-AMC_Start),0)</f>
        <v/>
      </c>
      <c r="C64" s="19">
        <f>IF(AND($C$29="Perpetual",2&gt;=AMC_Start),C49*AMC_Rate*(1+Esc)^(2-AMC_Start),0)</f>
        <v/>
      </c>
      <c r="D64" s="19">
        <f>IF(AND($D$29="Perpetual",2&gt;=AMC_Start),D49*AMC_Rate*(1+Esc)^(2-AMC_Start),0)</f>
        <v/>
      </c>
      <c r="E64" s="19">
        <f>IF(AND($E$29="Perpetual",2&gt;=AMC_Start),E49*AMC_Rate*(1+Esc)^(2-AMC_Start),0)</f>
        <v/>
      </c>
      <c r="F64" s="19">
        <f>IF(AND($F$29="Perpetual",2&gt;=AMC_Start),F49*AMC_Rate*(1+Esc)^(2-AMC_Start),0)</f>
        <v/>
      </c>
      <c r="G64" s="19">
        <f>IF(AND($G$29="Perpetual",2&gt;=AMC_Start),G49*AMC_Rate*(1+Esc)^(2-AMC_Start),0)</f>
        <v/>
      </c>
      <c r="H64" s="19">
        <f>IF(AND($H$29="Perpetual",2&gt;=AMC_Start),H49*AMC_Rate*(1+Esc)^(2-AMC_Start),0)</f>
        <v/>
      </c>
      <c r="I64" s="19">
        <f>IF(AND($I$29="Perpetual",2&gt;=AMC_Start),I49*AMC_Rate*(1+Esc)^(2-AMC_Start),0)</f>
        <v/>
      </c>
    </row>
    <row r="65">
      <c r="A65" s="10" t="inlineStr">
        <is>
          <t>AMC Year 3</t>
        </is>
      </c>
      <c r="B65" s="19">
        <f>IF(AND($B$29="Perpetual",3&gt;=AMC_Start),B49*AMC_Rate*(1+Esc)^(3-AMC_Start),0)</f>
        <v/>
      </c>
      <c r="C65" s="19">
        <f>IF(AND($C$29="Perpetual",3&gt;=AMC_Start),C49*AMC_Rate*(1+Esc)^(3-AMC_Start),0)</f>
        <v/>
      </c>
      <c r="D65" s="19">
        <f>IF(AND($D$29="Perpetual",3&gt;=AMC_Start),D49*AMC_Rate*(1+Esc)^(3-AMC_Start),0)</f>
        <v/>
      </c>
      <c r="E65" s="19">
        <f>IF(AND($E$29="Perpetual",3&gt;=AMC_Start),E49*AMC_Rate*(1+Esc)^(3-AMC_Start),0)</f>
        <v/>
      </c>
      <c r="F65" s="19">
        <f>IF(AND($F$29="Perpetual",3&gt;=AMC_Start),F49*AMC_Rate*(1+Esc)^(3-AMC_Start),0)</f>
        <v/>
      </c>
      <c r="G65" s="19">
        <f>IF(AND($G$29="Perpetual",3&gt;=AMC_Start),G49*AMC_Rate*(1+Esc)^(3-AMC_Start),0)</f>
        <v/>
      </c>
      <c r="H65" s="19">
        <f>IF(AND($H$29="Perpetual",3&gt;=AMC_Start),H49*AMC_Rate*(1+Esc)^(3-AMC_Start),0)</f>
        <v/>
      </c>
      <c r="I65" s="19">
        <f>IF(AND($I$29="Perpetual",3&gt;=AMC_Start),I49*AMC_Rate*(1+Esc)^(3-AMC_Start),0)</f>
        <v/>
      </c>
    </row>
    <row r="66">
      <c r="A66" s="10" t="inlineStr">
        <is>
          <t>AMC Year 4</t>
        </is>
      </c>
      <c r="B66" s="19">
        <f>IF(AND($B$29="Perpetual",4&gt;=AMC_Start),B49*AMC_Rate*(1+Esc)^(4-AMC_Start),0)</f>
        <v/>
      </c>
      <c r="C66" s="19">
        <f>IF(AND($C$29="Perpetual",4&gt;=AMC_Start),C49*AMC_Rate*(1+Esc)^(4-AMC_Start),0)</f>
        <v/>
      </c>
      <c r="D66" s="19">
        <f>IF(AND($D$29="Perpetual",4&gt;=AMC_Start),D49*AMC_Rate*(1+Esc)^(4-AMC_Start),0)</f>
        <v/>
      </c>
      <c r="E66" s="19">
        <f>IF(AND($E$29="Perpetual",4&gt;=AMC_Start),E49*AMC_Rate*(1+Esc)^(4-AMC_Start),0)</f>
        <v/>
      </c>
      <c r="F66" s="19">
        <f>IF(AND($F$29="Perpetual",4&gt;=AMC_Start),F49*AMC_Rate*(1+Esc)^(4-AMC_Start),0)</f>
        <v/>
      </c>
      <c r="G66" s="19">
        <f>IF(AND($G$29="Perpetual",4&gt;=AMC_Start),G49*AMC_Rate*(1+Esc)^(4-AMC_Start),0)</f>
        <v/>
      </c>
      <c r="H66" s="19">
        <f>IF(AND($H$29="Perpetual",4&gt;=AMC_Start),H49*AMC_Rate*(1+Esc)^(4-AMC_Start),0)</f>
        <v/>
      </c>
      <c r="I66" s="19">
        <f>IF(AND($I$29="Perpetual",4&gt;=AMC_Start),I49*AMC_Rate*(1+Esc)^(4-AMC_Start),0)</f>
        <v/>
      </c>
    </row>
    <row r="67">
      <c r="A67" s="10" t="inlineStr">
        <is>
          <t>AMC Year 5</t>
        </is>
      </c>
      <c r="B67" s="19">
        <f>IF(AND($B$29="Perpetual",5&gt;=AMC_Start),B49*AMC_Rate*(1+Esc)^(5-AMC_Start),0)</f>
        <v/>
      </c>
      <c r="C67" s="19">
        <f>IF(AND($C$29="Perpetual",5&gt;=AMC_Start),C49*AMC_Rate*(1+Esc)^(5-AMC_Start),0)</f>
        <v/>
      </c>
      <c r="D67" s="19">
        <f>IF(AND($D$29="Perpetual",5&gt;=AMC_Start),D49*AMC_Rate*(1+Esc)^(5-AMC_Start),0)</f>
        <v/>
      </c>
      <c r="E67" s="19">
        <f>IF(AND($E$29="Perpetual",5&gt;=AMC_Start),E49*AMC_Rate*(1+Esc)^(5-AMC_Start),0)</f>
        <v/>
      </c>
      <c r="F67" s="19">
        <f>IF(AND($F$29="Perpetual",5&gt;=AMC_Start),F49*AMC_Rate*(1+Esc)^(5-AMC_Start),0)</f>
        <v/>
      </c>
      <c r="G67" s="19">
        <f>IF(AND($G$29="Perpetual",5&gt;=AMC_Start),G49*AMC_Rate*(1+Esc)^(5-AMC_Start),0)</f>
        <v/>
      </c>
      <c r="H67" s="19">
        <f>IF(AND($H$29="Perpetual",5&gt;=AMC_Start),H49*AMC_Rate*(1+Esc)^(5-AMC_Start),0)</f>
        <v/>
      </c>
      <c r="I67" s="19">
        <f>IF(AND($I$29="Perpetual",5&gt;=AMC_Start),I49*AMC_Rate*(1+Esc)^(5-AMC_Start),0)</f>
        <v/>
      </c>
    </row>
    <row r="68">
      <c r="A68" s="10" t="inlineStr">
        <is>
          <t>Subscription fees Year 1</t>
        </is>
      </c>
      <c r="B68" s="19">
        <f>B51*12*(1+Esc)^(1-1)</f>
        <v/>
      </c>
      <c r="C68" s="19">
        <f>C51*12*(1+Esc)^(1-1)</f>
        <v/>
      </c>
      <c r="D68" s="19">
        <f>D51*12*(1+Esc)^(1-1)</f>
        <v/>
      </c>
      <c r="E68" s="19">
        <f>E51*12*(1+Esc)^(1-1)</f>
        <v/>
      </c>
      <c r="F68" s="19">
        <f>F51*12*(1+Esc)^(1-1)</f>
        <v/>
      </c>
      <c r="G68" s="19">
        <f>G51*12*(1+Esc)^(1-1)</f>
        <v/>
      </c>
      <c r="H68" s="19">
        <f>H51*12*(1+Esc)^(1-1)</f>
        <v/>
      </c>
      <c r="I68" s="19">
        <f>I51*12*(1+Esc)^(1-1)</f>
        <v/>
      </c>
    </row>
    <row r="69">
      <c r="A69" s="10" t="inlineStr">
        <is>
          <t>Subscription fees Year 2</t>
        </is>
      </c>
      <c r="B69" s="19">
        <f>B51*12*(1+Esc)^(2-1)</f>
        <v/>
      </c>
      <c r="C69" s="19">
        <f>C51*12*(1+Esc)^(2-1)</f>
        <v/>
      </c>
      <c r="D69" s="19">
        <f>D51*12*(1+Esc)^(2-1)</f>
        <v/>
      </c>
      <c r="E69" s="19">
        <f>E51*12*(1+Esc)^(2-1)</f>
        <v/>
      </c>
      <c r="F69" s="19">
        <f>F51*12*(1+Esc)^(2-1)</f>
        <v/>
      </c>
      <c r="G69" s="19">
        <f>G51*12*(1+Esc)^(2-1)</f>
        <v/>
      </c>
      <c r="H69" s="19">
        <f>H51*12*(1+Esc)^(2-1)</f>
        <v/>
      </c>
      <c r="I69" s="19">
        <f>I51*12*(1+Esc)^(2-1)</f>
        <v/>
      </c>
    </row>
    <row r="70">
      <c r="A70" s="10" t="inlineStr">
        <is>
          <t>Subscription fees Year 3</t>
        </is>
      </c>
      <c r="B70" s="19">
        <f>B51*12*(1+Esc)^(3-1)</f>
        <v/>
      </c>
      <c r="C70" s="19">
        <f>C51*12*(1+Esc)^(3-1)</f>
        <v/>
      </c>
      <c r="D70" s="19">
        <f>D51*12*(1+Esc)^(3-1)</f>
        <v/>
      </c>
      <c r="E70" s="19">
        <f>E51*12*(1+Esc)^(3-1)</f>
        <v/>
      </c>
      <c r="F70" s="19">
        <f>F51*12*(1+Esc)^(3-1)</f>
        <v/>
      </c>
      <c r="G70" s="19">
        <f>G51*12*(1+Esc)^(3-1)</f>
        <v/>
      </c>
      <c r="H70" s="19">
        <f>H51*12*(1+Esc)^(3-1)</f>
        <v/>
      </c>
      <c r="I70" s="19">
        <f>I51*12*(1+Esc)^(3-1)</f>
        <v/>
      </c>
    </row>
    <row r="71">
      <c r="A71" s="10" t="inlineStr">
        <is>
          <t>Subscription fees Year 4</t>
        </is>
      </c>
      <c r="B71" s="19">
        <f>B51*12*(1+Esc)^(4-1)</f>
        <v/>
      </c>
      <c r="C71" s="19">
        <f>C51*12*(1+Esc)^(4-1)</f>
        <v/>
      </c>
      <c r="D71" s="19">
        <f>D51*12*(1+Esc)^(4-1)</f>
        <v/>
      </c>
      <c r="E71" s="19">
        <f>E51*12*(1+Esc)^(4-1)</f>
        <v/>
      </c>
      <c r="F71" s="19">
        <f>F51*12*(1+Esc)^(4-1)</f>
        <v/>
      </c>
      <c r="G71" s="19">
        <f>G51*12*(1+Esc)^(4-1)</f>
        <v/>
      </c>
      <c r="H71" s="19">
        <f>H51*12*(1+Esc)^(4-1)</f>
        <v/>
      </c>
      <c r="I71" s="19">
        <f>I51*12*(1+Esc)^(4-1)</f>
        <v/>
      </c>
    </row>
    <row r="72">
      <c r="A72" s="10" t="inlineStr">
        <is>
          <t>Subscription fees Year 5</t>
        </is>
      </c>
      <c r="B72" s="19">
        <f>B51*12*(1+Esc)^(5-1)</f>
        <v/>
      </c>
      <c r="C72" s="19">
        <f>C51*12*(1+Esc)^(5-1)</f>
        <v/>
      </c>
      <c r="D72" s="19">
        <f>D51*12*(1+Esc)^(5-1)</f>
        <v/>
      </c>
      <c r="E72" s="19">
        <f>E51*12*(1+Esc)^(5-1)</f>
        <v/>
      </c>
      <c r="F72" s="19">
        <f>F51*12*(1+Esc)^(5-1)</f>
        <v/>
      </c>
      <c r="G72" s="19">
        <f>G51*12*(1+Esc)^(5-1)</f>
        <v/>
      </c>
      <c r="H72" s="19">
        <f>H51*12*(1+Esc)^(5-1)</f>
        <v/>
      </c>
      <c r="I72" s="19">
        <f>I51*12*(1+Esc)^(5-1)</f>
        <v/>
      </c>
    </row>
    <row r="73">
      <c r="A73" s="10" t="inlineStr">
        <is>
          <t>Hosting and environments Year 1</t>
        </is>
      </c>
      <c r="B73" s="19">
        <f>(B54+B57)*12*(1+Infra_Esc)^(1-1)+B56*PP_GoLive</f>
        <v/>
      </c>
      <c r="C73" s="19">
        <f>(C54+C57)*12*(1+Infra_Esc)^(1-1)+C56*PP_GoLive</f>
        <v/>
      </c>
      <c r="D73" s="19">
        <f>(D54+D57)*12*(1+Infra_Esc)^(1-1)+D56*PP_GoLive</f>
        <v/>
      </c>
      <c r="E73" s="19">
        <f>(E54+E57)*12*(1+Infra_Esc)^(1-1)+E56*PP_GoLive</f>
        <v/>
      </c>
      <c r="F73" s="19">
        <f>(F54+F57)*12*(1+Infra_Esc)^(1-1)+F56*PP_GoLive</f>
        <v/>
      </c>
      <c r="G73" s="19">
        <f>(G54+G57)*12*(1+Infra_Esc)^(1-1)+G56*PP_GoLive</f>
        <v/>
      </c>
      <c r="H73" s="19">
        <f>(H54+H57)*12*(1+Infra_Esc)^(1-1)+H56*PP_GoLive</f>
        <v/>
      </c>
      <c r="I73" s="19">
        <f>(I54+I57)*12*(1+Infra_Esc)^(1-1)+I56*PP_GoLive</f>
        <v/>
      </c>
    </row>
    <row r="74">
      <c r="A74" s="10" t="inlineStr">
        <is>
          <t>Hosting and environments Year 2</t>
        </is>
      </c>
      <c r="B74" s="19">
        <f>(B54+B57)*12*(1+Infra_Esc)^(2-1)+B56*PP_Rel*Rel_Year</f>
        <v/>
      </c>
      <c r="C74" s="19">
        <f>(C54+C57)*12*(1+Infra_Esc)^(2-1)+C56*PP_Rel*Rel_Year</f>
        <v/>
      </c>
      <c r="D74" s="19">
        <f>(D54+D57)*12*(1+Infra_Esc)^(2-1)+D56*PP_Rel*Rel_Year</f>
        <v/>
      </c>
      <c r="E74" s="19">
        <f>(E54+E57)*12*(1+Infra_Esc)^(2-1)+E56*PP_Rel*Rel_Year</f>
        <v/>
      </c>
      <c r="F74" s="19">
        <f>(F54+F57)*12*(1+Infra_Esc)^(2-1)+F56*PP_Rel*Rel_Year</f>
        <v/>
      </c>
      <c r="G74" s="19">
        <f>(G54+G57)*12*(1+Infra_Esc)^(2-1)+G56*PP_Rel*Rel_Year</f>
        <v/>
      </c>
      <c r="H74" s="19">
        <f>(H54+H57)*12*(1+Infra_Esc)^(2-1)+H56*PP_Rel*Rel_Year</f>
        <v/>
      </c>
      <c r="I74" s="19">
        <f>(I54+I57)*12*(1+Infra_Esc)^(2-1)+I56*PP_Rel*Rel_Year</f>
        <v/>
      </c>
    </row>
    <row r="75">
      <c r="A75" s="10" t="inlineStr">
        <is>
          <t>Hosting and environments Year 3</t>
        </is>
      </c>
      <c r="B75" s="19">
        <f>(B54+B57)*12*(1+Infra_Esc)^(3-1)+B56*PP_Rel*Rel_Year</f>
        <v/>
      </c>
      <c r="C75" s="19">
        <f>(C54+C57)*12*(1+Infra_Esc)^(3-1)+C56*PP_Rel*Rel_Year</f>
        <v/>
      </c>
      <c r="D75" s="19">
        <f>(D54+D57)*12*(1+Infra_Esc)^(3-1)+D56*PP_Rel*Rel_Year</f>
        <v/>
      </c>
      <c r="E75" s="19">
        <f>(E54+E57)*12*(1+Infra_Esc)^(3-1)+E56*PP_Rel*Rel_Year</f>
        <v/>
      </c>
      <c r="F75" s="19">
        <f>(F54+F57)*12*(1+Infra_Esc)^(3-1)+F56*PP_Rel*Rel_Year</f>
        <v/>
      </c>
      <c r="G75" s="19">
        <f>(G54+G57)*12*(1+Infra_Esc)^(3-1)+G56*PP_Rel*Rel_Year</f>
        <v/>
      </c>
      <c r="H75" s="19">
        <f>(H54+H57)*12*(1+Infra_Esc)^(3-1)+H56*PP_Rel*Rel_Year</f>
        <v/>
      </c>
      <c r="I75" s="19">
        <f>(I54+I57)*12*(1+Infra_Esc)^(3-1)+I56*PP_Rel*Rel_Year</f>
        <v/>
      </c>
    </row>
    <row r="76">
      <c r="A76" s="10" t="inlineStr">
        <is>
          <t>Hosting and environments Year 4</t>
        </is>
      </c>
      <c r="B76" s="19">
        <f>(B54+B57)*12*(1+Infra_Esc)^(4-1)+B56*PP_Rel*Rel_Year</f>
        <v/>
      </c>
      <c r="C76" s="19">
        <f>(C54+C57)*12*(1+Infra_Esc)^(4-1)+C56*PP_Rel*Rel_Year</f>
        <v/>
      </c>
      <c r="D76" s="19">
        <f>(D54+D57)*12*(1+Infra_Esc)^(4-1)+D56*PP_Rel*Rel_Year</f>
        <v/>
      </c>
      <c r="E76" s="19">
        <f>(E54+E57)*12*(1+Infra_Esc)^(4-1)+E56*PP_Rel*Rel_Year</f>
        <v/>
      </c>
      <c r="F76" s="19">
        <f>(F54+F57)*12*(1+Infra_Esc)^(4-1)+F56*PP_Rel*Rel_Year</f>
        <v/>
      </c>
      <c r="G76" s="19">
        <f>(G54+G57)*12*(1+Infra_Esc)^(4-1)+G56*PP_Rel*Rel_Year</f>
        <v/>
      </c>
      <c r="H76" s="19">
        <f>(H54+H57)*12*(1+Infra_Esc)^(4-1)+H56*PP_Rel*Rel_Year</f>
        <v/>
      </c>
      <c r="I76" s="19">
        <f>(I54+I57)*12*(1+Infra_Esc)^(4-1)+I56*PP_Rel*Rel_Year</f>
        <v/>
      </c>
    </row>
    <row r="77">
      <c r="A77" s="10" t="inlineStr">
        <is>
          <t>Hosting and environments Year 5</t>
        </is>
      </c>
      <c r="B77" s="19">
        <f>(B54+B57)*12*(1+Infra_Esc)^(5-1)+B56*PP_Rel*Rel_Year</f>
        <v/>
      </c>
      <c r="C77" s="19">
        <f>(C54+C57)*12*(1+Infra_Esc)^(5-1)+C56*PP_Rel*Rel_Year</f>
        <v/>
      </c>
      <c r="D77" s="19">
        <f>(D54+D57)*12*(1+Infra_Esc)^(5-1)+D56*PP_Rel*Rel_Year</f>
        <v/>
      </c>
      <c r="E77" s="19">
        <f>(E54+E57)*12*(1+Infra_Esc)^(5-1)+E56*PP_Rel*Rel_Year</f>
        <v/>
      </c>
      <c r="F77" s="19">
        <f>(F54+F57)*12*(1+Infra_Esc)^(5-1)+F56*PP_Rel*Rel_Year</f>
        <v/>
      </c>
      <c r="G77" s="19">
        <f>(G54+G57)*12*(1+Infra_Esc)^(5-1)+G56*PP_Rel*Rel_Year</f>
        <v/>
      </c>
      <c r="H77" s="19">
        <f>(H54+H57)*12*(1+Infra_Esc)^(5-1)+H56*PP_Rel*Rel_Year</f>
        <v/>
      </c>
      <c r="I77" s="19">
        <f>(I54+I57)*12*(1+Infra_Esc)^(5-1)+I56*PP_Rel*Rel_Year</f>
        <v/>
      </c>
    </row>
    <row r="78">
      <c r="A78" s="10" t="inlineStr">
        <is>
          <t>24x7 support Year 1</t>
        </is>
      </c>
      <c r="B78" s="19">
        <f>B61*(1-$B$40)*(1+Esc)^(1-1)</f>
        <v/>
      </c>
      <c r="C78" s="19">
        <f>C61*(1-$C$40)*(1+Esc)^(1-1)</f>
        <v/>
      </c>
      <c r="D78" s="19">
        <f>D61*(1-$D$40)*(1+Esc)^(1-1)</f>
        <v/>
      </c>
      <c r="E78" s="19">
        <f>E61*(1-$E$40)*(1+Esc)^(1-1)</f>
        <v/>
      </c>
      <c r="F78" s="19">
        <f>F61*(1-$F$40)*(1+Esc)^(1-1)</f>
        <v/>
      </c>
      <c r="G78" s="19">
        <f>G61*(1-$G$40)*(1+Esc)^(1-1)</f>
        <v/>
      </c>
      <c r="H78" s="19">
        <f>H61*(1-$H$40)*(1+Esc)^(1-1)</f>
        <v/>
      </c>
      <c r="I78" s="19">
        <f>I61*(1-$I$40)*(1+Esc)^(1-1)</f>
        <v/>
      </c>
    </row>
    <row r="79">
      <c r="A79" s="10" t="inlineStr">
        <is>
          <t>24x7 support Year 2</t>
        </is>
      </c>
      <c r="B79" s="19">
        <f>B61*(1-$B$40)*(1+Esc)^(2-1)</f>
        <v/>
      </c>
      <c r="C79" s="19">
        <f>C61*(1-$C$40)*(1+Esc)^(2-1)</f>
        <v/>
      </c>
      <c r="D79" s="19">
        <f>D61*(1-$D$40)*(1+Esc)^(2-1)</f>
        <v/>
      </c>
      <c r="E79" s="19">
        <f>E61*(1-$E$40)*(1+Esc)^(2-1)</f>
        <v/>
      </c>
      <c r="F79" s="19">
        <f>F61*(1-$F$40)*(1+Esc)^(2-1)</f>
        <v/>
      </c>
      <c r="G79" s="19">
        <f>G61*(1-$G$40)*(1+Esc)^(2-1)</f>
        <v/>
      </c>
      <c r="H79" s="19">
        <f>H61*(1-$H$40)*(1+Esc)^(2-1)</f>
        <v/>
      </c>
      <c r="I79" s="19">
        <f>I61*(1-$I$40)*(1+Esc)^(2-1)</f>
        <v/>
      </c>
    </row>
    <row r="80">
      <c r="A80" s="10" t="inlineStr">
        <is>
          <t>24x7 support Year 3</t>
        </is>
      </c>
      <c r="B80" s="19">
        <f>B61*(1-$B$40)*(1+Esc)^(3-1)</f>
        <v/>
      </c>
      <c r="C80" s="19">
        <f>C61*(1-$C$40)*(1+Esc)^(3-1)</f>
        <v/>
      </c>
      <c r="D80" s="19">
        <f>D61*(1-$D$40)*(1+Esc)^(3-1)</f>
        <v/>
      </c>
      <c r="E80" s="19">
        <f>E61*(1-$E$40)*(1+Esc)^(3-1)</f>
        <v/>
      </c>
      <c r="F80" s="19">
        <f>F61*(1-$F$40)*(1+Esc)^(3-1)</f>
        <v/>
      </c>
      <c r="G80" s="19">
        <f>G61*(1-$G$40)*(1+Esc)^(3-1)</f>
        <v/>
      </c>
      <c r="H80" s="19">
        <f>H61*(1-$H$40)*(1+Esc)^(3-1)</f>
        <v/>
      </c>
      <c r="I80" s="19">
        <f>I61*(1-$I$40)*(1+Esc)^(3-1)</f>
        <v/>
      </c>
    </row>
    <row r="81">
      <c r="A81" s="10" t="inlineStr">
        <is>
          <t>24x7 support Year 4</t>
        </is>
      </c>
      <c r="B81" s="19">
        <f>B61*(1-$B$40)*(1+Esc)^(4-1)</f>
        <v/>
      </c>
      <c r="C81" s="19">
        <f>C61*(1-$C$40)*(1+Esc)^(4-1)</f>
        <v/>
      </c>
      <c r="D81" s="19">
        <f>D61*(1-$D$40)*(1+Esc)^(4-1)</f>
        <v/>
      </c>
      <c r="E81" s="19">
        <f>E61*(1-$E$40)*(1+Esc)^(4-1)</f>
        <v/>
      </c>
      <c r="F81" s="19">
        <f>F61*(1-$F$40)*(1+Esc)^(4-1)</f>
        <v/>
      </c>
      <c r="G81" s="19">
        <f>G61*(1-$G$40)*(1+Esc)^(4-1)</f>
        <v/>
      </c>
      <c r="H81" s="19">
        <f>H61*(1-$H$40)*(1+Esc)^(4-1)</f>
        <v/>
      </c>
      <c r="I81" s="19">
        <f>I61*(1-$I$40)*(1+Esc)^(4-1)</f>
        <v/>
      </c>
    </row>
    <row r="82">
      <c r="A82" s="10" t="inlineStr">
        <is>
          <t>24x7 support Year 5</t>
        </is>
      </c>
      <c r="B82" s="19">
        <f>B61*(1-$B$40)*(1+Esc)^(5-1)</f>
        <v/>
      </c>
      <c r="C82" s="19">
        <f>C61*(1-$C$40)*(1+Esc)^(5-1)</f>
        <v/>
      </c>
      <c r="D82" s="19">
        <f>D61*(1-$D$40)*(1+Esc)^(5-1)</f>
        <v/>
      </c>
      <c r="E82" s="19">
        <f>E61*(1-$E$40)*(1+Esc)^(5-1)</f>
        <v/>
      </c>
      <c r="F82" s="19">
        <f>F61*(1-$F$40)*(1+Esc)^(5-1)</f>
        <v/>
      </c>
      <c r="G82" s="19">
        <f>G61*(1-$G$40)*(1+Esc)^(5-1)</f>
        <v/>
      </c>
      <c r="H82" s="19">
        <f>H61*(1-$H$40)*(1+Esc)^(5-1)</f>
        <v/>
      </c>
      <c r="I82" s="19">
        <f>I61*(1-$I$40)*(1+Esc)^(5-1)</f>
        <v/>
      </c>
    </row>
    <row r="83">
      <c r="A83" s="10" t="inlineStr">
        <is>
          <t>Total Year 1, excl. VAT</t>
        </is>
      </c>
      <c r="B83" s="20">
        <f>B47+B49+B60+B63+B68+B73+B78</f>
        <v/>
      </c>
      <c r="C83" s="20">
        <f>C47+C49+C60+C63+C68+C73+C78</f>
        <v/>
      </c>
      <c r="D83" s="20">
        <f>D47+D49+D60+D63+D68+D73+D78</f>
        <v/>
      </c>
      <c r="E83" s="20">
        <f>E47+E49+E60+E63+E68+E73+E78</f>
        <v/>
      </c>
      <c r="F83" s="20">
        <f>F47+F49+F60+F63+F68+F73+F78</f>
        <v/>
      </c>
      <c r="G83" s="20">
        <f>G47+G49+G60+G63+G68+G73+G78</f>
        <v/>
      </c>
      <c r="H83" s="20">
        <f>H47+H49+H60+H63+H68+H73+H78</f>
        <v/>
      </c>
      <c r="I83" s="20">
        <f>I47+I49+I60+I63+I68+I73+I78</f>
        <v/>
      </c>
    </row>
    <row r="84">
      <c r="A84" s="10" t="inlineStr">
        <is>
          <t>Total Year 2, excl. VAT</t>
        </is>
      </c>
      <c r="B84" s="19">
        <f>B64+B69+B74+B79</f>
        <v/>
      </c>
      <c r="C84" s="19">
        <f>C64+C69+C74+C79</f>
        <v/>
      </c>
      <c r="D84" s="19">
        <f>D64+D69+D74+D79</f>
        <v/>
      </c>
      <c r="E84" s="19">
        <f>E64+E69+E74+E79</f>
        <v/>
      </c>
      <c r="F84" s="19">
        <f>F64+F69+F74+F79</f>
        <v/>
      </c>
      <c r="G84" s="19">
        <f>G64+G69+G74+G79</f>
        <v/>
      </c>
      <c r="H84" s="19">
        <f>H64+H69+H74+H79</f>
        <v/>
      </c>
      <c r="I84" s="19">
        <f>I64+I69+I74+I79</f>
        <v/>
      </c>
    </row>
    <row r="85">
      <c r="A85" s="10" t="inlineStr">
        <is>
          <t>Total Year 3, excl. VAT</t>
        </is>
      </c>
      <c r="B85" s="19">
        <f>B65+B70+B75+B80</f>
        <v/>
      </c>
      <c r="C85" s="19">
        <f>C65+C70+C75+C80</f>
        <v/>
      </c>
      <c r="D85" s="19">
        <f>D65+D70+D75+D80</f>
        <v/>
      </c>
      <c r="E85" s="19">
        <f>E65+E70+E75+E80</f>
        <v/>
      </c>
      <c r="F85" s="19">
        <f>F65+F70+F75+F80</f>
        <v/>
      </c>
      <c r="G85" s="19">
        <f>G65+G70+G75+G80</f>
        <v/>
      </c>
      <c r="H85" s="19">
        <f>H65+H70+H75+H80</f>
        <v/>
      </c>
      <c r="I85" s="19">
        <f>I65+I70+I75+I80</f>
        <v/>
      </c>
    </row>
    <row r="86">
      <c r="A86" s="10" t="inlineStr">
        <is>
          <t>Total Year 4, excl. VAT</t>
        </is>
      </c>
      <c r="B86" s="19">
        <f>B66+B71+B76+B81</f>
        <v/>
      </c>
      <c r="C86" s="19">
        <f>C66+C71+C76+C81</f>
        <v/>
      </c>
      <c r="D86" s="19">
        <f>D66+D71+D76+D81</f>
        <v/>
      </c>
      <c r="E86" s="19">
        <f>E66+E71+E76+E81</f>
        <v/>
      </c>
      <c r="F86" s="19">
        <f>F66+F71+F76+F81</f>
        <v/>
      </c>
      <c r="G86" s="19">
        <f>G66+G71+G76+G81</f>
        <v/>
      </c>
      <c r="H86" s="19">
        <f>H66+H71+H76+H81</f>
        <v/>
      </c>
      <c r="I86" s="19">
        <f>I66+I71+I76+I81</f>
        <v/>
      </c>
    </row>
    <row r="87">
      <c r="A87" s="10" t="inlineStr">
        <is>
          <t>Total Year 5, excl. VAT</t>
        </is>
      </c>
      <c r="B87" s="19">
        <f>B67+B72+B77+B82</f>
        <v/>
      </c>
      <c r="C87" s="19">
        <f>C67+C72+C77+C82</f>
        <v/>
      </c>
      <c r="D87" s="19">
        <f>D67+D72+D77+D82</f>
        <v/>
      </c>
      <c r="E87" s="19">
        <f>E67+E72+E77+E82</f>
        <v/>
      </c>
      <c r="F87" s="19">
        <f>F67+F72+F77+F82</f>
        <v/>
      </c>
      <c r="G87" s="19">
        <f>G67+G72+G77+G82</f>
        <v/>
      </c>
      <c r="H87" s="19">
        <f>H67+H72+H77+H82</f>
        <v/>
      </c>
      <c r="I87" s="19">
        <f>I67+I72+I77+I82</f>
        <v/>
      </c>
    </row>
    <row r="88">
      <c r="A88" s="10" t="inlineStr">
        <is>
          <t>Total for the contract term, excl. VAT</t>
        </is>
      </c>
      <c r="B88" s="20">
        <f>IF($B$38&gt;=1,B83,0)+IF($B$38&gt;=2,B84,0)+IF($B$38&gt;=3,B85,0)+IF($B$38&gt;=4,B86,0)+IF($B$38&gt;=5,B87,0)</f>
        <v/>
      </c>
      <c r="C88" s="20">
        <f>IF($C$38&gt;=1,C83,0)+IF($C$38&gt;=2,C84,0)+IF($C$38&gt;=3,C85,0)+IF($C$38&gt;=4,C86,0)+IF($C$38&gt;=5,C87,0)</f>
        <v/>
      </c>
      <c r="D88" s="20">
        <f>IF($D$38&gt;=1,D83,0)+IF($D$38&gt;=2,D84,0)+IF($D$38&gt;=3,D85,0)+IF($D$38&gt;=4,D86,0)+IF($D$38&gt;=5,D87,0)</f>
        <v/>
      </c>
      <c r="E88" s="20">
        <f>IF($E$38&gt;=1,E83,0)+IF($E$38&gt;=2,E84,0)+IF($E$38&gt;=3,E85,0)+IF($E$38&gt;=4,E86,0)+IF($E$38&gt;=5,E87,0)</f>
        <v/>
      </c>
      <c r="F88" s="20">
        <f>IF($F$38&gt;=1,F83,0)+IF($F$38&gt;=2,F84,0)+IF($F$38&gt;=3,F85,0)+IF($F$38&gt;=4,F86,0)+IF($F$38&gt;=5,F87,0)</f>
        <v/>
      </c>
      <c r="G88" s="20">
        <f>IF($G$38&gt;=1,G83,0)+IF($G$38&gt;=2,G84,0)+IF($G$38&gt;=3,G85,0)+IF($G$38&gt;=4,G86,0)+IF($G$38&gt;=5,G87,0)</f>
        <v/>
      </c>
      <c r="H88" s="20">
        <f>IF($H$38&gt;=1,H83,0)+IF($H$38&gt;=2,H84,0)+IF($H$38&gt;=3,H85,0)+IF($H$38&gt;=4,H86,0)+IF($H$38&gt;=5,H87,0)</f>
        <v/>
      </c>
      <c r="I88" s="20">
        <f>IF($I$38&gt;=1,I83,0)+IF($I$38&gt;=2,I84,0)+IF($I$38&gt;=3,I85,0)+IF($I$38&gt;=4,I86,0)+IF($I$38&gt;=5,I87,0)</f>
        <v/>
      </c>
    </row>
    <row r="89">
      <c r="A89" s="10" t="inlineStr">
        <is>
          <t>5-year total cost, excl. VAT</t>
        </is>
      </c>
      <c r="B89" s="20">
        <f>B83+B84+B85+B86+B87</f>
        <v/>
      </c>
      <c r="C89" s="20">
        <f>C83+C84+C85+C86+C87</f>
        <v/>
      </c>
      <c r="D89" s="20">
        <f>D83+D84+D85+D86+D87</f>
        <v/>
      </c>
      <c r="E89" s="20">
        <f>E83+E84+E85+E86+E87</f>
        <v/>
      </c>
      <c r="F89" s="20">
        <f>F83+F84+F85+F86+F87</f>
        <v/>
      </c>
      <c r="G89" s="20">
        <f>G83+G84+G85+G86+G87</f>
        <v/>
      </c>
      <c r="H89" s="20">
        <f>H83+H84+H85+H86+H87</f>
        <v/>
      </c>
      <c r="I89" s="20">
        <f>I83+I84+I85+I86+I87</f>
        <v/>
      </c>
    </row>
    <row r="90">
      <c r="A90" s="10" t="inlineStr">
        <is>
          <t>5-year total cost, incl. VAT</t>
        </is>
      </c>
      <c r="B90" s="19">
        <f>B89*(1+VAT)</f>
        <v/>
      </c>
      <c r="C90" s="19">
        <f>C89*(1+VAT)</f>
        <v/>
      </c>
      <c r="D90" s="19">
        <f>D89*(1+VAT)</f>
        <v/>
      </c>
      <c r="E90" s="19">
        <f>E89*(1+VAT)</f>
        <v/>
      </c>
      <c r="F90" s="19">
        <f>F89*(1+VAT)</f>
        <v/>
      </c>
      <c r="G90" s="19">
        <f>G89*(1+VAT)</f>
        <v/>
      </c>
      <c r="H90" s="19">
        <f>H89*(1+VAT)</f>
        <v/>
      </c>
      <c r="I90" s="19">
        <f>I89*(1+VAT)</f>
        <v/>
      </c>
    </row>
    <row r="91">
      <c r="A91" s="10" t="inlineStr">
        <is>
          <t>5-year total cost, USD reference</t>
        </is>
      </c>
      <c r="B91" s="19">
        <f>B89/FX</f>
        <v/>
      </c>
      <c r="C91" s="19">
        <f>C89/FX</f>
        <v/>
      </c>
      <c r="D91" s="19">
        <f>D89/FX</f>
        <v/>
      </c>
      <c r="E91" s="19">
        <f>E89/FX</f>
        <v/>
      </c>
      <c r="F91" s="19">
        <f>F89/FX</f>
        <v/>
      </c>
      <c r="G91" s="19">
        <f>G89/FX</f>
        <v/>
      </c>
      <c r="H91" s="19">
        <f>H89/FX</f>
        <v/>
      </c>
      <c r="I91" s="19">
        <f>I89/FX</f>
        <v/>
      </c>
    </row>
    <row r="94">
      <c r="A94" s="6" t="inlineStr">
        <is>
          <t>Medium tier: 60 users, 8 lines of business</t>
        </is>
      </c>
      <c r="B94" s="7" t="n"/>
      <c r="C94" s="7" t="n"/>
      <c r="D94" s="7" t="n"/>
      <c r="E94" s="7" t="n"/>
      <c r="F94" s="7" t="n"/>
      <c r="G94" s="7" t="n"/>
      <c r="H94" s="7" t="n"/>
      <c r="I94" s="7" t="n"/>
    </row>
    <row r="95" ht="32" customHeight="1">
      <c r="A95" s="3" t="inlineStr">
        <is>
          <t>Line</t>
        </is>
      </c>
      <c r="B95" s="3" t="inlineStr">
        <is>
          <t>Essentials, list</t>
        </is>
      </c>
      <c r="C95" s="25" t="inlineStr">
        <is>
          <t>Essentials, floor</t>
        </is>
      </c>
      <c r="D95" s="3" t="inlineStr">
        <is>
          <t>Standard, list</t>
        </is>
      </c>
      <c r="E95" s="25" t="inlineStr">
        <is>
          <t>Standard, floor</t>
        </is>
      </c>
      <c r="F95" s="3" t="inlineStr">
        <is>
          <t>Ownership, list</t>
        </is>
      </c>
      <c r="G95" s="25" t="inlineStr">
        <is>
          <t>Ownership, floor</t>
        </is>
      </c>
      <c r="H95" s="3" t="inlineStr">
        <is>
          <t>Ownership Plus, list</t>
        </is>
      </c>
      <c r="I95" s="25" t="inlineStr">
        <is>
          <t>Ownership Plus, floor</t>
        </is>
      </c>
    </row>
    <row r="96" ht="62" customHeight="1">
      <c r="A96" s="16" t="inlineStr">
        <is>
          <t>What it is</t>
        </is>
      </c>
      <c r="B96" s="5" t="inlineStr">
        <is>
          <t>Subscription; the client hosts; standard support; 3-year term.</t>
        </is>
      </c>
      <c r="C96" s="9" t="n"/>
      <c r="D96" s="5" t="inlineStr">
        <is>
          <t>Subscription hosted by iorta TechNXT on AWS (Singapore); 3-year term.</t>
        </is>
      </c>
      <c r="E96" s="9" t="n"/>
      <c r="F96" s="5" t="inlineStr">
        <is>
          <t>Perpetual licence with AMC, hosted on AWS (Singapore); 5-year view.</t>
        </is>
      </c>
      <c r="G96" s="9" t="n"/>
      <c r="H96" s="5" t="inlineStr">
        <is>
          <t>Perpetual with AMC, hosted in the Philippines, 24x7 Severity 1 support, 2 extra training days, 1 legacy source migrated.</t>
        </is>
      </c>
      <c r="I96" s="9" t="n"/>
    </row>
    <row r="97">
      <c r="A97" s="10" t="inlineStr">
        <is>
          <t>Named users</t>
        </is>
      </c>
      <c r="B97" s="24">
        <f>'Price Basis'!J31</f>
        <v/>
      </c>
      <c r="C97" s="24">
        <f>'Price Basis'!J31</f>
        <v/>
      </c>
      <c r="D97" s="24">
        <f>'Price Basis'!J31</f>
        <v/>
      </c>
      <c r="E97" s="24">
        <f>'Price Basis'!J31</f>
        <v/>
      </c>
      <c r="F97" s="24">
        <f>'Price Basis'!J31</f>
        <v/>
      </c>
      <c r="G97" s="24">
        <f>'Price Basis'!J31</f>
        <v/>
      </c>
      <c r="H97" s="24">
        <f>'Price Basis'!J31</f>
        <v/>
      </c>
      <c r="I97" s="24">
        <f>'Price Basis'!J31</f>
        <v/>
      </c>
    </row>
    <row r="98">
      <c r="A98" s="10" t="inlineStr">
        <is>
          <t>Lines of business</t>
        </is>
      </c>
      <c r="B98" s="24">
        <f>'Price Basis'!H31</f>
        <v/>
      </c>
      <c r="C98" s="24">
        <f>'Price Basis'!H31</f>
        <v/>
      </c>
      <c r="D98" s="24">
        <f>'Price Basis'!H31</f>
        <v/>
      </c>
      <c r="E98" s="24">
        <f>'Price Basis'!H31</f>
        <v/>
      </c>
      <c r="F98" s="24">
        <f>'Price Basis'!H31</f>
        <v/>
      </c>
      <c r="G98" s="24">
        <f>'Price Basis'!H31</f>
        <v/>
      </c>
      <c r="H98" s="24">
        <f>'Price Basis'!H31</f>
        <v/>
      </c>
      <c r="I98" s="24">
        <f>'Price Basis'!H31</f>
        <v/>
      </c>
    </row>
    <row r="99">
      <c r="A99" s="10" t="inlineStr">
        <is>
          <t>Licence model</t>
        </is>
      </c>
      <c r="B99" s="10" t="inlineStr">
        <is>
          <t>Subscription</t>
        </is>
      </c>
      <c r="C99" s="10" t="inlineStr">
        <is>
          <t>Subscription</t>
        </is>
      </c>
      <c r="D99" s="10" t="inlineStr">
        <is>
          <t>Subscription</t>
        </is>
      </c>
      <c r="E99" s="10" t="inlineStr">
        <is>
          <t>Subscription</t>
        </is>
      </c>
      <c r="F99" s="10" t="inlineStr">
        <is>
          <t>Perpetual</t>
        </is>
      </c>
      <c r="G99" s="10" t="inlineStr">
        <is>
          <t>Perpetual</t>
        </is>
      </c>
      <c r="H99" s="10" t="inlineStr">
        <is>
          <t>Perpetual</t>
        </is>
      </c>
      <c r="I99" s="10" t="inlineStr">
        <is>
          <t>Perpetual</t>
        </is>
      </c>
    </row>
    <row r="100">
      <c r="A100" s="10" t="inlineStr">
        <is>
          <t>Hosting</t>
        </is>
      </c>
      <c r="B100" s="10" t="inlineStr">
        <is>
          <t>Self-hosted</t>
        </is>
      </c>
      <c r="C100" s="10" t="inlineStr">
        <is>
          <t>Self-hosted</t>
        </is>
      </c>
      <c r="D100" s="10" t="inlineStr">
        <is>
          <t>AWS</t>
        </is>
      </c>
      <c r="E100" s="10" t="inlineStr">
        <is>
          <t>AWS</t>
        </is>
      </c>
      <c r="F100" s="10" t="inlineStr">
        <is>
          <t>AWS</t>
        </is>
      </c>
      <c r="G100" s="10" t="inlineStr">
        <is>
          <t>AWS</t>
        </is>
      </c>
      <c r="H100" s="10" t="inlineStr">
        <is>
          <t>Local partner</t>
        </is>
      </c>
      <c r="I100" s="10" t="inlineStr">
        <is>
          <t>Local partner</t>
        </is>
      </c>
    </row>
    <row r="101">
      <c r="A101" s="10" t="inlineStr">
        <is>
          <t>24x7 Severity 1 support</t>
        </is>
      </c>
      <c r="B101" s="10" t="inlineStr">
        <is>
          <t>No</t>
        </is>
      </c>
      <c r="C101" s="10" t="inlineStr">
        <is>
          <t>No</t>
        </is>
      </c>
      <c r="D101" s="10" t="inlineStr">
        <is>
          <t>No</t>
        </is>
      </c>
      <c r="E101" s="10" t="inlineStr">
        <is>
          <t>No</t>
        </is>
      </c>
      <c r="F101" s="10" t="inlineStr">
        <is>
          <t>No</t>
        </is>
      </c>
      <c r="G101" s="10" t="inlineStr">
        <is>
          <t>No</t>
        </is>
      </c>
      <c r="H101" s="10" t="inlineStr">
        <is>
          <t>Yes</t>
        </is>
      </c>
      <c r="I101" s="10" t="inlineStr">
        <is>
          <t>Yes</t>
        </is>
      </c>
    </row>
    <row r="102">
      <c r="A102" s="10" t="inlineStr">
        <is>
          <t>Extra training days</t>
        </is>
      </c>
      <c r="B102" s="24" t="n">
        <v>0</v>
      </c>
      <c r="C102" s="24" t="n">
        <v>0</v>
      </c>
      <c r="D102" s="24" t="n">
        <v>0</v>
      </c>
      <c r="E102" s="24" t="n">
        <v>0</v>
      </c>
      <c r="F102" s="24" t="n">
        <v>0</v>
      </c>
      <c r="G102" s="24" t="n">
        <v>0</v>
      </c>
      <c r="H102" s="24" t="n">
        <v>2</v>
      </c>
      <c r="I102" s="24" t="n">
        <v>2</v>
      </c>
    </row>
    <row r="103">
      <c r="A103" s="10" t="inlineStr">
        <is>
          <t>Legacy data sources migrated</t>
        </is>
      </c>
      <c r="B103" s="24" t="n">
        <v>0</v>
      </c>
      <c r="C103" s="24" t="n">
        <v>0</v>
      </c>
      <c r="D103" s="24" t="n">
        <v>0</v>
      </c>
      <c r="E103" s="24" t="n">
        <v>0</v>
      </c>
      <c r="F103" s="24" t="n">
        <v>0</v>
      </c>
      <c r="G103" s="24" t="n">
        <v>0</v>
      </c>
      <c r="H103" s="24" t="n">
        <v>1</v>
      </c>
      <c r="I103" s="24" t="n">
        <v>1</v>
      </c>
    </row>
    <row r="104">
      <c r="A104" s="10" t="inlineStr">
        <is>
          <t>Additional standard integrations</t>
        </is>
      </c>
      <c r="B104" s="24" t="n">
        <v>0</v>
      </c>
      <c r="C104" s="24" t="n">
        <v>0</v>
      </c>
      <c r="D104" s="24" t="n">
        <v>0</v>
      </c>
      <c r="E104" s="24" t="n">
        <v>0</v>
      </c>
      <c r="F104" s="24" t="n">
        <v>0</v>
      </c>
      <c r="G104" s="24" t="n">
        <v>0</v>
      </c>
      <c r="H104" s="24" t="n">
        <v>0</v>
      </c>
      <c r="I104" s="24" t="n">
        <v>0</v>
      </c>
    </row>
    <row r="105">
      <c r="A105" s="10" t="inlineStr">
        <is>
          <t>Additional complex integrations</t>
        </is>
      </c>
      <c r="B105" s="24" t="n">
        <v>0</v>
      </c>
      <c r="C105" s="24" t="n">
        <v>0</v>
      </c>
      <c r="D105" s="24" t="n">
        <v>0</v>
      </c>
      <c r="E105" s="24" t="n">
        <v>0</v>
      </c>
      <c r="F105" s="24" t="n">
        <v>0</v>
      </c>
      <c r="G105" s="24" t="n">
        <v>0</v>
      </c>
      <c r="H105" s="24" t="n">
        <v>0</v>
      </c>
      <c r="I105" s="24" t="n">
        <v>0</v>
      </c>
    </row>
    <row r="106">
      <c r="A106" s="10" t="inlineStr">
        <is>
          <t>Additional environments</t>
        </is>
      </c>
      <c r="B106" s="24" t="n">
        <v>0</v>
      </c>
      <c r="C106" s="24" t="n">
        <v>0</v>
      </c>
      <c r="D106" s="24" t="n">
        <v>0</v>
      </c>
      <c r="E106" s="24" t="n">
        <v>0</v>
      </c>
      <c r="F106" s="24" t="n">
        <v>0</v>
      </c>
      <c r="G106" s="24" t="n">
        <v>0</v>
      </c>
      <c r="H106" s="24" t="n">
        <v>0</v>
      </c>
      <c r="I106" s="24" t="n">
        <v>0</v>
      </c>
    </row>
    <row r="107">
      <c r="A107" s="10" t="inlineStr">
        <is>
          <t>On-site days</t>
        </is>
      </c>
      <c r="B107" s="24" t="n">
        <v>0</v>
      </c>
      <c r="C107" s="24" t="n">
        <v>0</v>
      </c>
      <c r="D107" s="24" t="n">
        <v>0</v>
      </c>
      <c r="E107" s="24" t="n">
        <v>0</v>
      </c>
      <c r="F107" s="24" t="n">
        <v>0</v>
      </c>
      <c r="G107" s="24" t="n">
        <v>0</v>
      </c>
      <c r="H107" s="24" t="n">
        <v>0</v>
      </c>
      <c r="I107" s="24" t="n">
        <v>0</v>
      </c>
    </row>
    <row r="108">
      <c r="A108" s="10" t="inlineStr">
        <is>
          <t>Contract term (years)</t>
        </is>
      </c>
      <c r="B108" s="24" t="n">
        <v>3</v>
      </c>
      <c r="C108" s="24" t="n">
        <v>3</v>
      </c>
      <c r="D108" s="24" t="n">
        <v>3</v>
      </c>
      <c r="E108" s="24" t="n">
        <v>3</v>
      </c>
      <c r="F108" s="24" t="n">
        <v>5</v>
      </c>
      <c r="G108" s="24" t="n">
        <v>5</v>
      </c>
      <c r="H108" s="24" t="n">
        <v>5</v>
      </c>
      <c r="I108" s="24" t="n">
        <v>5</v>
      </c>
    </row>
    <row r="109">
      <c r="A109" s="10" t="inlineStr">
        <is>
          <t>Discount on licence or subscription</t>
        </is>
      </c>
      <c r="B109" s="27" t="n">
        <v>0</v>
      </c>
      <c r="C109" s="28">
        <f>Floor_SW</f>
        <v/>
      </c>
      <c r="D109" s="27" t="n">
        <v>0</v>
      </c>
      <c r="E109" s="28">
        <f>Floor_SW</f>
        <v/>
      </c>
      <c r="F109" s="27" t="n">
        <v>0</v>
      </c>
      <c r="G109" s="28">
        <f>Floor_SW</f>
        <v/>
      </c>
      <c r="H109" s="27" t="n">
        <v>0</v>
      </c>
      <c r="I109" s="28">
        <f>Floor_SW</f>
        <v/>
      </c>
    </row>
    <row r="110">
      <c r="A110" s="10" t="inlineStr">
        <is>
          <t>Discount on implementation and services</t>
        </is>
      </c>
      <c r="B110" s="27" t="n">
        <v>0</v>
      </c>
      <c r="C110" s="28">
        <f>Floor_Svc</f>
        <v/>
      </c>
      <c r="D110" s="27" t="n">
        <v>0</v>
      </c>
      <c r="E110" s="28">
        <f>Floor_Svc</f>
        <v/>
      </c>
      <c r="F110" s="27" t="n">
        <v>0</v>
      </c>
      <c r="G110" s="28">
        <f>Floor_Svc</f>
        <v/>
      </c>
      <c r="H110" s="27" t="n">
        <v>0</v>
      </c>
      <c r="I110" s="28">
        <f>Floor_Svc</f>
        <v/>
      </c>
    </row>
    <row r="111">
      <c r="A111" s="10" t="inlineStr">
        <is>
          <t>Discount on hosting</t>
        </is>
      </c>
      <c r="B111" s="27" t="n">
        <v>0</v>
      </c>
      <c r="C111" s="28">
        <f>Floor_Host</f>
        <v/>
      </c>
      <c r="D111" s="27" t="n">
        <v>0</v>
      </c>
      <c r="E111" s="28">
        <f>Floor_Host</f>
        <v/>
      </c>
      <c r="F111" s="27" t="n">
        <v>0</v>
      </c>
      <c r="G111" s="28">
        <f>Floor_Host</f>
        <v/>
      </c>
      <c r="H111" s="27" t="n">
        <v>0</v>
      </c>
      <c r="I111" s="28">
        <f>Floor_Host</f>
        <v/>
      </c>
    </row>
    <row r="112">
      <c r="A112" s="10" t="inlineStr">
        <is>
          <t>Tier index</t>
        </is>
      </c>
      <c r="B112" s="24">
        <f>MATCH($B$97,TierFrom,1)</f>
        <v/>
      </c>
      <c r="C112" s="24">
        <f>MATCH($C$97,TierFrom,1)</f>
        <v/>
      </c>
      <c r="D112" s="24">
        <f>MATCH($D$97,TierFrom,1)</f>
        <v/>
      </c>
      <c r="E112" s="24">
        <f>MATCH($E$97,TierFrom,1)</f>
        <v/>
      </c>
      <c r="F112" s="24">
        <f>MATCH($F$97,TierFrom,1)</f>
        <v/>
      </c>
      <c r="G112" s="24">
        <f>MATCH($G$97,TierFrom,1)</f>
        <v/>
      </c>
      <c r="H112" s="24">
        <f>MATCH($H$97,TierFrom,1)</f>
        <v/>
      </c>
      <c r="I112" s="24">
        <f>MATCH($I$97,TierFrom,1)</f>
        <v/>
      </c>
    </row>
    <row r="113">
      <c r="A113" s="10" t="inlineStr">
        <is>
          <t>Tier</t>
        </is>
      </c>
      <c r="B113" s="10">
        <f>INDEX(TierName,B112)</f>
        <v/>
      </c>
      <c r="C113" s="10">
        <f>INDEX(TierName,C112)</f>
        <v/>
      </c>
      <c r="D113" s="10">
        <f>INDEX(TierName,D112)</f>
        <v/>
      </c>
      <c r="E113" s="10">
        <f>INDEX(TierName,E112)</f>
        <v/>
      </c>
      <c r="F113" s="10">
        <f>INDEX(TierName,F112)</f>
        <v/>
      </c>
      <c r="G113" s="10">
        <f>INDEX(TierName,G112)</f>
        <v/>
      </c>
      <c r="H113" s="10">
        <f>INDEX(TierName,H112)</f>
        <v/>
      </c>
      <c r="I113" s="10">
        <f>INDEX(TierName,I112)</f>
        <v/>
      </c>
    </row>
    <row r="114">
      <c r="A114" s="10" t="inlineStr">
        <is>
          <t>Billable users (subscription minimum applies)</t>
        </is>
      </c>
      <c r="B114" s="24">
        <f>IF($B$99="Subscription",MAX($B$97,INDEX(MinBill,B112)),$B$97)</f>
        <v/>
      </c>
      <c r="C114" s="24">
        <f>IF($C$99="Subscription",MAX($C$97,INDEX(MinBill,C112)),$C$97)</f>
        <v/>
      </c>
      <c r="D114" s="24">
        <f>IF($D$99="Subscription",MAX($D$97,INDEX(MinBill,D112)),$D$97)</f>
        <v/>
      </c>
      <c r="E114" s="24">
        <f>IF($E$99="Subscription",MAX($E$97,INDEX(MinBill,E112)),$E$97)</f>
        <v/>
      </c>
      <c r="F114" s="24">
        <f>IF($F$99="Subscription",MAX($F$97,INDEX(MinBill,F112)),$F$97)</f>
        <v/>
      </c>
      <c r="G114" s="24">
        <f>IF($G$99="Subscription",MAX($G$97,INDEX(MinBill,G112)),$G$97)</f>
        <v/>
      </c>
      <c r="H114" s="24">
        <f>IF($H$99="Subscription",MAX($H$97,INDEX(MinBill,H112)),$H$97)</f>
        <v/>
      </c>
      <c r="I114" s="24">
        <f>IF($I$99="Subscription",MAX($I$97,INDEX(MinBill,I112)),$I$97)</f>
        <v/>
      </c>
    </row>
    <row r="115">
      <c r="A115" s="10" t="inlineStr">
        <is>
          <t>Implementation man-days</t>
        </is>
      </c>
      <c r="B115" s="24">
        <f>INDEX(BaseDays,B112)+MAX(0,$B$98-INDEX(LOBIncl,B112))*Days_per_LOB</f>
        <v/>
      </c>
      <c r="C115" s="24">
        <f>INDEX(BaseDays,C112)+MAX(0,$C$98-INDEX(LOBIncl,C112))*Days_per_LOB</f>
        <v/>
      </c>
      <c r="D115" s="24">
        <f>INDEX(BaseDays,D112)+MAX(0,$D$98-INDEX(LOBIncl,D112))*Days_per_LOB</f>
        <v/>
      </c>
      <c r="E115" s="24">
        <f>INDEX(BaseDays,E112)+MAX(0,$E$98-INDEX(LOBIncl,E112))*Days_per_LOB</f>
        <v/>
      </c>
      <c r="F115" s="24">
        <f>INDEX(BaseDays,F112)+MAX(0,$F$98-INDEX(LOBIncl,F112))*Days_per_LOB</f>
        <v/>
      </c>
      <c r="G115" s="24">
        <f>INDEX(BaseDays,G112)+MAX(0,$G$98-INDEX(LOBIncl,G112))*Days_per_LOB</f>
        <v/>
      </c>
      <c r="H115" s="24">
        <f>INDEX(BaseDays,H112)+MAX(0,$H$98-INDEX(LOBIncl,H112))*Days_per_LOB</f>
        <v/>
      </c>
      <c r="I115" s="24">
        <f>INDEX(BaseDays,I112)+MAX(0,$I$98-INDEX(LOBIncl,I112))*Days_per_LOB</f>
        <v/>
      </c>
    </row>
    <row r="116">
      <c r="A116" s="10" t="inlineStr">
        <is>
          <t>Implementation or onboarding fee, list</t>
        </is>
      </c>
      <c r="B116" s="19">
        <f>ROUND(B115*Blended/Round_To,0)*Round_To*IF($B$99="Subscription",Onboard_Pct,1)</f>
        <v/>
      </c>
      <c r="C116" s="19">
        <f>ROUND(C115*Blended/Round_To,0)*Round_To*IF($C$99="Subscription",Onboard_Pct,1)</f>
        <v/>
      </c>
      <c r="D116" s="19">
        <f>ROUND(D115*Blended/Round_To,0)*Round_To*IF($D$99="Subscription",Onboard_Pct,1)</f>
        <v/>
      </c>
      <c r="E116" s="19">
        <f>ROUND(E115*Blended/Round_To,0)*Round_To*IF($E$99="Subscription",Onboard_Pct,1)</f>
        <v/>
      </c>
      <c r="F116" s="19">
        <f>ROUND(F115*Blended/Round_To,0)*Round_To*IF($F$99="Subscription",Onboard_Pct,1)</f>
        <v/>
      </c>
      <c r="G116" s="19">
        <f>ROUND(G115*Blended/Round_To,0)*Round_To*IF($G$99="Subscription",Onboard_Pct,1)</f>
        <v/>
      </c>
      <c r="H116" s="19">
        <f>ROUND(H115*Blended/Round_To,0)*Round_To*IF($H$99="Subscription",Onboard_Pct,1)</f>
        <v/>
      </c>
      <c r="I116" s="19">
        <f>ROUND(I115*Blended/Round_To,0)*Round_To*IF($I$99="Subscription",Onboard_Pct,1)</f>
        <v/>
      </c>
    </row>
    <row r="117">
      <c r="A117" s="10" t="inlineStr">
        <is>
          <t>Implementation or onboarding fee, quoted</t>
        </is>
      </c>
      <c r="B117" s="19">
        <f>B116*(1-$B$110)</f>
        <v/>
      </c>
      <c r="C117" s="19">
        <f>C116*(1-$C$110)</f>
        <v/>
      </c>
      <c r="D117" s="19">
        <f>D116*(1-$D$110)</f>
        <v/>
      </c>
      <c r="E117" s="19">
        <f>E116*(1-$E$110)</f>
        <v/>
      </c>
      <c r="F117" s="19">
        <f>F116*(1-$F$110)</f>
        <v/>
      </c>
      <c r="G117" s="19">
        <f>G116*(1-$G$110)</f>
        <v/>
      </c>
      <c r="H117" s="19">
        <f>H116*(1-$H$110)</f>
        <v/>
      </c>
      <c r="I117" s="19">
        <f>I116*(1-$I$110)</f>
        <v/>
      </c>
    </row>
    <row r="118">
      <c r="A118" s="10" t="inlineStr">
        <is>
          <t>Perpetual licence fee, list (one-time)</t>
        </is>
      </c>
      <c r="B118" s="19">
        <f>IF($B$99="Perpetual",MAX(0,MIN($B$97,'Price Basis'!$C$30)-'Price Basis'!$B$30+1)*'Price Basis'!$D$30+MAX(0,MIN($B$97,'Price Basis'!$C$31)-'Price Basis'!$B$31+1)*'Price Basis'!$D$31+MAX(0,MIN($B$97,'Price Basis'!$C$32)-'Price Basis'!$B$32+1)*'Price Basis'!$D$32+MAX(0,MIN($B$97,'Price Basis'!$C$33)-'Price Basis'!$B$33+1)*'Price Basis'!$D$33,0)</f>
        <v/>
      </c>
      <c r="C118" s="19">
        <f>IF($C$99="Perpetual",MAX(0,MIN($C$97,'Price Basis'!$C$30)-'Price Basis'!$B$30+1)*'Price Basis'!$D$30+MAX(0,MIN($C$97,'Price Basis'!$C$31)-'Price Basis'!$B$31+1)*'Price Basis'!$D$31+MAX(0,MIN($C$97,'Price Basis'!$C$32)-'Price Basis'!$B$32+1)*'Price Basis'!$D$32+MAX(0,MIN($C$97,'Price Basis'!$C$33)-'Price Basis'!$B$33+1)*'Price Basis'!$D$33,0)</f>
        <v/>
      </c>
      <c r="D118" s="19">
        <f>IF($D$99="Perpetual",MAX(0,MIN($D$97,'Price Basis'!$C$30)-'Price Basis'!$B$30+1)*'Price Basis'!$D$30+MAX(0,MIN($D$97,'Price Basis'!$C$31)-'Price Basis'!$B$31+1)*'Price Basis'!$D$31+MAX(0,MIN($D$97,'Price Basis'!$C$32)-'Price Basis'!$B$32+1)*'Price Basis'!$D$32+MAX(0,MIN($D$97,'Price Basis'!$C$33)-'Price Basis'!$B$33+1)*'Price Basis'!$D$33,0)</f>
        <v/>
      </c>
      <c r="E118" s="19">
        <f>IF($E$99="Perpetual",MAX(0,MIN($E$97,'Price Basis'!$C$30)-'Price Basis'!$B$30+1)*'Price Basis'!$D$30+MAX(0,MIN($E$97,'Price Basis'!$C$31)-'Price Basis'!$B$31+1)*'Price Basis'!$D$31+MAX(0,MIN($E$97,'Price Basis'!$C$32)-'Price Basis'!$B$32+1)*'Price Basis'!$D$32+MAX(0,MIN($E$97,'Price Basis'!$C$33)-'Price Basis'!$B$33+1)*'Price Basis'!$D$33,0)</f>
        <v/>
      </c>
      <c r="F118" s="19">
        <f>IF($F$99="Perpetual",MAX(0,MIN($F$97,'Price Basis'!$C$30)-'Price Basis'!$B$30+1)*'Price Basis'!$D$30+MAX(0,MIN($F$97,'Price Basis'!$C$31)-'Price Basis'!$B$31+1)*'Price Basis'!$D$31+MAX(0,MIN($F$97,'Price Basis'!$C$32)-'Price Basis'!$B$32+1)*'Price Basis'!$D$32+MAX(0,MIN($F$97,'Price Basis'!$C$33)-'Price Basis'!$B$33+1)*'Price Basis'!$D$33,0)</f>
        <v/>
      </c>
      <c r="G118" s="19">
        <f>IF($G$99="Perpetual",MAX(0,MIN($G$97,'Price Basis'!$C$30)-'Price Basis'!$B$30+1)*'Price Basis'!$D$30+MAX(0,MIN($G$97,'Price Basis'!$C$31)-'Price Basis'!$B$31+1)*'Price Basis'!$D$31+MAX(0,MIN($G$97,'Price Basis'!$C$32)-'Price Basis'!$B$32+1)*'Price Basis'!$D$32+MAX(0,MIN($G$97,'Price Basis'!$C$33)-'Price Basis'!$B$33+1)*'Price Basis'!$D$33,0)</f>
        <v/>
      </c>
      <c r="H118" s="19">
        <f>IF($H$99="Perpetual",MAX(0,MIN($H$97,'Price Basis'!$C$30)-'Price Basis'!$B$30+1)*'Price Basis'!$D$30+MAX(0,MIN($H$97,'Price Basis'!$C$31)-'Price Basis'!$B$31+1)*'Price Basis'!$D$31+MAX(0,MIN($H$97,'Price Basis'!$C$32)-'Price Basis'!$B$32+1)*'Price Basis'!$D$32+MAX(0,MIN($H$97,'Price Basis'!$C$33)-'Price Basis'!$B$33+1)*'Price Basis'!$D$33,0)</f>
        <v/>
      </c>
      <c r="I118" s="19">
        <f>IF($I$99="Perpetual",MAX(0,MIN($I$97,'Price Basis'!$C$30)-'Price Basis'!$B$30+1)*'Price Basis'!$D$30+MAX(0,MIN($I$97,'Price Basis'!$C$31)-'Price Basis'!$B$31+1)*'Price Basis'!$D$31+MAX(0,MIN($I$97,'Price Basis'!$C$32)-'Price Basis'!$B$32+1)*'Price Basis'!$D$32+MAX(0,MIN($I$97,'Price Basis'!$C$33)-'Price Basis'!$B$33+1)*'Price Basis'!$D$33,0)</f>
        <v/>
      </c>
    </row>
    <row r="119">
      <c r="A119" s="10" t="inlineStr">
        <is>
          <t>Perpetual licence fee, quoted (one-time)</t>
        </is>
      </c>
      <c r="B119" s="19">
        <f>B118*(1-$B$109)</f>
        <v/>
      </c>
      <c r="C119" s="19">
        <f>C118*(1-$C$109)</f>
        <v/>
      </c>
      <c r="D119" s="19">
        <f>D118*(1-$D$109)</f>
        <v/>
      </c>
      <c r="E119" s="19">
        <f>E118*(1-$E$109)</f>
        <v/>
      </c>
      <c r="F119" s="19">
        <f>F118*(1-$F$109)</f>
        <v/>
      </c>
      <c r="G119" s="19">
        <f>G118*(1-$G$109)</f>
        <v/>
      </c>
      <c r="H119" s="19">
        <f>H118*(1-$H$109)</f>
        <v/>
      </c>
      <c r="I119" s="19">
        <f>I118*(1-$I$109)</f>
        <v/>
      </c>
    </row>
    <row r="120">
      <c r="A120" s="10" t="inlineStr">
        <is>
          <t>Subscription per month, Year 1, list</t>
        </is>
      </c>
      <c r="B120" s="19">
        <f>IF($B$99="Subscription",MAX(0,MIN(B114,'Price Basis'!$C$30)-'Price Basis'!$B$30+1)*'Price Basis'!$E$30+MAX(0,MIN(B114,'Price Basis'!$C$31)-'Price Basis'!$B$31+1)*'Price Basis'!$E$31+MAX(0,MIN(B114,'Price Basis'!$C$32)-'Price Basis'!$B$32+1)*'Price Basis'!$E$32+MAX(0,MIN(B114,'Price Basis'!$C$33)-'Price Basis'!$B$33+1)*'Price Basis'!$E$33,0)</f>
        <v/>
      </c>
      <c r="C120" s="19">
        <f>IF($C$99="Subscription",MAX(0,MIN(C114,'Price Basis'!$C$30)-'Price Basis'!$B$30+1)*'Price Basis'!$E$30+MAX(0,MIN(C114,'Price Basis'!$C$31)-'Price Basis'!$B$31+1)*'Price Basis'!$E$31+MAX(0,MIN(C114,'Price Basis'!$C$32)-'Price Basis'!$B$32+1)*'Price Basis'!$E$32+MAX(0,MIN(C114,'Price Basis'!$C$33)-'Price Basis'!$B$33+1)*'Price Basis'!$E$33,0)</f>
        <v/>
      </c>
      <c r="D120" s="19">
        <f>IF($D$99="Subscription",MAX(0,MIN(D114,'Price Basis'!$C$30)-'Price Basis'!$B$30+1)*'Price Basis'!$E$30+MAX(0,MIN(D114,'Price Basis'!$C$31)-'Price Basis'!$B$31+1)*'Price Basis'!$E$31+MAX(0,MIN(D114,'Price Basis'!$C$32)-'Price Basis'!$B$32+1)*'Price Basis'!$E$32+MAX(0,MIN(D114,'Price Basis'!$C$33)-'Price Basis'!$B$33+1)*'Price Basis'!$E$33,0)</f>
        <v/>
      </c>
      <c r="E120" s="19">
        <f>IF($E$99="Subscription",MAX(0,MIN(E114,'Price Basis'!$C$30)-'Price Basis'!$B$30+1)*'Price Basis'!$E$30+MAX(0,MIN(E114,'Price Basis'!$C$31)-'Price Basis'!$B$31+1)*'Price Basis'!$E$31+MAX(0,MIN(E114,'Price Basis'!$C$32)-'Price Basis'!$B$32+1)*'Price Basis'!$E$32+MAX(0,MIN(E114,'Price Basis'!$C$33)-'Price Basis'!$B$33+1)*'Price Basis'!$E$33,0)</f>
        <v/>
      </c>
      <c r="F120" s="19">
        <f>IF($F$99="Subscription",MAX(0,MIN(F114,'Price Basis'!$C$30)-'Price Basis'!$B$30+1)*'Price Basis'!$E$30+MAX(0,MIN(F114,'Price Basis'!$C$31)-'Price Basis'!$B$31+1)*'Price Basis'!$E$31+MAX(0,MIN(F114,'Price Basis'!$C$32)-'Price Basis'!$B$32+1)*'Price Basis'!$E$32+MAX(0,MIN(F114,'Price Basis'!$C$33)-'Price Basis'!$B$33+1)*'Price Basis'!$E$33,0)</f>
        <v/>
      </c>
      <c r="G120" s="19">
        <f>IF($G$99="Subscription",MAX(0,MIN(G114,'Price Basis'!$C$30)-'Price Basis'!$B$30+1)*'Price Basis'!$E$30+MAX(0,MIN(G114,'Price Basis'!$C$31)-'Price Basis'!$B$31+1)*'Price Basis'!$E$31+MAX(0,MIN(G114,'Price Basis'!$C$32)-'Price Basis'!$B$32+1)*'Price Basis'!$E$32+MAX(0,MIN(G114,'Price Basis'!$C$33)-'Price Basis'!$B$33+1)*'Price Basis'!$E$33,0)</f>
        <v/>
      </c>
      <c r="H120" s="19">
        <f>IF($H$99="Subscription",MAX(0,MIN(H114,'Price Basis'!$C$30)-'Price Basis'!$B$30+1)*'Price Basis'!$E$30+MAX(0,MIN(H114,'Price Basis'!$C$31)-'Price Basis'!$B$31+1)*'Price Basis'!$E$31+MAX(0,MIN(H114,'Price Basis'!$C$32)-'Price Basis'!$B$32+1)*'Price Basis'!$E$32+MAX(0,MIN(H114,'Price Basis'!$C$33)-'Price Basis'!$B$33+1)*'Price Basis'!$E$33,0)</f>
        <v/>
      </c>
      <c r="I120" s="19">
        <f>IF($I$99="Subscription",MAX(0,MIN(I114,'Price Basis'!$C$30)-'Price Basis'!$B$30+1)*'Price Basis'!$E$30+MAX(0,MIN(I114,'Price Basis'!$C$31)-'Price Basis'!$B$31+1)*'Price Basis'!$E$31+MAX(0,MIN(I114,'Price Basis'!$C$32)-'Price Basis'!$B$32+1)*'Price Basis'!$E$32+MAX(0,MIN(I114,'Price Basis'!$C$33)-'Price Basis'!$B$33+1)*'Price Basis'!$E$33,0)</f>
        <v/>
      </c>
    </row>
    <row r="121">
      <c r="A121" s="10" t="inlineStr">
        <is>
          <t>Subscription per month, Year 1, quoted</t>
        </is>
      </c>
      <c r="B121" s="19">
        <f>B120*(1-$B$109)</f>
        <v/>
      </c>
      <c r="C121" s="19">
        <f>C120*(1-$C$109)</f>
        <v/>
      </c>
      <c r="D121" s="19">
        <f>D120*(1-$D$109)</f>
        <v/>
      </c>
      <c r="E121" s="19">
        <f>E120*(1-$E$109)</f>
        <v/>
      </c>
      <c r="F121" s="19">
        <f>F120*(1-$F$109)</f>
        <v/>
      </c>
      <c r="G121" s="19">
        <f>G120*(1-$G$109)</f>
        <v/>
      </c>
      <c r="H121" s="19">
        <f>H120*(1-$H$109)</f>
        <v/>
      </c>
      <c r="I121" s="19">
        <f>I120*(1-$I$109)</f>
        <v/>
      </c>
    </row>
    <row r="122">
      <c r="A122" s="10" t="inlineStr">
        <is>
          <t>Effective price per user (licence one-time, or subscription per month)</t>
        </is>
      </c>
      <c r="B122" s="19">
        <f>IF($B$99="Perpetual",B119/$B$97,B121/B114)</f>
        <v/>
      </c>
      <c r="C122" s="19">
        <f>IF($C$99="Perpetual",C119/$C$97,C121/C114)</f>
        <v/>
      </c>
      <c r="D122" s="19">
        <f>IF($D$99="Perpetual",D119/$D$97,D121/D114)</f>
        <v/>
      </c>
      <c r="E122" s="19">
        <f>IF($E$99="Perpetual",E119/$E$97,E121/E114)</f>
        <v/>
      </c>
      <c r="F122" s="19">
        <f>IF($F$99="Perpetual",F119/$F$97,F121/F114)</f>
        <v/>
      </c>
      <c r="G122" s="19">
        <f>IF($G$99="Perpetual",G119/$G$97,G121/G114)</f>
        <v/>
      </c>
      <c r="H122" s="19">
        <f>IF($H$99="Perpetual",H119/$H$97,H121/H114)</f>
        <v/>
      </c>
      <c r="I122" s="19">
        <f>IF($I$99="Perpetual",I119/$I$97,I121/I114)</f>
        <v/>
      </c>
    </row>
    <row r="123">
      <c r="A123" s="10" t="inlineStr">
        <is>
          <t>Hosting per month, list</t>
        </is>
      </c>
      <c r="B123" s="19">
        <f>INDEX(Host_Tbl,B112,MATCH($B$100,Host_Hdr,0))</f>
        <v/>
      </c>
      <c r="C123" s="19">
        <f>INDEX(Host_Tbl,C112,MATCH($C$100,Host_Hdr,0))</f>
        <v/>
      </c>
      <c r="D123" s="19">
        <f>INDEX(Host_Tbl,D112,MATCH($D$100,Host_Hdr,0))</f>
        <v/>
      </c>
      <c r="E123" s="19">
        <f>INDEX(Host_Tbl,E112,MATCH($E$100,Host_Hdr,0))</f>
        <v/>
      </c>
      <c r="F123" s="19">
        <f>INDEX(Host_Tbl,F112,MATCH($F$100,Host_Hdr,0))</f>
        <v/>
      </c>
      <c r="G123" s="19">
        <f>INDEX(Host_Tbl,G112,MATCH($G$100,Host_Hdr,0))</f>
        <v/>
      </c>
      <c r="H123" s="19">
        <f>INDEX(Host_Tbl,H112,MATCH($H$100,Host_Hdr,0))</f>
        <v/>
      </c>
      <c r="I123" s="19">
        <f>INDEX(Host_Tbl,I112,MATCH($I$100,Host_Hdr,0))</f>
        <v/>
      </c>
    </row>
    <row r="124">
      <c r="A124" s="10" t="inlineStr">
        <is>
          <t>Hosting per month, quoted</t>
        </is>
      </c>
      <c r="B124" s="19">
        <f>B123*(1-$B$111)</f>
        <v/>
      </c>
      <c r="C124" s="19">
        <f>C123*(1-$C$111)</f>
        <v/>
      </c>
      <c r="D124" s="19">
        <f>D123*(1-$D$111)</f>
        <v/>
      </c>
      <c r="E124" s="19">
        <f>E123*(1-$E$111)</f>
        <v/>
      </c>
      <c r="F124" s="19">
        <f>F123*(1-$F$111)</f>
        <v/>
      </c>
      <c r="G124" s="19">
        <f>G123*(1-$G$111)</f>
        <v/>
      </c>
      <c r="H124" s="19">
        <f>H123*(1-$H$111)</f>
        <v/>
      </c>
      <c r="I124" s="19">
        <f>I123*(1-$I$111)</f>
        <v/>
      </c>
    </row>
    <row r="125">
      <c r="A125" s="10" t="inlineStr">
        <is>
          <t>Pre-Prod per month of use, list</t>
        </is>
      </c>
      <c r="B125" s="19">
        <f>INDEX(PP_Tbl,B112,MATCH($B$100,Host_Hdr,0))</f>
        <v/>
      </c>
      <c r="C125" s="19">
        <f>INDEX(PP_Tbl,C112,MATCH($C$100,Host_Hdr,0))</f>
        <v/>
      </c>
      <c r="D125" s="19">
        <f>INDEX(PP_Tbl,D112,MATCH($D$100,Host_Hdr,0))</f>
        <v/>
      </c>
      <c r="E125" s="19">
        <f>INDEX(PP_Tbl,E112,MATCH($E$100,Host_Hdr,0))</f>
        <v/>
      </c>
      <c r="F125" s="19">
        <f>INDEX(PP_Tbl,F112,MATCH($F$100,Host_Hdr,0))</f>
        <v/>
      </c>
      <c r="G125" s="19">
        <f>INDEX(PP_Tbl,G112,MATCH($G$100,Host_Hdr,0))</f>
        <v/>
      </c>
      <c r="H125" s="19">
        <f>INDEX(PP_Tbl,H112,MATCH($H$100,Host_Hdr,0))</f>
        <v/>
      </c>
      <c r="I125" s="19">
        <f>INDEX(PP_Tbl,I112,MATCH($I$100,Host_Hdr,0))</f>
        <v/>
      </c>
    </row>
    <row r="126">
      <c r="A126" s="10" t="inlineStr">
        <is>
          <t>Pre-Prod per month of use, quoted</t>
        </is>
      </c>
      <c r="B126" s="19">
        <f>B125*(1-$B$111)</f>
        <v/>
      </c>
      <c r="C126" s="19">
        <f>C125*(1-$C$111)</f>
        <v/>
      </c>
      <c r="D126" s="19">
        <f>D125*(1-$D$111)</f>
        <v/>
      </c>
      <c r="E126" s="19">
        <f>E125*(1-$E$111)</f>
        <v/>
      </c>
      <c r="F126" s="19">
        <f>F125*(1-$F$111)</f>
        <v/>
      </c>
      <c r="G126" s="19">
        <f>G125*(1-$G$111)</f>
        <v/>
      </c>
      <c r="H126" s="19">
        <f>H125*(1-$H$111)</f>
        <v/>
      </c>
      <c r="I126" s="19">
        <f>I125*(1-$I$111)</f>
        <v/>
      </c>
    </row>
    <row r="127">
      <c r="A127" s="10" t="inlineStr">
        <is>
          <t>Additional hosted environments per month</t>
        </is>
      </c>
      <c r="B127" s="19">
        <f>IF($B$100="Self-hosted",0,$B$106*Env_Month)</f>
        <v/>
      </c>
      <c r="C127" s="19">
        <f>IF($C$100="Self-hosted",0,$C$106*Env_Month)</f>
        <v/>
      </c>
      <c r="D127" s="19">
        <f>IF($D$100="Self-hosted",0,$D$106*Env_Month)</f>
        <v/>
      </c>
      <c r="E127" s="19">
        <f>IF($E$100="Self-hosted",0,$E$106*Env_Month)</f>
        <v/>
      </c>
      <c r="F127" s="19">
        <f>IF($F$100="Self-hosted",0,$F$106*Env_Month)</f>
        <v/>
      </c>
      <c r="G127" s="19">
        <f>IF($G$100="Self-hosted",0,$G$106*Env_Month)</f>
        <v/>
      </c>
      <c r="H127" s="19">
        <f>IF($H$100="Self-hosted",0,$H$106*Env_Month)</f>
        <v/>
      </c>
      <c r="I127" s="19">
        <f>IF($I$100="Self-hosted",0,$I$106*Env_Month)</f>
        <v/>
      </c>
    </row>
    <row r="128">
      <c r="A128" s="10" t="inlineStr">
        <is>
          <t>Monthly recurring at go-live (subscription, hosting, environments)</t>
        </is>
      </c>
      <c r="B128" s="19">
        <f>B121+B124+B127</f>
        <v/>
      </c>
      <c r="C128" s="19">
        <f>C121+C124+C127</f>
        <v/>
      </c>
      <c r="D128" s="19">
        <f>D121+D124+D127</f>
        <v/>
      </c>
      <c r="E128" s="19">
        <f>E121+E124+E127</f>
        <v/>
      </c>
      <c r="F128" s="19">
        <f>F121+F124+F127</f>
        <v/>
      </c>
      <c r="G128" s="19">
        <f>G121+G124+G127</f>
        <v/>
      </c>
      <c r="H128" s="19">
        <f>H121+H124+H127</f>
        <v/>
      </c>
      <c r="I128" s="19">
        <f>I121+I124+I127</f>
        <v/>
      </c>
    </row>
    <row r="129">
      <c r="A129" s="10" t="inlineStr">
        <is>
          <t>One-time optional services, list</t>
        </is>
      </c>
      <c r="B129" s="19">
        <f>$B$102*Rate_Trainer+$B$103*Mig_Source+$B$104*Int_Std+$B$105*Int_Cx+$B$106*Env_Setup+$B$107*Rate_Onsite</f>
        <v/>
      </c>
      <c r="C129" s="19">
        <f>$C$102*Rate_Trainer+$C$103*Mig_Source+$C$104*Int_Std+$C$105*Int_Cx+$C$106*Env_Setup+$C$107*Rate_Onsite</f>
        <v/>
      </c>
      <c r="D129" s="19">
        <f>$D$102*Rate_Trainer+$D$103*Mig_Source+$D$104*Int_Std+$D$105*Int_Cx+$D$106*Env_Setup+$D$107*Rate_Onsite</f>
        <v/>
      </c>
      <c r="E129" s="19">
        <f>$E$102*Rate_Trainer+$E$103*Mig_Source+$E$104*Int_Std+$E$105*Int_Cx+$E$106*Env_Setup+$E$107*Rate_Onsite</f>
        <v/>
      </c>
      <c r="F129" s="19">
        <f>$F$102*Rate_Trainer+$F$103*Mig_Source+$F$104*Int_Std+$F$105*Int_Cx+$F$106*Env_Setup+$F$107*Rate_Onsite</f>
        <v/>
      </c>
      <c r="G129" s="19">
        <f>$G$102*Rate_Trainer+$G$103*Mig_Source+$G$104*Int_Std+$G$105*Int_Cx+$G$106*Env_Setup+$G$107*Rate_Onsite</f>
        <v/>
      </c>
      <c r="H129" s="19">
        <f>$H$102*Rate_Trainer+$H$103*Mig_Source+$H$104*Int_Std+$H$105*Int_Cx+$H$106*Env_Setup+$H$107*Rate_Onsite</f>
        <v/>
      </c>
      <c r="I129" s="19">
        <f>$I$102*Rate_Trainer+$I$103*Mig_Source+$I$104*Int_Std+$I$105*Int_Cx+$I$106*Env_Setup+$I$107*Rate_Onsite</f>
        <v/>
      </c>
    </row>
    <row r="130">
      <c r="A130" s="10" t="inlineStr">
        <is>
          <t>One-time optional services, quoted</t>
        </is>
      </c>
      <c r="B130" s="19">
        <f>B129*(1-$B$110)</f>
        <v/>
      </c>
      <c r="C130" s="19">
        <f>C129*(1-$C$110)</f>
        <v/>
      </c>
      <c r="D130" s="19">
        <f>D129*(1-$D$110)</f>
        <v/>
      </c>
      <c r="E130" s="19">
        <f>E129*(1-$E$110)</f>
        <v/>
      </c>
      <c r="F130" s="19">
        <f>F129*(1-$F$110)</f>
        <v/>
      </c>
      <c r="G130" s="19">
        <f>G129*(1-$G$110)</f>
        <v/>
      </c>
      <c r="H130" s="19">
        <f>H129*(1-$H$110)</f>
        <v/>
      </c>
      <c r="I130" s="19">
        <f>I129*(1-$I$110)</f>
        <v/>
      </c>
    </row>
    <row r="131">
      <c r="A131" s="10" t="inlineStr">
        <is>
          <t>24x7 Severity 1 support per year, Year 1, list</t>
        </is>
      </c>
      <c r="B131" s="19">
        <f>IF($B$101="Yes",INDEX(Sup24,B112),0)</f>
        <v/>
      </c>
      <c r="C131" s="19">
        <f>IF($C$101="Yes",INDEX(Sup24,C112),0)</f>
        <v/>
      </c>
      <c r="D131" s="19">
        <f>IF($D$101="Yes",INDEX(Sup24,D112),0)</f>
        <v/>
      </c>
      <c r="E131" s="19">
        <f>IF($E$101="Yes",INDEX(Sup24,E112),0)</f>
        <v/>
      </c>
      <c r="F131" s="19">
        <f>IF($F$101="Yes",INDEX(Sup24,F112),0)</f>
        <v/>
      </c>
      <c r="G131" s="19">
        <f>IF($G$101="Yes",INDEX(Sup24,G112),0)</f>
        <v/>
      </c>
      <c r="H131" s="19">
        <f>IF($H$101="Yes",INDEX(Sup24,H112),0)</f>
        <v/>
      </c>
      <c r="I131" s="19">
        <f>IF($I$101="Yes",INDEX(Sup24,I112),0)</f>
        <v/>
      </c>
    </row>
    <row r="132">
      <c r="A132" s="10" t="inlineStr">
        <is>
          <t>Training days included</t>
        </is>
      </c>
      <c r="B132" s="24">
        <f>INDEX(TrainDays,B112)</f>
        <v/>
      </c>
      <c r="C132" s="24">
        <f>INDEX(TrainDays,C112)</f>
        <v/>
      </c>
      <c r="D132" s="24">
        <f>INDEX(TrainDays,D112)</f>
        <v/>
      </c>
      <c r="E132" s="24">
        <f>INDEX(TrainDays,E112)</f>
        <v/>
      </c>
      <c r="F132" s="24">
        <f>INDEX(TrainDays,F112)</f>
        <v/>
      </c>
      <c r="G132" s="24">
        <f>INDEX(TrainDays,G112)</f>
        <v/>
      </c>
      <c r="H132" s="24">
        <f>INDEX(TrainDays,H112)</f>
        <v/>
      </c>
      <c r="I132" s="24">
        <f>INDEX(TrainDays,I112)</f>
        <v/>
      </c>
    </row>
    <row r="133">
      <c r="A133" s="10" t="inlineStr">
        <is>
          <t>AMC Year 1</t>
        </is>
      </c>
      <c r="B133" s="19">
        <f>IF(AND($B$99="Perpetual",1&gt;=AMC_Start),B119*AMC_Rate*(1+Esc)^(1-AMC_Start),0)</f>
        <v/>
      </c>
      <c r="C133" s="19">
        <f>IF(AND($C$99="Perpetual",1&gt;=AMC_Start),C119*AMC_Rate*(1+Esc)^(1-AMC_Start),0)</f>
        <v/>
      </c>
      <c r="D133" s="19">
        <f>IF(AND($D$99="Perpetual",1&gt;=AMC_Start),D119*AMC_Rate*(1+Esc)^(1-AMC_Start),0)</f>
        <v/>
      </c>
      <c r="E133" s="19">
        <f>IF(AND($E$99="Perpetual",1&gt;=AMC_Start),E119*AMC_Rate*(1+Esc)^(1-AMC_Start),0)</f>
        <v/>
      </c>
      <c r="F133" s="19">
        <f>IF(AND($F$99="Perpetual",1&gt;=AMC_Start),F119*AMC_Rate*(1+Esc)^(1-AMC_Start),0)</f>
        <v/>
      </c>
      <c r="G133" s="19">
        <f>IF(AND($G$99="Perpetual",1&gt;=AMC_Start),G119*AMC_Rate*(1+Esc)^(1-AMC_Start),0)</f>
        <v/>
      </c>
      <c r="H133" s="19">
        <f>IF(AND($H$99="Perpetual",1&gt;=AMC_Start),H119*AMC_Rate*(1+Esc)^(1-AMC_Start),0)</f>
        <v/>
      </c>
      <c r="I133" s="19">
        <f>IF(AND($I$99="Perpetual",1&gt;=AMC_Start),I119*AMC_Rate*(1+Esc)^(1-AMC_Start),0)</f>
        <v/>
      </c>
    </row>
    <row r="134">
      <c r="A134" s="10" t="inlineStr">
        <is>
          <t>AMC Year 2</t>
        </is>
      </c>
      <c r="B134" s="19">
        <f>IF(AND($B$99="Perpetual",2&gt;=AMC_Start),B119*AMC_Rate*(1+Esc)^(2-AMC_Start),0)</f>
        <v/>
      </c>
      <c r="C134" s="19">
        <f>IF(AND($C$99="Perpetual",2&gt;=AMC_Start),C119*AMC_Rate*(1+Esc)^(2-AMC_Start),0)</f>
        <v/>
      </c>
      <c r="D134" s="19">
        <f>IF(AND($D$99="Perpetual",2&gt;=AMC_Start),D119*AMC_Rate*(1+Esc)^(2-AMC_Start),0)</f>
        <v/>
      </c>
      <c r="E134" s="19">
        <f>IF(AND($E$99="Perpetual",2&gt;=AMC_Start),E119*AMC_Rate*(1+Esc)^(2-AMC_Start),0)</f>
        <v/>
      </c>
      <c r="F134" s="19">
        <f>IF(AND($F$99="Perpetual",2&gt;=AMC_Start),F119*AMC_Rate*(1+Esc)^(2-AMC_Start),0)</f>
        <v/>
      </c>
      <c r="G134" s="19">
        <f>IF(AND($G$99="Perpetual",2&gt;=AMC_Start),G119*AMC_Rate*(1+Esc)^(2-AMC_Start),0)</f>
        <v/>
      </c>
      <c r="H134" s="19">
        <f>IF(AND($H$99="Perpetual",2&gt;=AMC_Start),H119*AMC_Rate*(1+Esc)^(2-AMC_Start),0)</f>
        <v/>
      </c>
      <c r="I134" s="19">
        <f>IF(AND($I$99="Perpetual",2&gt;=AMC_Start),I119*AMC_Rate*(1+Esc)^(2-AMC_Start),0)</f>
        <v/>
      </c>
    </row>
    <row r="135">
      <c r="A135" s="10" t="inlineStr">
        <is>
          <t>AMC Year 3</t>
        </is>
      </c>
      <c r="B135" s="19">
        <f>IF(AND($B$99="Perpetual",3&gt;=AMC_Start),B119*AMC_Rate*(1+Esc)^(3-AMC_Start),0)</f>
        <v/>
      </c>
      <c r="C135" s="19">
        <f>IF(AND($C$99="Perpetual",3&gt;=AMC_Start),C119*AMC_Rate*(1+Esc)^(3-AMC_Start),0)</f>
        <v/>
      </c>
      <c r="D135" s="19">
        <f>IF(AND($D$99="Perpetual",3&gt;=AMC_Start),D119*AMC_Rate*(1+Esc)^(3-AMC_Start),0)</f>
        <v/>
      </c>
      <c r="E135" s="19">
        <f>IF(AND($E$99="Perpetual",3&gt;=AMC_Start),E119*AMC_Rate*(1+Esc)^(3-AMC_Start),0)</f>
        <v/>
      </c>
      <c r="F135" s="19">
        <f>IF(AND($F$99="Perpetual",3&gt;=AMC_Start),F119*AMC_Rate*(1+Esc)^(3-AMC_Start),0)</f>
        <v/>
      </c>
      <c r="G135" s="19">
        <f>IF(AND($G$99="Perpetual",3&gt;=AMC_Start),G119*AMC_Rate*(1+Esc)^(3-AMC_Start),0)</f>
        <v/>
      </c>
      <c r="H135" s="19">
        <f>IF(AND($H$99="Perpetual",3&gt;=AMC_Start),H119*AMC_Rate*(1+Esc)^(3-AMC_Start),0)</f>
        <v/>
      </c>
      <c r="I135" s="19">
        <f>IF(AND($I$99="Perpetual",3&gt;=AMC_Start),I119*AMC_Rate*(1+Esc)^(3-AMC_Start),0)</f>
        <v/>
      </c>
    </row>
    <row r="136">
      <c r="A136" s="10" t="inlineStr">
        <is>
          <t>AMC Year 4</t>
        </is>
      </c>
      <c r="B136" s="19">
        <f>IF(AND($B$99="Perpetual",4&gt;=AMC_Start),B119*AMC_Rate*(1+Esc)^(4-AMC_Start),0)</f>
        <v/>
      </c>
      <c r="C136" s="19">
        <f>IF(AND($C$99="Perpetual",4&gt;=AMC_Start),C119*AMC_Rate*(1+Esc)^(4-AMC_Start),0)</f>
        <v/>
      </c>
      <c r="D136" s="19">
        <f>IF(AND($D$99="Perpetual",4&gt;=AMC_Start),D119*AMC_Rate*(1+Esc)^(4-AMC_Start),0)</f>
        <v/>
      </c>
      <c r="E136" s="19">
        <f>IF(AND($E$99="Perpetual",4&gt;=AMC_Start),E119*AMC_Rate*(1+Esc)^(4-AMC_Start),0)</f>
        <v/>
      </c>
      <c r="F136" s="19">
        <f>IF(AND($F$99="Perpetual",4&gt;=AMC_Start),F119*AMC_Rate*(1+Esc)^(4-AMC_Start),0)</f>
        <v/>
      </c>
      <c r="G136" s="19">
        <f>IF(AND($G$99="Perpetual",4&gt;=AMC_Start),G119*AMC_Rate*(1+Esc)^(4-AMC_Start),0)</f>
        <v/>
      </c>
      <c r="H136" s="19">
        <f>IF(AND($H$99="Perpetual",4&gt;=AMC_Start),H119*AMC_Rate*(1+Esc)^(4-AMC_Start),0)</f>
        <v/>
      </c>
      <c r="I136" s="19">
        <f>IF(AND($I$99="Perpetual",4&gt;=AMC_Start),I119*AMC_Rate*(1+Esc)^(4-AMC_Start),0)</f>
        <v/>
      </c>
    </row>
    <row r="137">
      <c r="A137" s="10" t="inlineStr">
        <is>
          <t>AMC Year 5</t>
        </is>
      </c>
      <c r="B137" s="19">
        <f>IF(AND($B$99="Perpetual",5&gt;=AMC_Start),B119*AMC_Rate*(1+Esc)^(5-AMC_Start),0)</f>
        <v/>
      </c>
      <c r="C137" s="19">
        <f>IF(AND($C$99="Perpetual",5&gt;=AMC_Start),C119*AMC_Rate*(1+Esc)^(5-AMC_Start),0)</f>
        <v/>
      </c>
      <c r="D137" s="19">
        <f>IF(AND($D$99="Perpetual",5&gt;=AMC_Start),D119*AMC_Rate*(1+Esc)^(5-AMC_Start),0)</f>
        <v/>
      </c>
      <c r="E137" s="19">
        <f>IF(AND($E$99="Perpetual",5&gt;=AMC_Start),E119*AMC_Rate*(1+Esc)^(5-AMC_Start),0)</f>
        <v/>
      </c>
      <c r="F137" s="19">
        <f>IF(AND($F$99="Perpetual",5&gt;=AMC_Start),F119*AMC_Rate*(1+Esc)^(5-AMC_Start),0)</f>
        <v/>
      </c>
      <c r="G137" s="19">
        <f>IF(AND($G$99="Perpetual",5&gt;=AMC_Start),G119*AMC_Rate*(1+Esc)^(5-AMC_Start),0)</f>
        <v/>
      </c>
      <c r="H137" s="19">
        <f>IF(AND($H$99="Perpetual",5&gt;=AMC_Start),H119*AMC_Rate*(1+Esc)^(5-AMC_Start),0)</f>
        <v/>
      </c>
      <c r="I137" s="19">
        <f>IF(AND($I$99="Perpetual",5&gt;=AMC_Start),I119*AMC_Rate*(1+Esc)^(5-AMC_Start),0)</f>
        <v/>
      </c>
    </row>
    <row r="138">
      <c r="A138" s="10" t="inlineStr">
        <is>
          <t>Subscription fees Year 1</t>
        </is>
      </c>
      <c r="B138" s="19">
        <f>B121*12*(1+Esc)^(1-1)</f>
        <v/>
      </c>
      <c r="C138" s="19">
        <f>C121*12*(1+Esc)^(1-1)</f>
        <v/>
      </c>
      <c r="D138" s="19">
        <f>D121*12*(1+Esc)^(1-1)</f>
        <v/>
      </c>
      <c r="E138" s="19">
        <f>E121*12*(1+Esc)^(1-1)</f>
        <v/>
      </c>
      <c r="F138" s="19">
        <f>F121*12*(1+Esc)^(1-1)</f>
        <v/>
      </c>
      <c r="G138" s="19">
        <f>G121*12*(1+Esc)^(1-1)</f>
        <v/>
      </c>
      <c r="H138" s="19">
        <f>H121*12*(1+Esc)^(1-1)</f>
        <v/>
      </c>
      <c r="I138" s="19">
        <f>I121*12*(1+Esc)^(1-1)</f>
        <v/>
      </c>
    </row>
    <row r="139">
      <c r="A139" s="10" t="inlineStr">
        <is>
          <t>Subscription fees Year 2</t>
        </is>
      </c>
      <c r="B139" s="19">
        <f>B121*12*(1+Esc)^(2-1)</f>
        <v/>
      </c>
      <c r="C139" s="19">
        <f>C121*12*(1+Esc)^(2-1)</f>
        <v/>
      </c>
      <c r="D139" s="19">
        <f>D121*12*(1+Esc)^(2-1)</f>
        <v/>
      </c>
      <c r="E139" s="19">
        <f>E121*12*(1+Esc)^(2-1)</f>
        <v/>
      </c>
      <c r="F139" s="19">
        <f>F121*12*(1+Esc)^(2-1)</f>
        <v/>
      </c>
      <c r="G139" s="19">
        <f>G121*12*(1+Esc)^(2-1)</f>
        <v/>
      </c>
      <c r="H139" s="19">
        <f>H121*12*(1+Esc)^(2-1)</f>
        <v/>
      </c>
      <c r="I139" s="19">
        <f>I121*12*(1+Esc)^(2-1)</f>
        <v/>
      </c>
    </row>
    <row r="140">
      <c r="A140" s="10" t="inlineStr">
        <is>
          <t>Subscription fees Year 3</t>
        </is>
      </c>
      <c r="B140" s="19">
        <f>B121*12*(1+Esc)^(3-1)</f>
        <v/>
      </c>
      <c r="C140" s="19">
        <f>C121*12*(1+Esc)^(3-1)</f>
        <v/>
      </c>
      <c r="D140" s="19">
        <f>D121*12*(1+Esc)^(3-1)</f>
        <v/>
      </c>
      <c r="E140" s="19">
        <f>E121*12*(1+Esc)^(3-1)</f>
        <v/>
      </c>
      <c r="F140" s="19">
        <f>F121*12*(1+Esc)^(3-1)</f>
        <v/>
      </c>
      <c r="G140" s="19">
        <f>G121*12*(1+Esc)^(3-1)</f>
        <v/>
      </c>
      <c r="H140" s="19">
        <f>H121*12*(1+Esc)^(3-1)</f>
        <v/>
      </c>
      <c r="I140" s="19">
        <f>I121*12*(1+Esc)^(3-1)</f>
        <v/>
      </c>
    </row>
    <row r="141">
      <c r="A141" s="10" t="inlineStr">
        <is>
          <t>Subscription fees Year 4</t>
        </is>
      </c>
      <c r="B141" s="19">
        <f>B121*12*(1+Esc)^(4-1)</f>
        <v/>
      </c>
      <c r="C141" s="19">
        <f>C121*12*(1+Esc)^(4-1)</f>
        <v/>
      </c>
      <c r="D141" s="19">
        <f>D121*12*(1+Esc)^(4-1)</f>
        <v/>
      </c>
      <c r="E141" s="19">
        <f>E121*12*(1+Esc)^(4-1)</f>
        <v/>
      </c>
      <c r="F141" s="19">
        <f>F121*12*(1+Esc)^(4-1)</f>
        <v/>
      </c>
      <c r="G141" s="19">
        <f>G121*12*(1+Esc)^(4-1)</f>
        <v/>
      </c>
      <c r="H141" s="19">
        <f>H121*12*(1+Esc)^(4-1)</f>
        <v/>
      </c>
      <c r="I141" s="19">
        <f>I121*12*(1+Esc)^(4-1)</f>
        <v/>
      </c>
    </row>
    <row r="142">
      <c r="A142" s="10" t="inlineStr">
        <is>
          <t>Subscription fees Year 5</t>
        </is>
      </c>
      <c r="B142" s="19">
        <f>B121*12*(1+Esc)^(5-1)</f>
        <v/>
      </c>
      <c r="C142" s="19">
        <f>C121*12*(1+Esc)^(5-1)</f>
        <v/>
      </c>
      <c r="D142" s="19">
        <f>D121*12*(1+Esc)^(5-1)</f>
        <v/>
      </c>
      <c r="E142" s="19">
        <f>E121*12*(1+Esc)^(5-1)</f>
        <v/>
      </c>
      <c r="F142" s="19">
        <f>F121*12*(1+Esc)^(5-1)</f>
        <v/>
      </c>
      <c r="G142" s="19">
        <f>G121*12*(1+Esc)^(5-1)</f>
        <v/>
      </c>
      <c r="H142" s="19">
        <f>H121*12*(1+Esc)^(5-1)</f>
        <v/>
      </c>
      <c r="I142" s="19">
        <f>I121*12*(1+Esc)^(5-1)</f>
        <v/>
      </c>
    </row>
    <row r="143">
      <c r="A143" s="10" t="inlineStr">
        <is>
          <t>Hosting and environments Year 1</t>
        </is>
      </c>
      <c r="B143" s="19">
        <f>(B124+B127)*12*(1+Infra_Esc)^(1-1)+B126*PP_GoLive</f>
        <v/>
      </c>
      <c r="C143" s="19">
        <f>(C124+C127)*12*(1+Infra_Esc)^(1-1)+C126*PP_GoLive</f>
        <v/>
      </c>
      <c r="D143" s="19">
        <f>(D124+D127)*12*(1+Infra_Esc)^(1-1)+D126*PP_GoLive</f>
        <v/>
      </c>
      <c r="E143" s="19">
        <f>(E124+E127)*12*(1+Infra_Esc)^(1-1)+E126*PP_GoLive</f>
        <v/>
      </c>
      <c r="F143" s="19">
        <f>(F124+F127)*12*(1+Infra_Esc)^(1-1)+F126*PP_GoLive</f>
        <v/>
      </c>
      <c r="G143" s="19">
        <f>(G124+G127)*12*(1+Infra_Esc)^(1-1)+G126*PP_GoLive</f>
        <v/>
      </c>
      <c r="H143" s="19">
        <f>(H124+H127)*12*(1+Infra_Esc)^(1-1)+H126*PP_GoLive</f>
        <v/>
      </c>
      <c r="I143" s="19">
        <f>(I124+I127)*12*(1+Infra_Esc)^(1-1)+I126*PP_GoLive</f>
        <v/>
      </c>
    </row>
    <row r="144">
      <c r="A144" s="10" t="inlineStr">
        <is>
          <t>Hosting and environments Year 2</t>
        </is>
      </c>
      <c r="B144" s="19">
        <f>(B124+B127)*12*(1+Infra_Esc)^(2-1)+B126*PP_Rel*Rel_Year</f>
        <v/>
      </c>
      <c r="C144" s="19">
        <f>(C124+C127)*12*(1+Infra_Esc)^(2-1)+C126*PP_Rel*Rel_Year</f>
        <v/>
      </c>
      <c r="D144" s="19">
        <f>(D124+D127)*12*(1+Infra_Esc)^(2-1)+D126*PP_Rel*Rel_Year</f>
        <v/>
      </c>
      <c r="E144" s="19">
        <f>(E124+E127)*12*(1+Infra_Esc)^(2-1)+E126*PP_Rel*Rel_Year</f>
        <v/>
      </c>
      <c r="F144" s="19">
        <f>(F124+F127)*12*(1+Infra_Esc)^(2-1)+F126*PP_Rel*Rel_Year</f>
        <v/>
      </c>
      <c r="G144" s="19">
        <f>(G124+G127)*12*(1+Infra_Esc)^(2-1)+G126*PP_Rel*Rel_Year</f>
        <v/>
      </c>
      <c r="H144" s="19">
        <f>(H124+H127)*12*(1+Infra_Esc)^(2-1)+H126*PP_Rel*Rel_Year</f>
        <v/>
      </c>
      <c r="I144" s="19">
        <f>(I124+I127)*12*(1+Infra_Esc)^(2-1)+I126*PP_Rel*Rel_Year</f>
        <v/>
      </c>
    </row>
    <row r="145">
      <c r="A145" s="10" t="inlineStr">
        <is>
          <t>Hosting and environments Year 3</t>
        </is>
      </c>
      <c r="B145" s="19">
        <f>(B124+B127)*12*(1+Infra_Esc)^(3-1)+B126*PP_Rel*Rel_Year</f>
        <v/>
      </c>
      <c r="C145" s="19">
        <f>(C124+C127)*12*(1+Infra_Esc)^(3-1)+C126*PP_Rel*Rel_Year</f>
        <v/>
      </c>
      <c r="D145" s="19">
        <f>(D124+D127)*12*(1+Infra_Esc)^(3-1)+D126*PP_Rel*Rel_Year</f>
        <v/>
      </c>
      <c r="E145" s="19">
        <f>(E124+E127)*12*(1+Infra_Esc)^(3-1)+E126*PP_Rel*Rel_Year</f>
        <v/>
      </c>
      <c r="F145" s="19">
        <f>(F124+F127)*12*(1+Infra_Esc)^(3-1)+F126*PP_Rel*Rel_Year</f>
        <v/>
      </c>
      <c r="G145" s="19">
        <f>(G124+G127)*12*(1+Infra_Esc)^(3-1)+G126*PP_Rel*Rel_Year</f>
        <v/>
      </c>
      <c r="H145" s="19">
        <f>(H124+H127)*12*(1+Infra_Esc)^(3-1)+H126*PP_Rel*Rel_Year</f>
        <v/>
      </c>
      <c r="I145" s="19">
        <f>(I124+I127)*12*(1+Infra_Esc)^(3-1)+I126*PP_Rel*Rel_Year</f>
        <v/>
      </c>
    </row>
    <row r="146">
      <c r="A146" s="10" t="inlineStr">
        <is>
          <t>Hosting and environments Year 4</t>
        </is>
      </c>
      <c r="B146" s="19">
        <f>(B124+B127)*12*(1+Infra_Esc)^(4-1)+B126*PP_Rel*Rel_Year</f>
        <v/>
      </c>
      <c r="C146" s="19">
        <f>(C124+C127)*12*(1+Infra_Esc)^(4-1)+C126*PP_Rel*Rel_Year</f>
        <v/>
      </c>
      <c r="D146" s="19">
        <f>(D124+D127)*12*(1+Infra_Esc)^(4-1)+D126*PP_Rel*Rel_Year</f>
        <v/>
      </c>
      <c r="E146" s="19">
        <f>(E124+E127)*12*(1+Infra_Esc)^(4-1)+E126*PP_Rel*Rel_Year</f>
        <v/>
      </c>
      <c r="F146" s="19">
        <f>(F124+F127)*12*(1+Infra_Esc)^(4-1)+F126*PP_Rel*Rel_Year</f>
        <v/>
      </c>
      <c r="G146" s="19">
        <f>(G124+G127)*12*(1+Infra_Esc)^(4-1)+G126*PP_Rel*Rel_Year</f>
        <v/>
      </c>
      <c r="H146" s="19">
        <f>(H124+H127)*12*(1+Infra_Esc)^(4-1)+H126*PP_Rel*Rel_Year</f>
        <v/>
      </c>
      <c r="I146" s="19">
        <f>(I124+I127)*12*(1+Infra_Esc)^(4-1)+I126*PP_Rel*Rel_Year</f>
        <v/>
      </c>
    </row>
    <row r="147">
      <c r="A147" s="10" t="inlineStr">
        <is>
          <t>Hosting and environments Year 5</t>
        </is>
      </c>
      <c r="B147" s="19">
        <f>(B124+B127)*12*(1+Infra_Esc)^(5-1)+B126*PP_Rel*Rel_Year</f>
        <v/>
      </c>
      <c r="C147" s="19">
        <f>(C124+C127)*12*(1+Infra_Esc)^(5-1)+C126*PP_Rel*Rel_Year</f>
        <v/>
      </c>
      <c r="D147" s="19">
        <f>(D124+D127)*12*(1+Infra_Esc)^(5-1)+D126*PP_Rel*Rel_Year</f>
        <v/>
      </c>
      <c r="E147" s="19">
        <f>(E124+E127)*12*(1+Infra_Esc)^(5-1)+E126*PP_Rel*Rel_Year</f>
        <v/>
      </c>
      <c r="F147" s="19">
        <f>(F124+F127)*12*(1+Infra_Esc)^(5-1)+F126*PP_Rel*Rel_Year</f>
        <v/>
      </c>
      <c r="G147" s="19">
        <f>(G124+G127)*12*(1+Infra_Esc)^(5-1)+G126*PP_Rel*Rel_Year</f>
        <v/>
      </c>
      <c r="H147" s="19">
        <f>(H124+H127)*12*(1+Infra_Esc)^(5-1)+H126*PP_Rel*Rel_Year</f>
        <v/>
      </c>
      <c r="I147" s="19">
        <f>(I124+I127)*12*(1+Infra_Esc)^(5-1)+I126*PP_Rel*Rel_Year</f>
        <v/>
      </c>
    </row>
    <row r="148">
      <c r="A148" s="10" t="inlineStr">
        <is>
          <t>24x7 support Year 1</t>
        </is>
      </c>
      <c r="B148" s="19">
        <f>B131*(1-$B$110)*(1+Esc)^(1-1)</f>
        <v/>
      </c>
      <c r="C148" s="19">
        <f>C131*(1-$C$110)*(1+Esc)^(1-1)</f>
        <v/>
      </c>
      <c r="D148" s="19">
        <f>D131*(1-$D$110)*(1+Esc)^(1-1)</f>
        <v/>
      </c>
      <c r="E148" s="19">
        <f>E131*(1-$E$110)*(1+Esc)^(1-1)</f>
        <v/>
      </c>
      <c r="F148" s="19">
        <f>F131*(1-$F$110)*(1+Esc)^(1-1)</f>
        <v/>
      </c>
      <c r="G148" s="19">
        <f>G131*(1-$G$110)*(1+Esc)^(1-1)</f>
        <v/>
      </c>
      <c r="H148" s="19">
        <f>H131*(1-$H$110)*(1+Esc)^(1-1)</f>
        <v/>
      </c>
      <c r="I148" s="19">
        <f>I131*(1-$I$110)*(1+Esc)^(1-1)</f>
        <v/>
      </c>
    </row>
    <row r="149">
      <c r="A149" s="10" t="inlineStr">
        <is>
          <t>24x7 support Year 2</t>
        </is>
      </c>
      <c r="B149" s="19">
        <f>B131*(1-$B$110)*(1+Esc)^(2-1)</f>
        <v/>
      </c>
      <c r="C149" s="19">
        <f>C131*(1-$C$110)*(1+Esc)^(2-1)</f>
        <v/>
      </c>
      <c r="D149" s="19">
        <f>D131*(1-$D$110)*(1+Esc)^(2-1)</f>
        <v/>
      </c>
      <c r="E149" s="19">
        <f>E131*(1-$E$110)*(1+Esc)^(2-1)</f>
        <v/>
      </c>
      <c r="F149" s="19">
        <f>F131*(1-$F$110)*(1+Esc)^(2-1)</f>
        <v/>
      </c>
      <c r="G149" s="19">
        <f>G131*(1-$G$110)*(1+Esc)^(2-1)</f>
        <v/>
      </c>
      <c r="H149" s="19">
        <f>H131*(1-$H$110)*(1+Esc)^(2-1)</f>
        <v/>
      </c>
      <c r="I149" s="19">
        <f>I131*(1-$I$110)*(1+Esc)^(2-1)</f>
        <v/>
      </c>
    </row>
    <row r="150">
      <c r="A150" s="10" t="inlineStr">
        <is>
          <t>24x7 support Year 3</t>
        </is>
      </c>
      <c r="B150" s="19">
        <f>B131*(1-$B$110)*(1+Esc)^(3-1)</f>
        <v/>
      </c>
      <c r="C150" s="19">
        <f>C131*(1-$C$110)*(1+Esc)^(3-1)</f>
        <v/>
      </c>
      <c r="D150" s="19">
        <f>D131*(1-$D$110)*(1+Esc)^(3-1)</f>
        <v/>
      </c>
      <c r="E150" s="19">
        <f>E131*(1-$E$110)*(1+Esc)^(3-1)</f>
        <v/>
      </c>
      <c r="F150" s="19">
        <f>F131*(1-$F$110)*(1+Esc)^(3-1)</f>
        <v/>
      </c>
      <c r="G150" s="19">
        <f>G131*(1-$G$110)*(1+Esc)^(3-1)</f>
        <v/>
      </c>
      <c r="H150" s="19">
        <f>H131*(1-$H$110)*(1+Esc)^(3-1)</f>
        <v/>
      </c>
      <c r="I150" s="19">
        <f>I131*(1-$I$110)*(1+Esc)^(3-1)</f>
        <v/>
      </c>
    </row>
    <row r="151">
      <c r="A151" s="10" t="inlineStr">
        <is>
          <t>24x7 support Year 4</t>
        </is>
      </c>
      <c r="B151" s="19">
        <f>B131*(1-$B$110)*(1+Esc)^(4-1)</f>
        <v/>
      </c>
      <c r="C151" s="19">
        <f>C131*(1-$C$110)*(1+Esc)^(4-1)</f>
        <v/>
      </c>
      <c r="D151" s="19">
        <f>D131*(1-$D$110)*(1+Esc)^(4-1)</f>
        <v/>
      </c>
      <c r="E151" s="19">
        <f>E131*(1-$E$110)*(1+Esc)^(4-1)</f>
        <v/>
      </c>
      <c r="F151" s="19">
        <f>F131*(1-$F$110)*(1+Esc)^(4-1)</f>
        <v/>
      </c>
      <c r="G151" s="19">
        <f>G131*(1-$G$110)*(1+Esc)^(4-1)</f>
        <v/>
      </c>
      <c r="H151" s="19">
        <f>H131*(1-$H$110)*(1+Esc)^(4-1)</f>
        <v/>
      </c>
      <c r="I151" s="19">
        <f>I131*(1-$I$110)*(1+Esc)^(4-1)</f>
        <v/>
      </c>
    </row>
    <row r="152">
      <c r="A152" s="10" t="inlineStr">
        <is>
          <t>24x7 support Year 5</t>
        </is>
      </c>
      <c r="B152" s="19">
        <f>B131*(1-$B$110)*(1+Esc)^(5-1)</f>
        <v/>
      </c>
      <c r="C152" s="19">
        <f>C131*(1-$C$110)*(1+Esc)^(5-1)</f>
        <v/>
      </c>
      <c r="D152" s="19">
        <f>D131*(1-$D$110)*(1+Esc)^(5-1)</f>
        <v/>
      </c>
      <c r="E152" s="19">
        <f>E131*(1-$E$110)*(1+Esc)^(5-1)</f>
        <v/>
      </c>
      <c r="F152" s="19">
        <f>F131*(1-$F$110)*(1+Esc)^(5-1)</f>
        <v/>
      </c>
      <c r="G152" s="19">
        <f>G131*(1-$G$110)*(1+Esc)^(5-1)</f>
        <v/>
      </c>
      <c r="H152" s="19">
        <f>H131*(1-$H$110)*(1+Esc)^(5-1)</f>
        <v/>
      </c>
      <c r="I152" s="19">
        <f>I131*(1-$I$110)*(1+Esc)^(5-1)</f>
        <v/>
      </c>
    </row>
    <row r="153">
      <c r="A153" s="10" t="inlineStr">
        <is>
          <t>Total Year 1, excl. VAT</t>
        </is>
      </c>
      <c r="B153" s="20">
        <f>B117+B119+B130+B133+B138+B143+B148</f>
        <v/>
      </c>
      <c r="C153" s="20">
        <f>C117+C119+C130+C133+C138+C143+C148</f>
        <v/>
      </c>
      <c r="D153" s="20">
        <f>D117+D119+D130+D133+D138+D143+D148</f>
        <v/>
      </c>
      <c r="E153" s="20">
        <f>E117+E119+E130+E133+E138+E143+E148</f>
        <v/>
      </c>
      <c r="F153" s="20">
        <f>F117+F119+F130+F133+F138+F143+F148</f>
        <v/>
      </c>
      <c r="G153" s="20">
        <f>G117+G119+G130+G133+G138+G143+G148</f>
        <v/>
      </c>
      <c r="H153" s="20">
        <f>H117+H119+H130+H133+H138+H143+H148</f>
        <v/>
      </c>
      <c r="I153" s="20">
        <f>I117+I119+I130+I133+I138+I143+I148</f>
        <v/>
      </c>
    </row>
    <row r="154">
      <c r="A154" s="10" t="inlineStr">
        <is>
          <t>Total Year 2, excl. VAT</t>
        </is>
      </c>
      <c r="B154" s="19">
        <f>B134+B139+B144+B149</f>
        <v/>
      </c>
      <c r="C154" s="19">
        <f>C134+C139+C144+C149</f>
        <v/>
      </c>
      <c r="D154" s="19">
        <f>D134+D139+D144+D149</f>
        <v/>
      </c>
      <c r="E154" s="19">
        <f>E134+E139+E144+E149</f>
        <v/>
      </c>
      <c r="F154" s="19">
        <f>F134+F139+F144+F149</f>
        <v/>
      </c>
      <c r="G154" s="19">
        <f>G134+G139+G144+G149</f>
        <v/>
      </c>
      <c r="H154" s="19">
        <f>H134+H139+H144+H149</f>
        <v/>
      </c>
      <c r="I154" s="19">
        <f>I134+I139+I144+I149</f>
        <v/>
      </c>
    </row>
    <row r="155">
      <c r="A155" s="10" t="inlineStr">
        <is>
          <t>Total Year 3, excl. VAT</t>
        </is>
      </c>
      <c r="B155" s="19">
        <f>B135+B140+B145+B150</f>
        <v/>
      </c>
      <c r="C155" s="19">
        <f>C135+C140+C145+C150</f>
        <v/>
      </c>
      <c r="D155" s="19">
        <f>D135+D140+D145+D150</f>
        <v/>
      </c>
      <c r="E155" s="19">
        <f>E135+E140+E145+E150</f>
        <v/>
      </c>
      <c r="F155" s="19">
        <f>F135+F140+F145+F150</f>
        <v/>
      </c>
      <c r="G155" s="19">
        <f>G135+G140+G145+G150</f>
        <v/>
      </c>
      <c r="H155" s="19">
        <f>H135+H140+H145+H150</f>
        <v/>
      </c>
      <c r="I155" s="19">
        <f>I135+I140+I145+I150</f>
        <v/>
      </c>
    </row>
    <row r="156">
      <c r="A156" s="10" t="inlineStr">
        <is>
          <t>Total Year 4, excl. VAT</t>
        </is>
      </c>
      <c r="B156" s="19">
        <f>B136+B141+B146+B151</f>
        <v/>
      </c>
      <c r="C156" s="19">
        <f>C136+C141+C146+C151</f>
        <v/>
      </c>
      <c r="D156" s="19">
        <f>D136+D141+D146+D151</f>
        <v/>
      </c>
      <c r="E156" s="19">
        <f>E136+E141+E146+E151</f>
        <v/>
      </c>
      <c r="F156" s="19">
        <f>F136+F141+F146+F151</f>
        <v/>
      </c>
      <c r="G156" s="19">
        <f>G136+G141+G146+G151</f>
        <v/>
      </c>
      <c r="H156" s="19">
        <f>H136+H141+H146+H151</f>
        <v/>
      </c>
      <c r="I156" s="19">
        <f>I136+I141+I146+I151</f>
        <v/>
      </c>
    </row>
    <row r="157">
      <c r="A157" s="10" t="inlineStr">
        <is>
          <t>Total Year 5, excl. VAT</t>
        </is>
      </c>
      <c r="B157" s="19">
        <f>B137+B142+B147+B152</f>
        <v/>
      </c>
      <c r="C157" s="19">
        <f>C137+C142+C147+C152</f>
        <v/>
      </c>
      <c r="D157" s="19">
        <f>D137+D142+D147+D152</f>
        <v/>
      </c>
      <c r="E157" s="19">
        <f>E137+E142+E147+E152</f>
        <v/>
      </c>
      <c r="F157" s="19">
        <f>F137+F142+F147+F152</f>
        <v/>
      </c>
      <c r="G157" s="19">
        <f>G137+G142+G147+G152</f>
        <v/>
      </c>
      <c r="H157" s="19">
        <f>H137+H142+H147+H152</f>
        <v/>
      </c>
      <c r="I157" s="19">
        <f>I137+I142+I147+I152</f>
        <v/>
      </c>
    </row>
    <row r="158">
      <c r="A158" s="10" t="inlineStr">
        <is>
          <t>Total for the contract term, excl. VAT</t>
        </is>
      </c>
      <c r="B158" s="20">
        <f>IF($B$108&gt;=1,B153,0)+IF($B$108&gt;=2,B154,0)+IF($B$108&gt;=3,B155,0)+IF($B$108&gt;=4,B156,0)+IF($B$108&gt;=5,B157,0)</f>
        <v/>
      </c>
      <c r="C158" s="20">
        <f>IF($C$108&gt;=1,C153,0)+IF($C$108&gt;=2,C154,0)+IF($C$108&gt;=3,C155,0)+IF($C$108&gt;=4,C156,0)+IF($C$108&gt;=5,C157,0)</f>
        <v/>
      </c>
      <c r="D158" s="20">
        <f>IF($D$108&gt;=1,D153,0)+IF($D$108&gt;=2,D154,0)+IF($D$108&gt;=3,D155,0)+IF($D$108&gt;=4,D156,0)+IF($D$108&gt;=5,D157,0)</f>
        <v/>
      </c>
      <c r="E158" s="20">
        <f>IF($E$108&gt;=1,E153,0)+IF($E$108&gt;=2,E154,0)+IF($E$108&gt;=3,E155,0)+IF($E$108&gt;=4,E156,0)+IF($E$108&gt;=5,E157,0)</f>
        <v/>
      </c>
      <c r="F158" s="20">
        <f>IF($F$108&gt;=1,F153,0)+IF($F$108&gt;=2,F154,0)+IF($F$108&gt;=3,F155,0)+IF($F$108&gt;=4,F156,0)+IF($F$108&gt;=5,F157,0)</f>
        <v/>
      </c>
      <c r="G158" s="20">
        <f>IF($G$108&gt;=1,G153,0)+IF($G$108&gt;=2,G154,0)+IF($G$108&gt;=3,G155,0)+IF($G$108&gt;=4,G156,0)+IF($G$108&gt;=5,G157,0)</f>
        <v/>
      </c>
      <c r="H158" s="20">
        <f>IF($H$108&gt;=1,H153,0)+IF($H$108&gt;=2,H154,0)+IF($H$108&gt;=3,H155,0)+IF($H$108&gt;=4,H156,0)+IF($H$108&gt;=5,H157,0)</f>
        <v/>
      </c>
      <c r="I158" s="20">
        <f>IF($I$108&gt;=1,I153,0)+IF($I$108&gt;=2,I154,0)+IF($I$108&gt;=3,I155,0)+IF($I$108&gt;=4,I156,0)+IF($I$108&gt;=5,I157,0)</f>
        <v/>
      </c>
    </row>
    <row r="159">
      <c r="A159" s="10" t="inlineStr">
        <is>
          <t>5-year total cost, excl. VAT</t>
        </is>
      </c>
      <c r="B159" s="20">
        <f>B153+B154+B155+B156+B157</f>
        <v/>
      </c>
      <c r="C159" s="20">
        <f>C153+C154+C155+C156+C157</f>
        <v/>
      </c>
      <c r="D159" s="20">
        <f>D153+D154+D155+D156+D157</f>
        <v/>
      </c>
      <c r="E159" s="20">
        <f>E153+E154+E155+E156+E157</f>
        <v/>
      </c>
      <c r="F159" s="20">
        <f>F153+F154+F155+F156+F157</f>
        <v/>
      </c>
      <c r="G159" s="20">
        <f>G153+G154+G155+G156+G157</f>
        <v/>
      </c>
      <c r="H159" s="20">
        <f>H153+H154+H155+H156+H157</f>
        <v/>
      </c>
      <c r="I159" s="20">
        <f>I153+I154+I155+I156+I157</f>
        <v/>
      </c>
    </row>
    <row r="160">
      <c r="A160" s="10" t="inlineStr">
        <is>
          <t>5-year total cost, incl. VAT</t>
        </is>
      </c>
      <c r="B160" s="19">
        <f>B159*(1+VAT)</f>
        <v/>
      </c>
      <c r="C160" s="19">
        <f>C159*(1+VAT)</f>
        <v/>
      </c>
      <c r="D160" s="19">
        <f>D159*(1+VAT)</f>
        <v/>
      </c>
      <c r="E160" s="19">
        <f>E159*(1+VAT)</f>
        <v/>
      </c>
      <c r="F160" s="19">
        <f>F159*(1+VAT)</f>
        <v/>
      </c>
      <c r="G160" s="19">
        <f>G159*(1+VAT)</f>
        <v/>
      </c>
      <c r="H160" s="19">
        <f>H159*(1+VAT)</f>
        <v/>
      </c>
      <c r="I160" s="19">
        <f>I159*(1+VAT)</f>
        <v/>
      </c>
    </row>
    <row r="161">
      <c r="A161" s="10" t="inlineStr">
        <is>
          <t>5-year total cost, USD reference</t>
        </is>
      </c>
      <c r="B161" s="19">
        <f>B159/FX</f>
        <v/>
      </c>
      <c r="C161" s="19">
        <f>C159/FX</f>
        <v/>
      </c>
      <c r="D161" s="19">
        <f>D159/FX</f>
        <v/>
      </c>
      <c r="E161" s="19">
        <f>E159/FX</f>
        <v/>
      </c>
      <c r="F161" s="19">
        <f>F159/FX</f>
        <v/>
      </c>
      <c r="G161" s="19">
        <f>G159/FX</f>
        <v/>
      </c>
      <c r="H161" s="19">
        <f>H159/FX</f>
        <v/>
      </c>
      <c r="I161" s="19">
        <f>I159/FX</f>
        <v/>
      </c>
    </row>
    <row r="164">
      <c r="A164" s="6" t="inlineStr">
        <is>
          <t>Large tier: 180 users, 12 lines of business</t>
        </is>
      </c>
      <c r="B164" s="7" t="n"/>
      <c r="C164" s="7" t="n"/>
      <c r="D164" s="7" t="n"/>
      <c r="E164" s="7" t="n"/>
      <c r="F164" s="7" t="n"/>
      <c r="G164" s="7" t="n"/>
      <c r="H164" s="7" t="n"/>
      <c r="I164" s="7" t="n"/>
    </row>
    <row r="165" ht="32" customHeight="1">
      <c r="A165" s="3" t="inlineStr">
        <is>
          <t>Line</t>
        </is>
      </c>
      <c r="B165" s="3" t="inlineStr">
        <is>
          <t>Essentials, list</t>
        </is>
      </c>
      <c r="C165" s="25" t="inlineStr">
        <is>
          <t>Essentials, floor</t>
        </is>
      </c>
      <c r="D165" s="3" t="inlineStr">
        <is>
          <t>Standard, list</t>
        </is>
      </c>
      <c r="E165" s="25" t="inlineStr">
        <is>
          <t>Standard, floor</t>
        </is>
      </c>
      <c r="F165" s="3" t="inlineStr">
        <is>
          <t>Ownership, list</t>
        </is>
      </c>
      <c r="G165" s="25" t="inlineStr">
        <is>
          <t>Ownership, floor</t>
        </is>
      </c>
      <c r="H165" s="3" t="inlineStr">
        <is>
          <t>Ownership Plus, list</t>
        </is>
      </c>
      <c r="I165" s="25" t="inlineStr">
        <is>
          <t>Ownership Plus, floor</t>
        </is>
      </c>
    </row>
    <row r="166" ht="62" customHeight="1">
      <c r="A166" s="16" t="inlineStr">
        <is>
          <t>What it is</t>
        </is>
      </c>
      <c r="B166" s="5" t="inlineStr">
        <is>
          <t>Subscription; the client hosts; standard support; 3-year term.</t>
        </is>
      </c>
      <c r="C166" s="9" t="n"/>
      <c r="D166" s="5" t="inlineStr">
        <is>
          <t>Subscription hosted by iorta TechNXT on AWS (Singapore); 3-year term.</t>
        </is>
      </c>
      <c r="E166" s="9" t="n"/>
      <c r="F166" s="5" t="inlineStr">
        <is>
          <t>Perpetual licence with AMC, hosted on AWS (Singapore); 5-year view.</t>
        </is>
      </c>
      <c r="G166" s="9" t="n"/>
      <c r="H166" s="5" t="inlineStr">
        <is>
          <t>Perpetual with AMC, hosted in the Philippines, 24x7 Severity 1 support, 2 extra training days, 1 legacy source migrated.</t>
        </is>
      </c>
      <c r="I166" s="9" t="n"/>
    </row>
    <row r="167">
      <c r="A167" s="10" t="inlineStr">
        <is>
          <t>Named users</t>
        </is>
      </c>
      <c r="B167" s="24">
        <f>'Price Basis'!J32</f>
        <v/>
      </c>
      <c r="C167" s="24">
        <f>'Price Basis'!J32</f>
        <v/>
      </c>
      <c r="D167" s="24">
        <f>'Price Basis'!J32</f>
        <v/>
      </c>
      <c r="E167" s="24">
        <f>'Price Basis'!J32</f>
        <v/>
      </c>
      <c r="F167" s="24">
        <f>'Price Basis'!J32</f>
        <v/>
      </c>
      <c r="G167" s="24">
        <f>'Price Basis'!J32</f>
        <v/>
      </c>
      <c r="H167" s="24">
        <f>'Price Basis'!J32</f>
        <v/>
      </c>
      <c r="I167" s="24">
        <f>'Price Basis'!J32</f>
        <v/>
      </c>
    </row>
    <row r="168">
      <c r="A168" s="10" t="inlineStr">
        <is>
          <t>Lines of business</t>
        </is>
      </c>
      <c r="B168" s="24">
        <f>'Price Basis'!H32</f>
        <v/>
      </c>
      <c r="C168" s="24">
        <f>'Price Basis'!H32</f>
        <v/>
      </c>
      <c r="D168" s="24">
        <f>'Price Basis'!H32</f>
        <v/>
      </c>
      <c r="E168" s="24">
        <f>'Price Basis'!H32</f>
        <v/>
      </c>
      <c r="F168" s="24">
        <f>'Price Basis'!H32</f>
        <v/>
      </c>
      <c r="G168" s="24">
        <f>'Price Basis'!H32</f>
        <v/>
      </c>
      <c r="H168" s="24">
        <f>'Price Basis'!H32</f>
        <v/>
      </c>
      <c r="I168" s="24">
        <f>'Price Basis'!H32</f>
        <v/>
      </c>
    </row>
    <row r="169">
      <c r="A169" s="10" t="inlineStr">
        <is>
          <t>Licence model</t>
        </is>
      </c>
      <c r="B169" s="10" t="inlineStr">
        <is>
          <t>Subscription</t>
        </is>
      </c>
      <c r="C169" s="10" t="inlineStr">
        <is>
          <t>Subscription</t>
        </is>
      </c>
      <c r="D169" s="10" t="inlineStr">
        <is>
          <t>Subscription</t>
        </is>
      </c>
      <c r="E169" s="10" t="inlineStr">
        <is>
          <t>Subscription</t>
        </is>
      </c>
      <c r="F169" s="10" t="inlineStr">
        <is>
          <t>Perpetual</t>
        </is>
      </c>
      <c r="G169" s="10" t="inlineStr">
        <is>
          <t>Perpetual</t>
        </is>
      </c>
      <c r="H169" s="10" t="inlineStr">
        <is>
          <t>Perpetual</t>
        </is>
      </c>
      <c r="I169" s="10" t="inlineStr">
        <is>
          <t>Perpetual</t>
        </is>
      </c>
    </row>
    <row r="170">
      <c r="A170" s="10" t="inlineStr">
        <is>
          <t>Hosting</t>
        </is>
      </c>
      <c r="B170" s="10" t="inlineStr">
        <is>
          <t>Self-hosted</t>
        </is>
      </c>
      <c r="C170" s="10" t="inlineStr">
        <is>
          <t>Self-hosted</t>
        </is>
      </c>
      <c r="D170" s="10" t="inlineStr">
        <is>
          <t>AWS</t>
        </is>
      </c>
      <c r="E170" s="10" t="inlineStr">
        <is>
          <t>AWS</t>
        </is>
      </c>
      <c r="F170" s="10" t="inlineStr">
        <is>
          <t>AWS</t>
        </is>
      </c>
      <c r="G170" s="10" t="inlineStr">
        <is>
          <t>AWS</t>
        </is>
      </c>
      <c r="H170" s="10" t="inlineStr">
        <is>
          <t>Local partner</t>
        </is>
      </c>
      <c r="I170" s="10" t="inlineStr">
        <is>
          <t>Local partner</t>
        </is>
      </c>
    </row>
    <row r="171">
      <c r="A171" s="10" t="inlineStr">
        <is>
          <t>24x7 Severity 1 support</t>
        </is>
      </c>
      <c r="B171" s="10" t="inlineStr">
        <is>
          <t>No</t>
        </is>
      </c>
      <c r="C171" s="10" t="inlineStr">
        <is>
          <t>No</t>
        </is>
      </c>
      <c r="D171" s="10" t="inlineStr">
        <is>
          <t>No</t>
        </is>
      </c>
      <c r="E171" s="10" t="inlineStr">
        <is>
          <t>No</t>
        </is>
      </c>
      <c r="F171" s="10" t="inlineStr">
        <is>
          <t>No</t>
        </is>
      </c>
      <c r="G171" s="10" t="inlineStr">
        <is>
          <t>No</t>
        </is>
      </c>
      <c r="H171" s="10" t="inlineStr">
        <is>
          <t>Yes</t>
        </is>
      </c>
      <c r="I171" s="10" t="inlineStr">
        <is>
          <t>Yes</t>
        </is>
      </c>
    </row>
    <row r="172">
      <c r="A172" s="10" t="inlineStr">
        <is>
          <t>Extra training days</t>
        </is>
      </c>
      <c r="B172" s="24" t="n">
        <v>0</v>
      </c>
      <c r="C172" s="24" t="n">
        <v>0</v>
      </c>
      <c r="D172" s="24" t="n">
        <v>0</v>
      </c>
      <c r="E172" s="24" t="n">
        <v>0</v>
      </c>
      <c r="F172" s="24" t="n">
        <v>0</v>
      </c>
      <c r="G172" s="24" t="n">
        <v>0</v>
      </c>
      <c r="H172" s="24" t="n">
        <v>2</v>
      </c>
      <c r="I172" s="24" t="n">
        <v>2</v>
      </c>
    </row>
    <row r="173">
      <c r="A173" s="10" t="inlineStr">
        <is>
          <t>Legacy data sources migrated</t>
        </is>
      </c>
      <c r="B173" s="24" t="n">
        <v>0</v>
      </c>
      <c r="C173" s="24" t="n">
        <v>0</v>
      </c>
      <c r="D173" s="24" t="n">
        <v>0</v>
      </c>
      <c r="E173" s="24" t="n">
        <v>0</v>
      </c>
      <c r="F173" s="24" t="n">
        <v>0</v>
      </c>
      <c r="G173" s="24" t="n">
        <v>0</v>
      </c>
      <c r="H173" s="24" t="n">
        <v>1</v>
      </c>
      <c r="I173" s="24" t="n">
        <v>1</v>
      </c>
    </row>
    <row r="174">
      <c r="A174" s="10" t="inlineStr">
        <is>
          <t>Additional standard integrations</t>
        </is>
      </c>
      <c r="B174" s="24" t="n">
        <v>0</v>
      </c>
      <c r="C174" s="24" t="n">
        <v>0</v>
      </c>
      <c r="D174" s="24" t="n">
        <v>0</v>
      </c>
      <c r="E174" s="24" t="n">
        <v>0</v>
      </c>
      <c r="F174" s="24" t="n">
        <v>0</v>
      </c>
      <c r="G174" s="24" t="n">
        <v>0</v>
      </c>
      <c r="H174" s="24" t="n">
        <v>0</v>
      </c>
      <c r="I174" s="24" t="n">
        <v>0</v>
      </c>
    </row>
    <row r="175">
      <c r="A175" s="10" t="inlineStr">
        <is>
          <t>Additional complex integrations</t>
        </is>
      </c>
      <c r="B175" s="24" t="n">
        <v>0</v>
      </c>
      <c r="C175" s="24" t="n">
        <v>0</v>
      </c>
      <c r="D175" s="24" t="n">
        <v>0</v>
      </c>
      <c r="E175" s="24" t="n">
        <v>0</v>
      </c>
      <c r="F175" s="24" t="n">
        <v>0</v>
      </c>
      <c r="G175" s="24" t="n">
        <v>0</v>
      </c>
      <c r="H175" s="24" t="n">
        <v>0</v>
      </c>
      <c r="I175" s="24" t="n">
        <v>0</v>
      </c>
    </row>
    <row r="176">
      <c r="A176" s="10" t="inlineStr">
        <is>
          <t>Additional environments</t>
        </is>
      </c>
      <c r="B176" s="24" t="n">
        <v>0</v>
      </c>
      <c r="C176" s="24" t="n">
        <v>0</v>
      </c>
      <c r="D176" s="24" t="n">
        <v>0</v>
      </c>
      <c r="E176" s="24" t="n">
        <v>0</v>
      </c>
      <c r="F176" s="24" t="n">
        <v>0</v>
      </c>
      <c r="G176" s="24" t="n">
        <v>0</v>
      </c>
      <c r="H176" s="24" t="n">
        <v>0</v>
      </c>
      <c r="I176" s="24" t="n">
        <v>0</v>
      </c>
    </row>
    <row r="177">
      <c r="A177" s="10" t="inlineStr">
        <is>
          <t>On-site days</t>
        </is>
      </c>
      <c r="B177" s="24" t="n">
        <v>0</v>
      </c>
      <c r="C177" s="24" t="n">
        <v>0</v>
      </c>
      <c r="D177" s="24" t="n">
        <v>0</v>
      </c>
      <c r="E177" s="24" t="n">
        <v>0</v>
      </c>
      <c r="F177" s="24" t="n">
        <v>0</v>
      </c>
      <c r="G177" s="24" t="n">
        <v>0</v>
      </c>
      <c r="H177" s="24" t="n">
        <v>0</v>
      </c>
      <c r="I177" s="24" t="n">
        <v>0</v>
      </c>
    </row>
    <row r="178">
      <c r="A178" s="10" t="inlineStr">
        <is>
          <t>Contract term (years)</t>
        </is>
      </c>
      <c r="B178" s="24" t="n">
        <v>3</v>
      </c>
      <c r="C178" s="24" t="n">
        <v>3</v>
      </c>
      <c r="D178" s="24" t="n">
        <v>3</v>
      </c>
      <c r="E178" s="24" t="n">
        <v>3</v>
      </c>
      <c r="F178" s="24" t="n">
        <v>5</v>
      </c>
      <c r="G178" s="24" t="n">
        <v>5</v>
      </c>
      <c r="H178" s="24" t="n">
        <v>5</v>
      </c>
      <c r="I178" s="24" t="n">
        <v>5</v>
      </c>
    </row>
    <row r="179">
      <c r="A179" s="10" t="inlineStr">
        <is>
          <t>Discount on licence or subscription</t>
        </is>
      </c>
      <c r="B179" s="27" t="n">
        <v>0</v>
      </c>
      <c r="C179" s="28">
        <f>Floor_SW</f>
        <v/>
      </c>
      <c r="D179" s="27" t="n">
        <v>0</v>
      </c>
      <c r="E179" s="28">
        <f>Floor_SW</f>
        <v/>
      </c>
      <c r="F179" s="27" t="n">
        <v>0</v>
      </c>
      <c r="G179" s="28">
        <f>Floor_SW</f>
        <v/>
      </c>
      <c r="H179" s="27" t="n">
        <v>0</v>
      </c>
      <c r="I179" s="28">
        <f>Floor_SW</f>
        <v/>
      </c>
    </row>
    <row r="180">
      <c r="A180" s="10" t="inlineStr">
        <is>
          <t>Discount on implementation and services</t>
        </is>
      </c>
      <c r="B180" s="27" t="n">
        <v>0</v>
      </c>
      <c r="C180" s="28">
        <f>Floor_Svc</f>
        <v/>
      </c>
      <c r="D180" s="27" t="n">
        <v>0</v>
      </c>
      <c r="E180" s="28">
        <f>Floor_Svc</f>
        <v/>
      </c>
      <c r="F180" s="27" t="n">
        <v>0</v>
      </c>
      <c r="G180" s="28">
        <f>Floor_Svc</f>
        <v/>
      </c>
      <c r="H180" s="27" t="n">
        <v>0</v>
      </c>
      <c r="I180" s="28">
        <f>Floor_Svc</f>
        <v/>
      </c>
    </row>
    <row r="181">
      <c r="A181" s="10" t="inlineStr">
        <is>
          <t>Discount on hosting</t>
        </is>
      </c>
      <c r="B181" s="27" t="n">
        <v>0</v>
      </c>
      <c r="C181" s="28">
        <f>Floor_Host</f>
        <v/>
      </c>
      <c r="D181" s="27" t="n">
        <v>0</v>
      </c>
      <c r="E181" s="28">
        <f>Floor_Host</f>
        <v/>
      </c>
      <c r="F181" s="27" t="n">
        <v>0</v>
      </c>
      <c r="G181" s="28">
        <f>Floor_Host</f>
        <v/>
      </c>
      <c r="H181" s="27" t="n">
        <v>0</v>
      </c>
      <c r="I181" s="28">
        <f>Floor_Host</f>
        <v/>
      </c>
    </row>
    <row r="182">
      <c r="A182" s="10" t="inlineStr">
        <is>
          <t>Tier index</t>
        </is>
      </c>
      <c r="B182" s="24">
        <f>MATCH($B$167,TierFrom,1)</f>
        <v/>
      </c>
      <c r="C182" s="24">
        <f>MATCH($C$167,TierFrom,1)</f>
        <v/>
      </c>
      <c r="D182" s="24">
        <f>MATCH($D$167,TierFrom,1)</f>
        <v/>
      </c>
      <c r="E182" s="24">
        <f>MATCH($E$167,TierFrom,1)</f>
        <v/>
      </c>
      <c r="F182" s="24">
        <f>MATCH($F$167,TierFrom,1)</f>
        <v/>
      </c>
      <c r="G182" s="24">
        <f>MATCH($G$167,TierFrom,1)</f>
        <v/>
      </c>
      <c r="H182" s="24">
        <f>MATCH($H$167,TierFrom,1)</f>
        <v/>
      </c>
      <c r="I182" s="24">
        <f>MATCH($I$167,TierFrom,1)</f>
        <v/>
      </c>
    </row>
    <row r="183">
      <c r="A183" s="10" t="inlineStr">
        <is>
          <t>Tier</t>
        </is>
      </c>
      <c r="B183" s="10">
        <f>INDEX(TierName,B182)</f>
        <v/>
      </c>
      <c r="C183" s="10">
        <f>INDEX(TierName,C182)</f>
        <v/>
      </c>
      <c r="D183" s="10">
        <f>INDEX(TierName,D182)</f>
        <v/>
      </c>
      <c r="E183" s="10">
        <f>INDEX(TierName,E182)</f>
        <v/>
      </c>
      <c r="F183" s="10">
        <f>INDEX(TierName,F182)</f>
        <v/>
      </c>
      <c r="G183" s="10">
        <f>INDEX(TierName,G182)</f>
        <v/>
      </c>
      <c r="H183" s="10">
        <f>INDEX(TierName,H182)</f>
        <v/>
      </c>
      <c r="I183" s="10">
        <f>INDEX(TierName,I182)</f>
        <v/>
      </c>
    </row>
    <row r="184">
      <c r="A184" s="10" t="inlineStr">
        <is>
          <t>Billable users (subscription minimum applies)</t>
        </is>
      </c>
      <c r="B184" s="24">
        <f>IF($B$169="Subscription",MAX($B$167,INDEX(MinBill,B182)),$B$167)</f>
        <v/>
      </c>
      <c r="C184" s="24">
        <f>IF($C$169="Subscription",MAX($C$167,INDEX(MinBill,C182)),$C$167)</f>
        <v/>
      </c>
      <c r="D184" s="24">
        <f>IF($D$169="Subscription",MAX($D$167,INDEX(MinBill,D182)),$D$167)</f>
        <v/>
      </c>
      <c r="E184" s="24">
        <f>IF($E$169="Subscription",MAX($E$167,INDEX(MinBill,E182)),$E$167)</f>
        <v/>
      </c>
      <c r="F184" s="24">
        <f>IF($F$169="Subscription",MAX($F$167,INDEX(MinBill,F182)),$F$167)</f>
        <v/>
      </c>
      <c r="G184" s="24">
        <f>IF($G$169="Subscription",MAX($G$167,INDEX(MinBill,G182)),$G$167)</f>
        <v/>
      </c>
      <c r="H184" s="24">
        <f>IF($H$169="Subscription",MAX($H$167,INDEX(MinBill,H182)),$H$167)</f>
        <v/>
      </c>
      <c r="I184" s="24">
        <f>IF($I$169="Subscription",MAX($I$167,INDEX(MinBill,I182)),$I$167)</f>
        <v/>
      </c>
    </row>
    <row r="185">
      <c r="A185" s="10" t="inlineStr">
        <is>
          <t>Implementation man-days</t>
        </is>
      </c>
      <c r="B185" s="24">
        <f>INDEX(BaseDays,B182)+MAX(0,$B$168-INDEX(LOBIncl,B182))*Days_per_LOB</f>
        <v/>
      </c>
      <c r="C185" s="24">
        <f>INDEX(BaseDays,C182)+MAX(0,$C$168-INDEX(LOBIncl,C182))*Days_per_LOB</f>
        <v/>
      </c>
      <c r="D185" s="24">
        <f>INDEX(BaseDays,D182)+MAX(0,$D$168-INDEX(LOBIncl,D182))*Days_per_LOB</f>
        <v/>
      </c>
      <c r="E185" s="24">
        <f>INDEX(BaseDays,E182)+MAX(0,$E$168-INDEX(LOBIncl,E182))*Days_per_LOB</f>
        <v/>
      </c>
      <c r="F185" s="24">
        <f>INDEX(BaseDays,F182)+MAX(0,$F$168-INDEX(LOBIncl,F182))*Days_per_LOB</f>
        <v/>
      </c>
      <c r="G185" s="24">
        <f>INDEX(BaseDays,G182)+MAX(0,$G$168-INDEX(LOBIncl,G182))*Days_per_LOB</f>
        <v/>
      </c>
      <c r="H185" s="24">
        <f>INDEX(BaseDays,H182)+MAX(0,$H$168-INDEX(LOBIncl,H182))*Days_per_LOB</f>
        <v/>
      </c>
      <c r="I185" s="24">
        <f>INDEX(BaseDays,I182)+MAX(0,$I$168-INDEX(LOBIncl,I182))*Days_per_LOB</f>
        <v/>
      </c>
    </row>
    <row r="186">
      <c r="A186" s="10" t="inlineStr">
        <is>
          <t>Implementation or onboarding fee, list</t>
        </is>
      </c>
      <c r="B186" s="19">
        <f>ROUND(B185*Blended/Round_To,0)*Round_To*IF($B$169="Subscription",Onboard_Pct,1)</f>
        <v/>
      </c>
      <c r="C186" s="19">
        <f>ROUND(C185*Blended/Round_To,0)*Round_To*IF($C$169="Subscription",Onboard_Pct,1)</f>
        <v/>
      </c>
      <c r="D186" s="19">
        <f>ROUND(D185*Blended/Round_To,0)*Round_To*IF($D$169="Subscription",Onboard_Pct,1)</f>
        <v/>
      </c>
      <c r="E186" s="19">
        <f>ROUND(E185*Blended/Round_To,0)*Round_To*IF($E$169="Subscription",Onboard_Pct,1)</f>
        <v/>
      </c>
      <c r="F186" s="19">
        <f>ROUND(F185*Blended/Round_To,0)*Round_To*IF($F$169="Subscription",Onboard_Pct,1)</f>
        <v/>
      </c>
      <c r="G186" s="19">
        <f>ROUND(G185*Blended/Round_To,0)*Round_To*IF($G$169="Subscription",Onboard_Pct,1)</f>
        <v/>
      </c>
      <c r="H186" s="19">
        <f>ROUND(H185*Blended/Round_To,0)*Round_To*IF($H$169="Subscription",Onboard_Pct,1)</f>
        <v/>
      </c>
      <c r="I186" s="19">
        <f>ROUND(I185*Blended/Round_To,0)*Round_To*IF($I$169="Subscription",Onboard_Pct,1)</f>
        <v/>
      </c>
    </row>
    <row r="187">
      <c r="A187" s="10" t="inlineStr">
        <is>
          <t>Implementation or onboarding fee, quoted</t>
        </is>
      </c>
      <c r="B187" s="19">
        <f>B186*(1-$B$180)</f>
        <v/>
      </c>
      <c r="C187" s="19">
        <f>C186*(1-$C$180)</f>
        <v/>
      </c>
      <c r="D187" s="19">
        <f>D186*(1-$D$180)</f>
        <v/>
      </c>
      <c r="E187" s="19">
        <f>E186*(1-$E$180)</f>
        <v/>
      </c>
      <c r="F187" s="19">
        <f>F186*(1-$F$180)</f>
        <v/>
      </c>
      <c r="G187" s="19">
        <f>G186*(1-$G$180)</f>
        <v/>
      </c>
      <c r="H187" s="19">
        <f>H186*(1-$H$180)</f>
        <v/>
      </c>
      <c r="I187" s="19">
        <f>I186*(1-$I$180)</f>
        <v/>
      </c>
    </row>
    <row r="188">
      <c r="A188" s="10" t="inlineStr">
        <is>
          <t>Perpetual licence fee, list (one-time)</t>
        </is>
      </c>
      <c r="B188" s="19">
        <f>IF($B$169="Perpetual",MAX(0,MIN($B$167,'Price Basis'!$C$30)-'Price Basis'!$B$30+1)*'Price Basis'!$D$30+MAX(0,MIN($B$167,'Price Basis'!$C$31)-'Price Basis'!$B$31+1)*'Price Basis'!$D$31+MAX(0,MIN($B$167,'Price Basis'!$C$32)-'Price Basis'!$B$32+1)*'Price Basis'!$D$32+MAX(0,MIN($B$167,'Price Basis'!$C$33)-'Price Basis'!$B$33+1)*'Price Basis'!$D$33,0)</f>
        <v/>
      </c>
      <c r="C188" s="19">
        <f>IF($C$169="Perpetual",MAX(0,MIN($C$167,'Price Basis'!$C$30)-'Price Basis'!$B$30+1)*'Price Basis'!$D$30+MAX(0,MIN($C$167,'Price Basis'!$C$31)-'Price Basis'!$B$31+1)*'Price Basis'!$D$31+MAX(0,MIN($C$167,'Price Basis'!$C$32)-'Price Basis'!$B$32+1)*'Price Basis'!$D$32+MAX(0,MIN($C$167,'Price Basis'!$C$33)-'Price Basis'!$B$33+1)*'Price Basis'!$D$33,0)</f>
        <v/>
      </c>
      <c r="D188" s="19">
        <f>IF($D$169="Perpetual",MAX(0,MIN($D$167,'Price Basis'!$C$30)-'Price Basis'!$B$30+1)*'Price Basis'!$D$30+MAX(0,MIN($D$167,'Price Basis'!$C$31)-'Price Basis'!$B$31+1)*'Price Basis'!$D$31+MAX(0,MIN($D$167,'Price Basis'!$C$32)-'Price Basis'!$B$32+1)*'Price Basis'!$D$32+MAX(0,MIN($D$167,'Price Basis'!$C$33)-'Price Basis'!$B$33+1)*'Price Basis'!$D$33,0)</f>
        <v/>
      </c>
      <c r="E188" s="19">
        <f>IF($E$169="Perpetual",MAX(0,MIN($E$167,'Price Basis'!$C$30)-'Price Basis'!$B$30+1)*'Price Basis'!$D$30+MAX(0,MIN($E$167,'Price Basis'!$C$31)-'Price Basis'!$B$31+1)*'Price Basis'!$D$31+MAX(0,MIN($E$167,'Price Basis'!$C$32)-'Price Basis'!$B$32+1)*'Price Basis'!$D$32+MAX(0,MIN($E$167,'Price Basis'!$C$33)-'Price Basis'!$B$33+1)*'Price Basis'!$D$33,0)</f>
        <v/>
      </c>
      <c r="F188" s="19">
        <f>IF($F$169="Perpetual",MAX(0,MIN($F$167,'Price Basis'!$C$30)-'Price Basis'!$B$30+1)*'Price Basis'!$D$30+MAX(0,MIN($F$167,'Price Basis'!$C$31)-'Price Basis'!$B$31+1)*'Price Basis'!$D$31+MAX(0,MIN($F$167,'Price Basis'!$C$32)-'Price Basis'!$B$32+1)*'Price Basis'!$D$32+MAX(0,MIN($F$167,'Price Basis'!$C$33)-'Price Basis'!$B$33+1)*'Price Basis'!$D$33,0)</f>
        <v/>
      </c>
      <c r="G188" s="19">
        <f>IF($G$169="Perpetual",MAX(0,MIN($G$167,'Price Basis'!$C$30)-'Price Basis'!$B$30+1)*'Price Basis'!$D$30+MAX(0,MIN($G$167,'Price Basis'!$C$31)-'Price Basis'!$B$31+1)*'Price Basis'!$D$31+MAX(0,MIN($G$167,'Price Basis'!$C$32)-'Price Basis'!$B$32+1)*'Price Basis'!$D$32+MAX(0,MIN($G$167,'Price Basis'!$C$33)-'Price Basis'!$B$33+1)*'Price Basis'!$D$33,0)</f>
        <v/>
      </c>
      <c r="H188" s="19">
        <f>IF($H$169="Perpetual",MAX(0,MIN($H$167,'Price Basis'!$C$30)-'Price Basis'!$B$30+1)*'Price Basis'!$D$30+MAX(0,MIN($H$167,'Price Basis'!$C$31)-'Price Basis'!$B$31+1)*'Price Basis'!$D$31+MAX(0,MIN($H$167,'Price Basis'!$C$32)-'Price Basis'!$B$32+1)*'Price Basis'!$D$32+MAX(0,MIN($H$167,'Price Basis'!$C$33)-'Price Basis'!$B$33+1)*'Price Basis'!$D$33,0)</f>
        <v/>
      </c>
      <c r="I188" s="19">
        <f>IF($I$169="Perpetual",MAX(0,MIN($I$167,'Price Basis'!$C$30)-'Price Basis'!$B$30+1)*'Price Basis'!$D$30+MAX(0,MIN($I$167,'Price Basis'!$C$31)-'Price Basis'!$B$31+1)*'Price Basis'!$D$31+MAX(0,MIN($I$167,'Price Basis'!$C$32)-'Price Basis'!$B$32+1)*'Price Basis'!$D$32+MAX(0,MIN($I$167,'Price Basis'!$C$33)-'Price Basis'!$B$33+1)*'Price Basis'!$D$33,0)</f>
        <v/>
      </c>
    </row>
    <row r="189">
      <c r="A189" s="10" t="inlineStr">
        <is>
          <t>Perpetual licence fee, quoted (one-time)</t>
        </is>
      </c>
      <c r="B189" s="19">
        <f>B188*(1-$B$179)</f>
        <v/>
      </c>
      <c r="C189" s="19">
        <f>C188*(1-$C$179)</f>
        <v/>
      </c>
      <c r="D189" s="19">
        <f>D188*(1-$D$179)</f>
        <v/>
      </c>
      <c r="E189" s="19">
        <f>E188*(1-$E$179)</f>
        <v/>
      </c>
      <c r="F189" s="19">
        <f>F188*(1-$F$179)</f>
        <v/>
      </c>
      <c r="G189" s="19">
        <f>G188*(1-$G$179)</f>
        <v/>
      </c>
      <c r="H189" s="19">
        <f>H188*(1-$H$179)</f>
        <v/>
      </c>
      <c r="I189" s="19">
        <f>I188*(1-$I$179)</f>
        <v/>
      </c>
    </row>
    <row r="190">
      <c r="A190" s="10" t="inlineStr">
        <is>
          <t>Subscription per month, Year 1, list</t>
        </is>
      </c>
      <c r="B190" s="19">
        <f>IF($B$169="Subscription",MAX(0,MIN(B184,'Price Basis'!$C$30)-'Price Basis'!$B$30+1)*'Price Basis'!$E$30+MAX(0,MIN(B184,'Price Basis'!$C$31)-'Price Basis'!$B$31+1)*'Price Basis'!$E$31+MAX(0,MIN(B184,'Price Basis'!$C$32)-'Price Basis'!$B$32+1)*'Price Basis'!$E$32+MAX(0,MIN(B184,'Price Basis'!$C$33)-'Price Basis'!$B$33+1)*'Price Basis'!$E$33,0)</f>
        <v/>
      </c>
      <c r="C190" s="19">
        <f>IF($C$169="Subscription",MAX(0,MIN(C184,'Price Basis'!$C$30)-'Price Basis'!$B$30+1)*'Price Basis'!$E$30+MAX(0,MIN(C184,'Price Basis'!$C$31)-'Price Basis'!$B$31+1)*'Price Basis'!$E$31+MAX(0,MIN(C184,'Price Basis'!$C$32)-'Price Basis'!$B$32+1)*'Price Basis'!$E$32+MAX(0,MIN(C184,'Price Basis'!$C$33)-'Price Basis'!$B$33+1)*'Price Basis'!$E$33,0)</f>
        <v/>
      </c>
      <c r="D190" s="19">
        <f>IF($D$169="Subscription",MAX(0,MIN(D184,'Price Basis'!$C$30)-'Price Basis'!$B$30+1)*'Price Basis'!$E$30+MAX(0,MIN(D184,'Price Basis'!$C$31)-'Price Basis'!$B$31+1)*'Price Basis'!$E$31+MAX(0,MIN(D184,'Price Basis'!$C$32)-'Price Basis'!$B$32+1)*'Price Basis'!$E$32+MAX(0,MIN(D184,'Price Basis'!$C$33)-'Price Basis'!$B$33+1)*'Price Basis'!$E$33,0)</f>
        <v/>
      </c>
      <c r="E190" s="19">
        <f>IF($E$169="Subscription",MAX(0,MIN(E184,'Price Basis'!$C$30)-'Price Basis'!$B$30+1)*'Price Basis'!$E$30+MAX(0,MIN(E184,'Price Basis'!$C$31)-'Price Basis'!$B$31+1)*'Price Basis'!$E$31+MAX(0,MIN(E184,'Price Basis'!$C$32)-'Price Basis'!$B$32+1)*'Price Basis'!$E$32+MAX(0,MIN(E184,'Price Basis'!$C$33)-'Price Basis'!$B$33+1)*'Price Basis'!$E$33,0)</f>
        <v/>
      </c>
      <c r="F190" s="19">
        <f>IF($F$169="Subscription",MAX(0,MIN(F184,'Price Basis'!$C$30)-'Price Basis'!$B$30+1)*'Price Basis'!$E$30+MAX(0,MIN(F184,'Price Basis'!$C$31)-'Price Basis'!$B$31+1)*'Price Basis'!$E$31+MAX(0,MIN(F184,'Price Basis'!$C$32)-'Price Basis'!$B$32+1)*'Price Basis'!$E$32+MAX(0,MIN(F184,'Price Basis'!$C$33)-'Price Basis'!$B$33+1)*'Price Basis'!$E$33,0)</f>
        <v/>
      </c>
      <c r="G190" s="19">
        <f>IF($G$169="Subscription",MAX(0,MIN(G184,'Price Basis'!$C$30)-'Price Basis'!$B$30+1)*'Price Basis'!$E$30+MAX(0,MIN(G184,'Price Basis'!$C$31)-'Price Basis'!$B$31+1)*'Price Basis'!$E$31+MAX(0,MIN(G184,'Price Basis'!$C$32)-'Price Basis'!$B$32+1)*'Price Basis'!$E$32+MAX(0,MIN(G184,'Price Basis'!$C$33)-'Price Basis'!$B$33+1)*'Price Basis'!$E$33,0)</f>
        <v/>
      </c>
      <c r="H190" s="19">
        <f>IF($H$169="Subscription",MAX(0,MIN(H184,'Price Basis'!$C$30)-'Price Basis'!$B$30+1)*'Price Basis'!$E$30+MAX(0,MIN(H184,'Price Basis'!$C$31)-'Price Basis'!$B$31+1)*'Price Basis'!$E$31+MAX(0,MIN(H184,'Price Basis'!$C$32)-'Price Basis'!$B$32+1)*'Price Basis'!$E$32+MAX(0,MIN(H184,'Price Basis'!$C$33)-'Price Basis'!$B$33+1)*'Price Basis'!$E$33,0)</f>
        <v/>
      </c>
      <c r="I190" s="19">
        <f>IF($I$169="Subscription",MAX(0,MIN(I184,'Price Basis'!$C$30)-'Price Basis'!$B$30+1)*'Price Basis'!$E$30+MAX(0,MIN(I184,'Price Basis'!$C$31)-'Price Basis'!$B$31+1)*'Price Basis'!$E$31+MAX(0,MIN(I184,'Price Basis'!$C$32)-'Price Basis'!$B$32+1)*'Price Basis'!$E$32+MAX(0,MIN(I184,'Price Basis'!$C$33)-'Price Basis'!$B$33+1)*'Price Basis'!$E$33,0)</f>
        <v/>
      </c>
    </row>
    <row r="191">
      <c r="A191" s="10" t="inlineStr">
        <is>
          <t>Subscription per month, Year 1, quoted</t>
        </is>
      </c>
      <c r="B191" s="19">
        <f>B190*(1-$B$179)</f>
        <v/>
      </c>
      <c r="C191" s="19">
        <f>C190*(1-$C$179)</f>
        <v/>
      </c>
      <c r="D191" s="19">
        <f>D190*(1-$D$179)</f>
        <v/>
      </c>
      <c r="E191" s="19">
        <f>E190*(1-$E$179)</f>
        <v/>
      </c>
      <c r="F191" s="19">
        <f>F190*(1-$F$179)</f>
        <v/>
      </c>
      <c r="G191" s="19">
        <f>G190*(1-$G$179)</f>
        <v/>
      </c>
      <c r="H191" s="19">
        <f>H190*(1-$H$179)</f>
        <v/>
      </c>
      <c r="I191" s="19">
        <f>I190*(1-$I$179)</f>
        <v/>
      </c>
    </row>
    <row r="192">
      <c r="A192" s="10" t="inlineStr">
        <is>
          <t>Effective price per user (licence one-time, or subscription per month)</t>
        </is>
      </c>
      <c r="B192" s="19">
        <f>IF($B$169="Perpetual",B189/$B$167,B191/B184)</f>
        <v/>
      </c>
      <c r="C192" s="19">
        <f>IF($C$169="Perpetual",C189/$C$167,C191/C184)</f>
        <v/>
      </c>
      <c r="D192" s="19">
        <f>IF($D$169="Perpetual",D189/$D$167,D191/D184)</f>
        <v/>
      </c>
      <c r="E192" s="19">
        <f>IF($E$169="Perpetual",E189/$E$167,E191/E184)</f>
        <v/>
      </c>
      <c r="F192" s="19">
        <f>IF($F$169="Perpetual",F189/$F$167,F191/F184)</f>
        <v/>
      </c>
      <c r="G192" s="19">
        <f>IF($G$169="Perpetual",G189/$G$167,G191/G184)</f>
        <v/>
      </c>
      <c r="H192" s="19">
        <f>IF($H$169="Perpetual",H189/$H$167,H191/H184)</f>
        <v/>
      </c>
      <c r="I192" s="19">
        <f>IF($I$169="Perpetual",I189/$I$167,I191/I184)</f>
        <v/>
      </c>
    </row>
    <row r="193">
      <c r="A193" s="10" t="inlineStr">
        <is>
          <t>Hosting per month, list</t>
        </is>
      </c>
      <c r="B193" s="19">
        <f>INDEX(Host_Tbl,B182,MATCH($B$170,Host_Hdr,0))</f>
        <v/>
      </c>
      <c r="C193" s="19">
        <f>INDEX(Host_Tbl,C182,MATCH($C$170,Host_Hdr,0))</f>
        <v/>
      </c>
      <c r="D193" s="19">
        <f>INDEX(Host_Tbl,D182,MATCH($D$170,Host_Hdr,0))</f>
        <v/>
      </c>
      <c r="E193" s="19">
        <f>INDEX(Host_Tbl,E182,MATCH($E$170,Host_Hdr,0))</f>
        <v/>
      </c>
      <c r="F193" s="19">
        <f>INDEX(Host_Tbl,F182,MATCH($F$170,Host_Hdr,0))</f>
        <v/>
      </c>
      <c r="G193" s="19">
        <f>INDEX(Host_Tbl,G182,MATCH($G$170,Host_Hdr,0))</f>
        <v/>
      </c>
      <c r="H193" s="19">
        <f>INDEX(Host_Tbl,H182,MATCH($H$170,Host_Hdr,0))</f>
        <v/>
      </c>
      <c r="I193" s="19">
        <f>INDEX(Host_Tbl,I182,MATCH($I$170,Host_Hdr,0))</f>
        <v/>
      </c>
    </row>
    <row r="194">
      <c r="A194" s="10" t="inlineStr">
        <is>
          <t>Hosting per month, quoted</t>
        </is>
      </c>
      <c r="B194" s="19">
        <f>B193*(1-$B$181)</f>
        <v/>
      </c>
      <c r="C194" s="19">
        <f>C193*(1-$C$181)</f>
        <v/>
      </c>
      <c r="D194" s="19">
        <f>D193*(1-$D$181)</f>
        <v/>
      </c>
      <c r="E194" s="19">
        <f>E193*(1-$E$181)</f>
        <v/>
      </c>
      <c r="F194" s="19">
        <f>F193*(1-$F$181)</f>
        <v/>
      </c>
      <c r="G194" s="19">
        <f>G193*(1-$G$181)</f>
        <v/>
      </c>
      <c r="H194" s="19">
        <f>H193*(1-$H$181)</f>
        <v/>
      </c>
      <c r="I194" s="19">
        <f>I193*(1-$I$181)</f>
        <v/>
      </c>
    </row>
    <row r="195">
      <c r="A195" s="10" t="inlineStr">
        <is>
          <t>Pre-Prod per month of use, list</t>
        </is>
      </c>
      <c r="B195" s="19">
        <f>INDEX(PP_Tbl,B182,MATCH($B$170,Host_Hdr,0))</f>
        <v/>
      </c>
      <c r="C195" s="19">
        <f>INDEX(PP_Tbl,C182,MATCH($C$170,Host_Hdr,0))</f>
        <v/>
      </c>
      <c r="D195" s="19">
        <f>INDEX(PP_Tbl,D182,MATCH($D$170,Host_Hdr,0))</f>
        <v/>
      </c>
      <c r="E195" s="19">
        <f>INDEX(PP_Tbl,E182,MATCH($E$170,Host_Hdr,0))</f>
        <v/>
      </c>
      <c r="F195" s="19">
        <f>INDEX(PP_Tbl,F182,MATCH($F$170,Host_Hdr,0))</f>
        <v/>
      </c>
      <c r="G195" s="19">
        <f>INDEX(PP_Tbl,G182,MATCH($G$170,Host_Hdr,0))</f>
        <v/>
      </c>
      <c r="H195" s="19">
        <f>INDEX(PP_Tbl,H182,MATCH($H$170,Host_Hdr,0))</f>
        <v/>
      </c>
      <c r="I195" s="19">
        <f>INDEX(PP_Tbl,I182,MATCH($I$170,Host_Hdr,0))</f>
        <v/>
      </c>
    </row>
    <row r="196">
      <c r="A196" s="10" t="inlineStr">
        <is>
          <t>Pre-Prod per month of use, quoted</t>
        </is>
      </c>
      <c r="B196" s="19">
        <f>B195*(1-$B$181)</f>
        <v/>
      </c>
      <c r="C196" s="19">
        <f>C195*(1-$C$181)</f>
        <v/>
      </c>
      <c r="D196" s="19">
        <f>D195*(1-$D$181)</f>
        <v/>
      </c>
      <c r="E196" s="19">
        <f>E195*(1-$E$181)</f>
        <v/>
      </c>
      <c r="F196" s="19">
        <f>F195*(1-$F$181)</f>
        <v/>
      </c>
      <c r="G196" s="19">
        <f>G195*(1-$G$181)</f>
        <v/>
      </c>
      <c r="H196" s="19">
        <f>H195*(1-$H$181)</f>
        <v/>
      </c>
      <c r="I196" s="19">
        <f>I195*(1-$I$181)</f>
        <v/>
      </c>
    </row>
    <row r="197">
      <c r="A197" s="10" t="inlineStr">
        <is>
          <t>Additional hosted environments per month</t>
        </is>
      </c>
      <c r="B197" s="19">
        <f>IF($B$170="Self-hosted",0,$B$176*Env_Month)</f>
        <v/>
      </c>
      <c r="C197" s="19">
        <f>IF($C$170="Self-hosted",0,$C$176*Env_Month)</f>
        <v/>
      </c>
      <c r="D197" s="19">
        <f>IF($D$170="Self-hosted",0,$D$176*Env_Month)</f>
        <v/>
      </c>
      <c r="E197" s="19">
        <f>IF($E$170="Self-hosted",0,$E$176*Env_Month)</f>
        <v/>
      </c>
      <c r="F197" s="19">
        <f>IF($F$170="Self-hosted",0,$F$176*Env_Month)</f>
        <v/>
      </c>
      <c r="G197" s="19">
        <f>IF($G$170="Self-hosted",0,$G$176*Env_Month)</f>
        <v/>
      </c>
      <c r="H197" s="19">
        <f>IF($H$170="Self-hosted",0,$H$176*Env_Month)</f>
        <v/>
      </c>
      <c r="I197" s="19">
        <f>IF($I$170="Self-hosted",0,$I$176*Env_Month)</f>
        <v/>
      </c>
    </row>
    <row r="198">
      <c r="A198" s="10" t="inlineStr">
        <is>
          <t>Monthly recurring at go-live (subscription, hosting, environments)</t>
        </is>
      </c>
      <c r="B198" s="19">
        <f>B191+B194+B197</f>
        <v/>
      </c>
      <c r="C198" s="19">
        <f>C191+C194+C197</f>
        <v/>
      </c>
      <c r="D198" s="19">
        <f>D191+D194+D197</f>
        <v/>
      </c>
      <c r="E198" s="19">
        <f>E191+E194+E197</f>
        <v/>
      </c>
      <c r="F198" s="19">
        <f>F191+F194+F197</f>
        <v/>
      </c>
      <c r="G198" s="19">
        <f>G191+G194+G197</f>
        <v/>
      </c>
      <c r="H198" s="19">
        <f>H191+H194+H197</f>
        <v/>
      </c>
      <c r="I198" s="19">
        <f>I191+I194+I197</f>
        <v/>
      </c>
    </row>
    <row r="199">
      <c r="A199" s="10" t="inlineStr">
        <is>
          <t>One-time optional services, list</t>
        </is>
      </c>
      <c r="B199" s="19">
        <f>$B$172*Rate_Trainer+$B$173*Mig_Source+$B$174*Int_Std+$B$175*Int_Cx+$B$176*Env_Setup+$B$177*Rate_Onsite</f>
        <v/>
      </c>
      <c r="C199" s="19">
        <f>$C$172*Rate_Trainer+$C$173*Mig_Source+$C$174*Int_Std+$C$175*Int_Cx+$C$176*Env_Setup+$C$177*Rate_Onsite</f>
        <v/>
      </c>
      <c r="D199" s="19">
        <f>$D$172*Rate_Trainer+$D$173*Mig_Source+$D$174*Int_Std+$D$175*Int_Cx+$D$176*Env_Setup+$D$177*Rate_Onsite</f>
        <v/>
      </c>
      <c r="E199" s="19">
        <f>$E$172*Rate_Trainer+$E$173*Mig_Source+$E$174*Int_Std+$E$175*Int_Cx+$E$176*Env_Setup+$E$177*Rate_Onsite</f>
        <v/>
      </c>
      <c r="F199" s="19">
        <f>$F$172*Rate_Trainer+$F$173*Mig_Source+$F$174*Int_Std+$F$175*Int_Cx+$F$176*Env_Setup+$F$177*Rate_Onsite</f>
        <v/>
      </c>
      <c r="G199" s="19">
        <f>$G$172*Rate_Trainer+$G$173*Mig_Source+$G$174*Int_Std+$G$175*Int_Cx+$G$176*Env_Setup+$G$177*Rate_Onsite</f>
        <v/>
      </c>
      <c r="H199" s="19">
        <f>$H$172*Rate_Trainer+$H$173*Mig_Source+$H$174*Int_Std+$H$175*Int_Cx+$H$176*Env_Setup+$H$177*Rate_Onsite</f>
        <v/>
      </c>
      <c r="I199" s="19">
        <f>$I$172*Rate_Trainer+$I$173*Mig_Source+$I$174*Int_Std+$I$175*Int_Cx+$I$176*Env_Setup+$I$177*Rate_Onsite</f>
        <v/>
      </c>
    </row>
    <row r="200">
      <c r="A200" s="10" t="inlineStr">
        <is>
          <t>One-time optional services, quoted</t>
        </is>
      </c>
      <c r="B200" s="19">
        <f>B199*(1-$B$180)</f>
        <v/>
      </c>
      <c r="C200" s="19">
        <f>C199*(1-$C$180)</f>
        <v/>
      </c>
      <c r="D200" s="19">
        <f>D199*(1-$D$180)</f>
        <v/>
      </c>
      <c r="E200" s="19">
        <f>E199*(1-$E$180)</f>
        <v/>
      </c>
      <c r="F200" s="19">
        <f>F199*(1-$F$180)</f>
        <v/>
      </c>
      <c r="G200" s="19">
        <f>G199*(1-$G$180)</f>
        <v/>
      </c>
      <c r="H200" s="19">
        <f>H199*(1-$H$180)</f>
        <v/>
      </c>
      <c r="I200" s="19">
        <f>I199*(1-$I$180)</f>
        <v/>
      </c>
    </row>
    <row r="201">
      <c r="A201" s="10" t="inlineStr">
        <is>
          <t>24x7 Severity 1 support per year, Year 1, list</t>
        </is>
      </c>
      <c r="B201" s="19">
        <f>IF($B$171="Yes",INDEX(Sup24,B182),0)</f>
        <v/>
      </c>
      <c r="C201" s="19">
        <f>IF($C$171="Yes",INDEX(Sup24,C182),0)</f>
        <v/>
      </c>
      <c r="D201" s="19">
        <f>IF($D$171="Yes",INDEX(Sup24,D182),0)</f>
        <v/>
      </c>
      <c r="E201" s="19">
        <f>IF($E$171="Yes",INDEX(Sup24,E182),0)</f>
        <v/>
      </c>
      <c r="F201" s="19">
        <f>IF($F$171="Yes",INDEX(Sup24,F182),0)</f>
        <v/>
      </c>
      <c r="G201" s="19">
        <f>IF($G$171="Yes",INDEX(Sup24,G182),0)</f>
        <v/>
      </c>
      <c r="H201" s="19">
        <f>IF($H$171="Yes",INDEX(Sup24,H182),0)</f>
        <v/>
      </c>
      <c r="I201" s="19">
        <f>IF($I$171="Yes",INDEX(Sup24,I182),0)</f>
        <v/>
      </c>
    </row>
    <row r="202">
      <c r="A202" s="10" t="inlineStr">
        <is>
          <t>Training days included</t>
        </is>
      </c>
      <c r="B202" s="24">
        <f>INDEX(TrainDays,B182)</f>
        <v/>
      </c>
      <c r="C202" s="24">
        <f>INDEX(TrainDays,C182)</f>
        <v/>
      </c>
      <c r="D202" s="24">
        <f>INDEX(TrainDays,D182)</f>
        <v/>
      </c>
      <c r="E202" s="24">
        <f>INDEX(TrainDays,E182)</f>
        <v/>
      </c>
      <c r="F202" s="24">
        <f>INDEX(TrainDays,F182)</f>
        <v/>
      </c>
      <c r="G202" s="24">
        <f>INDEX(TrainDays,G182)</f>
        <v/>
      </c>
      <c r="H202" s="24">
        <f>INDEX(TrainDays,H182)</f>
        <v/>
      </c>
      <c r="I202" s="24">
        <f>INDEX(TrainDays,I182)</f>
        <v/>
      </c>
    </row>
    <row r="203">
      <c r="A203" s="10" t="inlineStr">
        <is>
          <t>AMC Year 1</t>
        </is>
      </c>
      <c r="B203" s="19">
        <f>IF(AND($B$169="Perpetual",1&gt;=AMC_Start),B189*AMC_Rate*(1+Esc)^(1-AMC_Start),0)</f>
        <v/>
      </c>
      <c r="C203" s="19">
        <f>IF(AND($C$169="Perpetual",1&gt;=AMC_Start),C189*AMC_Rate*(1+Esc)^(1-AMC_Start),0)</f>
        <v/>
      </c>
      <c r="D203" s="19">
        <f>IF(AND($D$169="Perpetual",1&gt;=AMC_Start),D189*AMC_Rate*(1+Esc)^(1-AMC_Start),0)</f>
        <v/>
      </c>
      <c r="E203" s="19">
        <f>IF(AND($E$169="Perpetual",1&gt;=AMC_Start),E189*AMC_Rate*(1+Esc)^(1-AMC_Start),0)</f>
        <v/>
      </c>
      <c r="F203" s="19">
        <f>IF(AND($F$169="Perpetual",1&gt;=AMC_Start),F189*AMC_Rate*(1+Esc)^(1-AMC_Start),0)</f>
        <v/>
      </c>
      <c r="G203" s="19">
        <f>IF(AND($G$169="Perpetual",1&gt;=AMC_Start),G189*AMC_Rate*(1+Esc)^(1-AMC_Start),0)</f>
        <v/>
      </c>
      <c r="H203" s="19">
        <f>IF(AND($H$169="Perpetual",1&gt;=AMC_Start),H189*AMC_Rate*(1+Esc)^(1-AMC_Start),0)</f>
        <v/>
      </c>
      <c r="I203" s="19">
        <f>IF(AND($I$169="Perpetual",1&gt;=AMC_Start),I189*AMC_Rate*(1+Esc)^(1-AMC_Start),0)</f>
        <v/>
      </c>
    </row>
    <row r="204">
      <c r="A204" s="10" t="inlineStr">
        <is>
          <t>AMC Year 2</t>
        </is>
      </c>
      <c r="B204" s="19">
        <f>IF(AND($B$169="Perpetual",2&gt;=AMC_Start),B189*AMC_Rate*(1+Esc)^(2-AMC_Start),0)</f>
        <v/>
      </c>
      <c r="C204" s="19">
        <f>IF(AND($C$169="Perpetual",2&gt;=AMC_Start),C189*AMC_Rate*(1+Esc)^(2-AMC_Start),0)</f>
        <v/>
      </c>
      <c r="D204" s="19">
        <f>IF(AND($D$169="Perpetual",2&gt;=AMC_Start),D189*AMC_Rate*(1+Esc)^(2-AMC_Start),0)</f>
        <v/>
      </c>
      <c r="E204" s="19">
        <f>IF(AND($E$169="Perpetual",2&gt;=AMC_Start),E189*AMC_Rate*(1+Esc)^(2-AMC_Start),0)</f>
        <v/>
      </c>
      <c r="F204" s="19">
        <f>IF(AND($F$169="Perpetual",2&gt;=AMC_Start),F189*AMC_Rate*(1+Esc)^(2-AMC_Start),0)</f>
        <v/>
      </c>
      <c r="G204" s="19">
        <f>IF(AND($G$169="Perpetual",2&gt;=AMC_Start),G189*AMC_Rate*(1+Esc)^(2-AMC_Start),0)</f>
        <v/>
      </c>
      <c r="H204" s="19">
        <f>IF(AND($H$169="Perpetual",2&gt;=AMC_Start),H189*AMC_Rate*(1+Esc)^(2-AMC_Start),0)</f>
        <v/>
      </c>
      <c r="I204" s="19">
        <f>IF(AND($I$169="Perpetual",2&gt;=AMC_Start),I189*AMC_Rate*(1+Esc)^(2-AMC_Start),0)</f>
        <v/>
      </c>
    </row>
    <row r="205">
      <c r="A205" s="10" t="inlineStr">
        <is>
          <t>AMC Year 3</t>
        </is>
      </c>
      <c r="B205" s="19">
        <f>IF(AND($B$169="Perpetual",3&gt;=AMC_Start),B189*AMC_Rate*(1+Esc)^(3-AMC_Start),0)</f>
        <v/>
      </c>
      <c r="C205" s="19">
        <f>IF(AND($C$169="Perpetual",3&gt;=AMC_Start),C189*AMC_Rate*(1+Esc)^(3-AMC_Start),0)</f>
        <v/>
      </c>
      <c r="D205" s="19">
        <f>IF(AND($D$169="Perpetual",3&gt;=AMC_Start),D189*AMC_Rate*(1+Esc)^(3-AMC_Start),0)</f>
        <v/>
      </c>
      <c r="E205" s="19">
        <f>IF(AND($E$169="Perpetual",3&gt;=AMC_Start),E189*AMC_Rate*(1+Esc)^(3-AMC_Start),0)</f>
        <v/>
      </c>
      <c r="F205" s="19">
        <f>IF(AND($F$169="Perpetual",3&gt;=AMC_Start),F189*AMC_Rate*(1+Esc)^(3-AMC_Start),0)</f>
        <v/>
      </c>
      <c r="G205" s="19">
        <f>IF(AND($G$169="Perpetual",3&gt;=AMC_Start),G189*AMC_Rate*(1+Esc)^(3-AMC_Start),0)</f>
        <v/>
      </c>
      <c r="H205" s="19">
        <f>IF(AND($H$169="Perpetual",3&gt;=AMC_Start),H189*AMC_Rate*(1+Esc)^(3-AMC_Start),0)</f>
        <v/>
      </c>
      <c r="I205" s="19">
        <f>IF(AND($I$169="Perpetual",3&gt;=AMC_Start),I189*AMC_Rate*(1+Esc)^(3-AMC_Start),0)</f>
        <v/>
      </c>
    </row>
    <row r="206">
      <c r="A206" s="10" t="inlineStr">
        <is>
          <t>AMC Year 4</t>
        </is>
      </c>
      <c r="B206" s="19">
        <f>IF(AND($B$169="Perpetual",4&gt;=AMC_Start),B189*AMC_Rate*(1+Esc)^(4-AMC_Start),0)</f>
        <v/>
      </c>
      <c r="C206" s="19">
        <f>IF(AND($C$169="Perpetual",4&gt;=AMC_Start),C189*AMC_Rate*(1+Esc)^(4-AMC_Start),0)</f>
        <v/>
      </c>
      <c r="D206" s="19">
        <f>IF(AND($D$169="Perpetual",4&gt;=AMC_Start),D189*AMC_Rate*(1+Esc)^(4-AMC_Start),0)</f>
        <v/>
      </c>
      <c r="E206" s="19">
        <f>IF(AND($E$169="Perpetual",4&gt;=AMC_Start),E189*AMC_Rate*(1+Esc)^(4-AMC_Start),0)</f>
        <v/>
      </c>
      <c r="F206" s="19">
        <f>IF(AND($F$169="Perpetual",4&gt;=AMC_Start),F189*AMC_Rate*(1+Esc)^(4-AMC_Start),0)</f>
        <v/>
      </c>
      <c r="G206" s="19">
        <f>IF(AND($G$169="Perpetual",4&gt;=AMC_Start),G189*AMC_Rate*(1+Esc)^(4-AMC_Start),0)</f>
        <v/>
      </c>
      <c r="H206" s="19">
        <f>IF(AND($H$169="Perpetual",4&gt;=AMC_Start),H189*AMC_Rate*(1+Esc)^(4-AMC_Start),0)</f>
        <v/>
      </c>
      <c r="I206" s="19">
        <f>IF(AND($I$169="Perpetual",4&gt;=AMC_Start),I189*AMC_Rate*(1+Esc)^(4-AMC_Start),0)</f>
        <v/>
      </c>
    </row>
    <row r="207">
      <c r="A207" s="10" t="inlineStr">
        <is>
          <t>AMC Year 5</t>
        </is>
      </c>
      <c r="B207" s="19">
        <f>IF(AND($B$169="Perpetual",5&gt;=AMC_Start),B189*AMC_Rate*(1+Esc)^(5-AMC_Start),0)</f>
        <v/>
      </c>
      <c r="C207" s="19">
        <f>IF(AND($C$169="Perpetual",5&gt;=AMC_Start),C189*AMC_Rate*(1+Esc)^(5-AMC_Start),0)</f>
        <v/>
      </c>
      <c r="D207" s="19">
        <f>IF(AND($D$169="Perpetual",5&gt;=AMC_Start),D189*AMC_Rate*(1+Esc)^(5-AMC_Start),0)</f>
        <v/>
      </c>
      <c r="E207" s="19">
        <f>IF(AND($E$169="Perpetual",5&gt;=AMC_Start),E189*AMC_Rate*(1+Esc)^(5-AMC_Start),0)</f>
        <v/>
      </c>
      <c r="F207" s="19">
        <f>IF(AND($F$169="Perpetual",5&gt;=AMC_Start),F189*AMC_Rate*(1+Esc)^(5-AMC_Start),0)</f>
        <v/>
      </c>
      <c r="G207" s="19">
        <f>IF(AND($G$169="Perpetual",5&gt;=AMC_Start),G189*AMC_Rate*(1+Esc)^(5-AMC_Start),0)</f>
        <v/>
      </c>
      <c r="H207" s="19">
        <f>IF(AND($H$169="Perpetual",5&gt;=AMC_Start),H189*AMC_Rate*(1+Esc)^(5-AMC_Start),0)</f>
        <v/>
      </c>
      <c r="I207" s="19">
        <f>IF(AND($I$169="Perpetual",5&gt;=AMC_Start),I189*AMC_Rate*(1+Esc)^(5-AMC_Start),0)</f>
        <v/>
      </c>
    </row>
    <row r="208">
      <c r="A208" s="10" t="inlineStr">
        <is>
          <t>Subscription fees Year 1</t>
        </is>
      </c>
      <c r="B208" s="19">
        <f>B191*12*(1+Esc)^(1-1)</f>
        <v/>
      </c>
      <c r="C208" s="19">
        <f>C191*12*(1+Esc)^(1-1)</f>
        <v/>
      </c>
      <c r="D208" s="19">
        <f>D191*12*(1+Esc)^(1-1)</f>
        <v/>
      </c>
      <c r="E208" s="19">
        <f>E191*12*(1+Esc)^(1-1)</f>
        <v/>
      </c>
      <c r="F208" s="19">
        <f>F191*12*(1+Esc)^(1-1)</f>
        <v/>
      </c>
      <c r="G208" s="19">
        <f>G191*12*(1+Esc)^(1-1)</f>
        <v/>
      </c>
      <c r="H208" s="19">
        <f>H191*12*(1+Esc)^(1-1)</f>
        <v/>
      </c>
      <c r="I208" s="19">
        <f>I191*12*(1+Esc)^(1-1)</f>
        <v/>
      </c>
    </row>
    <row r="209">
      <c r="A209" s="10" t="inlineStr">
        <is>
          <t>Subscription fees Year 2</t>
        </is>
      </c>
      <c r="B209" s="19">
        <f>B191*12*(1+Esc)^(2-1)</f>
        <v/>
      </c>
      <c r="C209" s="19">
        <f>C191*12*(1+Esc)^(2-1)</f>
        <v/>
      </c>
      <c r="D209" s="19">
        <f>D191*12*(1+Esc)^(2-1)</f>
        <v/>
      </c>
      <c r="E209" s="19">
        <f>E191*12*(1+Esc)^(2-1)</f>
        <v/>
      </c>
      <c r="F209" s="19">
        <f>F191*12*(1+Esc)^(2-1)</f>
        <v/>
      </c>
      <c r="G209" s="19">
        <f>G191*12*(1+Esc)^(2-1)</f>
        <v/>
      </c>
      <c r="H209" s="19">
        <f>H191*12*(1+Esc)^(2-1)</f>
        <v/>
      </c>
      <c r="I209" s="19">
        <f>I191*12*(1+Esc)^(2-1)</f>
        <v/>
      </c>
    </row>
    <row r="210">
      <c r="A210" s="10" t="inlineStr">
        <is>
          <t>Subscription fees Year 3</t>
        </is>
      </c>
      <c r="B210" s="19">
        <f>B191*12*(1+Esc)^(3-1)</f>
        <v/>
      </c>
      <c r="C210" s="19">
        <f>C191*12*(1+Esc)^(3-1)</f>
        <v/>
      </c>
      <c r="D210" s="19">
        <f>D191*12*(1+Esc)^(3-1)</f>
        <v/>
      </c>
      <c r="E210" s="19">
        <f>E191*12*(1+Esc)^(3-1)</f>
        <v/>
      </c>
      <c r="F210" s="19">
        <f>F191*12*(1+Esc)^(3-1)</f>
        <v/>
      </c>
      <c r="G210" s="19">
        <f>G191*12*(1+Esc)^(3-1)</f>
        <v/>
      </c>
      <c r="H210" s="19">
        <f>H191*12*(1+Esc)^(3-1)</f>
        <v/>
      </c>
      <c r="I210" s="19">
        <f>I191*12*(1+Esc)^(3-1)</f>
        <v/>
      </c>
    </row>
    <row r="211">
      <c r="A211" s="10" t="inlineStr">
        <is>
          <t>Subscription fees Year 4</t>
        </is>
      </c>
      <c r="B211" s="19">
        <f>B191*12*(1+Esc)^(4-1)</f>
        <v/>
      </c>
      <c r="C211" s="19">
        <f>C191*12*(1+Esc)^(4-1)</f>
        <v/>
      </c>
      <c r="D211" s="19">
        <f>D191*12*(1+Esc)^(4-1)</f>
        <v/>
      </c>
      <c r="E211" s="19">
        <f>E191*12*(1+Esc)^(4-1)</f>
        <v/>
      </c>
      <c r="F211" s="19">
        <f>F191*12*(1+Esc)^(4-1)</f>
        <v/>
      </c>
      <c r="G211" s="19">
        <f>G191*12*(1+Esc)^(4-1)</f>
        <v/>
      </c>
      <c r="H211" s="19">
        <f>H191*12*(1+Esc)^(4-1)</f>
        <v/>
      </c>
      <c r="I211" s="19">
        <f>I191*12*(1+Esc)^(4-1)</f>
        <v/>
      </c>
    </row>
    <row r="212">
      <c r="A212" s="10" t="inlineStr">
        <is>
          <t>Subscription fees Year 5</t>
        </is>
      </c>
      <c r="B212" s="19">
        <f>B191*12*(1+Esc)^(5-1)</f>
        <v/>
      </c>
      <c r="C212" s="19">
        <f>C191*12*(1+Esc)^(5-1)</f>
        <v/>
      </c>
      <c r="D212" s="19">
        <f>D191*12*(1+Esc)^(5-1)</f>
        <v/>
      </c>
      <c r="E212" s="19">
        <f>E191*12*(1+Esc)^(5-1)</f>
        <v/>
      </c>
      <c r="F212" s="19">
        <f>F191*12*(1+Esc)^(5-1)</f>
        <v/>
      </c>
      <c r="G212" s="19">
        <f>G191*12*(1+Esc)^(5-1)</f>
        <v/>
      </c>
      <c r="H212" s="19">
        <f>H191*12*(1+Esc)^(5-1)</f>
        <v/>
      </c>
      <c r="I212" s="19">
        <f>I191*12*(1+Esc)^(5-1)</f>
        <v/>
      </c>
    </row>
    <row r="213">
      <c r="A213" s="10" t="inlineStr">
        <is>
          <t>Hosting and environments Year 1</t>
        </is>
      </c>
      <c r="B213" s="19">
        <f>(B194+B197)*12*(1+Infra_Esc)^(1-1)+B196*PP_GoLive</f>
        <v/>
      </c>
      <c r="C213" s="19">
        <f>(C194+C197)*12*(1+Infra_Esc)^(1-1)+C196*PP_GoLive</f>
        <v/>
      </c>
      <c r="D213" s="19">
        <f>(D194+D197)*12*(1+Infra_Esc)^(1-1)+D196*PP_GoLive</f>
        <v/>
      </c>
      <c r="E213" s="19">
        <f>(E194+E197)*12*(1+Infra_Esc)^(1-1)+E196*PP_GoLive</f>
        <v/>
      </c>
      <c r="F213" s="19">
        <f>(F194+F197)*12*(1+Infra_Esc)^(1-1)+F196*PP_GoLive</f>
        <v/>
      </c>
      <c r="G213" s="19">
        <f>(G194+G197)*12*(1+Infra_Esc)^(1-1)+G196*PP_GoLive</f>
        <v/>
      </c>
      <c r="H213" s="19">
        <f>(H194+H197)*12*(1+Infra_Esc)^(1-1)+H196*PP_GoLive</f>
        <v/>
      </c>
      <c r="I213" s="19">
        <f>(I194+I197)*12*(1+Infra_Esc)^(1-1)+I196*PP_GoLive</f>
        <v/>
      </c>
    </row>
    <row r="214">
      <c r="A214" s="10" t="inlineStr">
        <is>
          <t>Hosting and environments Year 2</t>
        </is>
      </c>
      <c r="B214" s="19">
        <f>(B194+B197)*12*(1+Infra_Esc)^(2-1)+B196*PP_Rel*Rel_Year</f>
        <v/>
      </c>
      <c r="C214" s="19">
        <f>(C194+C197)*12*(1+Infra_Esc)^(2-1)+C196*PP_Rel*Rel_Year</f>
        <v/>
      </c>
      <c r="D214" s="19">
        <f>(D194+D197)*12*(1+Infra_Esc)^(2-1)+D196*PP_Rel*Rel_Year</f>
        <v/>
      </c>
      <c r="E214" s="19">
        <f>(E194+E197)*12*(1+Infra_Esc)^(2-1)+E196*PP_Rel*Rel_Year</f>
        <v/>
      </c>
      <c r="F214" s="19">
        <f>(F194+F197)*12*(1+Infra_Esc)^(2-1)+F196*PP_Rel*Rel_Year</f>
        <v/>
      </c>
      <c r="G214" s="19">
        <f>(G194+G197)*12*(1+Infra_Esc)^(2-1)+G196*PP_Rel*Rel_Year</f>
        <v/>
      </c>
      <c r="H214" s="19">
        <f>(H194+H197)*12*(1+Infra_Esc)^(2-1)+H196*PP_Rel*Rel_Year</f>
        <v/>
      </c>
      <c r="I214" s="19">
        <f>(I194+I197)*12*(1+Infra_Esc)^(2-1)+I196*PP_Rel*Rel_Year</f>
        <v/>
      </c>
    </row>
    <row r="215">
      <c r="A215" s="10" t="inlineStr">
        <is>
          <t>Hosting and environments Year 3</t>
        </is>
      </c>
      <c r="B215" s="19">
        <f>(B194+B197)*12*(1+Infra_Esc)^(3-1)+B196*PP_Rel*Rel_Year</f>
        <v/>
      </c>
      <c r="C215" s="19">
        <f>(C194+C197)*12*(1+Infra_Esc)^(3-1)+C196*PP_Rel*Rel_Year</f>
        <v/>
      </c>
      <c r="D215" s="19">
        <f>(D194+D197)*12*(1+Infra_Esc)^(3-1)+D196*PP_Rel*Rel_Year</f>
        <v/>
      </c>
      <c r="E215" s="19">
        <f>(E194+E197)*12*(1+Infra_Esc)^(3-1)+E196*PP_Rel*Rel_Year</f>
        <v/>
      </c>
      <c r="F215" s="19">
        <f>(F194+F197)*12*(1+Infra_Esc)^(3-1)+F196*PP_Rel*Rel_Year</f>
        <v/>
      </c>
      <c r="G215" s="19">
        <f>(G194+G197)*12*(1+Infra_Esc)^(3-1)+G196*PP_Rel*Rel_Year</f>
        <v/>
      </c>
      <c r="H215" s="19">
        <f>(H194+H197)*12*(1+Infra_Esc)^(3-1)+H196*PP_Rel*Rel_Year</f>
        <v/>
      </c>
      <c r="I215" s="19">
        <f>(I194+I197)*12*(1+Infra_Esc)^(3-1)+I196*PP_Rel*Rel_Year</f>
        <v/>
      </c>
    </row>
    <row r="216">
      <c r="A216" s="10" t="inlineStr">
        <is>
          <t>Hosting and environments Year 4</t>
        </is>
      </c>
      <c r="B216" s="19">
        <f>(B194+B197)*12*(1+Infra_Esc)^(4-1)+B196*PP_Rel*Rel_Year</f>
        <v/>
      </c>
      <c r="C216" s="19">
        <f>(C194+C197)*12*(1+Infra_Esc)^(4-1)+C196*PP_Rel*Rel_Year</f>
        <v/>
      </c>
      <c r="D216" s="19">
        <f>(D194+D197)*12*(1+Infra_Esc)^(4-1)+D196*PP_Rel*Rel_Year</f>
        <v/>
      </c>
      <c r="E216" s="19">
        <f>(E194+E197)*12*(1+Infra_Esc)^(4-1)+E196*PP_Rel*Rel_Year</f>
        <v/>
      </c>
      <c r="F216" s="19">
        <f>(F194+F197)*12*(1+Infra_Esc)^(4-1)+F196*PP_Rel*Rel_Year</f>
        <v/>
      </c>
      <c r="G216" s="19">
        <f>(G194+G197)*12*(1+Infra_Esc)^(4-1)+G196*PP_Rel*Rel_Year</f>
        <v/>
      </c>
      <c r="H216" s="19">
        <f>(H194+H197)*12*(1+Infra_Esc)^(4-1)+H196*PP_Rel*Rel_Year</f>
        <v/>
      </c>
      <c r="I216" s="19">
        <f>(I194+I197)*12*(1+Infra_Esc)^(4-1)+I196*PP_Rel*Rel_Year</f>
        <v/>
      </c>
    </row>
    <row r="217">
      <c r="A217" s="10" t="inlineStr">
        <is>
          <t>Hosting and environments Year 5</t>
        </is>
      </c>
      <c r="B217" s="19">
        <f>(B194+B197)*12*(1+Infra_Esc)^(5-1)+B196*PP_Rel*Rel_Year</f>
        <v/>
      </c>
      <c r="C217" s="19">
        <f>(C194+C197)*12*(1+Infra_Esc)^(5-1)+C196*PP_Rel*Rel_Year</f>
        <v/>
      </c>
      <c r="D217" s="19">
        <f>(D194+D197)*12*(1+Infra_Esc)^(5-1)+D196*PP_Rel*Rel_Year</f>
        <v/>
      </c>
      <c r="E217" s="19">
        <f>(E194+E197)*12*(1+Infra_Esc)^(5-1)+E196*PP_Rel*Rel_Year</f>
        <v/>
      </c>
      <c r="F217" s="19">
        <f>(F194+F197)*12*(1+Infra_Esc)^(5-1)+F196*PP_Rel*Rel_Year</f>
        <v/>
      </c>
      <c r="G217" s="19">
        <f>(G194+G197)*12*(1+Infra_Esc)^(5-1)+G196*PP_Rel*Rel_Year</f>
        <v/>
      </c>
      <c r="H217" s="19">
        <f>(H194+H197)*12*(1+Infra_Esc)^(5-1)+H196*PP_Rel*Rel_Year</f>
        <v/>
      </c>
      <c r="I217" s="19">
        <f>(I194+I197)*12*(1+Infra_Esc)^(5-1)+I196*PP_Rel*Rel_Year</f>
        <v/>
      </c>
    </row>
    <row r="218">
      <c r="A218" s="10" t="inlineStr">
        <is>
          <t>24x7 support Year 1</t>
        </is>
      </c>
      <c r="B218" s="19">
        <f>B201*(1-$B$180)*(1+Esc)^(1-1)</f>
        <v/>
      </c>
      <c r="C218" s="19">
        <f>C201*(1-$C$180)*(1+Esc)^(1-1)</f>
        <v/>
      </c>
      <c r="D218" s="19">
        <f>D201*(1-$D$180)*(1+Esc)^(1-1)</f>
        <v/>
      </c>
      <c r="E218" s="19">
        <f>E201*(1-$E$180)*(1+Esc)^(1-1)</f>
        <v/>
      </c>
      <c r="F218" s="19">
        <f>F201*(1-$F$180)*(1+Esc)^(1-1)</f>
        <v/>
      </c>
      <c r="G218" s="19">
        <f>G201*(1-$G$180)*(1+Esc)^(1-1)</f>
        <v/>
      </c>
      <c r="H218" s="19">
        <f>H201*(1-$H$180)*(1+Esc)^(1-1)</f>
        <v/>
      </c>
      <c r="I218" s="19">
        <f>I201*(1-$I$180)*(1+Esc)^(1-1)</f>
        <v/>
      </c>
    </row>
    <row r="219">
      <c r="A219" s="10" t="inlineStr">
        <is>
          <t>24x7 support Year 2</t>
        </is>
      </c>
      <c r="B219" s="19">
        <f>B201*(1-$B$180)*(1+Esc)^(2-1)</f>
        <v/>
      </c>
      <c r="C219" s="19">
        <f>C201*(1-$C$180)*(1+Esc)^(2-1)</f>
        <v/>
      </c>
      <c r="D219" s="19">
        <f>D201*(1-$D$180)*(1+Esc)^(2-1)</f>
        <v/>
      </c>
      <c r="E219" s="19">
        <f>E201*(1-$E$180)*(1+Esc)^(2-1)</f>
        <v/>
      </c>
      <c r="F219" s="19">
        <f>F201*(1-$F$180)*(1+Esc)^(2-1)</f>
        <v/>
      </c>
      <c r="G219" s="19">
        <f>G201*(1-$G$180)*(1+Esc)^(2-1)</f>
        <v/>
      </c>
      <c r="H219" s="19">
        <f>H201*(1-$H$180)*(1+Esc)^(2-1)</f>
        <v/>
      </c>
      <c r="I219" s="19">
        <f>I201*(1-$I$180)*(1+Esc)^(2-1)</f>
        <v/>
      </c>
    </row>
    <row r="220">
      <c r="A220" s="10" t="inlineStr">
        <is>
          <t>24x7 support Year 3</t>
        </is>
      </c>
      <c r="B220" s="19">
        <f>B201*(1-$B$180)*(1+Esc)^(3-1)</f>
        <v/>
      </c>
      <c r="C220" s="19">
        <f>C201*(1-$C$180)*(1+Esc)^(3-1)</f>
        <v/>
      </c>
      <c r="D220" s="19">
        <f>D201*(1-$D$180)*(1+Esc)^(3-1)</f>
        <v/>
      </c>
      <c r="E220" s="19">
        <f>E201*(1-$E$180)*(1+Esc)^(3-1)</f>
        <v/>
      </c>
      <c r="F220" s="19">
        <f>F201*(1-$F$180)*(1+Esc)^(3-1)</f>
        <v/>
      </c>
      <c r="G220" s="19">
        <f>G201*(1-$G$180)*(1+Esc)^(3-1)</f>
        <v/>
      </c>
      <c r="H220" s="19">
        <f>H201*(1-$H$180)*(1+Esc)^(3-1)</f>
        <v/>
      </c>
      <c r="I220" s="19">
        <f>I201*(1-$I$180)*(1+Esc)^(3-1)</f>
        <v/>
      </c>
    </row>
    <row r="221">
      <c r="A221" s="10" t="inlineStr">
        <is>
          <t>24x7 support Year 4</t>
        </is>
      </c>
      <c r="B221" s="19">
        <f>B201*(1-$B$180)*(1+Esc)^(4-1)</f>
        <v/>
      </c>
      <c r="C221" s="19">
        <f>C201*(1-$C$180)*(1+Esc)^(4-1)</f>
        <v/>
      </c>
      <c r="D221" s="19">
        <f>D201*(1-$D$180)*(1+Esc)^(4-1)</f>
        <v/>
      </c>
      <c r="E221" s="19">
        <f>E201*(1-$E$180)*(1+Esc)^(4-1)</f>
        <v/>
      </c>
      <c r="F221" s="19">
        <f>F201*(1-$F$180)*(1+Esc)^(4-1)</f>
        <v/>
      </c>
      <c r="G221" s="19">
        <f>G201*(1-$G$180)*(1+Esc)^(4-1)</f>
        <v/>
      </c>
      <c r="H221" s="19">
        <f>H201*(1-$H$180)*(1+Esc)^(4-1)</f>
        <v/>
      </c>
      <c r="I221" s="19">
        <f>I201*(1-$I$180)*(1+Esc)^(4-1)</f>
        <v/>
      </c>
    </row>
    <row r="222">
      <c r="A222" s="10" t="inlineStr">
        <is>
          <t>24x7 support Year 5</t>
        </is>
      </c>
      <c r="B222" s="19">
        <f>B201*(1-$B$180)*(1+Esc)^(5-1)</f>
        <v/>
      </c>
      <c r="C222" s="19">
        <f>C201*(1-$C$180)*(1+Esc)^(5-1)</f>
        <v/>
      </c>
      <c r="D222" s="19">
        <f>D201*(1-$D$180)*(1+Esc)^(5-1)</f>
        <v/>
      </c>
      <c r="E222" s="19">
        <f>E201*(1-$E$180)*(1+Esc)^(5-1)</f>
        <v/>
      </c>
      <c r="F222" s="19">
        <f>F201*(1-$F$180)*(1+Esc)^(5-1)</f>
        <v/>
      </c>
      <c r="G222" s="19">
        <f>G201*(1-$G$180)*(1+Esc)^(5-1)</f>
        <v/>
      </c>
      <c r="H222" s="19">
        <f>H201*(1-$H$180)*(1+Esc)^(5-1)</f>
        <v/>
      </c>
      <c r="I222" s="19">
        <f>I201*(1-$I$180)*(1+Esc)^(5-1)</f>
        <v/>
      </c>
    </row>
    <row r="223">
      <c r="A223" s="10" t="inlineStr">
        <is>
          <t>Total Year 1, excl. VAT</t>
        </is>
      </c>
      <c r="B223" s="20">
        <f>B187+B189+B200+B203+B208+B213+B218</f>
        <v/>
      </c>
      <c r="C223" s="20">
        <f>C187+C189+C200+C203+C208+C213+C218</f>
        <v/>
      </c>
      <c r="D223" s="20">
        <f>D187+D189+D200+D203+D208+D213+D218</f>
        <v/>
      </c>
      <c r="E223" s="20">
        <f>E187+E189+E200+E203+E208+E213+E218</f>
        <v/>
      </c>
      <c r="F223" s="20">
        <f>F187+F189+F200+F203+F208+F213+F218</f>
        <v/>
      </c>
      <c r="G223" s="20">
        <f>G187+G189+G200+G203+G208+G213+G218</f>
        <v/>
      </c>
      <c r="H223" s="20">
        <f>H187+H189+H200+H203+H208+H213+H218</f>
        <v/>
      </c>
      <c r="I223" s="20">
        <f>I187+I189+I200+I203+I208+I213+I218</f>
        <v/>
      </c>
    </row>
    <row r="224">
      <c r="A224" s="10" t="inlineStr">
        <is>
          <t>Total Year 2, excl. VAT</t>
        </is>
      </c>
      <c r="B224" s="19">
        <f>B204+B209+B214+B219</f>
        <v/>
      </c>
      <c r="C224" s="19">
        <f>C204+C209+C214+C219</f>
        <v/>
      </c>
      <c r="D224" s="19">
        <f>D204+D209+D214+D219</f>
        <v/>
      </c>
      <c r="E224" s="19">
        <f>E204+E209+E214+E219</f>
        <v/>
      </c>
      <c r="F224" s="19">
        <f>F204+F209+F214+F219</f>
        <v/>
      </c>
      <c r="G224" s="19">
        <f>G204+G209+G214+G219</f>
        <v/>
      </c>
      <c r="H224" s="19">
        <f>H204+H209+H214+H219</f>
        <v/>
      </c>
      <c r="I224" s="19">
        <f>I204+I209+I214+I219</f>
        <v/>
      </c>
    </row>
    <row r="225">
      <c r="A225" s="10" t="inlineStr">
        <is>
          <t>Total Year 3, excl. VAT</t>
        </is>
      </c>
      <c r="B225" s="19">
        <f>B205+B210+B215+B220</f>
        <v/>
      </c>
      <c r="C225" s="19">
        <f>C205+C210+C215+C220</f>
        <v/>
      </c>
      <c r="D225" s="19">
        <f>D205+D210+D215+D220</f>
        <v/>
      </c>
      <c r="E225" s="19">
        <f>E205+E210+E215+E220</f>
        <v/>
      </c>
      <c r="F225" s="19">
        <f>F205+F210+F215+F220</f>
        <v/>
      </c>
      <c r="G225" s="19">
        <f>G205+G210+G215+G220</f>
        <v/>
      </c>
      <c r="H225" s="19">
        <f>H205+H210+H215+H220</f>
        <v/>
      </c>
      <c r="I225" s="19">
        <f>I205+I210+I215+I220</f>
        <v/>
      </c>
    </row>
    <row r="226">
      <c r="A226" s="10" t="inlineStr">
        <is>
          <t>Total Year 4, excl. VAT</t>
        </is>
      </c>
      <c r="B226" s="19">
        <f>B206+B211+B216+B221</f>
        <v/>
      </c>
      <c r="C226" s="19">
        <f>C206+C211+C216+C221</f>
        <v/>
      </c>
      <c r="D226" s="19">
        <f>D206+D211+D216+D221</f>
        <v/>
      </c>
      <c r="E226" s="19">
        <f>E206+E211+E216+E221</f>
        <v/>
      </c>
      <c r="F226" s="19">
        <f>F206+F211+F216+F221</f>
        <v/>
      </c>
      <c r="G226" s="19">
        <f>G206+G211+G216+G221</f>
        <v/>
      </c>
      <c r="H226" s="19">
        <f>H206+H211+H216+H221</f>
        <v/>
      </c>
      <c r="I226" s="19">
        <f>I206+I211+I216+I221</f>
        <v/>
      </c>
    </row>
    <row r="227">
      <c r="A227" s="10" t="inlineStr">
        <is>
          <t>Total Year 5, excl. VAT</t>
        </is>
      </c>
      <c r="B227" s="19">
        <f>B207+B212+B217+B222</f>
        <v/>
      </c>
      <c r="C227" s="19">
        <f>C207+C212+C217+C222</f>
        <v/>
      </c>
      <c r="D227" s="19">
        <f>D207+D212+D217+D222</f>
        <v/>
      </c>
      <c r="E227" s="19">
        <f>E207+E212+E217+E222</f>
        <v/>
      </c>
      <c r="F227" s="19">
        <f>F207+F212+F217+F222</f>
        <v/>
      </c>
      <c r="G227" s="19">
        <f>G207+G212+G217+G222</f>
        <v/>
      </c>
      <c r="H227" s="19">
        <f>H207+H212+H217+H222</f>
        <v/>
      </c>
      <c r="I227" s="19">
        <f>I207+I212+I217+I222</f>
        <v/>
      </c>
    </row>
    <row r="228">
      <c r="A228" s="10" t="inlineStr">
        <is>
          <t>Total for the contract term, excl. VAT</t>
        </is>
      </c>
      <c r="B228" s="20">
        <f>IF($B$178&gt;=1,B223,0)+IF($B$178&gt;=2,B224,0)+IF($B$178&gt;=3,B225,0)+IF($B$178&gt;=4,B226,0)+IF($B$178&gt;=5,B227,0)</f>
        <v/>
      </c>
      <c r="C228" s="20">
        <f>IF($C$178&gt;=1,C223,0)+IF($C$178&gt;=2,C224,0)+IF($C$178&gt;=3,C225,0)+IF($C$178&gt;=4,C226,0)+IF($C$178&gt;=5,C227,0)</f>
        <v/>
      </c>
      <c r="D228" s="20">
        <f>IF($D$178&gt;=1,D223,0)+IF($D$178&gt;=2,D224,0)+IF($D$178&gt;=3,D225,0)+IF($D$178&gt;=4,D226,0)+IF($D$178&gt;=5,D227,0)</f>
        <v/>
      </c>
      <c r="E228" s="20">
        <f>IF($E$178&gt;=1,E223,0)+IF($E$178&gt;=2,E224,0)+IF($E$178&gt;=3,E225,0)+IF($E$178&gt;=4,E226,0)+IF($E$178&gt;=5,E227,0)</f>
        <v/>
      </c>
      <c r="F228" s="20">
        <f>IF($F$178&gt;=1,F223,0)+IF($F$178&gt;=2,F224,0)+IF($F$178&gt;=3,F225,0)+IF($F$178&gt;=4,F226,0)+IF($F$178&gt;=5,F227,0)</f>
        <v/>
      </c>
      <c r="G228" s="20">
        <f>IF($G$178&gt;=1,G223,0)+IF($G$178&gt;=2,G224,0)+IF($G$178&gt;=3,G225,0)+IF($G$178&gt;=4,G226,0)+IF($G$178&gt;=5,G227,0)</f>
        <v/>
      </c>
      <c r="H228" s="20">
        <f>IF($H$178&gt;=1,H223,0)+IF($H$178&gt;=2,H224,0)+IF($H$178&gt;=3,H225,0)+IF($H$178&gt;=4,H226,0)+IF($H$178&gt;=5,H227,0)</f>
        <v/>
      </c>
      <c r="I228" s="20">
        <f>IF($I$178&gt;=1,I223,0)+IF($I$178&gt;=2,I224,0)+IF($I$178&gt;=3,I225,0)+IF($I$178&gt;=4,I226,0)+IF($I$178&gt;=5,I227,0)</f>
        <v/>
      </c>
    </row>
    <row r="229">
      <c r="A229" s="10" t="inlineStr">
        <is>
          <t>5-year total cost, excl. VAT</t>
        </is>
      </c>
      <c r="B229" s="20">
        <f>B223+B224+B225+B226+B227</f>
        <v/>
      </c>
      <c r="C229" s="20">
        <f>C223+C224+C225+C226+C227</f>
        <v/>
      </c>
      <c r="D229" s="20">
        <f>D223+D224+D225+D226+D227</f>
        <v/>
      </c>
      <c r="E229" s="20">
        <f>E223+E224+E225+E226+E227</f>
        <v/>
      </c>
      <c r="F229" s="20">
        <f>F223+F224+F225+F226+F227</f>
        <v/>
      </c>
      <c r="G229" s="20">
        <f>G223+G224+G225+G226+G227</f>
        <v/>
      </c>
      <c r="H229" s="20">
        <f>H223+H224+H225+H226+H227</f>
        <v/>
      </c>
      <c r="I229" s="20">
        <f>I223+I224+I225+I226+I227</f>
        <v/>
      </c>
    </row>
    <row r="230">
      <c r="A230" s="10" t="inlineStr">
        <is>
          <t>5-year total cost, incl. VAT</t>
        </is>
      </c>
      <c r="B230" s="19">
        <f>B229*(1+VAT)</f>
        <v/>
      </c>
      <c r="C230" s="19">
        <f>C229*(1+VAT)</f>
        <v/>
      </c>
      <c r="D230" s="19">
        <f>D229*(1+VAT)</f>
        <v/>
      </c>
      <c r="E230" s="19">
        <f>E229*(1+VAT)</f>
        <v/>
      </c>
      <c r="F230" s="19">
        <f>F229*(1+VAT)</f>
        <v/>
      </c>
      <c r="G230" s="19">
        <f>G229*(1+VAT)</f>
        <v/>
      </c>
      <c r="H230" s="19">
        <f>H229*(1+VAT)</f>
        <v/>
      </c>
      <c r="I230" s="19">
        <f>I229*(1+VAT)</f>
        <v/>
      </c>
    </row>
    <row r="231">
      <c r="A231" s="10" t="inlineStr">
        <is>
          <t>5-year total cost, USD reference</t>
        </is>
      </c>
      <c r="B231" s="19">
        <f>B229/FX</f>
        <v/>
      </c>
      <c r="C231" s="19">
        <f>C229/FX</f>
        <v/>
      </c>
      <c r="D231" s="19">
        <f>D229/FX</f>
        <v/>
      </c>
      <c r="E231" s="19">
        <f>E229/FX</f>
        <v/>
      </c>
      <c r="F231" s="19">
        <f>F229/FX</f>
        <v/>
      </c>
      <c r="G231" s="19">
        <f>G229/FX</f>
        <v/>
      </c>
      <c r="H231" s="19">
        <f>H229/FX</f>
        <v/>
      </c>
      <c r="I231" s="19">
        <f>I229/FX</f>
        <v/>
      </c>
    </row>
    <row r="234">
      <c r="A234" s="6" t="inlineStr">
        <is>
          <t>Enterprise tier: 400 users, 16 lines of business</t>
        </is>
      </c>
      <c r="B234" s="7" t="n"/>
      <c r="C234" s="7" t="n"/>
      <c r="D234" s="7" t="n"/>
      <c r="E234" s="7" t="n"/>
      <c r="F234" s="7" t="n"/>
      <c r="G234" s="7" t="n"/>
      <c r="H234" s="7" t="n"/>
      <c r="I234" s="7" t="n"/>
    </row>
    <row r="235" ht="32" customHeight="1">
      <c r="A235" s="3" t="inlineStr">
        <is>
          <t>Line</t>
        </is>
      </c>
      <c r="B235" s="3" t="inlineStr">
        <is>
          <t>Essentials, list</t>
        </is>
      </c>
      <c r="C235" s="25" t="inlineStr">
        <is>
          <t>Essentials, floor</t>
        </is>
      </c>
      <c r="D235" s="3" t="inlineStr">
        <is>
          <t>Standard, list</t>
        </is>
      </c>
      <c r="E235" s="25" t="inlineStr">
        <is>
          <t>Standard, floor</t>
        </is>
      </c>
      <c r="F235" s="3" t="inlineStr">
        <is>
          <t>Ownership, list</t>
        </is>
      </c>
      <c r="G235" s="25" t="inlineStr">
        <is>
          <t>Ownership, floor</t>
        </is>
      </c>
      <c r="H235" s="3" t="inlineStr">
        <is>
          <t>Ownership Plus, list</t>
        </is>
      </c>
      <c r="I235" s="25" t="inlineStr">
        <is>
          <t>Ownership Plus, floor</t>
        </is>
      </c>
    </row>
    <row r="236" ht="62" customHeight="1">
      <c r="A236" s="16" t="inlineStr">
        <is>
          <t>What it is</t>
        </is>
      </c>
      <c r="B236" s="5" t="inlineStr">
        <is>
          <t>Subscription; the client hosts; standard support; 3-year term.</t>
        </is>
      </c>
      <c r="C236" s="9" t="n"/>
      <c r="D236" s="5" t="inlineStr">
        <is>
          <t>Subscription hosted by iorta TechNXT on AWS (Singapore); 3-year term.</t>
        </is>
      </c>
      <c r="E236" s="9" t="n"/>
      <c r="F236" s="5" t="inlineStr">
        <is>
          <t>Perpetual licence with AMC, hosted on AWS (Singapore); 5-year view.</t>
        </is>
      </c>
      <c r="G236" s="9" t="n"/>
      <c r="H236" s="5" t="inlineStr">
        <is>
          <t>Perpetual with AMC, hosted in the Philippines, 24x7 Severity 1 support, 2 extra training days, 1 legacy source migrated.</t>
        </is>
      </c>
      <c r="I236" s="9" t="n"/>
    </row>
    <row r="237">
      <c r="A237" s="10" t="inlineStr">
        <is>
          <t>Named users</t>
        </is>
      </c>
      <c r="B237" s="24">
        <f>'Price Basis'!J33</f>
        <v/>
      </c>
      <c r="C237" s="24">
        <f>'Price Basis'!J33</f>
        <v/>
      </c>
      <c r="D237" s="24">
        <f>'Price Basis'!J33</f>
        <v/>
      </c>
      <c r="E237" s="24">
        <f>'Price Basis'!J33</f>
        <v/>
      </c>
      <c r="F237" s="24">
        <f>'Price Basis'!J33</f>
        <v/>
      </c>
      <c r="G237" s="24">
        <f>'Price Basis'!J33</f>
        <v/>
      </c>
      <c r="H237" s="24">
        <f>'Price Basis'!J33</f>
        <v/>
      </c>
      <c r="I237" s="24">
        <f>'Price Basis'!J33</f>
        <v/>
      </c>
    </row>
    <row r="238">
      <c r="A238" s="10" t="inlineStr">
        <is>
          <t>Lines of business</t>
        </is>
      </c>
      <c r="B238" s="24">
        <f>'Price Basis'!H33</f>
        <v/>
      </c>
      <c r="C238" s="24">
        <f>'Price Basis'!H33</f>
        <v/>
      </c>
      <c r="D238" s="24">
        <f>'Price Basis'!H33</f>
        <v/>
      </c>
      <c r="E238" s="24">
        <f>'Price Basis'!H33</f>
        <v/>
      </c>
      <c r="F238" s="24">
        <f>'Price Basis'!H33</f>
        <v/>
      </c>
      <c r="G238" s="24">
        <f>'Price Basis'!H33</f>
        <v/>
      </c>
      <c r="H238" s="24">
        <f>'Price Basis'!H33</f>
        <v/>
      </c>
      <c r="I238" s="24">
        <f>'Price Basis'!H33</f>
        <v/>
      </c>
    </row>
    <row r="239">
      <c r="A239" s="10" t="inlineStr">
        <is>
          <t>Licence model</t>
        </is>
      </c>
      <c r="B239" s="10" t="inlineStr">
        <is>
          <t>Subscription</t>
        </is>
      </c>
      <c r="C239" s="10" t="inlineStr">
        <is>
          <t>Subscription</t>
        </is>
      </c>
      <c r="D239" s="10" t="inlineStr">
        <is>
          <t>Subscription</t>
        </is>
      </c>
      <c r="E239" s="10" t="inlineStr">
        <is>
          <t>Subscription</t>
        </is>
      </c>
      <c r="F239" s="10" t="inlineStr">
        <is>
          <t>Perpetual</t>
        </is>
      </c>
      <c r="G239" s="10" t="inlineStr">
        <is>
          <t>Perpetual</t>
        </is>
      </c>
      <c r="H239" s="10" t="inlineStr">
        <is>
          <t>Perpetual</t>
        </is>
      </c>
      <c r="I239" s="10" t="inlineStr">
        <is>
          <t>Perpetual</t>
        </is>
      </c>
    </row>
    <row r="240">
      <c r="A240" s="10" t="inlineStr">
        <is>
          <t>Hosting</t>
        </is>
      </c>
      <c r="B240" s="10" t="inlineStr">
        <is>
          <t>Self-hosted</t>
        </is>
      </c>
      <c r="C240" s="10" t="inlineStr">
        <is>
          <t>Self-hosted</t>
        </is>
      </c>
      <c r="D240" s="10" t="inlineStr">
        <is>
          <t>AWS</t>
        </is>
      </c>
      <c r="E240" s="10" t="inlineStr">
        <is>
          <t>AWS</t>
        </is>
      </c>
      <c r="F240" s="10" t="inlineStr">
        <is>
          <t>AWS</t>
        </is>
      </c>
      <c r="G240" s="10" t="inlineStr">
        <is>
          <t>AWS</t>
        </is>
      </c>
      <c r="H240" s="10" t="inlineStr">
        <is>
          <t>Local partner</t>
        </is>
      </c>
      <c r="I240" s="10" t="inlineStr">
        <is>
          <t>Local partner</t>
        </is>
      </c>
    </row>
    <row r="241">
      <c r="A241" s="10" t="inlineStr">
        <is>
          <t>24x7 Severity 1 support</t>
        </is>
      </c>
      <c r="B241" s="10" t="inlineStr">
        <is>
          <t>No</t>
        </is>
      </c>
      <c r="C241" s="10" t="inlineStr">
        <is>
          <t>No</t>
        </is>
      </c>
      <c r="D241" s="10" t="inlineStr">
        <is>
          <t>No</t>
        </is>
      </c>
      <c r="E241" s="10" t="inlineStr">
        <is>
          <t>No</t>
        </is>
      </c>
      <c r="F241" s="10" t="inlineStr">
        <is>
          <t>No</t>
        </is>
      </c>
      <c r="G241" s="10" t="inlineStr">
        <is>
          <t>No</t>
        </is>
      </c>
      <c r="H241" s="10" t="inlineStr">
        <is>
          <t>Yes</t>
        </is>
      </c>
      <c r="I241" s="10" t="inlineStr">
        <is>
          <t>Yes</t>
        </is>
      </c>
    </row>
    <row r="242">
      <c r="A242" s="10" t="inlineStr">
        <is>
          <t>Extra training days</t>
        </is>
      </c>
      <c r="B242" s="24" t="n">
        <v>0</v>
      </c>
      <c r="C242" s="24" t="n">
        <v>0</v>
      </c>
      <c r="D242" s="24" t="n">
        <v>0</v>
      </c>
      <c r="E242" s="24" t="n">
        <v>0</v>
      </c>
      <c r="F242" s="24" t="n">
        <v>0</v>
      </c>
      <c r="G242" s="24" t="n">
        <v>0</v>
      </c>
      <c r="H242" s="24" t="n">
        <v>2</v>
      </c>
      <c r="I242" s="24" t="n">
        <v>2</v>
      </c>
    </row>
    <row r="243">
      <c r="A243" s="10" t="inlineStr">
        <is>
          <t>Legacy data sources migrated</t>
        </is>
      </c>
      <c r="B243" s="24" t="n">
        <v>0</v>
      </c>
      <c r="C243" s="24" t="n">
        <v>0</v>
      </c>
      <c r="D243" s="24" t="n">
        <v>0</v>
      </c>
      <c r="E243" s="24" t="n">
        <v>0</v>
      </c>
      <c r="F243" s="24" t="n">
        <v>0</v>
      </c>
      <c r="G243" s="24" t="n">
        <v>0</v>
      </c>
      <c r="H243" s="24" t="n">
        <v>1</v>
      </c>
      <c r="I243" s="24" t="n">
        <v>1</v>
      </c>
    </row>
    <row r="244">
      <c r="A244" s="10" t="inlineStr">
        <is>
          <t>Additional standard integrations</t>
        </is>
      </c>
      <c r="B244" s="24" t="n">
        <v>0</v>
      </c>
      <c r="C244" s="24" t="n">
        <v>0</v>
      </c>
      <c r="D244" s="24" t="n">
        <v>0</v>
      </c>
      <c r="E244" s="24" t="n">
        <v>0</v>
      </c>
      <c r="F244" s="24" t="n">
        <v>0</v>
      </c>
      <c r="G244" s="24" t="n">
        <v>0</v>
      </c>
      <c r="H244" s="24" t="n">
        <v>0</v>
      </c>
      <c r="I244" s="24" t="n">
        <v>0</v>
      </c>
    </row>
    <row r="245">
      <c r="A245" s="10" t="inlineStr">
        <is>
          <t>Additional complex integrations</t>
        </is>
      </c>
      <c r="B245" s="24" t="n">
        <v>0</v>
      </c>
      <c r="C245" s="24" t="n">
        <v>0</v>
      </c>
      <c r="D245" s="24" t="n">
        <v>0</v>
      </c>
      <c r="E245" s="24" t="n">
        <v>0</v>
      </c>
      <c r="F245" s="24" t="n">
        <v>0</v>
      </c>
      <c r="G245" s="24" t="n">
        <v>0</v>
      </c>
      <c r="H245" s="24" t="n">
        <v>0</v>
      </c>
      <c r="I245" s="24" t="n">
        <v>0</v>
      </c>
    </row>
    <row r="246">
      <c r="A246" s="10" t="inlineStr">
        <is>
          <t>Additional environments</t>
        </is>
      </c>
      <c r="B246" s="24" t="n">
        <v>0</v>
      </c>
      <c r="C246" s="24" t="n">
        <v>0</v>
      </c>
      <c r="D246" s="24" t="n">
        <v>0</v>
      </c>
      <c r="E246" s="24" t="n">
        <v>0</v>
      </c>
      <c r="F246" s="24" t="n">
        <v>0</v>
      </c>
      <c r="G246" s="24" t="n">
        <v>0</v>
      </c>
      <c r="H246" s="24" t="n">
        <v>0</v>
      </c>
      <c r="I246" s="24" t="n">
        <v>0</v>
      </c>
    </row>
    <row r="247">
      <c r="A247" s="10" t="inlineStr">
        <is>
          <t>On-site days</t>
        </is>
      </c>
      <c r="B247" s="24" t="n">
        <v>0</v>
      </c>
      <c r="C247" s="24" t="n">
        <v>0</v>
      </c>
      <c r="D247" s="24" t="n">
        <v>0</v>
      </c>
      <c r="E247" s="24" t="n">
        <v>0</v>
      </c>
      <c r="F247" s="24" t="n">
        <v>0</v>
      </c>
      <c r="G247" s="24" t="n">
        <v>0</v>
      </c>
      <c r="H247" s="24" t="n">
        <v>0</v>
      </c>
      <c r="I247" s="24" t="n">
        <v>0</v>
      </c>
    </row>
    <row r="248">
      <c r="A248" s="10" t="inlineStr">
        <is>
          <t>Contract term (years)</t>
        </is>
      </c>
      <c r="B248" s="24" t="n">
        <v>3</v>
      </c>
      <c r="C248" s="24" t="n">
        <v>3</v>
      </c>
      <c r="D248" s="24" t="n">
        <v>3</v>
      </c>
      <c r="E248" s="24" t="n">
        <v>3</v>
      </c>
      <c r="F248" s="24" t="n">
        <v>5</v>
      </c>
      <c r="G248" s="24" t="n">
        <v>5</v>
      </c>
      <c r="H248" s="24" t="n">
        <v>5</v>
      </c>
      <c r="I248" s="24" t="n">
        <v>5</v>
      </c>
    </row>
    <row r="249">
      <c r="A249" s="10" t="inlineStr">
        <is>
          <t>Discount on licence or subscription</t>
        </is>
      </c>
      <c r="B249" s="27" t="n">
        <v>0</v>
      </c>
      <c r="C249" s="28">
        <f>Floor_SW</f>
        <v/>
      </c>
      <c r="D249" s="27" t="n">
        <v>0</v>
      </c>
      <c r="E249" s="28">
        <f>Floor_SW</f>
        <v/>
      </c>
      <c r="F249" s="27" t="n">
        <v>0</v>
      </c>
      <c r="G249" s="28">
        <f>Floor_SW</f>
        <v/>
      </c>
      <c r="H249" s="27" t="n">
        <v>0</v>
      </c>
      <c r="I249" s="28">
        <f>Floor_SW</f>
        <v/>
      </c>
    </row>
    <row r="250">
      <c r="A250" s="10" t="inlineStr">
        <is>
          <t>Discount on implementation and services</t>
        </is>
      </c>
      <c r="B250" s="27" t="n">
        <v>0</v>
      </c>
      <c r="C250" s="28">
        <f>Floor_Svc</f>
        <v/>
      </c>
      <c r="D250" s="27" t="n">
        <v>0</v>
      </c>
      <c r="E250" s="28">
        <f>Floor_Svc</f>
        <v/>
      </c>
      <c r="F250" s="27" t="n">
        <v>0</v>
      </c>
      <c r="G250" s="28">
        <f>Floor_Svc</f>
        <v/>
      </c>
      <c r="H250" s="27" t="n">
        <v>0</v>
      </c>
      <c r="I250" s="28">
        <f>Floor_Svc</f>
        <v/>
      </c>
    </row>
    <row r="251">
      <c r="A251" s="10" t="inlineStr">
        <is>
          <t>Discount on hosting</t>
        </is>
      </c>
      <c r="B251" s="27" t="n">
        <v>0</v>
      </c>
      <c r="C251" s="28">
        <f>Floor_Host</f>
        <v/>
      </c>
      <c r="D251" s="27" t="n">
        <v>0</v>
      </c>
      <c r="E251" s="28">
        <f>Floor_Host</f>
        <v/>
      </c>
      <c r="F251" s="27" t="n">
        <v>0</v>
      </c>
      <c r="G251" s="28">
        <f>Floor_Host</f>
        <v/>
      </c>
      <c r="H251" s="27" t="n">
        <v>0</v>
      </c>
      <c r="I251" s="28">
        <f>Floor_Host</f>
        <v/>
      </c>
    </row>
    <row r="252">
      <c r="A252" s="10" t="inlineStr">
        <is>
          <t>Tier index</t>
        </is>
      </c>
      <c r="B252" s="24">
        <f>MATCH($B$237,TierFrom,1)</f>
        <v/>
      </c>
      <c r="C252" s="24">
        <f>MATCH($C$237,TierFrom,1)</f>
        <v/>
      </c>
      <c r="D252" s="24">
        <f>MATCH($D$237,TierFrom,1)</f>
        <v/>
      </c>
      <c r="E252" s="24">
        <f>MATCH($E$237,TierFrom,1)</f>
        <v/>
      </c>
      <c r="F252" s="24">
        <f>MATCH($F$237,TierFrom,1)</f>
        <v/>
      </c>
      <c r="G252" s="24">
        <f>MATCH($G$237,TierFrom,1)</f>
        <v/>
      </c>
      <c r="H252" s="24">
        <f>MATCH($H$237,TierFrom,1)</f>
        <v/>
      </c>
      <c r="I252" s="24">
        <f>MATCH($I$237,TierFrom,1)</f>
        <v/>
      </c>
    </row>
    <row r="253">
      <c r="A253" s="10" t="inlineStr">
        <is>
          <t>Tier</t>
        </is>
      </c>
      <c r="B253" s="10">
        <f>INDEX(TierName,B252)</f>
        <v/>
      </c>
      <c r="C253" s="10">
        <f>INDEX(TierName,C252)</f>
        <v/>
      </c>
      <c r="D253" s="10">
        <f>INDEX(TierName,D252)</f>
        <v/>
      </c>
      <c r="E253" s="10">
        <f>INDEX(TierName,E252)</f>
        <v/>
      </c>
      <c r="F253" s="10">
        <f>INDEX(TierName,F252)</f>
        <v/>
      </c>
      <c r="G253" s="10">
        <f>INDEX(TierName,G252)</f>
        <v/>
      </c>
      <c r="H253" s="10">
        <f>INDEX(TierName,H252)</f>
        <v/>
      </c>
      <c r="I253" s="10">
        <f>INDEX(TierName,I252)</f>
        <v/>
      </c>
    </row>
    <row r="254">
      <c r="A254" s="10" t="inlineStr">
        <is>
          <t>Billable users (subscription minimum applies)</t>
        </is>
      </c>
      <c r="B254" s="24">
        <f>IF($B$239="Subscription",MAX($B$237,INDEX(MinBill,B252)),$B$237)</f>
        <v/>
      </c>
      <c r="C254" s="24">
        <f>IF($C$239="Subscription",MAX($C$237,INDEX(MinBill,C252)),$C$237)</f>
        <v/>
      </c>
      <c r="D254" s="24">
        <f>IF($D$239="Subscription",MAX($D$237,INDEX(MinBill,D252)),$D$237)</f>
        <v/>
      </c>
      <c r="E254" s="24">
        <f>IF($E$239="Subscription",MAX($E$237,INDEX(MinBill,E252)),$E$237)</f>
        <v/>
      </c>
      <c r="F254" s="24">
        <f>IF($F$239="Subscription",MAX($F$237,INDEX(MinBill,F252)),$F$237)</f>
        <v/>
      </c>
      <c r="G254" s="24">
        <f>IF($G$239="Subscription",MAX($G$237,INDEX(MinBill,G252)),$G$237)</f>
        <v/>
      </c>
      <c r="H254" s="24">
        <f>IF($H$239="Subscription",MAX($H$237,INDEX(MinBill,H252)),$H$237)</f>
        <v/>
      </c>
      <c r="I254" s="24">
        <f>IF($I$239="Subscription",MAX($I$237,INDEX(MinBill,I252)),$I$237)</f>
        <v/>
      </c>
    </row>
    <row r="255">
      <c r="A255" s="10" t="inlineStr">
        <is>
          <t>Implementation man-days</t>
        </is>
      </c>
      <c r="B255" s="24">
        <f>INDEX(BaseDays,B252)+MAX(0,$B$238-INDEX(LOBIncl,B252))*Days_per_LOB</f>
        <v/>
      </c>
      <c r="C255" s="24">
        <f>INDEX(BaseDays,C252)+MAX(0,$C$238-INDEX(LOBIncl,C252))*Days_per_LOB</f>
        <v/>
      </c>
      <c r="D255" s="24">
        <f>INDEX(BaseDays,D252)+MAX(0,$D$238-INDEX(LOBIncl,D252))*Days_per_LOB</f>
        <v/>
      </c>
      <c r="E255" s="24">
        <f>INDEX(BaseDays,E252)+MAX(0,$E$238-INDEX(LOBIncl,E252))*Days_per_LOB</f>
        <v/>
      </c>
      <c r="F255" s="24">
        <f>INDEX(BaseDays,F252)+MAX(0,$F$238-INDEX(LOBIncl,F252))*Days_per_LOB</f>
        <v/>
      </c>
      <c r="G255" s="24">
        <f>INDEX(BaseDays,G252)+MAX(0,$G$238-INDEX(LOBIncl,G252))*Days_per_LOB</f>
        <v/>
      </c>
      <c r="H255" s="24">
        <f>INDEX(BaseDays,H252)+MAX(0,$H$238-INDEX(LOBIncl,H252))*Days_per_LOB</f>
        <v/>
      </c>
      <c r="I255" s="24">
        <f>INDEX(BaseDays,I252)+MAX(0,$I$238-INDEX(LOBIncl,I252))*Days_per_LOB</f>
        <v/>
      </c>
    </row>
    <row r="256">
      <c r="A256" s="10" t="inlineStr">
        <is>
          <t>Implementation or onboarding fee, list</t>
        </is>
      </c>
      <c r="B256" s="19">
        <f>ROUND(B255*Blended/Round_To,0)*Round_To*IF($B$239="Subscription",Onboard_Pct,1)</f>
        <v/>
      </c>
      <c r="C256" s="19">
        <f>ROUND(C255*Blended/Round_To,0)*Round_To*IF($C$239="Subscription",Onboard_Pct,1)</f>
        <v/>
      </c>
      <c r="D256" s="19">
        <f>ROUND(D255*Blended/Round_To,0)*Round_To*IF($D$239="Subscription",Onboard_Pct,1)</f>
        <v/>
      </c>
      <c r="E256" s="19">
        <f>ROUND(E255*Blended/Round_To,0)*Round_To*IF($E$239="Subscription",Onboard_Pct,1)</f>
        <v/>
      </c>
      <c r="F256" s="19">
        <f>ROUND(F255*Blended/Round_To,0)*Round_To*IF($F$239="Subscription",Onboard_Pct,1)</f>
        <v/>
      </c>
      <c r="G256" s="19">
        <f>ROUND(G255*Blended/Round_To,0)*Round_To*IF($G$239="Subscription",Onboard_Pct,1)</f>
        <v/>
      </c>
      <c r="H256" s="19">
        <f>ROUND(H255*Blended/Round_To,0)*Round_To*IF($H$239="Subscription",Onboard_Pct,1)</f>
        <v/>
      </c>
      <c r="I256" s="19">
        <f>ROUND(I255*Blended/Round_To,0)*Round_To*IF($I$239="Subscription",Onboard_Pct,1)</f>
        <v/>
      </c>
    </row>
    <row r="257">
      <c r="A257" s="10" t="inlineStr">
        <is>
          <t>Implementation or onboarding fee, quoted</t>
        </is>
      </c>
      <c r="B257" s="19">
        <f>B256*(1-$B$250)</f>
        <v/>
      </c>
      <c r="C257" s="19">
        <f>C256*(1-$C$250)</f>
        <v/>
      </c>
      <c r="D257" s="19">
        <f>D256*(1-$D$250)</f>
        <v/>
      </c>
      <c r="E257" s="19">
        <f>E256*(1-$E$250)</f>
        <v/>
      </c>
      <c r="F257" s="19">
        <f>F256*(1-$F$250)</f>
        <v/>
      </c>
      <c r="G257" s="19">
        <f>G256*(1-$G$250)</f>
        <v/>
      </c>
      <c r="H257" s="19">
        <f>H256*(1-$H$250)</f>
        <v/>
      </c>
      <c r="I257" s="19">
        <f>I256*(1-$I$250)</f>
        <v/>
      </c>
    </row>
    <row r="258">
      <c r="A258" s="10" t="inlineStr">
        <is>
          <t>Perpetual licence fee, list (one-time)</t>
        </is>
      </c>
      <c r="B258" s="19">
        <f>IF($B$239="Perpetual",MAX(0,MIN($B$237,'Price Basis'!$C$30)-'Price Basis'!$B$30+1)*'Price Basis'!$D$30+MAX(0,MIN($B$237,'Price Basis'!$C$31)-'Price Basis'!$B$31+1)*'Price Basis'!$D$31+MAX(0,MIN($B$237,'Price Basis'!$C$32)-'Price Basis'!$B$32+1)*'Price Basis'!$D$32+MAX(0,MIN($B$237,'Price Basis'!$C$33)-'Price Basis'!$B$33+1)*'Price Basis'!$D$33,0)</f>
        <v/>
      </c>
      <c r="C258" s="19">
        <f>IF($C$239="Perpetual",MAX(0,MIN($C$237,'Price Basis'!$C$30)-'Price Basis'!$B$30+1)*'Price Basis'!$D$30+MAX(0,MIN($C$237,'Price Basis'!$C$31)-'Price Basis'!$B$31+1)*'Price Basis'!$D$31+MAX(0,MIN($C$237,'Price Basis'!$C$32)-'Price Basis'!$B$32+1)*'Price Basis'!$D$32+MAX(0,MIN($C$237,'Price Basis'!$C$33)-'Price Basis'!$B$33+1)*'Price Basis'!$D$33,0)</f>
        <v/>
      </c>
      <c r="D258" s="19">
        <f>IF($D$239="Perpetual",MAX(0,MIN($D$237,'Price Basis'!$C$30)-'Price Basis'!$B$30+1)*'Price Basis'!$D$30+MAX(0,MIN($D$237,'Price Basis'!$C$31)-'Price Basis'!$B$31+1)*'Price Basis'!$D$31+MAX(0,MIN($D$237,'Price Basis'!$C$32)-'Price Basis'!$B$32+1)*'Price Basis'!$D$32+MAX(0,MIN($D$237,'Price Basis'!$C$33)-'Price Basis'!$B$33+1)*'Price Basis'!$D$33,0)</f>
        <v/>
      </c>
      <c r="E258" s="19">
        <f>IF($E$239="Perpetual",MAX(0,MIN($E$237,'Price Basis'!$C$30)-'Price Basis'!$B$30+1)*'Price Basis'!$D$30+MAX(0,MIN($E$237,'Price Basis'!$C$31)-'Price Basis'!$B$31+1)*'Price Basis'!$D$31+MAX(0,MIN($E$237,'Price Basis'!$C$32)-'Price Basis'!$B$32+1)*'Price Basis'!$D$32+MAX(0,MIN($E$237,'Price Basis'!$C$33)-'Price Basis'!$B$33+1)*'Price Basis'!$D$33,0)</f>
        <v/>
      </c>
      <c r="F258" s="19">
        <f>IF($F$239="Perpetual",MAX(0,MIN($F$237,'Price Basis'!$C$30)-'Price Basis'!$B$30+1)*'Price Basis'!$D$30+MAX(0,MIN($F$237,'Price Basis'!$C$31)-'Price Basis'!$B$31+1)*'Price Basis'!$D$31+MAX(0,MIN($F$237,'Price Basis'!$C$32)-'Price Basis'!$B$32+1)*'Price Basis'!$D$32+MAX(0,MIN($F$237,'Price Basis'!$C$33)-'Price Basis'!$B$33+1)*'Price Basis'!$D$33,0)</f>
        <v/>
      </c>
      <c r="G258" s="19">
        <f>IF($G$239="Perpetual",MAX(0,MIN($G$237,'Price Basis'!$C$30)-'Price Basis'!$B$30+1)*'Price Basis'!$D$30+MAX(0,MIN($G$237,'Price Basis'!$C$31)-'Price Basis'!$B$31+1)*'Price Basis'!$D$31+MAX(0,MIN($G$237,'Price Basis'!$C$32)-'Price Basis'!$B$32+1)*'Price Basis'!$D$32+MAX(0,MIN($G$237,'Price Basis'!$C$33)-'Price Basis'!$B$33+1)*'Price Basis'!$D$33,0)</f>
        <v/>
      </c>
      <c r="H258" s="19">
        <f>IF($H$239="Perpetual",MAX(0,MIN($H$237,'Price Basis'!$C$30)-'Price Basis'!$B$30+1)*'Price Basis'!$D$30+MAX(0,MIN($H$237,'Price Basis'!$C$31)-'Price Basis'!$B$31+1)*'Price Basis'!$D$31+MAX(0,MIN($H$237,'Price Basis'!$C$32)-'Price Basis'!$B$32+1)*'Price Basis'!$D$32+MAX(0,MIN($H$237,'Price Basis'!$C$33)-'Price Basis'!$B$33+1)*'Price Basis'!$D$33,0)</f>
        <v/>
      </c>
      <c r="I258" s="19">
        <f>IF($I$239="Perpetual",MAX(0,MIN($I$237,'Price Basis'!$C$30)-'Price Basis'!$B$30+1)*'Price Basis'!$D$30+MAX(0,MIN($I$237,'Price Basis'!$C$31)-'Price Basis'!$B$31+1)*'Price Basis'!$D$31+MAX(0,MIN($I$237,'Price Basis'!$C$32)-'Price Basis'!$B$32+1)*'Price Basis'!$D$32+MAX(0,MIN($I$237,'Price Basis'!$C$33)-'Price Basis'!$B$33+1)*'Price Basis'!$D$33,0)</f>
        <v/>
      </c>
    </row>
    <row r="259">
      <c r="A259" s="10" t="inlineStr">
        <is>
          <t>Perpetual licence fee, quoted (one-time)</t>
        </is>
      </c>
      <c r="B259" s="19">
        <f>B258*(1-$B$249)</f>
        <v/>
      </c>
      <c r="C259" s="19">
        <f>C258*(1-$C$249)</f>
        <v/>
      </c>
      <c r="D259" s="19">
        <f>D258*(1-$D$249)</f>
        <v/>
      </c>
      <c r="E259" s="19">
        <f>E258*(1-$E$249)</f>
        <v/>
      </c>
      <c r="F259" s="19">
        <f>F258*(1-$F$249)</f>
        <v/>
      </c>
      <c r="G259" s="19">
        <f>G258*(1-$G$249)</f>
        <v/>
      </c>
      <c r="H259" s="19">
        <f>H258*(1-$H$249)</f>
        <v/>
      </c>
      <c r="I259" s="19">
        <f>I258*(1-$I$249)</f>
        <v/>
      </c>
    </row>
    <row r="260">
      <c r="A260" s="10" t="inlineStr">
        <is>
          <t>Subscription per month, Year 1, list</t>
        </is>
      </c>
      <c r="B260" s="19">
        <f>IF($B$239="Subscription",MAX(0,MIN(B254,'Price Basis'!$C$30)-'Price Basis'!$B$30+1)*'Price Basis'!$E$30+MAX(0,MIN(B254,'Price Basis'!$C$31)-'Price Basis'!$B$31+1)*'Price Basis'!$E$31+MAX(0,MIN(B254,'Price Basis'!$C$32)-'Price Basis'!$B$32+1)*'Price Basis'!$E$32+MAX(0,MIN(B254,'Price Basis'!$C$33)-'Price Basis'!$B$33+1)*'Price Basis'!$E$33,0)</f>
        <v/>
      </c>
      <c r="C260" s="19">
        <f>IF($C$239="Subscription",MAX(0,MIN(C254,'Price Basis'!$C$30)-'Price Basis'!$B$30+1)*'Price Basis'!$E$30+MAX(0,MIN(C254,'Price Basis'!$C$31)-'Price Basis'!$B$31+1)*'Price Basis'!$E$31+MAX(0,MIN(C254,'Price Basis'!$C$32)-'Price Basis'!$B$32+1)*'Price Basis'!$E$32+MAX(0,MIN(C254,'Price Basis'!$C$33)-'Price Basis'!$B$33+1)*'Price Basis'!$E$33,0)</f>
        <v/>
      </c>
      <c r="D260" s="19">
        <f>IF($D$239="Subscription",MAX(0,MIN(D254,'Price Basis'!$C$30)-'Price Basis'!$B$30+1)*'Price Basis'!$E$30+MAX(0,MIN(D254,'Price Basis'!$C$31)-'Price Basis'!$B$31+1)*'Price Basis'!$E$31+MAX(0,MIN(D254,'Price Basis'!$C$32)-'Price Basis'!$B$32+1)*'Price Basis'!$E$32+MAX(0,MIN(D254,'Price Basis'!$C$33)-'Price Basis'!$B$33+1)*'Price Basis'!$E$33,0)</f>
        <v/>
      </c>
      <c r="E260" s="19">
        <f>IF($E$239="Subscription",MAX(0,MIN(E254,'Price Basis'!$C$30)-'Price Basis'!$B$30+1)*'Price Basis'!$E$30+MAX(0,MIN(E254,'Price Basis'!$C$31)-'Price Basis'!$B$31+1)*'Price Basis'!$E$31+MAX(0,MIN(E254,'Price Basis'!$C$32)-'Price Basis'!$B$32+1)*'Price Basis'!$E$32+MAX(0,MIN(E254,'Price Basis'!$C$33)-'Price Basis'!$B$33+1)*'Price Basis'!$E$33,0)</f>
        <v/>
      </c>
      <c r="F260" s="19">
        <f>IF($F$239="Subscription",MAX(0,MIN(F254,'Price Basis'!$C$30)-'Price Basis'!$B$30+1)*'Price Basis'!$E$30+MAX(0,MIN(F254,'Price Basis'!$C$31)-'Price Basis'!$B$31+1)*'Price Basis'!$E$31+MAX(0,MIN(F254,'Price Basis'!$C$32)-'Price Basis'!$B$32+1)*'Price Basis'!$E$32+MAX(0,MIN(F254,'Price Basis'!$C$33)-'Price Basis'!$B$33+1)*'Price Basis'!$E$33,0)</f>
        <v/>
      </c>
      <c r="G260" s="19">
        <f>IF($G$239="Subscription",MAX(0,MIN(G254,'Price Basis'!$C$30)-'Price Basis'!$B$30+1)*'Price Basis'!$E$30+MAX(0,MIN(G254,'Price Basis'!$C$31)-'Price Basis'!$B$31+1)*'Price Basis'!$E$31+MAX(0,MIN(G254,'Price Basis'!$C$32)-'Price Basis'!$B$32+1)*'Price Basis'!$E$32+MAX(0,MIN(G254,'Price Basis'!$C$33)-'Price Basis'!$B$33+1)*'Price Basis'!$E$33,0)</f>
        <v/>
      </c>
      <c r="H260" s="19">
        <f>IF($H$239="Subscription",MAX(0,MIN(H254,'Price Basis'!$C$30)-'Price Basis'!$B$30+1)*'Price Basis'!$E$30+MAX(0,MIN(H254,'Price Basis'!$C$31)-'Price Basis'!$B$31+1)*'Price Basis'!$E$31+MAX(0,MIN(H254,'Price Basis'!$C$32)-'Price Basis'!$B$32+1)*'Price Basis'!$E$32+MAX(0,MIN(H254,'Price Basis'!$C$33)-'Price Basis'!$B$33+1)*'Price Basis'!$E$33,0)</f>
        <v/>
      </c>
      <c r="I260" s="19">
        <f>IF($I$239="Subscription",MAX(0,MIN(I254,'Price Basis'!$C$30)-'Price Basis'!$B$30+1)*'Price Basis'!$E$30+MAX(0,MIN(I254,'Price Basis'!$C$31)-'Price Basis'!$B$31+1)*'Price Basis'!$E$31+MAX(0,MIN(I254,'Price Basis'!$C$32)-'Price Basis'!$B$32+1)*'Price Basis'!$E$32+MAX(0,MIN(I254,'Price Basis'!$C$33)-'Price Basis'!$B$33+1)*'Price Basis'!$E$33,0)</f>
        <v/>
      </c>
    </row>
    <row r="261">
      <c r="A261" s="10" t="inlineStr">
        <is>
          <t>Subscription per month, Year 1, quoted</t>
        </is>
      </c>
      <c r="B261" s="19">
        <f>B260*(1-$B$249)</f>
        <v/>
      </c>
      <c r="C261" s="19">
        <f>C260*(1-$C$249)</f>
        <v/>
      </c>
      <c r="D261" s="19">
        <f>D260*(1-$D$249)</f>
        <v/>
      </c>
      <c r="E261" s="19">
        <f>E260*(1-$E$249)</f>
        <v/>
      </c>
      <c r="F261" s="19">
        <f>F260*(1-$F$249)</f>
        <v/>
      </c>
      <c r="G261" s="19">
        <f>G260*(1-$G$249)</f>
        <v/>
      </c>
      <c r="H261" s="19">
        <f>H260*(1-$H$249)</f>
        <v/>
      </c>
      <c r="I261" s="19">
        <f>I260*(1-$I$249)</f>
        <v/>
      </c>
    </row>
    <row r="262">
      <c r="A262" s="10" t="inlineStr">
        <is>
          <t>Effective price per user (licence one-time, or subscription per month)</t>
        </is>
      </c>
      <c r="B262" s="19">
        <f>IF($B$239="Perpetual",B259/$B$237,B261/B254)</f>
        <v/>
      </c>
      <c r="C262" s="19">
        <f>IF($C$239="Perpetual",C259/$C$237,C261/C254)</f>
        <v/>
      </c>
      <c r="D262" s="19">
        <f>IF($D$239="Perpetual",D259/$D$237,D261/D254)</f>
        <v/>
      </c>
      <c r="E262" s="19">
        <f>IF($E$239="Perpetual",E259/$E$237,E261/E254)</f>
        <v/>
      </c>
      <c r="F262" s="19">
        <f>IF($F$239="Perpetual",F259/$F$237,F261/F254)</f>
        <v/>
      </c>
      <c r="G262" s="19">
        <f>IF($G$239="Perpetual",G259/$G$237,G261/G254)</f>
        <v/>
      </c>
      <c r="H262" s="19">
        <f>IF($H$239="Perpetual",H259/$H$237,H261/H254)</f>
        <v/>
      </c>
      <c r="I262" s="19">
        <f>IF($I$239="Perpetual",I259/$I$237,I261/I254)</f>
        <v/>
      </c>
    </row>
    <row r="263">
      <c r="A263" s="10" t="inlineStr">
        <is>
          <t>Hosting per month, list</t>
        </is>
      </c>
      <c r="B263" s="19">
        <f>INDEX(Host_Tbl,B252,MATCH($B$240,Host_Hdr,0))</f>
        <v/>
      </c>
      <c r="C263" s="19">
        <f>INDEX(Host_Tbl,C252,MATCH($C$240,Host_Hdr,0))</f>
        <v/>
      </c>
      <c r="D263" s="19">
        <f>INDEX(Host_Tbl,D252,MATCH($D$240,Host_Hdr,0))</f>
        <v/>
      </c>
      <c r="E263" s="19">
        <f>INDEX(Host_Tbl,E252,MATCH($E$240,Host_Hdr,0))</f>
        <v/>
      </c>
      <c r="F263" s="19">
        <f>INDEX(Host_Tbl,F252,MATCH($F$240,Host_Hdr,0))</f>
        <v/>
      </c>
      <c r="G263" s="19">
        <f>INDEX(Host_Tbl,G252,MATCH($G$240,Host_Hdr,0))</f>
        <v/>
      </c>
      <c r="H263" s="19">
        <f>INDEX(Host_Tbl,H252,MATCH($H$240,Host_Hdr,0))</f>
        <v/>
      </c>
      <c r="I263" s="19">
        <f>INDEX(Host_Tbl,I252,MATCH($I$240,Host_Hdr,0))</f>
        <v/>
      </c>
    </row>
    <row r="264">
      <c r="A264" s="10" t="inlineStr">
        <is>
          <t>Hosting per month, quoted</t>
        </is>
      </c>
      <c r="B264" s="19">
        <f>B263*(1-$B$251)</f>
        <v/>
      </c>
      <c r="C264" s="19">
        <f>C263*(1-$C$251)</f>
        <v/>
      </c>
      <c r="D264" s="19">
        <f>D263*(1-$D$251)</f>
        <v/>
      </c>
      <c r="E264" s="19">
        <f>E263*(1-$E$251)</f>
        <v/>
      </c>
      <c r="F264" s="19">
        <f>F263*(1-$F$251)</f>
        <v/>
      </c>
      <c r="G264" s="19">
        <f>G263*(1-$G$251)</f>
        <v/>
      </c>
      <c r="H264" s="19">
        <f>H263*(1-$H$251)</f>
        <v/>
      </c>
      <c r="I264" s="19">
        <f>I263*(1-$I$251)</f>
        <v/>
      </c>
    </row>
    <row r="265">
      <c r="A265" s="10" t="inlineStr">
        <is>
          <t>Pre-Prod per month of use, list</t>
        </is>
      </c>
      <c r="B265" s="19">
        <f>INDEX(PP_Tbl,B252,MATCH($B$240,Host_Hdr,0))</f>
        <v/>
      </c>
      <c r="C265" s="19">
        <f>INDEX(PP_Tbl,C252,MATCH($C$240,Host_Hdr,0))</f>
        <v/>
      </c>
      <c r="D265" s="19">
        <f>INDEX(PP_Tbl,D252,MATCH($D$240,Host_Hdr,0))</f>
        <v/>
      </c>
      <c r="E265" s="19">
        <f>INDEX(PP_Tbl,E252,MATCH($E$240,Host_Hdr,0))</f>
        <v/>
      </c>
      <c r="F265" s="19">
        <f>INDEX(PP_Tbl,F252,MATCH($F$240,Host_Hdr,0))</f>
        <v/>
      </c>
      <c r="G265" s="19">
        <f>INDEX(PP_Tbl,G252,MATCH($G$240,Host_Hdr,0))</f>
        <v/>
      </c>
      <c r="H265" s="19">
        <f>INDEX(PP_Tbl,H252,MATCH($H$240,Host_Hdr,0))</f>
        <v/>
      </c>
      <c r="I265" s="19">
        <f>INDEX(PP_Tbl,I252,MATCH($I$240,Host_Hdr,0))</f>
        <v/>
      </c>
    </row>
    <row r="266">
      <c r="A266" s="10" t="inlineStr">
        <is>
          <t>Pre-Prod per month of use, quoted</t>
        </is>
      </c>
      <c r="B266" s="19">
        <f>B265*(1-$B$251)</f>
        <v/>
      </c>
      <c r="C266" s="19">
        <f>C265*(1-$C$251)</f>
        <v/>
      </c>
      <c r="D266" s="19">
        <f>D265*(1-$D$251)</f>
        <v/>
      </c>
      <c r="E266" s="19">
        <f>E265*(1-$E$251)</f>
        <v/>
      </c>
      <c r="F266" s="19">
        <f>F265*(1-$F$251)</f>
        <v/>
      </c>
      <c r="G266" s="19">
        <f>G265*(1-$G$251)</f>
        <v/>
      </c>
      <c r="H266" s="19">
        <f>H265*(1-$H$251)</f>
        <v/>
      </c>
      <c r="I266" s="19">
        <f>I265*(1-$I$251)</f>
        <v/>
      </c>
    </row>
    <row r="267">
      <c r="A267" s="10" t="inlineStr">
        <is>
          <t>Additional hosted environments per month</t>
        </is>
      </c>
      <c r="B267" s="19">
        <f>IF($B$240="Self-hosted",0,$B$246*Env_Month)</f>
        <v/>
      </c>
      <c r="C267" s="19">
        <f>IF($C$240="Self-hosted",0,$C$246*Env_Month)</f>
        <v/>
      </c>
      <c r="D267" s="19">
        <f>IF($D$240="Self-hosted",0,$D$246*Env_Month)</f>
        <v/>
      </c>
      <c r="E267" s="19">
        <f>IF($E$240="Self-hosted",0,$E$246*Env_Month)</f>
        <v/>
      </c>
      <c r="F267" s="19">
        <f>IF($F$240="Self-hosted",0,$F$246*Env_Month)</f>
        <v/>
      </c>
      <c r="G267" s="19">
        <f>IF($G$240="Self-hosted",0,$G$246*Env_Month)</f>
        <v/>
      </c>
      <c r="H267" s="19">
        <f>IF($H$240="Self-hosted",0,$H$246*Env_Month)</f>
        <v/>
      </c>
      <c r="I267" s="19">
        <f>IF($I$240="Self-hosted",0,$I$246*Env_Month)</f>
        <v/>
      </c>
    </row>
    <row r="268">
      <c r="A268" s="10" t="inlineStr">
        <is>
          <t>Monthly recurring at go-live (subscription, hosting, environments)</t>
        </is>
      </c>
      <c r="B268" s="19">
        <f>B261+B264+B267</f>
        <v/>
      </c>
      <c r="C268" s="19">
        <f>C261+C264+C267</f>
        <v/>
      </c>
      <c r="D268" s="19">
        <f>D261+D264+D267</f>
        <v/>
      </c>
      <c r="E268" s="19">
        <f>E261+E264+E267</f>
        <v/>
      </c>
      <c r="F268" s="19">
        <f>F261+F264+F267</f>
        <v/>
      </c>
      <c r="G268" s="19">
        <f>G261+G264+G267</f>
        <v/>
      </c>
      <c r="H268" s="19">
        <f>H261+H264+H267</f>
        <v/>
      </c>
      <c r="I268" s="19">
        <f>I261+I264+I267</f>
        <v/>
      </c>
    </row>
    <row r="269">
      <c r="A269" s="10" t="inlineStr">
        <is>
          <t>One-time optional services, list</t>
        </is>
      </c>
      <c r="B269" s="19">
        <f>$B$242*Rate_Trainer+$B$243*Mig_Source+$B$244*Int_Std+$B$245*Int_Cx+$B$246*Env_Setup+$B$247*Rate_Onsite</f>
        <v/>
      </c>
      <c r="C269" s="19">
        <f>$C$242*Rate_Trainer+$C$243*Mig_Source+$C$244*Int_Std+$C$245*Int_Cx+$C$246*Env_Setup+$C$247*Rate_Onsite</f>
        <v/>
      </c>
      <c r="D269" s="19">
        <f>$D$242*Rate_Trainer+$D$243*Mig_Source+$D$244*Int_Std+$D$245*Int_Cx+$D$246*Env_Setup+$D$247*Rate_Onsite</f>
        <v/>
      </c>
      <c r="E269" s="19">
        <f>$E$242*Rate_Trainer+$E$243*Mig_Source+$E$244*Int_Std+$E$245*Int_Cx+$E$246*Env_Setup+$E$247*Rate_Onsite</f>
        <v/>
      </c>
      <c r="F269" s="19">
        <f>$F$242*Rate_Trainer+$F$243*Mig_Source+$F$244*Int_Std+$F$245*Int_Cx+$F$246*Env_Setup+$F$247*Rate_Onsite</f>
        <v/>
      </c>
      <c r="G269" s="19">
        <f>$G$242*Rate_Trainer+$G$243*Mig_Source+$G$244*Int_Std+$G$245*Int_Cx+$G$246*Env_Setup+$G$247*Rate_Onsite</f>
        <v/>
      </c>
      <c r="H269" s="19">
        <f>$H$242*Rate_Trainer+$H$243*Mig_Source+$H$244*Int_Std+$H$245*Int_Cx+$H$246*Env_Setup+$H$247*Rate_Onsite</f>
        <v/>
      </c>
      <c r="I269" s="19">
        <f>$I$242*Rate_Trainer+$I$243*Mig_Source+$I$244*Int_Std+$I$245*Int_Cx+$I$246*Env_Setup+$I$247*Rate_Onsite</f>
        <v/>
      </c>
    </row>
    <row r="270">
      <c r="A270" s="10" t="inlineStr">
        <is>
          <t>One-time optional services, quoted</t>
        </is>
      </c>
      <c r="B270" s="19">
        <f>B269*(1-$B$250)</f>
        <v/>
      </c>
      <c r="C270" s="19">
        <f>C269*(1-$C$250)</f>
        <v/>
      </c>
      <c r="D270" s="19">
        <f>D269*(1-$D$250)</f>
        <v/>
      </c>
      <c r="E270" s="19">
        <f>E269*(1-$E$250)</f>
        <v/>
      </c>
      <c r="F270" s="19">
        <f>F269*(1-$F$250)</f>
        <v/>
      </c>
      <c r="G270" s="19">
        <f>G269*(1-$G$250)</f>
        <v/>
      </c>
      <c r="H270" s="19">
        <f>H269*(1-$H$250)</f>
        <v/>
      </c>
      <c r="I270" s="19">
        <f>I269*(1-$I$250)</f>
        <v/>
      </c>
    </row>
    <row r="271">
      <c r="A271" s="10" t="inlineStr">
        <is>
          <t>24x7 Severity 1 support per year, Year 1, list</t>
        </is>
      </c>
      <c r="B271" s="19">
        <f>IF($B$241="Yes",INDEX(Sup24,B252),0)</f>
        <v/>
      </c>
      <c r="C271" s="19">
        <f>IF($C$241="Yes",INDEX(Sup24,C252),0)</f>
        <v/>
      </c>
      <c r="D271" s="19">
        <f>IF($D$241="Yes",INDEX(Sup24,D252),0)</f>
        <v/>
      </c>
      <c r="E271" s="19">
        <f>IF($E$241="Yes",INDEX(Sup24,E252),0)</f>
        <v/>
      </c>
      <c r="F271" s="19">
        <f>IF($F$241="Yes",INDEX(Sup24,F252),0)</f>
        <v/>
      </c>
      <c r="G271" s="19">
        <f>IF($G$241="Yes",INDEX(Sup24,G252),0)</f>
        <v/>
      </c>
      <c r="H271" s="19">
        <f>IF($H$241="Yes",INDEX(Sup24,H252),0)</f>
        <v/>
      </c>
      <c r="I271" s="19">
        <f>IF($I$241="Yes",INDEX(Sup24,I252),0)</f>
        <v/>
      </c>
    </row>
    <row r="272">
      <c r="A272" s="10" t="inlineStr">
        <is>
          <t>Training days included</t>
        </is>
      </c>
      <c r="B272" s="24">
        <f>INDEX(TrainDays,B252)</f>
        <v/>
      </c>
      <c r="C272" s="24">
        <f>INDEX(TrainDays,C252)</f>
        <v/>
      </c>
      <c r="D272" s="24">
        <f>INDEX(TrainDays,D252)</f>
        <v/>
      </c>
      <c r="E272" s="24">
        <f>INDEX(TrainDays,E252)</f>
        <v/>
      </c>
      <c r="F272" s="24">
        <f>INDEX(TrainDays,F252)</f>
        <v/>
      </c>
      <c r="G272" s="24">
        <f>INDEX(TrainDays,G252)</f>
        <v/>
      </c>
      <c r="H272" s="24">
        <f>INDEX(TrainDays,H252)</f>
        <v/>
      </c>
      <c r="I272" s="24">
        <f>INDEX(TrainDays,I252)</f>
        <v/>
      </c>
    </row>
    <row r="273">
      <c r="A273" s="10" t="inlineStr">
        <is>
          <t>AMC Year 1</t>
        </is>
      </c>
      <c r="B273" s="19">
        <f>IF(AND($B$239="Perpetual",1&gt;=AMC_Start),B259*AMC_Rate*(1+Esc)^(1-AMC_Start),0)</f>
        <v/>
      </c>
      <c r="C273" s="19">
        <f>IF(AND($C$239="Perpetual",1&gt;=AMC_Start),C259*AMC_Rate*(1+Esc)^(1-AMC_Start),0)</f>
        <v/>
      </c>
      <c r="D273" s="19">
        <f>IF(AND($D$239="Perpetual",1&gt;=AMC_Start),D259*AMC_Rate*(1+Esc)^(1-AMC_Start),0)</f>
        <v/>
      </c>
      <c r="E273" s="19">
        <f>IF(AND($E$239="Perpetual",1&gt;=AMC_Start),E259*AMC_Rate*(1+Esc)^(1-AMC_Start),0)</f>
        <v/>
      </c>
      <c r="F273" s="19">
        <f>IF(AND($F$239="Perpetual",1&gt;=AMC_Start),F259*AMC_Rate*(1+Esc)^(1-AMC_Start),0)</f>
        <v/>
      </c>
      <c r="G273" s="19">
        <f>IF(AND($G$239="Perpetual",1&gt;=AMC_Start),G259*AMC_Rate*(1+Esc)^(1-AMC_Start),0)</f>
        <v/>
      </c>
      <c r="H273" s="19">
        <f>IF(AND($H$239="Perpetual",1&gt;=AMC_Start),H259*AMC_Rate*(1+Esc)^(1-AMC_Start),0)</f>
        <v/>
      </c>
      <c r="I273" s="19">
        <f>IF(AND($I$239="Perpetual",1&gt;=AMC_Start),I259*AMC_Rate*(1+Esc)^(1-AMC_Start),0)</f>
        <v/>
      </c>
    </row>
    <row r="274">
      <c r="A274" s="10" t="inlineStr">
        <is>
          <t>AMC Year 2</t>
        </is>
      </c>
      <c r="B274" s="19">
        <f>IF(AND($B$239="Perpetual",2&gt;=AMC_Start),B259*AMC_Rate*(1+Esc)^(2-AMC_Start),0)</f>
        <v/>
      </c>
      <c r="C274" s="19">
        <f>IF(AND($C$239="Perpetual",2&gt;=AMC_Start),C259*AMC_Rate*(1+Esc)^(2-AMC_Start),0)</f>
        <v/>
      </c>
      <c r="D274" s="19">
        <f>IF(AND($D$239="Perpetual",2&gt;=AMC_Start),D259*AMC_Rate*(1+Esc)^(2-AMC_Start),0)</f>
        <v/>
      </c>
      <c r="E274" s="19">
        <f>IF(AND($E$239="Perpetual",2&gt;=AMC_Start),E259*AMC_Rate*(1+Esc)^(2-AMC_Start),0)</f>
        <v/>
      </c>
      <c r="F274" s="19">
        <f>IF(AND($F$239="Perpetual",2&gt;=AMC_Start),F259*AMC_Rate*(1+Esc)^(2-AMC_Start),0)</f>
        <v/>
      </c>
      <c r="G274" s="19">
        <f>IF(AND($G$239="Perpetual",2&gt;=AMC_Start),G259*AMC_Rate*(1+Esc)^(2-AMC_Start),0)</f>
        <v/>
      </c>
      <c r="H274" s="19">
        <f>IF(AND($H$239="Perpetual",2&gt;=AMC_Start),H259*AMC_Rate*(1+Esc)^(2-AMC_Start),0)</f>
        <v/>
      </c>
      <c r="I274" s="19">
        <f>IF(AND($I$239="Perpetual",2&gt;=AMC_Start),I259*AMC_Rate*(1+Esc)^(2-AMC_Start),0)</f>
        <v/>
      </c>
    </row>
    <row r="275">
      <c r="A275" s="10" t="inlineStr">
        <is>
          <t>AMC Year 3</t>
        </is>
      </c>
      <c r="B275" s="19">
        <f>IF(AND($B$239="Perpetual",3&gt;=AMC_Start),B259*AMC_Rate*(1+Esc)^(3-AMC_Start),0)</f>
        <v/>
      </c>
      <c r="C275" s="19">
        <f>IF(AND($C$239="Perpetual",3&gt;=AMC_Start),C259*AMC_Rate*(1+Esc)^(3-AMC_Start),0)</f>
        <v/>
      </c>
      <c r="D275" s="19">
        <f>IF(AND($D$239="Perpetual",3&gt;=AMC_Start),D259*AMC_Rate*(1+Esc)^(3-AMC_Start),0)</f>
        <v/>
      </c>
      <c r="E275" s="19">
        <f>IF(AND($E$239="Perpetual",3&gt;=AMC_Start),E259*AMC_Rate*(1+Esc)^(3-AMC_Start),0)</f>
        <v/>
      </c>
      <c r="F275" s="19">
        <f>IF(AND($F$239="Perpetual",3&gt;=AMC_Start),F259*AMC_Rate*(1+Esc)^(3-AMC_Start),0)</f>
        <v/>
      </c>
      <c r="G275" s="19">
        <f>IF(AND($G$239="Perpetual",3&gt;=AMC_Start),G259*AMC_Rate*(1+Esc)^(3-AMC_Start),0)</f>
        <v/>
      </c>
      <c r="H275" s="19">
        <f>IF(AND($H$239="Perpetual",3&gt;=AMC_Start),H259*AMC_Rate*(1+Esc)^(3-AMC_Start),0)</f>
        <v/>
      </c>
      <c r="I275" s="19">
        <f>IF(AND($I$239="Perpetual",3&gt;=AMC_Start),I259*AMC_Rate*(1+Esc)^(3-AMC_Start),0)</f>
        <v/>
      </c>
    </row>
    <row r="276">
      <c r="A276" s="10" t="inlineStr">
        <is>
          <t>AMC Year 4</t>
        </is>
      </c>
      <c r="B276" s="19">
        <f>IF(AND($B$239="Perpetual",4&gt;=AMC_Start),B259*AMC_Rate*(1+Esc)^(4-AMC_Start),0)</f>
        <v/>
      </c>
      <c r="C276" s="19">
        <f>IF(AND($C$239="Perpetual",4&gt;=AMC_Start),C259*AMC_Rate*(1+Esc)^(4-AMC_Start),0)</f>
        <v/>
      </c>
      <c r="D276" s="19">
        <f>IF(AND($D$239="Perpetual",4&gt;=AMC_Start),D259*AMC_Rate*(1+Esc)^(4-AMC_Start),0)</f>
        <v/>
      </c>
      <c r="E276" s="19">
        <f>IF(AND($E$239="Perpetual",4&gt;=AMC_Start),E259*AMC_Rate*(1+Esc)^(4-AMC_Start),0)</f>
        <v/>
      </c>
      <c r="F276" s="19">
        <f>IF(AND($F$239="Perpetual",4&gt;=AMC_Start),F259*AMC_Rate*(1+Esc)^(4-AMC_Start),0)</f>
        <v/>
      </c>
      <c r="G276" s="19">
        <f>IF(AND($G$239="Perpetual",4&gt;=AMC_Start),G259*AMC_Rate*(1+Esc)^(4-AMC_Start),0)</f>
        <v/>
      </c>
      <c r="H276" s="19">
        <f>IF(AND($H$239="Perpetual",4&gt;=AMC_Start),H259*AMC_Rate*(1+Esc)^(4-AMC_Start),0)</f>
        <v/>
      </c>
      <c r="I276" s="19">
        <f>IF(AND($I$239="Perpetual",4&gt;=AMC_Start),I259*AMC_Rate*(1+Esc)^(4-AMC_Start),0)</f>
        <v/>
      </c>
    </row>
    <row r="277">
      <c r="A277" s="10" t="inlineStr">
        <is>
          <t>AMC Year 5</t>
        </is>
      </c>
      <c r="B277" s="19">
        <f>IF(AND($B$239="Perpetual",5&gt;=AMC_Start),B259*AMC_Rate*(1+Esc)^(5-AMC_Start),0)</f>
        <v/>
      </c>
      <c r="C277" s="19">
        <f>IF(AND($C$239="Perpetual",5&gt;=AMC_Start),C259*AMC_Rate*(1+Esc)^(5-AMC_Start),0)</f>
        <v/>
      </c>
      <c r="D277" s="19">
        <f>IF(AND($D$239="Perpetual",5&gt;=AMC_Start),D259*AMC_Rate*(1+Esc)^(5-AMC_Start),0)</f>
        <v/>
      </c>
      <c r="E277" s="19">
        <f>IF(AND($E$239="Perpetual",5&gt;=AMC_Start),E259*AMC_Rate*(1+Esc)^(5-AMC_Start),0)</f>
        <v/>
      </c>
      <c r="F277" s="19">
        <f>IF(AND($F$239="Perpetual",5&gt;=AMC_Start),F259*AMC_Rate*(1+Esc)^(5-AMC_Start),0)</f>
        <v/>
      </c>
      <c r="G277" s="19">
        <f>IF(AND($G$239="Perpetual",5&gt;=AMC_Start),G259*AMC_Rate*(1+Esc)^(5-AMC_Start),0)</f>
        <v/>
      </c>
      <c r="H277" s="19">
        <f>IF(AND($H$239="Perpetual",5&gt;=AMC_Start),H259*AMC_Rate*(1+Esc)^(5-AMC_Start),0)</f>
        <v/>
      </c>
      <c r="I277" s="19">
        <f>IF(AND($I$239="Perpetual",5&gt;=AMC_Start),I259*AMC_Rate*(1+Esc)^(5-AMC_Start),0)</f>
        <v/>
      </c>
    </row>
    <row r="278">
      <c r="A278" s="10" t="inlineStr">
        <is>
          <t>Subscription fees Year 1</t>
        </is>
      </c>
      <c r="B278" s="19">
        <f>B261*12*(1+Esc)^(1-1)</f>
        <v/>
      </c>
      <c r="C278" s="19">
        <f>C261*12*(1+Esc)^(1-1)</f>
        <v/>
      </c>
      <c r="D278" s="19">
        <f>D261*12*(1+Esc)^(1-1)</f>
        <v/>
      </c>
      <c r="E278" s="19">
        <f>E261*12*(1+Esc)^(1-1)</f>
        <v/>
      </c>
      <c r="F278" s="19">
        <f>F261*12*(1+Esc)^(1-1)</f>
        <v/>
      </c>
      <c r="G278" s="19">
        <f>G261*12*(1+Esc)^(1-1)</f>
        <v/>
      </c>
      <c r="H278" s="19">
        <f>H261*12*(1+Esc)^(1-1)</f>
        <v/>
      </c>
      <c r="I278" s="19">
        <f>I261*12*(1+Esc)^(1-1)</f>
        <v/>
      </c>
    </row>
    <row r="279">
      <c r="A279" s="10" t="inlineStr">
        <is>
          <t>Subscription fees Year 2</t>
        </is>
      </c>
      <c r="B279" s="19">
        <f>B261*12*(1+Esc)^(2-1)</f>
        <v/>
      </c>
      <c r="C279" s="19">
        <f>C261*12*(1+Esc)^(2-1)</f>
        <v/>
      </c>
      <c r="D279" s="19">
        <f>D261*12*(1+Esc)^(2-1)</f>
        <v/>
      </c>
      <c r="E279" s="19">
        <f>E261*12*(1+Esc)^(2-1)</f>
        <v/>
      </c>
      <c r="F279" s="19">
        <f>F261*12*(1+Esc)^(2-1)</f>
        <v/>
      </c>
      <c r="G279" s="19">
        <f>G261*12*(1+Esc)^(2-1)</f>
        <v/>
      </c>
      <c r="H279" s="19">
        <f>H261*12*(1+Esc)^(2-1)</f>
        <v/>
      </c>
      <c r="I279" s="19">
        <f>I261*12*(1+Esc)^(2-1)</f>
        <v/>
      </c>
    </row>
    <row r="280">
      <c r="A280" s="10" t="inlineStr">
        <is>
          <t>Subscription fees Year 3</t>
        </is>
      </c>
      <c r="B280" s="19">
        <f>B261*12*(1+Esc)^(3-1)</f>
        <v/>
      </c>
      <c r="C280" s="19">
        <f>C261*12*(1+Esc)^(3-1)</f>
        <v/>
      </c>
      <c r="D280" s="19">
        <f>D261*12*(1+Esc)^(3-1)</f>
        <v/>
      </c>
      <c r="E280" s="19">
        <f>E261*12*(1+Esc)^(3-1)</f>
        <v/>
      </c>
      <c r="F280" s="19">
        <f>F261*12*(1+Esc)^(3-1)</f>
        <v/>
      </c>
      <c r="G280" s="19">
        <f>G261*12*(1+Esc)^(3-1)</f>
        <v/>
      </c>
      <c r="H280" s="19">
        <f>H261*12*(1+Esc)^(3-1)</f>
        <v/>
      </c>
      <c r="I280" s="19">
        <f>I261*12*(1+Esc)^(3-1)</f>
        <v/>
      </c>
    </row>
    <row r="281">
      <c r="A281" s="10" t="inlineStr">
        <is>
          <t>Subscription fees Year 4</t>
        </is>
      </c>
      <c r="B281" s="19">
        <f>B261*12*(1+Esc)^(4-1)</f>
        <v/>
      </c>
      <c r="C281" s="19">
        <f>C261*12*(1+Esc)^(4-1)</f>
        <v/>
      </c>
      <c r="D281" s="19">
        <f>D261*12*(1+Esc)^(4-1)</f>
        <v/>
      </c>
      <c r="E281" s="19">
        <f>E261*12*(1+Esc)^(4-1)</f>
        <v/>
      </c>
      <c r="F281" s="19">
        <f>F261*12*(1+Esc)^(4-1)</f>
        <v/>
      </c>
      <c r="G281" s="19">
        <f>G261*12*(1+Esc)^(4-1)</f>
        <v/>
      </c>
      <c r="H281" s="19">
        <f>H261*12*(1+Esc)^(4-1)</f>
        <v/>
      </c>
      <c r="I281" s="19">
        <f>I261*12*(1+Esc)^(4-1)</f>
        <v/>
      </c>
    </row>
    <row r="282">
      <c r="A282" s="10" t="inlineStr">
        <is>
          <t>Subscription fees Year 5</t>
        </is>
      </c>
      <c r="B282" s="19">
        <f>B261*12*(1+Esc)^(5-1)</f>
        <v/>
      </c>
      <c r="C282" s="19">
        <f>C261*12*(1+Esc)^(5-1)</f>
        <v/>
      </c>
      <c r="D282" s="19">
        <f>D261*12*(1+Esc)^(5-1)</f>
        <v/>
      </c>
      <c r="E282" s="19">
        <f>E261*12*(1+Esc)^(5-1)</f>
        <v/>
      </c>
      <c r="F282" s="19">
        <f>F261*12*(1+Esc)^(5-1)</f>
        <v/>
      </c>
      <c r="G282" s="19">
        <f>G261*12*(1+Esc)^(5-1)</f>
        <v/>
      </c>
      <c r="H282" s="19">
        <f>H261*12*(1+Esc)^(5-1)</f>
        <v/>
      </c>
      <c r="I282" s="19">
        <f>I261*12*(1+Esc)^(5-1)</f>
        <v/>
      </c>
    </row>
    <row r="283">
      <c r="A283" s="10" t="inlineStr">
        <is>
          <t>Hosting and environments Year 1</t>
        </is>
      </c>
      <c r="B283" s="19">
        <f>(B264+B267)*12*(1+Infra_Esc)^(1-1)+B266*PP_GoLive</f>
        <v/>
      </c>
      <c r="C283" s="19">
        <f>(C264+C267)*12*(1+Infra_Esc)^(1-1)+C266*PP_GoLive</f>
        <v/>
      </c>
      <c r="D283" s="19">
        <f>(D264+D267)*12*(1+Infra_Esc)^(1-1)+D266*PP_GoLive</f>
        <v/>
      </c>
      <c r="E283" s="19">
        <f>(E264+E267)*12*(1+Infra_Esc)^(1-1)+E266*PP_GoLive</f>
        <v/>
      </c>
      <c r="F283" s="19">
        <f>(F264+F267)*12*(1+Infra_Esc)^(1-1)+F266*PP_GoLive</f>
        <v/>
      </c>
      <c r="G283" s="19">
        <f>(G264+G267)*12*(1+Infra_Esc)^(1-1)+G266*PP_GoLive</f>
        <v/>
      </c>
      <c r="H283" s="19">
        <f>(H264+H267)*12*(1+Infra_Esc)^(1-1)+H266*PP_GoLive</f>
        <v/>
      </c>
      <c r="I283" s="19">
        <f>(I264+I267)*12*(1+Infra_Esc)^(1-1)+I266*PP_GoLive</f>
        <v/>
      </c>
    </row>
    <row r="284">
      <c r="A284" s="10" t="inlineStr">
        <is>
          <t>Hosting and environments Year 2</t>
        </is>
      </c>
      <c r="B284" s="19">
        <f>(B264+B267)*12*(1+Infra_Esc)^(2-1)+B266*PP_Rel*Rel_Year</f>
        <v/>
      </c>
      <c r="C284" s="19">
        <f>(C264+C267)*12*(1+Infra_Esc)^(2-1)+C266*PP_Rel*Rel_Year</f>
        <v/>
      </c>
      <c r="D284" s="19">
        <f>(D264+D267)*12*(1+Infra_Esc)^(2-1)+D266*PP_Rel*Rel_Year</f>
        <v/>
      </c>
      <c r="E284" s="19">
        <f>(E264+E267)*12*(1+Infra_Esc)^(2-1)+E266*PP_Rel*Rel_Year</f>
        <v/>
      </c>
      <c r="F284" s="19">
        <f>(F264+F267)*12*(1+Infra_Esc)^(2-1)+F266*PP_Rel*Rel_Year</f>
        <v/>
      </c>
      <c r="G284" s="19">
        <f>(G264+G267)*12*(1+Infra_Esc)^(2-1)+G266*PP_Rel*Rel_Year</f>
        <v/>
      </c>
      <c r="H284" s="19">
        <f>(H264+H267)*12*(1+Infra_Esc)^(2-1)+H266*PP_Rel*Rel_Year</f>
        <v/>
      </c>
      <c r="I284" s="19">
        <f>(I264+I267)*12*(1+Infra_Esc)^(2-1)+I266*PP_Rel*Rel_Year</f>
        <v/>
      </c>
    </row>
    <row r="285">
      <c r="A285" s="10" t="inlineStr">
        <is>
          <t>Hosting and environments Year 3</t>
        </is>
      </c>
      <c r="B285" s="19">
        <f>(B264+B267)*12*(1+Infra_Esc)^(3-1)+B266*PP_Rel*Rel_Year</f>
        <v/>
      </c>
      <c r="C285" s="19">
        <f>(C264+C267)*12*(1+Infra_Esc)^(3-1)+C266*PP_Rel*Rel_Year</f>
        <v/>
      </c>
      <c r="D285" s="19">
        <f>(D264+D267)*12*(1+Infra_Esc)^(3-1)+D266*PP_Rel*Rel_Year</f>
        <v/>
      </c>
      <c r="E285" s="19">
        <f>(E264+E267)*12*(1+Infra_Esc)^(3-1)+E266*PP_Rel*Rel_Year</f>
        <v/>
      </c>
      <c r="F285" s="19">
        <f>(F264+F267)*12*(1+Infra_Esc)^(3-1)+F266*PP_Rel*Rel_Year</f>
        <v/>
      </c>
      <c r="G285" s="19">
        <f>(G264+G267)*12*(1+Infra_Esc)^(3-1)+G266*PP_Rel*Rel_Year</f>
        <v/>
      </c>
      <c r="H285" s="19">
        <f>(H264+H267)*12*(1+Infra_Esc)^(3-1)+H266*PP_Rel*Rel_Year</f>
        <v/>
      </c>
      <c r="I285" s="19">
        <f>(I264+I267)*12*(1+Infra_Esc)^(3-1)+I266*PP_Rel*Rel_Year</f>
        <v/>
      </c>
    </row>
    <row r="286">
      <c r="A286" s="10" t="inlineStr">
        <is>
          <t>Hosting and environments Year 4</t>
        </is>
      </c>
      <c r="B286" s="19">
        <f>(B264+B267)*12*(1+Infra_Esc)^(4-1)+B266*PP_Rel*Rel_Year</f>
        <v/>
      </c>
      <c r="C286" s="19">
        <f>(C264+C267)*12*(1+Infra_Esc)^(4-1)+C266*PP_Rel*Rel_Year</f>
        <v/>
      </c>
      <c r="D286" s="19">
        <f>(D264+D267)*12*(1+Infra_Esc)^(4-1)+D266*PP_Rel*Rel_Year</f>
        <v/>
      </c>
      <c r="E286" s="19">
        <f>(E264+E267)*12*(1+Infra_Esc)^(4-1)+E266*PP_Rel*Rel_Year</f>
        <v/>
      </c>
      <c r="F286" s="19">
        <f>(F264+F267)*12*(1+Infra_Esc)^(4-1)+F266*PP_Rel*Rel_Year</f>
        <v/>
      </c>
      <c r="G286" s="19">
        <f>(G264+G267)*12*(1+Infra_Esc)^(4-1)+G266*PP_Rel*Rel_Year</f>
        <v/>
      </c>
      <c r="H286" s="19">
        <f>(H264+H267)*12*(1+Infra_Esc)^(4-1)+H266*PP_Rel*Rel_Year</f>
        <v/>
      </c>
      <c r="I286" s="19">
        <f>(I264+I267)*12*(1+Infra_Esc)^(4-1)+I266*PP_Rel*Rel_Year</f>
        <v/>
      </c>
    </row>
    <row r="287">
      <c r="A287" s="10" t="inlineStr">
        <is>
          <t>Hosting and environments Year 5</t>
        </is>
      </c>
      <c r="B287" s="19">
        <f>(B264+B267)*12*(1+Infra_Esc)^(5-1)+B266*PP_Rel*Rel_Year</f>
        <v/>
      </c>
      <c r="C287" s="19">
        <f>(C264+C267)*12*(1+Infra_Esc)^(5-1)+C266*PP_Rel*Rel_Year</f>
        <v/>
      </c>
      <c r="D287" s="19">
        <f>(D264+D267)*12*(1+Infra_Esc)^(5-1)+D266*PP_Rel*Rel_Year</f>
        <v/>
      </c>
      <c r="E287" s="19">
        <f>(E264+E267)*12*(1+Infra_Esc)^(5-1)+E266*PP_Rel*Rel_Year</f>
        <v/>
      </c>
      <c r="F287" s="19">
        <f>(F264+F267)*12*(1+Infra_Esc)^(5-1)+F266*PP_Rel*Rel_Year</f>
        <v/>
      </c>
      <c r="G287" s="19">
        <f>(G264+G267)*12*(1+Infra_Esc)^(5-1)+G266*PP_Rel*Rel_Year</f>
        <v/>
      </c>
      <c r="H287" s="19">
        <f>(H264+H267)*12*(1+Infra_Esc)^(5-1)+H266*PP_Rel*Rel_Year</f>
        <v/>
      </c>
      <c r="I287" s="19">
        <f>(I264+I267)*12*(1+Infra_Esc)^(5-1)+I266*PP_Rel*Rel_Year</f>
        <v/>
      </c>
    </row>
    <row r="288">
      <c r="A288" s="10" t="inlineStr">
        <is>
          <t>24x7 support Year 1</t>
        </is>
      </c>
      <c r="B288" s="19">
        <f>B271*(1-$B$250)*(1+Esc)^(1-1)</f>
        <v/>
      </c>
      <c r="C288" s="19">
        <f>C271*(1-$C$250)*(1+Esc)^(1-1)</f>
        <v/>
      </c>
      <c r="D288" s="19">
        <f>D271*(1-$D$250)*(1+Esc)^(1-1)</f>
        <v/>
      </c>
      <c r="E288" s="19">
        <f>E271*(1-$E$250)*(1+Esc)^(1-1)</f>
        <v/>
      </c>
      <c r="F288" s="19">
        <f>F271*(1-$F$250)*(1+Esc)^(1-1)</f>
        <v/>
      </c>
      <c r="G288" s="19">
        <f>G271*(1-$G$250)*(1+Esc)^(1-1)</f>
        <v/>
      </c>
      <c r="H288" s="19">
        <f>H271*(1-$H$250)*(1+Esc)^(1-1)</f>
        <v/>
      </c>
      <c r="I288" s="19">
        <f>I271*(1-$I$250)*(1+Esc)^(1-1)</f>
        <v/>
      </c>
    </row>
    <row r="289">
      <c r="A289" s="10" t="inlineStr">
        <is>
          <t>24x7 support Year 2</t>
        </is>
      </c>
      <c r="B289" s="19">
        <f>B271*(1-$B$250)*(1+Esc)^(2-1)</f>
        <v/>
      </c>
      <c r="C289" s="19">
        <f>C271*(1-$C$250)*(1+Esc)^(2-1)</f>
        <v/>
      </c>
      <c r="D289" s="19">
        <f>D271*(1-$D$250)*(1+Esc)^(2-1)</f>
        <v/>
      </c>
      <c r="E289" s="19">
        <f>E271*(1-$E$250)*(1+Esc)^(2-1)</f>
        <v/>
      </c>
      <c r="F289" s="19">
        <f>F271*(1-$F$250)*(1+Esc)^(2-1)</f>
        <v/>
      </c>
      <c r="G289" s="19">
        <f>G271*(1-$G$250)*(1+Esc)^(2-1)</f>
        <v/>
      </c>
      <c r="H289" s="19">
        <f>H271*(1-$H$250)*(1+Esc)^(2-1)</f>
        <v/>
      </c>
      <c r="I289" s="19">
        <f>I271*(1-$I$250)*(1+Esc)^(2-1)</f>
        <v/>
      </c>
    </row>
    <row r="290">
      <c r="A290" s="10" t="inlineStr">
        <is>
          <t>24x7 support Year 3</t>
        </is>
      </c>
      <c r="B290" s="19">
        <f>B271*(1-$B$250)*(1+Esc)^(3-1)</f>
        <v/>
      </c>
      <c r="C290" s="19">
        <f>C271*(1-$C$250)*(1+Esc)^(3-1)</f>
        <v/>
      </c>
      <c r="D290" s="19">
        <f>D271*(1-$D$250)*(1+Esc)^(3-1)</f>
        <v/>
      </c>
      <c r="E290" s="19">
        <f>E271*(1-$E$250)*(1+Esc)^(3-1)</f>
        <v/>
      </c>
      <c r="F290" s="19">
        <f>F271*(1-$F$250)*(1+Esc)^(3-1)</f>
        <v/>
      </c>
      <c r="G290" s="19">
        <f>G271*(1-$G$250)*(1+Esc)^(3-1)</f>
        <v/>
      </c>
      <c r="H290" s="19">
        <f>H271*(1-$H$250)*(1+Esc)^(3-1)</f>
        <v/>
      </c>
      <c r="I290" s="19">
        <f>I271*(1-$I$250)*(1+Esc)^(3-1)</f>
        <v/>
      </c>
    </row>
    <row r="291">
      <c r="A291" s="10" t="inlineStr">
        <is>
          <t>24x7 support Year 4</t>
        </is>
      </c>
      <c r="B291" s="19">
        <f>B271*(1-$B$250)*(1+Esc)^(4-1)</f>
        <v/>
      </c>
      <c r="C291" s="19">
        <f>C271*(1-$C$250)*(1+Esc)^(4-1)</f>
        <v/>
      </c>
      <c r="D291" s="19">
        <f>D271*(1-$D$250)*(1+Esc)^(4-1)</f>
        <v/>
      </c>
      <c r="E291" s="19">
        <f>E271*(1-$E$250)*(1+Esc)^(4-1)</f>
        <v/>
      </c>
      <c r="F291" s="19">
        <f>F271*(1-$F$250)*(1+Esc)^(4-1)</f>
        <v/>
      </c>
      <c r="G291" s="19">
        <f>G271*(1-$G$250)*(1+Esc)^(4-1)</f>
        <v/>
      </c>
      <c r="H291" s="19">
        <f>H271*(1-$H$250)*(1+Esc)^(4-1)</f>
        <v/>
      </c>
      <c r="I291" s="19">
        <f>I271*(1-$I$250)*(1+Esc)^(4-1)</f>
        <v/>
      </c>
    </row>
    <row r="292">
      <c r="A292" s="10" t="inlineStr">
        <is>
          <t>24x7 support Year 5</t>
        </is>
      </c>
      <c r="B292" s="19">
        <f>B271*(1-$B$250)*(1+Esc)^(5-1)</f>
        <v/>
      </c>
      <c r="C292" s="19">
        <f>C271*(1-$C$250)*(1+Esc)^(5-1)</f>
        <v/>
      </c>
      <c r="D292" s="19">
        <f>D271*(1-$D$250)*(1+Esc)^(5-1)</f>
        <v/>
      </c>
      <c r="E292" s="19">
        <f>E271*(1-$E$250)*(1+Esc)^(5-1)</f>
        <v/>
      </c>
      <c r="F292" s="19">
        <f>F271*(1-$F$250)*(1+Esc)^(5-1)</f>
        <v/>
      </c>
      <c r="G292" s="19">
        <f>G271*(1-$G$250)*(1+Esc)^(5-1)</f>
        <v/>
      </c>
      <c r="H292" s="19">
        <f>H271*(1-$H$250)*(1+Esc)^(5-1)</f>
        <v/>
      </c>
      <c r="I292" s="19">
        <f>I271*(1-$I$250)*(1+Esc)^(5-1)</f>
        <v/>
      </c>
    </row>
    <row r="293">
      <c r="A293" s="10" t="inlineStr">
        <is>
          <t>Total Year 1, excl. VAT</t>
        </is>
      </c>
      <c r="B293" s="20">
        <f>B257+B259+B270+B273+B278+B283+B288</f>
        <v/>
      </c>
      <c r="C293" s="20">
        <f>C257+C259+C270+C273+C278+C283+C288</f>
        <v/>
      </c>
      <c r="D293" s="20">
        <f>D257+D259+D270+D273+D278+D283+D288</f>
        <v/>
      </c>
      <c r="E293" s="20">
        <f>E257+E259+E270+E273+E278+E283+E288</f>
        <v/>
      </c>
      <c r="F293" s="20">
        <f>F257+F259+F270+F273+F278+F283+F288</f>
        <v/>
      </c>
      <c r="G293" s="20">
        <f>G257+G259+G270+G273+G278+G283+G288</f>
        <v/>
      </c>
      <c r="H293" s="20">
        <f>H257+H259+H270+H273+H278+H283+H288</f>
        <v/>
      </c>
      <c r="I293" s="20">
        <f>I257+I259+I270+I273+I278+I283+I288</f>
        <v/>
      </c>
    </row>
    <row r="294">
      <c r="A294" s="10" t="inlineStr">
        <is>
          <t>Total Year 2, excl. VAT</t>
        </is>
      </c>
      <c r="B294" s="19">
        <f>B274+B279+B284+B289</f>
        <v/>
      </c>
      <c r="C294" s="19">
        <f>C274+C279+C284+C289</f>
        <v/>
      </c>
      <c r="D294" s="19">
        <f>D274+D279+D284+D289</f>
        <v/>
      </c>
      <c r="E294" s="19">
        <f>E274+E279+E284+E289</f>
        <v/>
      </c>
      <c r="F294" s="19">
        <f>F274+F279+F284+F289</f>
        <v/>
      </c>
      <c r="G294" s="19">
        <f>G274+G279+G284+G289</f>
        <v/>
      </c>
      <c r="H294" s="19">
        <f>H274+H279+H284+H289</f>
        <v/>
      </c>
      <c r="I294" s="19">
        <f>I274+I279+I284+I289</f>
        <v/>
      </c>
    </row>
    <row r="295">
      <c r="A295" s="10" t="inlineStr">
        <is>
          <t>Total Year 3, excl. VAT</t>
        </is>
      </c>
      <c r="B295" s="19">
        <f>B275+B280+B285+B290</f>
        <v/>
      </c>
      <c r="C295" s="19">
        <f>C275+C280+C285+C290</f>
        <v/>
      </c>
      <c r="D295" s="19">
        <f>D275+D280+D285+D290</f>
        <v/>
      </c>
      <c r="E295" s="19">
        <f>E275+E280+E285+E290</f>
        <v/>
      </c>
      <c r="F295" s="19">
        <f>F275+F280+F285+F290</f>
        <v/>
      </c>
      <c r="G295" s="19">
        <f>G275+G280+G285+G290</f>
        <v/>
      </c>
      <c r="H295" s="19">
        <f>H275+H280+H285+H290</f>
        <v/>
      </c>
      <c r="I295" s="19">
        <f>I275+I280+I285+I290</f>
        <v/>
      </c>
    </row>
    <row r="296">
      <c r="A296" s="10" t="inlineStr">
        <is>
          <t>Total Year 4, excl. VAT</t>
        </is>
      </c>
      <c r="B296" s="19">
        <f>B276+B281+B286+B291</f>
        <v/>
      </c>
      <c r="C296" s="19">
        <f>C276+C281+C286+C291</f>
        <v/>
      </c>
      <c r="D296" s="19">
        <f>D276+D281+D286+D291</f>
        <v/>
      </c>
      <c r="E296" s="19">
        <f>E276+E281+E286+E291</f>
        <v/>
      </c>
      <c r="F296" s="19">
        <f>F276+F281+F286+F291</f>
        <v/>
      </c>
      <c r="G296" s="19">
        <f>G276+G281+G286+G291</f>
        <v/>
      </c>
      <c r="H296" s="19">
        <f>H276+H281+H286+H291</f>
        <v/>
      </c>
      <c r="I296" s="19">
        <f>I276+I281+I286+I291</f>
        <v/>
      </c>
    </row>
    <row r="297">
      <c r="A297" s="10" t="inlineStr">
        <is>
          <t>Total Year 5, excl. VAT</t>
        </is>
      </c>
      <c r="B297" s="19">
        <f>B277+B282+B287+B292</f>
        <v/>
      </c>
      <c r="C297" s="19">
        <f>C277+C282+C287+C292</f>
        <v/>
      </c>
      <c r="D297" s="19">
        <f>D277+D282+D287+D292</f>
        <v/>
      </c>
      <c r="E297" s="19">
        <f>E277+E282+E287+E292</f>
        <v/>
      </c>
      <c r="F297" s="19">
        <f>F277+F282+F287+F292</f>
        <v/>
      </c>
      <c r="G297" s="19">
        <f>G277+G282+G287+G292</f>
        <v/>
      </c>
      <c r="H297" s="19">
        <f>H277+H282+H287+H292</f>
        <v/>
      </c>
      <c r="I297" s="19">
        <f>I277+I282+I287+I292</f>
        <v/>
      </c>
    </row>
    <row r="298">
      <c r="A298" s="10" t="inlineStr">
        <is>
          <t>Total for the contract term, excl. VAT</t>
        </is>
      </c>
      <c r="B298" s="20">
        <f>IF($B$248&gt;=1,B293,0)+IF($B$248&gt;=2,B294,0)+IF($B$248&gt;=3,B295,0)+IF($B$248&gt;=4,B296,0)+IF($B$248&gt;=5,B297,0)</f>
        <v/>
      </c>
      <c r="C298" s="20">
        <f>IF($C$248&gt;=1,C293,0)+IF($C$248&gt;=2,C294,0)+IF($C$248&gt;=3,C295,0)+IF($C$248&gt;=4,C296,0)+IF($C$248&gt;=5,C297,0)</f>
        <v/>
      </c>
      <c r="D298" s="20">
        <f>IF($D$248&gt;=1,D293,0)+IF($D$248&gt;=2,D294,0)+IF($D$248&gt;=3,D295,0)+IF($D$248&gt;=4,D296,0)+IF($D$248&gt;=5,D297,0)</f>
        <v/>
      </c>
      <c r="E298" s="20">
        <f>IF($E$248&gt;=1,E293,0)+IF($E$248&gt;=2,E294,0)+IF($E$248&gt;=3,E295,0)+IF($E$248&gt;=4,E296,0)+IF($E$248&gt;=5,E297,0)</f>
        <v/>
      </c>
      <c r="F298" s="20">
        <f>IF($F$248&gt;=1,F293,0)+IF($F$248&gt;=2,F294,0)+IF($F$248&gt;=3,F295,0)+IF($F$248&gt;=4,F296,0)+IF($F$248&gt;=5,F297,0)</f>
        <v/>
      </c>
      <c r="G298" s="20">
        <f>IF($G$248&gt;=1,G293,0)+IF($G$248&gt;=2,G294,0)+IF($G$248&gt;=3,G295,0)+IF($G$248&gt;=4,G296,0)+IF($G$248&gt;=5,G297,0)</f>
        <v/>
      </c>
      <c r="H298" s="20">
        <f>IF($H$248&gt;=1,H293,0)+IF($H$248&gt;=2,H294,0)+IF($H$248&gt;=3,H295,0)+IF($H$248&gt;=4,H296,0)+IF($H$248&gt;=5,H297,0)</f>
        <v/>
      </c>
      <c r="I298" s="20">
        <f>IF($I$248&gt;=1,I293,0)+IF($I$248&gt;=2,I294,0)+IF($I$248&gt;=3,I295,0)+IF($I$248&gt;=4,I296,0)+IF($I$248&gt;=5,I297,0)</f>
        <v/>
      </c>
    </row>
    <row r="299">
      <c r="A299" s="10" t="inlineStr">
        <is>
          <t>5-year total cost, excl. VAT</t>
        </is>
      </c>
      <c r="B299" s="20">
        <f>B293+B294+B295+B296+B297</f>
        <v/>
      </c>
      <c r="C299" s="20">
        <f>C293+C294+C295+C296+C297</f>
        <v/>
      </c>
      <c r="D299" s="20">
        <f>D293+D294+D295+D296+D297</f>
        <v/>
      </c>
      <c r="E299" s="20">
        <f>E293+E294+E295+E296+E297</f>
        <v/>
      </c>
      <c r="F299" s="20">
        <f>F293+F294+F295+F296+F297</f>
        <v/>
      </c>
      <c r="G299" s="20">
        <f>G293+G294+G295+G296+G297</f>
        <v/>
      </c>
      <c r="H299" s="20">
        <f>H293+H294+H295+H296+H297</f>
        <v/>
      </c>
      <c r="I299" s="20">
        <f>I293+I294+I295+I296+I297</f>
        <v/>
      </c>
    </row>
    <row r="300">
      <c r="A300" s="10" t="inlineStr">
        <is>
          <t>5-year total cost, incl. VAT</t>
        </is>
      </c>
      <c r="B300" s="19">
        <f>B299*(1+VAT)</f>
        <v/>
      </c>
      <c r="C300" s="19">
        <f>C299*(1+VAT)</f>
        <v/>
      </c>
      <c r="D300" s="19">
        <f>D299*(1+VAT)</f>
        <v/>
      </c>
      <c r="E300" s="19">
        <f>E299*(1+VAT)</f>
        <v/>
      </c>
      <c r="F300" s="19">
        <f>F299*(1+VAT)</f>
        <v/>
      </c>
      <c r="G300" s="19">
        <f>G299*(1+VAT)</f>
        <v/>
      </c>
      <c r="H300" s="19">
        <f>H299*(1+VAT)</f>
        <v/>
      </c>
      <c r="I300" s="19">
        <f>I299*(1+VAT)</f>
        <v/>
      </c>
    </row>
    <row r="301">
      <c r="A301" s="10" t="inlineStr">
        <is>
          <t>5-year total cost, USD reference</t>
        </is>
      </c>
      <c r="B301" s="19">
        <f>B299/FX</f>
        <v/>
      </c>
      <c r="C301" s="19">
        <f>C299/FX</f>
        <v/>
      </c>
      <c r="D301" s="19">
        <f>D299/FX</f>
        <v/>
      </c>
      <c r="E301" s="19">
        <f>E299/FX</f>
        <v/>
      </c>
      <c r="F301" s="19">
        <f>F299/FX</f>
        <v/>
      </c>
      <c r="G301" s="19">
        <f>G299/FX</f>
        <v/>
      </c>
      <c r="H301" s="19">
        <f>H299/FX</f>
        <v/>
      </c>
      <c r="I301" s="19">
        <f>I299/FX</f>
        <v/>
      </c>
    </row>
  </sheetData>
  <mergeCells count="17">
    <mergeCell ref="H166:I166"/>
    <mergeCell ref="D236:E236"/>
    <mergeCell ref="F236:G236"/>
    <mergeCell ref="F96:G96"/>
    <mergeCell ref="A22:I22"/>
    <mergeCell ref="F166:G166"/>
    <mergeCell ref="D166:E166"/>
    <mergeCell ref="H236:I236"/>
    <mergeCell ref="B236:C236"/>
    <mergeCell ref="B26:C26"/>
    <mergeCell ref="B96:C96"/>
    <mergeCell ref="F26:G26"/>
    <mergeCell ref="D26:E26"/>
    <mergeCell ref="D96:E96"/>
    <mergeCell ref="B166:C166"/>
    <mergeCell ref="H96:I96"/>
    <mergeCell ref="H26:I26"/>
  </mergeCells>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G42"/>
  <sheetViews>
    <sheetView workbookViewId="0">
      <pane ySplit="3" topLeftCell="A4" activePane="bottomLeft" state="frozen"/>
      <selection pane="bottomLef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8" customWidth="1" min="6" max="6"/>
    <col width="60" customWidth="1" min="7" max="7"/>
  </cols>
  <sheetData>
    <row r="1">
      <c r="A1" s="1" t="inlineStr">
        <is>
          <t>Negotiation: approval matrix, floors and levers</t>
        </is>
      </c>
    </row>
    <row r="2">
      <c r="A2" s="2" t="inlineStr">
        <is>
          <t>INTERNAL. Never shown or sent to a client. Discounts are off the list price of each component.</t>
        </is>
      </c>
    </row>
    <row r="4">
      <c r="A4" s="6" t="inlineStr">
        <is>
          <t>Approval matrix: maximum discount off list by approver</t>
        </is>
      </c>
      <c r="B4" s="7" t="n"/>
      <c r="C4" s="7" t="n"/>
      <c r="D4" s="7" t="n"/>
      <c r="E4" s="7" t="n"/>
      <c r="F4" s="7" t="n"/>
      <c r="G4" s="7" t="n"/>
    </row>
    <row r="5" ht="32" customHeight="1">
      <c r="A5" s="3" t="inlineStr">
        <is>
          <t>Component</t>
        </is>
      </c>
      <c r="B5" s="3" t="inlineStr">
        <is>
          <t>Account manager</t>
        </is>
      </c>
      <c r="C5" s="3" t="inlineStr">
        <is>
          <t>Sales head</t>
        </is>
      </c>
      <c r="D5" s="3" t="inlineStr">
        <is>
          <t>CEO</t>
        </is>
      </c>
      <c r="E5" s="3" t="inlineStr">
        <is>
          <t>Floor: never below (discount)</t>
        </is>
      </c>
      <c r="F5" s="3" t="inlineStr">
        <is>
          <t>Floor as % of list</t>
        </is>
      </c>
      <c r="G5" s="3" t="inlineStr">
        <is>
          <t>Rules</t>
        </is>
      </c>
    </row>
    <row r="6" ht="30" customHeight="1">
      <c r="A6" s="16" t="inlineStr">
        <is>
          <t>Perpetual licence fee</t>
        </is>
      </c>
      <c r="B6" s="29" t="n">
        <v>0.05</v>
      </c>
      <c r="C6" s="29" t="n">
        <v>0.1</v>
      </c>
      <c r="D6" s="29" t="n">
        <v>0.15</v>
      </c>
      <c r="E6" s="29">
        <f>D6</f>
        <v/>
      </c>
      <c r="F6" s="30">
        <f>1-E6</f>
        <v/>
      </c>
      <c r="G6" s="5" t="inlineStr">
        <is>
          <t>AMC follows the quoted (net) licence fee. AMC rate 22% and 5% escalation are not discounted (see levers).</t>
        </is>
      </c>
    </row>
    <row r="7" ht="30" customHeight="1">
      <c r="A7" s="16" t="inlineStr">
        <is>
          <t>Subscription per user per month</t>
        </is>
      </c>
      <c r="B7" s="27">
        <f>B6</f>
        <v/>
      </c>
      <c r="C7" s="27">
        <f>C6</f>
        <v/>
      </c>
      <c r="D7" s="27">
        <f>D6</f>
        <v/>
      </c>
      <c r="E7" s="27">
        <f>E6</f>
        <v/>
      </c>
      <c r="F7" s="30">
        <f>1-E7</f>
        <v/>
      </c>
      <c r="G7" s="5" t="inlineStr">
        <is>
          <t>Discount fixed for the initial term; renewals at the then list price less the same discount unless agreed otherwise.</t>
        </is>
      </c>
    </row>
    <row r="8" ht="30" customHeight="1">
      <c r="A8" s="16" t="inlineStr">
        <is>
          <t>Implementation or onboarding fee</t>
        </is>
      </c>
      <c r="B8" s="27">
        <f>B6</f>
        <v/>
      </c>
      <c r="C8" s="27">
        <f>C6</f>
        <v/>
      </c>
      <c r="D8" s="27">
        <f>D6</f>
        <v/>
      </c>
      <c r="E8" s="29">
        <f>D6</f>
        <v/>
      </c>
      <c r="F8" s="30">
        <f>1-E8</f>
        <v/>
      </c>
      <c r="G8" s="5" t="inlineStr">
        <is>
          <t>Reducing scope lowers the fee at the blended rate and is not a discount.</t>
        </is>
      </c>
    </row>
    <row r="9" ht="30" customHeight="1">
      <c r="A9" s="16" t="inlineStr">
        <is>
          <t>One-time optional services and 24x7 support</t>
        </is>
      </c>
      <c r="B9" s="27">
        <f>B6</f>
        <v/>
      </c>
      <c r="C9" s="27">
        <f>C6</f>
        <v/>
      </c>
      <c r="D9" s="27">
        <f>D6</f>
        <v/>
      </c>
      <c r="E9" s="27">
        <f>E8</f>
        <v/>
      </c>
      <c r="F9" s="30">
        <f>1-E9</f>
        <v/>
      </c>
      <c r="G9" s="5" t="inlineStr">
        <is>
          <t>Same limits as implementation.</t>
        </is>
      </c>
    </row>
    <row r="10" ht="30" customHeight="1">
      <c r="A10" s="16" t="inlineStr">
        <is>
          <t>Hosting per month</t>
        </is>
      </c>
      <c r="B10" s="29" t="n">
        <v>0</v>
      </c>
      <c r="C10" s="29" t="n">
        <v>0.05</v>
      </c>
      <c r="D10" s="29" t="n">
        <v>0.1</v>
      </c>
      <c r="E10" s="29">
        <f>D10</f>
        <v/>
      </c>
      <c r="F10" s="30">
        <f>1-E10</f>
        <v/>
      </c>
      <c r="G10" s="5" t="inlineStr">
        <is>
          <t>Hosting carries a 20% margin over estimated cloud cost; 10% off keeps about 8% for FX and operations.</t>
        </is>
      </c>
    </row>
    <row r="11" ht="30" customHeight="1">
      <c r="A11" s="16" t="inlineStr">
        <is>
          <t>Change request and day rates</t>
        </is>
      </c>
      <c r="B11" s="29" t="n">
        <v>0</v>
      </c>
      <c r="C11" s="29" t="n">
        <v>0.05</v>
      </c>
      <c r="D11" s="29" t="n">
        <v>0.1</v>
      </c>
      <c r="E11" s="29" t="n">
        <v>0.1</v>
      </c>
      <c r="F11" s="30">
        <f>1-E11</f>
        <v/>
      </c>
      <c r="G11" s="5" t="inlineStr">
        <is>
          <t>Day rates are fixed for 12 months from signing. No discount on CRs below 5 man-days.</t>
        </is>
      </c>
    </row>
    <row r="12" ht="30" customHeight="1">
      <c r="A12" s="16" t="inlineStr">
        <is>
          <t>AMC rate (22%) and escalation (5%)</t>
        </is>
      </c>
      <c r="B12" s="29" t="n">
        <v>0</v>
      </c>
      <c r="C12" s="29" t="n">
        <v>0</v>
      </c>
      <c r="D12" s="29" t="n">
        <v>0</v>
      </c>
      <c r="E12" s="29" t="n">
        <v>0</v>
      </c>
      <c r="F12" s="30">
        <f>1-E12</f>
        <v/>
      </c>
      <c r="G12" s="5" t="inlineStr">
        <is>
          <t>Not discounted. Only the multi-year AMC prepayment lever may hold the escalation, with CEO approval.</t>
        </is>
      </c>
    </row>
    <row r="13" ht="30" customHeight="1">
      <c r="A13" s="31" t="inlineStr">
        <is>
          <t>The floor equals the CEO limit: nobody may approve a price below it. A deal that needs more must be restructured with the levers below (scope, phasing, term, payment) or declined. Total discount from all levers and discretion together may not pass the CEO limit.</t>
        </is>
      </c>
    </row>
    <row r="15">
      <c r="A15" s="6" t="inlineStr">
        <is>
          <t>Floor prices per tier (reference users and lines of business)</t>
        </is>
      </c>
      <c r="B15" s="7" t="n"/>
      <c r="C15" s="7" t="n"/>
      <c r="D15" s="7" t="n"/>
      <c r="E15" s="7" t="n"/>
      <c r="F15" s="7" t="n"/>
      <c r="G15" s="7" t="n"/>
    </row>
    <row r="16" ht="45" customHeight="1">
      <c r="A16" s="3" t="inlineStr">
        <is>
          <t>Tier</t>
        </is>
      </c>
      <c r="B16" s="3" t="inlineStr">
        <is>
          <t>Perpetual licence per user, list (first slab of tier)</t>
        </is>
      </c>
      <c r="C16" s="3" t="inlineStr">
        <is>
          <t>At floor</t>
        </is>
      </c>
      <c r="D16" s="3" t="inlineStr">
        <is>
          <t>Subscription per user per month, list</t>
        </is>
      </c>
      <c r="E16" s="3" t="inlineStr">
        <is>
          <t>At floor</t>
        </is>
      </c>
      <c r="F16" s="3" t="inlineStr">
        <is>
          <t>Implementation fee, list / at floor</t>
        </is>
      </c>
      <c r="G16" s="3" t="inlineStr">
        <is>
          <t>Hosting per month on AWS, list / at floor</t>
        </is>
      </c>
    </row>
    <row r="17">
      <c r="A17" s="16" t="inlineStr">
        <is>
          <t>Small</t>
        </is>
      </c>
      <c r="B17" s="19">
        <f>'Price Basis'!D30</f>
        <v/>
      </c>
      <c r="C17" s="26">
        <f>B17*(1-Floor_SW)</f>
        <v/>
      </c>
      <c r="D17" s="19">
        <f>'Price Basis'!E30</f>
        <v/>
      </c>
      <c r="E17" s="26">
        <f>D17*(1-Floor_SW)</f>
        <v/>
      </c>
      <c r="F17" s="15">
        <f>TEXT(ROUND('Price Basis'!G30*Blended/Round_To,0)*Round_To,"#,##0")&amp;" / "&amp;TEXT(ROUND('Price Basis'!G30*Blended/Round_To,0)*Round_To*(1-Floor_Svc),"#,##0")</f>
        <v/>
      </c>
      <c r="G17" s="15">
        <f>TEXT('Price Basis'!C38,"#,##0")&amp;" / "&amp;TEXT('Price Basis'!C38*(1-Floor_Host),"#,##0")</f>
        <v/>
      </c>
    </row>
    <row r="18">
      <c r="A18" s="16" t="inlineStr">
        <is>
          <t>Medium</t>
        </is>
      </c>
      <c r="B18" s="19">
        <f>'Price Basis'!D31</f>
        <v/>
      </c>
      <c r="C18" s="26">
        <f>B18*(1-Floor_SW)</f>
        <v/>
      </c>
      <c r="D18" s="19">
        <f>'Price Basis'!E31</f>
        <v/>
      </c>
      <c r="E18" s="26">
        <f>D18*(1-Floor_SW)</f>
        <v/>
      </c>
      <c r="F18" s="15">
        <f>TEXT(ROUND('Price Basis'!G31*Blended/Round_To,0)*Round_To,"#,##0")&amp;" / "&amp;TEXT(ROUND('Price Basis'!G31*Blended/Round_To,0)*Round_To*(1-Floor_Svc),"#,##0")</f>
        <v/>
      </c>
      <c r="G18" s="15">
        <f>TEXT('Price Basis'!C39,"#,##0")&amp;" / "&amp;TEXT('Price Basis'!C39*(1-Floor_Host),"#,##0")</f>
        <v/>
      </c>
    </row>
    <row r="19">
      <c r="A19" s="16" t="inlineStr">
        <is>
          <t>Large</t>
        </is>
      </c>
      <c r="B19" s="19">
        <f>'Price Basis'!D32</f>
        <v/>
      </c>
      <c r="C19" s="26">
        <f>B19*(1-Floor_SW)</f>
        <v/>
      </c>
      <c r="D19" s="19">
        <f>'Price Basis'!E32</f>
        <v/>
      </c>
      <c r="E19" s="26">
        <f>D19*(1-Floor_SW)</f>
        <v/>
      </c>
      <c r="F19" s="15">
        <f>TEXT(ROUND('Price Basis'!G32*Blended/Round_To,0)*Round_To,"#,##0")&amp;" / "&amp;TEXT(ROUND('Price Basis'!G32*Blended/Round_To,0)*Round_To*(1-Floor_Svc),"#,##0")</f>
        <v/>
      </c>
      <c r="G19" s="15">
        <f>TEXT('Price Basis'!C40,"#,##0")&amp;" / "&amp;TEXT('Price Basis'!C40*(1-Floor_Host),"#,##0")</f>
        <v/>
      </c>
    </row>
    <row r="20">
      <c r="A20" s="16" t="inlineStr">
        <is>
          <t>Enterprise</t>
        </is>
      </c>
      <c r="B20" s="19">
        <f>'Price Basis'!D33</f>
        <v/>
      </c>
      <c r="C20" s="26">
        <f>B20*(1-Floor_SW)</f>
        <v/>
      </c>
      <c r="D20" s="19">
        <f>'Price Basis'!E33</f>
        <v/>
      </c>
      <c r="E20" s="26">
        <f>D20*(1-Floor_SW)</f>
        <v/>
      </c>
      <c r="F20" s="15">
        <f>TEXT(ROUND('Price Basis'!G33*Blended/Round_To,0)*Round_To,"#,##0")&amp;" / "&amp;TEXT(ROUND('Price Basis'!G33*Blended/Round_To,0)*Round_To*(1-Floor_Svc),"#,##0")</f>
        <v/>
      </c>
      <c r="G20" s="15">
        <f>TEXT('Price Basis'!C41,"#,##0")&amp;" / "&amp;TEXT('Price Basis'!C41*(1-Floor_Host),"#,##0")</f>
        <v/>
      </c>
    </row>
    <row r="21" ht="18" customHeight="1">
      <c r="A21" s="23" t="inlineStr">
        <is>
          <t>Per-user rates are the slab rates; the graduated slabs still apply at the floor (each slab rate less the floor discount).</t>
        </is>
      </c>
    </row>
    <row r="23">
      <c r="A23" s="6" t="inlineStr">
        <is>
          <t>Give and get levers</t>
        </is>
      </c>
      <c r="B23" s="7" t="n"/>
      <c r="C23" s="7" t="n"/>
      <c r="D23" s="7" t="n"/>
      <c r="E23" s="7" t="n"/>
      <c r="F23" s="7" t="n"/>
      <c r="G23" s="7" t="n"/>
    </row>
    <row r="24" ht="32" customHeight="1">
      <c r="A24" s="3" t="inlineStr">
        <is>
          <t>Lever</t>
        </is>
      </c>
      <c r="B24" s="3" t="inlineStr">
        <is>
          <t>What iorta TechNXT gets</t>
        </is>
      </c>
      <c r="C24" s="3" t="inlineStr">
        <is>
          <t>Allowed price effect</t>
        </is>
      </c>
      <c r="D24" s="3" t="inlineStr">
        <is>
          <t>Maximum</t>
        </is>
      </c>
      <c r="E24" s="3" t="inlineStr">
        <is>
          <t>Approver</t>
        </is>
      </c>
      <c r="F24" s="3" t="inlineStr">
        <is>
          <t>Counts toward the discount limit</t>
        </is>
      </c>
      <c r="G24" s="3" t="inlineStr">
        <is>
          <t>Conditions</t>
        </is>
      </c>
    </row>
    <row r="25" ht="48" customHeight="1">
      <c r="A25" s="4" t="inlineStr">
        <is>
          <t>Longer term</t>
        </is>
      </c>
      <c r="B25" s="5" t="inlineStr">
        <is>
          <t>3-year or 5-year committed subscription or AMC term, no termination for convenience in the term</t>
        </is>
      </c>
      <c r="C25" s="5" t="inlineStr">
        <is>
          <t>Off subscription fee</t>
        </is>
      </c>
      <c r="D25" s="5" t="inlineStr">
        <is>
          <t>3 years: 3%; 5 years: 5%</t>
        </is>
      </c>
      <c r="E25" s="5" t="inlineStr">
        <is>
          <t>Account manager (3%); sales head (5%)</t>
        </is>
      </c>
      <c r="F25" s="5" t="inlineStr">
        <is>
          <t>Yes</t>
        </is>
      </c>
      <c r="G25" s="5" t="inlineStr">
        <is>
          <t>Early termination fee equal to the remaining committed fees of the term, or 50% of them if the owner prefers (decision).</t>
        </is>
      </c>
    </row>
    <row r="26" ht="48" customHeight="1">
      <c r="A26" s="4" t="inlineStr">
        <is>
          <t>Upfront payment</t>
        </is>
      </c>
      <c r="B26" s="5" t="inlineStr">
        <is>
          <t>Subscription paid yearly in advance, or implementation 100% on signing</t>
        </is>
      </c>
      <c r="C26" s="5" t="inlineStr">
        <is>
          <t>Off the amount prepaid</t>
        </is>
      </c>
      <c r="D26" s="5" t="inlineStr">
        <is>
          <t>Subscription yearly in advance: 4%; implementation 100% on signing: 3%</t>
        </is>
      </c>
      <c r="E26" s="5" t="inlineStr">
        <is>
          <t>Account manager</t>
        </is>
      </c>
      <c r="F26" s="5" t="inlineStr">
        <is>
          <t>Yes</t>
        </is>
      </c>
      <c r="G26" s="5" t="inlineStr">
        <is>
          <t>Discount applies only to the prepaid period; lost if a payment is late more than 30 days.</t>
        </is>
      </c>
    </row>
    <row r="27" ht="48" customHeight="1">
      <c r="A27" s="4" t="inlineStr">
        <is>
          <t>Reference customer</t>
        </is>
      </c>
      <c r="B27" s="5" t="inlineStr">
        <is>
          <t>Named as a client; two reference calls a year with prospects; logo use</t>
        </is>
      </c>
      <c r="C27" s="5" t="inlineStr">
        <is>
          <t>Off licence or subscription</t>
        </is>
      </c>
      <c r="D27" s="5" t="inlineStr">
        <is>
          <t>2%</t>
        </is>
      </c>
      <c r="E27" s="5" t="inlineStr">
        <is>
          <t>Account manager</t>
        </is>
      </c>
      <c r="F27" s="5" t="inlineStr">
        <is>
          <t>Yes</t>
        </is>
      </c>
      <c r="G27" s="5" t="inlineStr">
        <is>
          <t>Signed reference clause in the Order Form; given after go-live.</t>
        </is>
      </c>
    </row>
    <row r="28" ht="48" customHeight="1">
      <c r="A28" s="4" t="inlineStr">
        <is>
          <t>Case study</t>
        </is>
      </c>
      <c r="B28" s="5" t="inlineStr">
        <is>
          <t>Joint published case study within 6 months of go-live, with a quote from the sponsor</t>
        </is>
      </c>
      <c r="C28" s="5" t="inlineStr">
        <is>
          <t>Off licence or subscription, or a credit</t>
        </is>
      </c>
      <c r="D28" s="5" t="inlineStr">
        <is>
          <t>2%, or PHP 100,000 credit against CRs</t>
        </is>
      </c>
      <c r="E28" s="5" t="inlineStr">
        <is>
          <t>Sales head</t>
        </is>
      </c>
      <c r="F28" s="5" t="inlineStr">
        <is>
          <t>Yes</t>
        </is>
      </c>
      <c r="G28" s="5" t="inlineStr">
        <is>
          <t>Credit used within 12 months; not paid out in cash.</t>
        </is>
      </c>
    </row>
    <row r="29" ht="48" customHeight="1">
      <c r="A29" s="4" t="inlineStr">
        <is>
          <t>Multi-year AMC prepayment</t>
        </is>
      </c>
      <c r="B29" s="5" t="inlineStr">
        <is>
          <t>AMC for 3 years paid in advance at the start of the AMC term</t>
        </is>
      </c>
      <c r="C29" s="5" t="inlineStr">
        <is>
          <t>AMC for the prepaid years held at the first AMC year rate (no 5% escalation)</t>
        </is>
      </c>
      <c r="D29" s="5" t="inlineStr">
        <is>
          <t>About 5% of the prepaid AMC</t>
        </is>
      </c>
      <c r="E29" s="5" t="inlineStr">
        <is>
          <t>CEO</t>
        </is>
      </c>
      <c r="F29" s="5" t="inlineStr">
        <is>
          <t>No (AMC lever)</t>
        </is>
      </c>
      <c r="G29" s="5" t="inlineStr">
        <is>
          <t>Non-refundable except for iorta TechNXT breach; escalation resumes after the prepaid years.</t>
        </is>
      </c>
    </row>
    <row r="30" ht="48" customHeight="1">
      <c r="A30" s="4" t="inlineStr">
        <is>
          <t>Reduced scope</t>
        </is>
      </c>
      <c r="B30" s="5" t="inlineStr">
        <is>
          <t>Fewer lines of business at go-live, broker loads its own data, remote training only</t>
        </is>
      </c>
      <c r="C30" s="5" t="inlineStr">
        <is>
          <t>Implementation fee falls by the man-days removed at the blended rate</t>
        </is>
      </c>
      <c r="D30" s="5" t="inlineStr">
        <is>
          <t>Up to the man-days removed (6 man-days per line of business)</t>
        </is>
      </c>
      <c r="E30" s="5" t="inlineStr">
        <is>
          <t>Account manager</t>
        </is>
      </c>
      <c r="F30" s="5" t="inlineStr">
        <is>
          <t>No (not a discount)</t>
        </is>
      </c>
      <c r="G30" s="5" t="inlineStr">
        <is>
          <t>Removed scope can be added later at the optional services price. Base man-days of the tier are not reduced.</t>
        </is>
      </c>
    </row>
    <row r="31" ht="48" customHeight="1">
      <c r="A31" s="4" t="inlineStr">
        <is>
          <t>Phased users</t>
        </is>
      </c>
      <c r="B31" s="5" t="inlineStr">
        <is>
          <t>Contract for the full user count, delivered in tranches</t>
        </is>
      </c>
      <c r="C31" s="5" t="inlineStr">
        <is>
          <t>Licence or subscription billed per tranche; slab prices locked for 24 months</t>
        </is>
      </c>
      <c r="D31" s="5" t="inlineStr">
        <is>
          <t>Cash timing only</t>
        </is>
      </c>
      <c r="E31" s="5" t="inlineStr">
        <is>
          <t>Sales head</t>
        </is>
      </c>
      <c r="F31" s="5" t="inlineStr">
        <is>
          <t>No</t>
        </is>
      </c>
      <c r="G31" s="5" t="inlineStr">
        <is>
          <t>Subscription minimum billable users of the tier still apply. Perpetual tranches invoiced on activation.</t>
        </is>
      </c>
    </row>
    <row r="32" ht="48" customHeight="1">
      <c r="A32" s="4" t="inlineStr">
        <is>
          <t>Signing date</t>
        </is>
      </c>
      <c r="B32" s="5" t="inlineStr">
        <is>
          <t>Order Form signed by a stated date (for example quarter end)</t>
        </is>
      </c>
      <c r="C32" s="5" t="inlineStr">
        <is>
          <t>Off licence or subscription</t>
        </is>
      </c>
      <c r="D32" s="5" t="inlineStr">
        <is>
          <t>2%</t>
        </is>
      </c>
      <c r="E32" s="5" t="inlineStr">
        <is>
          <t>Sales head</t>
        </is>
      </c>
      <c r="F32" s="5" t="inlineStr">
        <is>
          <t>Yes</t>
        </is>
      </c>
      <c r="G32" s="5" t="inlineStr">
        <is>
          <t>Only with a dated written offer; lapses after the date.</t>
        </is>
      </c>
    </row>
    <row r="33" ht="48" customHeight="1">
      <c r="A33" s="4" t="inlineStr">
        <is>
          <t>Onboarding reduction (subscription)</t>
        </is>
      </c>
      <c r="B33" s="5" t="inlineStr">
        <is>
          <t>5-year subscription term</t>
        </is>
      </c>
      <c r="C33" s="5" t="inlineStr">
        <is>
          <t>Onboarding fee reduced to 90% of the implementation fee</t>
        </is>
      </c>
      <c r="D33" s="5" t="inlineStr">
        <is>
          <t>10% off onboarding</t>
        </is>
      </c>
      <c r="E33" s="5" t="inlineStr">
        <is>
          <t>Sales head</t>
        </is>
      </c>
      <c r="F33" s="5" t="inlineStr">
        <is>
          <t>Yes</t>
        </is>
      </c>
      <c r="G33" s="5" t="inlineStr">
        <is>
          <t>The pricing workbook allows the onboarding percentage as a concession; the reduction is recovered in the term.</t>
        </is>
      </c>
    </row>
    <row r="35">
      <c r="A35" s="6" t="inlineStr">
        <is>
          <t>Rules for every discount</t>
        </is>
      </c>
      <c r="B35" s="7" t="n"/>
      <c r="C35" s="7" t="n"/>
      <c r="D35" s="7" t="n"/>
      <c r="E35" s="7" t="n"/>
      <c r="F35" s="7" t="n"/>
      <c r="G35" s="7" t="n"/>
    </row>
    <row r="36" ht="18" customHeight="1">
      <c r="A36" s="32" t="inlineStr">
        <is>
          <t>1. Start at list price. Offer a lever (a get for a give) before any discretionary discount.</t>
        </is>
      </c>
    </row>
    <row r="37" ht="18" customHeight="1">
      <c r="A37" s="32" t="inlineStr">
        <is>
          <t>2. Each discount is shown as a separate line on the quotation and the Order Form, against the list price, with the lever named.</t>
        </is>
      </c>
    </row>
    <row r="38" ht="18" customHeight="1">
      <c r="A38" s="32" t="inlineStr">
        <is>
          <t>3. Record the approval (approver, date, reason) in the deal file before the quotation leaves iorta TechNXT. E-mail approval is enough.</t>
        </is>
      </c>
    </row>
    <row r="39" ht="18" customHeight="1">
      <c r="A39" s="32" t="inlineStr">
        <is>
          <t>4. Discounts apply to the initial term only unless the Order Form says otherwise. Added users are priced at list less the same discount in the initial term.</t>
        </is>
      </c>
    </row>
    <row r="40" ht="18" customHeight="1">
      <c r="A40" s="32" t="inlineStr">
        <is>
          <t>5. Hosting is priced from cloud cost; never discount it to win the software deal.</t>
        </is>
      </c>
    </row>
    <row r="41" ht="18" customHeight="1">
      <c r="A41" s="32" t="inlineStr">
        <is>
          <t>6. No side letters, free periods or unpriced extras. A free item is entered at list price with a 100% discount and counts toward the limit.</t>
        </is>
      </c>
    </row>
    <row r="42" ht="18" customHeight="1">
      <c r="A42" s="32" t="inlineStr">
        <is>
          <t>7. Quotations are valid 90 days. A re-issued quotation after expiry is repriced at the current price book.</t>
        </is>
      </c>
    </row>
  </sheetData>
  <mergeCells count="9">
    <mergeCell ref="A13:G13"/>
    <mergeCell ref="A36:G36"/>
    <mergeCell ref="A40:G40"/>
    <mergeCell ref="A21:G21"/>
    <mergeCell ref="A39:G39"/>
    <mergeCell ref="A38:G38"/>
    <mergeCell ref="A41:G41"/>
    <mergeCell ref="A42:G42"/>
    <mergeCell ref="A37:G37"/>
  </mergeCells>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21"/>
  <sheetViews>
    <sheetView workbookViewId="0">
      <selection activeCell="A1" sqref="A1"/>
    </sheetView>
  </sheetViews>
  <sheetFormatPr baseColWidth="8" defaultRowHeight="15"/>
  <cols>
    <col width="40" customWidth="1" min="1" max="1"/>
    <col width="100" customWidth="1" min="2" max="2"/>
  </cols>
  <sheetData>
    <row r="1">
      <c r="A1" s="1" t="inlineStr">
        <is>
          <t>Validity and terms</t>
        </is>
      </c>
    </row>
    <row r="2">
      <c r="A2" s="2" t="inlineStr">
        <is>
          <t>Read out or attach with every quotation. Applies to the Quick Quote and the pre-set packages.</t>
        </is>
      </c>
    </row>
    <row r="4">
      <c r="A4" s="16" t="inlineStr">
        <is>
          <t>Quotation date</t>
        </is>
      </c>
      <c r="B4" s="33">
        <f>'Quick Quote'!$B$7</f>
        <v/>
      </c>
    </row>
    <row r="5">
      <c r="A5" s="16" t="inlineStr">
        <is>
          <t>Valid until</t>
        </is>
      </c>
      <c r="B5" s="33">
        <f>'Quick Quote'!$B$7+Validity</f>
        <v/>
      </c>
    </row>
    <row r="7">
      <c r="A7" s="3" t="inlineStr">
        <is>
          <t>Term</t>
        </is>
      </c>
      <c r="B7" s="3" t="inlineStr">
        <is>
          <t>Detail</t>
        </is>
      </c>
    </row>
    <row r="8" ht="30" customHeight="1">
      <c r="A8" s="16" t="inlineStr">
        <is>
          <t>Validity</t>
        </is>
      </c>
      <c r="B8" s="5">
        <f>Validity&amp;" days from the quotation date, for an Order Form signed in that period. Day rates are fixed for 12 months from signing."</f>
        <v/>
      </c>
    </row>
    <row r="9" ht="30" customHeight="1">
      <c r="A9" s="16" t="inlineStr">
        <is>
          <t>Currency</t>
        </is>
      </c>
      <c r="B9" s="5">
        <f>"Philippine peso (PHP). USD figures are for reference only at PHP "&amp;TEXT(FX,"0.00")&amp;" per USD ("&amp;FX_Date&amp;")."</f>
        <v/>
      </c>
    </row>
    <row r="10" ht="18" customHeight="1">
      <c r="A10" s="16" t="inlineStr">
        <is>
          <t>VAT</t>
        </is>
      </c>
      <c r="B10" s="5" t="inlineStr">
        <is>
          <t>All prices exclude 12% VAT, which is added on each invoice.</t>
        </is>
      </c>
    </row>
    <row r="11" ht="60" customHeight="1">
      <c r="A11" s="16" t="inlineStr">
        <is>
          <t>Withholding tax</t>
        </is>
      </c>
      <c r="B11" s="5" t="inlineStr">
        <is>
          <t>A client that is a withholding agent deducts creditable withholding tax as its status and the payment type require and issues BIR Form 2307 for each deduction. Withholding does not reduce the invoice price. The treatment of the perpetual licence fee (sale of software or royalty) is confirmed by both parties' tax advisers before signing.</t>
        </is>
      </c>
    </row>
    <row r="12" ht="18" customHeight="1">
      <c r="A12" s="16" t="inlineStr">
        <is>
          <t>Implementation or onboarding fee</t>
        </is>
      </c>
      <c r="B12" s="5" t="inlineStr">
        <is>
          <t>40% on signing, 40% on UAT sign-off, 20% on go-live.</t>
        </is>
      </c>
    </row>
    <row r="13" ht="18" customHeight="1">
      <c r="A13" s="16" t="inlineStr">
        <is>
          <t>Perpetual licence fee</t>
        </is>
      </c>
      <c r="B13" s="5" t="inlineStr">
        <is>
          <t>100% on go-live.</t>
        </is>
      </c>
    </row>
    <row r="14" ht="30" customHeight="1">
      <c r="A14" s="16" t="inlineStr">
        <is>
          <t>AMC</t>
        </is>
      </c>
      <c r="B14" s="5" t="inlineStr">
        <is>
          <t>22% of the licence fee a year, yearly in advance from the AMC start year (Year 2, after a 12-month warranty from go-live). Increases 5% at each anniversary.</t>
        </is>
      </c>
    </row>
    <row r="15" ht="30" customHeight="1">
      <c r="A15" s="16" t="inlineStr">
        <is>
          <t>Subscription</t>
        </is>
      </c>
      <c r="B15" s="5" t="inlineStr">
        <is>
          <t>Monthly in advance from go-live. Increases 5% at each contract anniversary. Minimum term 12 months; minimum billable users by tier.</t>
        </is>
      </c>
    </row>
    <row r="16" ht="75" customHeight="1">
      <c r="A16" s="16" t="inlineStr">
        <is>
          <t>Hosting</t>
        </is>
      </c>
      <c r="B16" s="5" t="inlineStr">
        <is>
          <t>Priced per environment set: Dev, UAT and Production for Small and Medium; Dev, SIT, UAT and Production with high availability for Large and Enterprise. Monthly in advance from the date each environment is handed over. Pre-Prod is temporary and billed per month of use (go-live rehearsal, major releases). Hosting fees do not increase yearly; provider price changes are passed through at cost. Cloud prices are estimates confirmed with the provider before a binding offer.</t>
        </is>
      </c>
    </row>
    <row r="17" ht="30" customHeight="1">
      <c r="A17" s="16" t="inlineStr">
        <is>
          <t>Change requests</t>
        </is>
      </c>
      <c r="B17" s="5" t="inlineStr">
        <is>
          <t>Small: on delivery. Medium: 50% on approval, 50% on UAT sign-off. Large: 30% on approval, 50% on UAT sign-off, 20% on deployment.</t>
        </is>
      </c>
    </row>
    <row r="18" ht="30" customHeight="1">
      <c r="A18" s="16" t="inlineStr">
        <is>
          <t>Optional services</t>
        </is>
      </c>
      <c r="B18" s="5" t="inlineStr">
        <is>
          <t>Monthly in arrears at actual days, or as quoted for fixed-price items. Travel outside Metro Manila at cost.</t>
        </is>
      </c>
    </row>
    <row r="19" ht="30" customHeight="1">
      <c r="A19" s="16" t="inlineStr">
        <is>
          <t>Payment</t>
        </is>
      </c>
      <c r="B19" s="5" t="inlineStr">
        <is>
          <t>Invoices are payable within 30 days. Subscription and hosting may be suspended after 60 days of non-payment, with written notice.</t>
        </is>
      </c>
    </row>
    <row r="20" ht="30" customHeight="1">
      <c r="A20" s="16" t="inlineStr">
        <is>
          <t>Scope</t>
        </is>
      </c>
      <c r="B20" s="5" t="inlineStr">
        <is>
          <t>iNXT BrokerVerse OOTB as delivered. Changes to the product are change requests at the published day rates.</t>
        </is>
      </c>
    </row>
    <row r="21" ht="30" customHeight="1">
      <c r="A21" s="16" t="inlineStr">
        <is>
          <t>Contract</t>
        </is>
      </c>
      <c r="B21" s="5" t="inlineStr">
        <is>
          <t>Master Services Agreement with the Order Form and the schedules for the chosen model (licence or subscription, implementation SOW, support and SLA, hosting, data processing).</t>
        </is>
      </c>
    </row>
  </sheetData>
  <pageMargins left="0.4" right="0.4" top="1" bottom="1" header="0.5" footer="0.5"/>
  <pageSetup orientation="landscape" paperSize="9" fitToHeight="0" fitToWidth="1"/>
  <headerFooter>
    <oddHeader/>
    <oddFooter>&amp;CiNXT BrokerVerse OOTB quotation terms, iorta TechNXT Corp.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L8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6" customWidth="1" min="11" max="11"/>
    <col width="30" customWidth="1" min="12" max="12"/>
  </cols>
  <sheetData>
    <row r="1">
      <c r="A1" s="1" t="inlineStr">
        <is>
          <t>Price basis: recommended price points</t>
        </is>
      </c>
    </row>
    <row r="2">
      <c r="A2" s="2" t="inlineStr">
        <is>
          <t>From the pricing workbook. PHP, exclusive of VAT. Change only by rebuilding from the pricing workbook.</t>
        </is>
      </c>
    </row>
    <row r="4">
      <c r="A4" s="6" t="inlineStr">
        <is>
          <t>General drivers</t>
        </is>
      </c>
      <c r="B4" s="7" t="n"/>
      <c r="C4" s="7" t="n"/>
      <c r="D4" s="7" t="n"/>
      <c r="E4" s="7" t="n"/>
      <c r="F4" s="7" t="n"/>
      <c r="G4" s="7" t="n"/>
      <c r="H4" s="7" t="n"/>
      <c r="I4" s="7" t="n"/>
      <c r="J4" s="7" t="n"/>
      <c r="K4" s="7" t="n"/>
      <c r="L4" s="7" t="n"/>
    </row>
    <row r="5">
      <c r="A5" s="3" t="inlineStr">
        <is>
          <t>Driver</t>
        </is>
      </c>
      <c r="B5" s="3" t="inlineStr">
        <is>
          <t>Value</t>
        </is>
      </c>
      <c r="C5" s="3" t="inlineStr">
        <is>
          <t>Unit</t>
        </is>
      </c>
      <c r="D5" s="3" t="inlineStr">
        <is>
          <t>Source</t>
        </is>
      </c>
      <c r="E5" s="8" t="n"/>
      <c r="F5" s="8" t="n"/>
      <c r="G5" s="8" t="n"/>
      <c r="H5" s="8" t="n"/>
      <c r="I5" s="8" t="n"/>
      <c r="J5" s="8" t="n"/>
      <c r="K5" s="8" t="n"/>
      <c r="L5" s="9" t="n"/>
    </row>
    <row r="6">
      <c r="A6" s="10" t="inlineStr">
        <is>
          <t>Exchange rate (reference only)</t>
        </is>
      </c>
      <c r="B6" s="34" t="n">
        <v>62.75</v>
      </c>
      <c r="C6" s="10" t="inlineStr">
        <is>
          <t>PHP per USD</t>
        </is>
      </c>
      <c r="D6" s="10" t="inlineStr">
        <is>
          <t>Read from BrokerVerse_Commercials_and_Pricing.xlsx (recommended price points) when this book was built.</t>
        </is>
      </c>
      <c r="E6" s="8" t="n"/>
      <c r="F6" s="8" t="n"/>
      <c r="G6" s="8" t="n"/>
      <c r="H6" s="8" t="n"/>
      <c r="I6" s="8" t="n"/>
      <c r="J6" s="8" t="n"/>
      <c r="K6" s="8" t="n"/>
      <c r="L6" s="9" t="n"/>
    </row>
    <row r="7">
      <c r="A7" s="10" t="inlineStr">
        <is>
          <t>Exchange rate date</t>
        </is>
      </c>
      <c r="B7" s="11" t="inlineStr">
        <is>
          <t>25 Sep 2026</t>
        </is>
      </c>
      <c r="C7" s="10" t="inlineStr">
        <is>
          <t>date</t>
        </is>
      </c>
      <c r="D7" s="10" t="inlineStr"/>
      <c r="E7" s="8" t="n"/>
      <c r="F7" s="8" t="n"/>
      <c r="G7" s="8" t="n"/>
      <c r="H7" s="8" t="n"/>
      <c r="I7" s="8" t="n"/>
      <c r="J7" s="8" t="n"/>
      <c r="K7" s="8" t="n"/>
      <c r="L7" s="9" t="n"/>
    </row>
    <row r="8">
      <c r="A8" s="10" t="inlineStr">
        <is>
          <t>VAT rate</t>
        </is>
      </c>
      <c r="B8" s="29" t="n">
        <v>0.12</v>
      </c>
      <c r="C8" s="10" t="inlineStr">
        <is>
          <t>%</t>
        </is>
      </c>
      <c r="D8" s="10" t="inlineStr"/>
      <c r="E8" s="8" t="n"/>
      <c r="F8" s="8" t="n"/>
      <c r="G8" s="8" t="n"/>
      <c r="H8" s="8" t="n"/>
      <c r="I8" s="8" t="n"/>
      <c r="J8" s="8" t="n"/>
      <c r="K8" s="8" t="n"/>
      <c r="L8" s="9" t="n"/>
    </row>
    <row r="9">
      <c r="A9" s="10" t="inlineStr">
        <is>
          <t>AMC rate (of perpetual licence fee)</t>
        </is>
      </c>
      <c r="B9" s="29" t="n">
        <v>0.22</v>
      </c>
      <c r="C9" s="10" t="inlineStr">
        <is>
          <t>%</t>
        </is>
      </c>
      <c r="D9" s="10" t="inlineStr">
        <is>
          <t>Read from BrokerVerse_Commercials_and_Pricing.xlsx (recommended price points) when this book was built.</t>
        </is>
      </c>
      <c r="E9" s="8" t="n"/>
      <c r="F9" s="8" t="n"/>
      <c r="G9" s="8" t="n"/>
      <c r="H9" s="8" t="n"/>
      <c r="I9" s="8" t="n"/>
      <c r="J9" s="8" t="n"/>
      <c r="K9" s="8" t="n"/>
      <c r="L9" s="9" t="n"/>
    </row>
    <row r="10">
      <c r="A10" s="10" t="inlineStr">
        <is>
          <t>Annual escalation (AMC, subscription, 24x7 support)</t>
        </is>
      </c>
      <c r="B10" s="29" t="n">
        <v>0.05</v>
      </c>
      <c r="C10" s="10" t="inlineStr">
        <is>
          <t>%</t>
        </is>
      </c>
      <c r="D10" s="10" t="inlineStr"/>
      <c r="E10" s="8" t="n"/>
      <c r="F10" s="8" t="n"/>
      <c r="G10" s="8" t="n"/>
      <c r="H10" s="8" t="n"/>
      <c r="I10" s="8" t="n"/>
      <c r="J10" s="8" t="n"/>
      <c r="K10" s="8" t="n"/>
      <c r="L10" s="9" t="n"/>
    </row>
    <row r="11">
      <c r="A11" s="10" t="inlineStr">
        <is>
          <t>AMC starts in contract year</t>
        </is>
      </c>
      <c r="B11" s="13" t="n">
        <v>2</v>
      </c>
      <c r="C11" s="10" t="inlineStr">
        <is>
          <t>year</t>
        </is>
      </c>
      <c r="D11" s="10" t="inlineStr"/>
      <c r="E11" s="8" t="n"/>
      <c r="F11" s="8" t="n"/>
      <c r="G11" s="8" t="n"/>
      <c r="H11" s="8" t="n"/>
      <c r="I11" s="8" t="n"/>
      <c r="J11" s="8" t="n"/>
      <c r="K11" s="8" t="n"/>
      <c r="L11" s="9" t="n"/>
    </row>
    <row r="12">
      <c r="A12" s="10" t="inlineStr">
        <is>
          <t>Subscription onboarding fee as % of implementation fee</t>
        </is>
      </c>
      <c r="B12" s="29" t="n">
        <v>1</v>
      </c>
      <c r="C12" s="10" t="inlineStr">
        <is>
          <t>%</t>
        </is>
      </c>
      <c r="D12" s="10" t="inlineStr"/>
      <c r="E12" s="8" t="n"/>
      <c r="F12" s="8" t="n"/>
      <c r="G12" s="8" t="n"/>
      <c r="H12" s="8" t="n"/>
      <c r="I12" s="8" t="n"/>
      <c r="J12" s="8" t="n"/>
      <c r="K12" s="8" t="n"/>
      <c r="L12" s="9" t="n"/>
    </row>
    <row r="13">
      <c r="A13" s="10" t="inlineStr">
        <is>
          <t>Infrastructure annual change (hosting fees do not escalate)</t>
        </is>
      </c>
      <c r="B13" s="29" t="n">
        <v>0</v>
      </c>
      <c r="C13" s="10" t="inlineStr">
        <is>
          <t>%</t>
        </is>
      </c>
      <c r="D13" s="10" t="inlineStr"/>
      <c r="E13" s="8" t="n"/>
      <c r="F13" s="8" t="n"/>
      <c r="G13" s="8" t="n"/>
      <c r="H13" s="8" t="n"/>
      <c r="I13" s="8" t="n"/>
      <c r="J13" s="8" t="n"/>
      <c r="K13" s="8" t="n"/>
      <c r="L13" s="9" t="n"/>
    </row>
    <row r="14">
      <c r="A14" s="10" t="inlineStr">
        <is>
          <t>Pre-Prod months of use around go-live</t>
        </is>
      </c>
      <c r="B14" s="13" t="n">
        <v>2</v>
      </c>
      <c r="C14" s="10" t="inlineStr">
        <is>
          <t>months</t>
        </is>
      </c>
      <c r="D14" s="10" t="inlineStr"/>
      <c r="E14" s="8" t="n"/>
      <c r="F14" s="8" t="n"/>
      <c r="G14" s="8" t="n"/>
      <c r="H14" s="8" t="n"/>
      <c r="I14" s="8" t="n"/>
      <c r="J14" s="8" t="n"/>
      <c r="K14" s="8" t="n"/>
      <c r="L14" s="9" t="n"/>
    </row>
    <row r="15">
      <c r="A15" s="10" t="inlineStr">
        <is>
          <t>Pre-Prod months of use per major release</t>
        </is>
      </c>
      <c r="B15" s="13" t="n">
        <v>1</v>
      </c>
      <c r="C15" s="10" t="inlineStr">
        <is>
          <t>months</t>
        </is>
      </c>
      <c r="D15" s="10" t="inlineStr"/>
      <c r="E15" s="8" t="n"/>
      <c r="F15" s="8" t="n"/>
      <c r="G15" s="8" t="n"/>
      <c r="H15" s="8" t="n"/>
      <c r="I15" s="8" t="n"/>
      <c r="J15" s="8" t="n"/>
      <c r="K15" s="8" t="n"/>
      <c r="L15" s="9" t="n"/>
    </row>
    <row r="16">
      <c r="A16" s="10" t="inlineStr">
        <is>
          <t>Major releases per year (yearly view only)</t>
        </is>
      </c>
      <c r="B16" s="13" t="n">
        <v>1</v>
      </c>
      <c r="C16" s="10" t="inlineStr">
        <is>
          <t>releases</t>
        </is>
      </c>
      <c r="D16" s="10" t="inlineStr"/>
      <c r="E16" s="8" t="n"/>
      <c r="F16" s="8" t="n"/>
      <c r="G16" s="8" t="n"/>
      <c r="H16" s="8" t="n"/>
      <c r="I16" s="8" t="n"/>
      <c r="J16" s="8" t="n"/>
      <c r="K16" s="8" t="n"/>
      <c r="L16" s="9" t="n"/>
    </row>
    <row r="17">
      <c r="A17" s="10" t="inlineStr">
        <is>
          <t>Extra implementation man-days per line of business above the included count</t>
        </is>
      </c>
      <c r="B17" s="13" t="n">
        <v>6</v>
      </c>
      <c r="C17" s="10" t="inlineStr">
        <is>
          <t>man-days</t>
        </is>
      </c>
      <c r="D17" s="10" t="inlineStr"/>
      <c r="E17" s="8" t="n"/>
      <c r="F17" s="8" t="n"/>
      <c r="G17" s="8" t="n"/>
      <c r="H17" s="8" t="n"/>
      <c r="I17" s="8" t="n"/>
      <c r="J17" s="8" t="n"/>
      <c r="K17" s="8" t="n"/>
      <c r="L17" s="9" t="n"/>
    </row>
    <row r="18">
      <c r="A18" s="10" t="inlineStr">
        <is>
          <t>Rounding of implementation fees</t>
        </is>
      </c>
      <c r="B18" s="35" t="n">
        <v>10000</v>
      </c>
      <c r="C18" s="10" t="inlineStr">
        <is>
          <t>PHP</t>
        </is>
      </c>
      <c r="D18" s="10" t="inlineStr"/>
      <c r="E18" s="8" t="n"/>
      <c r="F18" s="8" t="n"/>
      <c r="G18" s="8" t="n"/>
      <c r="H18" s="8" t="n"/>
      <c r="I18" s="8" t="n"/>
      <c r="J18" s="8" t="n"/>
      <c r="K18" s="8" t="n"/>
      <c r="L18" s="9" t="n"/>
    </row>
    <row r="19">
      <c r="A19" s="10" t="inlineStr">
        <is>
          <t>Quotation validity</t>
        </is>
      </c>
      <c r="B19" s="13" t="n">
        <v>90</v>
      </c>
      <c r="C19" s="10" t="inlineStr">
        <is>
          <t>days</t>
        </is>
      </c>
      <c r="D19" s="10" t="inlineStr"/>
      <c r="E19" s="8" t="n"/>
      <c r="F19" s="8" t="n"/>
      <c r="G19" s="8" t="n"/>
      <c r="H19" s="8" t="n"/>
      <c r="I19" s="8" t="n"/>
      <c r="J19" s="8" t="n"/>
      <c r="K19" s="8" t="n"/>
      <c r="L19" s="9" t="n"/>
    </row>
    <row r="20">
      <c r="A20" s="10" t="inlineStr">
        <is>
          <t>Blended day rate</t>
        </is>
      </c>
      <c r="B20" s="35" t="n">
        <v>16100</v>
      </c>
      <c r="C20" s="10" t="inlineStr">
        <is>
          <t>PHP per man-day</t>
        </is>
      </c>
      <c r="D20" s="10" t="inlineStr"/>
      <c r="E20" s="8" t="n"/>
      <c r="F20" s="8" t="n"/>
      <c r="G20" s="8" t="n"/>
      <c r="H20" s="8" t="n"/>
      <c r="I20" s="8" t="n"/>
      <c r="J20" s="8" t="n"/>
      <c r="K20" s="8" t="n"/>
      <c r="L20" s="9" t="n"/>
    </row>
    <row r="21">
      <c r="A21" s="10" t="inlineStr">
        <is>
          <t>Business analyst day rate</t>
        </is>
      </c>
      <c r="B21" s="35" t="n">
        <v>18000</v>
      </c>
      <c r="C21" s="10" t="inlineStr">
        <is>
          <t>PHP per man-day</t>
        </is>
      </c>
      <c r="D21" s="10" t="inlineStr"/>
      <c r="E21" s="8" t="n"/>
      <c r="F21" s="8" t="n"/>
      <c r="G21" s="8" t="n"/>
      <c r="H21" s="8" t="n"/>
      <c r="I21" s="8" t="n"/>
      <c r="J21" s="8" t="n"/>
      <c r="K21" s="8" t="n"/>
      <c r="L21" s="9" t="n"/>
    </row>
    <row r="22">
      <c r="A22" s="10" t="inlineStr">
        <is>
          <t>Developer day rate</t>
        </is>
      </c>
      <c r="B22" s="35" t="n">
        <v>16000</v>
      </c>
      <c r="C22" s="10" t="inlineStr">
        <is>
          <t>PHP per man-day</t>
        </is>
      </c>
      <c r="D22" s="10" t="inlineStr"/>
      <c r="E22" s="8" t="n"/>
      <c r="F22" s="8" t="n"/>
      <c r="G22" s="8" t="n"/>
      <c r="H22" s="8" t="n"/>
      <c r="I22" s="8" t="n"/>
      <c r="J22" s="8" t="n"/>
      <c r="K22" s="8" t="n"/>
      <c r="L22" s="9" t="n"/>
    </row>
    <row r="23">
      <c r="A23" s="10" t="inlineStr">
        <is>
          <t>QA engineer day rate</t>
        </is>
      </c>
      <c r="B23" s="35" t="n">
        <v>12000</v>
      </c>
      <c r="C23" s="10" t="inlineStr">
        <is>
          <t>PHP per man-day</t>
        </is>
      </c>
      <c r="D23" s="10" t="inlineStr"/>
      <c r="E23" s="8" t="n"/>
      <c r="F23" s="8" t="n"/>
      <c r="G23" s="8" t="n"/>
      <c r="H23" s="8" t="n"/>
      <c r="I23" s="8" t="n"/>
      <c r="J23" s="8" t="n"/>
      <c r="K23" s="8" t="n"/>
      <c r="L23" s="9" t="n"/>
    </row>
    <row r="24">
      <c r="A24" s="10" t="inlineStr">
        <is>
          <t>Project manager day rate</t>
        </is>
      </c>
      <c r="B24" s="35" t="n">
        <v>22000</v>
      </c>
      <c r="C24" s="10" t="inlineStr">
        <is>
          <t>PHP per man-day</t>
        </is>
      </c>
      <c r="D24" s="10" t="inlineStr"/>
      <c r="E24" s="8" t="n"/>
      <c r="F24" s="8" t="n"/>
      <c r="G24" s="8" t="n"/>
      <c r="H24" s="8" t="n"/>
      <c r="I24" s="8" t="n"/>
      <c r="J24" s="8" t="n"/>
      <c r="K24" s="8" t="n"/>
      <c r="L24" s="9" t="n"/>
    </row>
    <row r="25">
      <c r="A25" s="10" t="inlineStr">
        <is>
          <t>Trainer day rate (beyond included days)</t>
        </is>
      </c>
      <c r="B25" s="35" t="n">
        <v>30000</v>
      </c>
      <c r="C25" s="10" t="inlineStr">
        <is>
          <t>PHP per trainer day</t>
        </is>
      </c>
      <c r="D25" s="10" t="inlineStr"/>
      <c r="E25" s="8" t="n"/>
      <c r="F25" s="8" t="n"/>
      <c r="G25" s="8" t="n"/>
      <c r="H25" s="8" t="n"/>
      <c r="I25" s="8" t="n"/>
      <c r="J25" s="8" t="n"/>
      <c r="K25" s="8" t="n"/>
      <c r="L25" s="9" t="n"/>
    </row>
    <row r="26">
      <c r="A26" s="10" t="inlineStr">
        <is>
          <t>On-site consultant day (Metro Manila)</t>
        </is>
      </c>
      <c r="B26" s="35" t="n">
        <v>20000</v>
      </c>
      <c r="C26" s="10" t="inlineStr">
        <is>
          <t>PHP per day</t>
        </is>
      </c>
      <c r="D26" s="10" t="inlineStr"/>
      <c r="E26" s="8" t="n"/>
      <c r="F26" s="8" t="n"/>
      <c r="G26" s="8" t="n"/>
      <c r="H26" s="8" t="n"/>
      <c r="I26" s="8" t="n"/>
      <c r="J26" s="8" t="n"/>
      <c r="K26" s="8" t="n"/>
      <c r="L26" s="9" t="n"/>
    </row>
    <row r="28">
      <c r="A28" s="6" t="inlineStr">
        <is>
          <t>Size tiers, graduated user slabs and tier parameters</t>
        </is>
      </c>
      <c r="B28" s="7" t="n"/>
      <c r="C28" s="7" t="n"/>
      <c r="D28" s="7" t="n"/>
      <c r="E28" s="7" t="n"/>
      <c r="F28" s="7" t="n"/>
      <c r="G28" s="7" t="n"/>
      <c r="H28" s="7" t="n"/>
      <c r="I28" s="7" t="n"/>
      <c r="J28" s="7" t="n"/>
      <c r="K28" s="7" t="n"/>
      <c r="L28" s="7" t="n"/>
    </row>
    <row r="29" ht="60" customHeight="1">
      <c r="A29" s="3" t="inlineStr">
        <is>
          <t>Tier</t>
        </is>
      </c>
      <c r="B29" s="3" t="inlineStr">
        <is>
          <t>From users</t>
        </is>
      </c>
      <c r="C29" s="3" t="inlineStr">
        <is>
          <t>To users</t>
        </is>
      </c>
      <c r="D29" s="3" t="inlineStr">
        <is>
          <t>Perpetual licence per user, slab (PHP)</t>
        </is>
      </c>
      <c r="E29" s="3" t="inlineStr">
        <is>
          <t>Subscription per user per month, slab (PHP)</t>
        </is>
      </c>
      <c r="F29" s="3" t="inlineStr">
        <is>
          <t>Minimum billable users (subscription)</t>
        </is>
      </c>
      <c r="G29" s="3" t="inlineStr">
        <is>
          <t>Implementation base man-days</t>
        </is>
      </c>
      <c r="H29" s="3" t="inlineStr">
        <is>
          <t>Lines of business included</t>
        </is>
      </c>
      <c r="I29" s="3" t="inlineStr">
        <is>
          <t>Training days included</t>
        </is>
      </c>
      <c r="J29" s="3" t="inlineStr">
        <is>
          <t>Reference users</t>
        </is>
      </c>
      <c r="K29" s="3" t="inlineStr">
        <is>
          <t>24x7 Severity 1 support per year (PHP)</t>
        </is>
      </c>
      <c r="L29" s="3" t="inlineStr">
        <is>
          <t>Implementation duration (Implementation Approach)</t>
        </is>
      </c>
    </row>
    <row r="30">
      <c r="A30" s="16" t="inlineStr">
        <is>
          <t>Small</t>
        </is>
      </c>
      <c r="B30" s="13" t="n">
        <v>1</v>
      </c>
      <c r="C30" s="13" t="n">
        <v>25</v>
      </c>
      <c r="D30" s="35" t="n">
        <v>90000</v>
      </c>
      <c r="E30" s="35" t="n">
        <v>3200</v>
      </c>
      <c r="F30" s="13" t="n">
        <v>10</v>
      </c>
      <c r="G30" s="13" t="n">
        <v>70</v>
      </c>
      <c r="H30" s="13" t="n">
        <v>5</v>
      </c>
      <c r="I30" s="13" t="n">
        <v>4</v>
      </c>
      <c r="J30" s="13" t="n">
        <v>15</v>
      </c>
      <c r="K30" s="35" t="n">
        <v>240000</v>
      </c>
      <c r="L30" s="5" t="inlineStr">
        <is>
          <t>8 weeks</t>
        </is>
      </c>
    </row>
    <row r="31">
      <c r="A31" s="16" t="inlineStr">
        <is>
          <t>Medium</t>
        </is>
      </c>
      <c r="B31" s="13" t="n">
        <v>26</v>
      </c>
      <c r="C31" s="13" t="n">
        <v>100</v>
      </c>
      <c r="D31" s="35" t="n">
        <v>78000</v>
      </c>
      <c r="E31" s="35" t="n">
        <v>2800</v>
      </c>
      <c r="F31" s="13" t="n">
        <v>26</v>
      </c>
      <c r="G31" s="13" t="n">
        <v>130</v>
      </c>
      <c r="H31" s="13" t="n">
        <v>8</v>
      </c>
      <c r="I31" s="13" t="n">
        <v>6</v>
      </c>
      <c r="J31" s="13" t="n">
        <v>60</v>
      </c>
      <c r="K31" s="35" t="n">
        <v>480000</v>
      </c>
      <c r="L31" s="5" t="inlineStr">
        <is>
          <t>12 weeks</t>
        </is>
      </c>
    </row>
    <row r="32">
      <c r="A32" s="16" t="inlineStr">
        <is>
          <t>Large</t>
        </is>
      </c>
      <c r="B32" s="13" t="n">
        <v>101</v>
      </c>
      <c r="C32" s="13" t="n">
        <v>300</v>
      </c>
      <c r="D32" s="35" t="n">
        <v>66000</v>
      </c>
      <c r="E32" s="35" t="n">
        <v>2400</v>
      </c>
      <c r="F32" s="13" t="n">
        <v>101</v>
      </c>
      <c r="G32" s="13" t="n">
        <v>230</v>
      </c>
      <c r="H32" s="13" t="n">
        <v>12</v>
      </c>
      <c r="I32" s="13" t="n">
        <v>10</v>
      </c>
      <c r="J32" s="13" t="n">
        <v>180</v>
      </c>
      <c r="K32" s="35" t="n">
        <v>900000</v>
      </c>
      <c r="L32" s="5" t="inlineStr">
        <is>
          <t>16 to 20 weeks</t>
        </is>
      </c>
    </row>
    <row r="33">
      <c r="A33" s="16" t="inlineStr">
        <is>
          <t>Enterprise</t>
        </is>
      </c>
      <c r="B33" s="13" t="n">
        <v>301</v>
      </c>
      <c r="C33" s="13" t="n">
        <v>100000</v>
      </c>
      <c r="D33" s="35" t="n">
        <v>54000</v>
      </c>
      <c r="E33" s="35" t="n">
        <v>2000</v>
      </c>
      <c r="F33" s="13" t="n">
        <v>301</v>
      </c>
      <c r="G33" s="13" t="n">
        <v>360</v>
      </c>
      <c r="H33" s="13" t="n">
        <v>16</v>
      </c>
      <c r="I33" s="13" t="n">
        <v>15</v>
      </c>
      <c r="J33" s="13" t="n">
        <v>400</v>
      </c>
      <c r="K33" s="35" t="n">
        <v>1500000</v>
      </c>
      <c r="L33" s="5" t="inlineStr">
        <is>
          <t>20 weeks or more, planned at mobilisation</t>
        </is>
      </c>
    </row>
    <row r="34" ht="30" customHeight="1">
      <c r="A34" s="32" t="inlineStr">
        <is>
          <t>Graduated slabs: the first 25 users are charged at the Small rate, users 26 to 100 at the Medium rate, users 101 to 300 at the Large rate and the rest at the Enterprise rate. The tier, set by the total user count, decides the implementation effort, the minimum billable users for subscription, the training days included and the hosting size.</t>
        </is>
      </c>
    </row>
    <row r="36">
      <c r="A36" s="6" t="inlineStr">
        <is>
          <t>Hosting per month: standing environment set of the tier (PHP)</t>
        </is>
      </c>
      <c r="B36" s="7" t="n"/>
      <c r="C36" s="7" t="n"/>
      <c r="D36" s="7" t="n"/>
      <c r="E36" s="7" t="n"/>
      <c r="F36" s="7" t="n"/>
      <c r="G36" s="7" t="n"/>
      <c r="H36" s="7" t="n"/>
      <c r="I36" s="7" t="n"/>
      <c r="J36" s="7" t="n"/>
      <c r="K36" s="7" t="n"/>
      <c r="L36" s="7" t="n"/>
    </row>
    <row r="37">
      <c r="A37" s="3" t="inlineStr">
        <is>
          <t>Tier</t>
        </is>
      </c>
      <c r="B37" s="3" t="inlineStr">
        <is>
          <t>Self-hosted</t>
        </is>
      </c>
      <c r="C37" s="3" t="inlineStr">
        <is>
          <t>AWS</t>
        </is>
      </c>
      <c r="D37" s="3" t="inlineStr">
        <is>
          <t>Azure</t>
        </is>
      </c>
      <c r="E37" s="3" t="inlineStr">
        <is>
          <t>Local partner</t>
        </is>
      </c>
      <c r="F37" s="3" t="inlineStr">
        <is>
          <t>Environment set</t>
        </is>
      </c>
      <c r="G37" s="8" t="n"/>
      <c r="H37" s="8" t="n"/>
      <c r="I37" s="8" t="n"/>
      <c r="J37" s="8" t="n"/>
      <c r="K37" s="8" t="n"/>
      <c r="L37" s="9" t="n"/>
    </row>
    <row r="38">
      <c r="A38" s="16" t="inlineStr">
        <is>
          <t>Small</t>
        </is>
      </c>
      <c r="B38" s="35" t="n">
        <v>0</v>
      </c>
      <c r="C38" s="35" t="n">
        <v>43000</v>
      </c>
      <c r="D38" s="35" t="n">
        <v>46000</v>
      </c>
      <c r="E38" s="35" t="n">
        <v>42000</v>
      </c>
      <c r="F38" s="10" t="inlineStr">
        <is>
          <t>Dev, UAT, Production + Pre-Prod when used</t>
        </is>
      </c>
      <c r="G38" s="8" t="n"/>
      <c r="H38" s="8" t="n"/>
      <c r="I38" s="8" t="n"/>
      <c r="J38" s="8" t="n"/>
      <c r="K38" s="8" t="n"/>
      <c r="L38" s="9" t="n"/>
    </row>
    <row r="39">
      <c r="A39" s="16" t="inlineStr">
        <is>
          <t>Medium</t>
        </is>
      </c>
      <c r="B39" s="35" t="n">
        <v>0</v>
      </c>
      <c r="C39" s="35" t="n">
        <v>69000</v>
      </c>
      <c r="D39" s="35" t="n">
        <v>73000</v>
      </c>
      <c r="E39" s="35" t="n">
        <v>67000</v>
      </c>
      <c r="F39" s="10" t="inlineStr">
        <is>
          <t>Dev, UAT, Production + Pre-Prod when used</t>
        </is>
      </c>
      <c r="G39" s="8" t="n"/>
      <c r="H39" s="8" t="n"/>
      <c r="I39" s="8" t="n"/>
      <c r="J39" s="8" t="n"/>
      <c r="K39" s="8" t="n"/>
      <c r="L39" s="9" t="n"/>
    </row>
    <row r="40">
      <c r="A40" s="16" t="inlineStr">
        <is>
          <t>Large</t>
        </is>
      </c>
      <c r="B40" s="35" t="n">
        <v>0</v>
      </c>
      <c r="C40" s="35" t="n">
        <v>143000</v>
      </c>
      <c r="D40" s="35" t="n">
        <v>150000</v>
      </c>
      <c r="E40" s="35" t="n">
        <v>135000</v>
      </c>
      <c r="F40" s="10" t="inlineStr">
        <is>
          <t>Dev, SIT, UAT, Production (HA) + Pre-Prod when used</t>
        </is>
      </c>
      <c r="G40" s="8" t="n"/>
      <c r="H40" s="8" t="n"/>
      <c r="I40" s="8" t="n"/>
      <c r="J40" s="8" t="n"/>
      <c r="K40" s="8" t="n"/>
      <c r="L40" s="9" t="n"/>
    </row>
    <row r="41">
      <c r="A41" s="16" t="inlineStr">
        <is>
          <t>Enterprise</t>
        </is>
      </c>
      <c r="B41" s="35" t="n">
        <v>0</v>
      </c>
      <c r="C41" s="35" t="n">
        <v>256000</v>
      </c>
      <c r="D41" s="35" t="n">
        <v>269000</v>
      </c>
      <c r="E41" s="35" t="n">
        <v>242000</v>
      </c>
      <c r="F41" s="10" t="inlineStr">
        <is>
          <t>Dev, SIT, UAT, Production (HA, DR copy) + Pre-Prod when used</t>
        </is>
      </c>
      <c r="G41" s="8" t="n"/>
      <c r="H41" s="8" t="n"/>
      <c r="I41" s="8" t="n"/>
      <c r="J41" s="8" t="n"/>
      <c r="K41" s="8" t="n"/>
      <c r="L41" s="9" t="n"/>
    </row>
    <row r="43">
      <c r="A43" s="6" t="inlineStr">
        <is>
          <t>Pre-Prod per month of use (temporary, PHP)</t>
        </is>
      </c>
      <c r="B43" s="7" t="n"/>
      <c r="C43" s="7" t="n"/>
      <c r="D43" s="7" t="n"/>
      <c r="E43" s="7" t="n"/>
      <c r="F43" s="7" t="n"/>
      <c r="G43" s="7" t="n"/>
      <c r="H43" s="7" t="n"/>
      <c r="I43" s="7" t="n"/>
      <c r="J43" s="7" t="n"/>
      <c r="K43" s="7" t="n"/>
      <c r="L43" s="7" t="n"/>
    </row>
    <row r="44">
      <c r="A44" s="3" t="inlineStr">
        <is>
          <t>Tier</t>
        </is>
      </c>
      <c r="B44" s="3" t="inlineStr">
        <is>
          <t>Self-hosted</t>
        </is>
      </c>
      <c r="C44" s="3" t="inlineStr">
        <is>
          <t>AWS</t>
        </is>
      </c>
      <c r="D44" s="3" t="inlineStr">
        <is>
          <t>Azure</t>
        </is>
      </c>
      <c r="E44" s="3" t="inlineStr">
        <is>
          <t>Local partner</t>
        </is>
      </c>
    </row>
    <row r="45">
      <c r="A45" s="16" t="inlineStr">
        <is>
          <t>Small</t>
        </is>
      </c>
      <c r="B45" s="35" t="n">
        <v>0</v>
      </c>
      <c r="C45" s="35" t="n">
        <v>21000</v>
      </c>
      <c r="D45" s="35" t="n">
        <v>22000</v>
      </c>
      <c r="E45" s="35" t="n">
        <v>20000</v>
      </c>
    </row>
    <row r="46">
      <c r="A46" s="16" t="inlineStr">
        <is>
          <t>Medium</t>
        </is>
      </c>
      <c r="B46" s="35" t="n">
        <v>0</v>
      </c>
      <c r="C46" s="35" t="n">
        <v>47000</v>
      </c>
      <c r="D46" s="35" t="n">
        <v>49000</v>
      </c>
      <c r="E46" s="35" t="n">
        <v>45000</v>
      </c>
    </row>
    <row r="47">
      <c r="A47" s="16" t="inlineStr">
        <is>
          <t>Large</t>
        </is>
      </c>
      <c r="B47" s="35" t="n">
        <v>0</v>
      </c>
      <c r="C47" s="35" t="n">
        <v>86000</v>
      </c>
      <c r="D47" s="35" t="n">
        <v>90000</v>
      </c>
      <c r="E47" s="35" t="n">
        <v>82000</v>
      </c>
    </row>
    <row r="48">
      <c r="A48" s="16" t="inlineStr">
        <is>
          <t>Enterprise</t>
        </is>
      </c>
      <c r="B48" s="35" t="n">
        <v>0</v>
      </c>
      <c r="C48" s="35" t="n">
        <v>169000</v>
      </c>
      <c r="D48" s="35" t="n">
        <v>177000</v>
      </c>
      <c r="E48" s="35" t="n">
        <v>160000</v>
      </c>
    </row>
    <row r="50">
      <c r="A50" s="6" t="inlineStr">
        <is>
          <t>Hosting per environment, per month (PHP)</t>
        </is>
      </c>
      <c r="B50" s="7" t="n"/>
      <c r="C50" s="7" t="n"/>
      <c r="D50" s="7" t="n"/>
      <c r="E50" s="7" t="n"/>
      <c r="F50" s="7" t="n"/>
      <c r="G50" s="7" t="n"/>
      <c r="H50" s="7" t="n"/>
      <c r="I50" s="7" t="n"/>
      <c r="J50" s="7" t="n"/>
      <c r="K50" s="7" t="n"/>
      <c r="L50" s="7" t="n"/>
    </row>
    <row r="51">
      <c r="A51" s="3" t="inlineStr">
        <is>
          <t>Provider and tier</t>
        </is>
      </c>
      <c r="B51" s="3" t="inlineStr">
        <is>
          <t>Dev</t>
        </is>
      </c>
      <c r="C51" s="3" t="inlineStr">
        <is>
          <t>SIT</t>
        </is>
      </c>
      <c r="D51" s="3" t="inlineStr">
        <is>
          <t>UAT</t>
        </is>
      </c>
      <c r="E51" s="3" t="inlineStr">
        <is>
          <t>Production</t>
        </is>
      </c>
      <c r="F51" s="3" t="inlineStr">
        <is>
          <t>Pre-Prod (per month of use)</t>
        </is>
      </c>
    </row>
    <row r="52">
      <c r="A52" s="16" t="inlineStr">
        <is>
          <t>AWS, Small</t>
        </is>
      </c>
      <c r="B52" s="19" t="n">
        <v>11000</v>
      </c>
      <c r="C52" s="19" t="inlineStr">
        <is>
          <t>None</t>
        </is>
      </c>
      <c r="D52" s="19" t="n">
        <v>11000</v>
      </c>
      <c r="E52" s="19" t="n">
        <v>21000</v>
      </c>
      <c r="F52" s="19" t="n">
        <v>21000</v>
      </c>
    </row>
    <row r="53">
      <c r="A53" s="10" t="inlineStr">
        <is>
          <t>AWS, Medium</t>
        </is>
      </c>
      <c r="B53" s="19" t="n">
        <v>11000</v>
      </c>
      <c r="C53" s="19" t="inlineStr">
        <is>
          <t>None</t>
        </is>
      </c>
      <c r="D53" s="19" t="n">
        <v>11000</v>
      </c>
      <c r="E53" s="19" t="n">
        <v>47000</v>
      </c>
      <c r="F53" s="19" t="n">
        <v>47000</v>
      </c>
    </row>
    <row r="54">
      <c r="A54" s="10" t="inlineStr">
        <is>
          <t>AWS, Large</t>
        </is>
      </c>
      <c r="B54" s="19" t="n">
        <v>11000</v>
      </c>
      <c r="C54" s="19" t="n">
        <v>23000</v>
      </c>
      <c r="D54" s="19" t="n">
        <v>23000</v>
      </c>
      <c r="E54" s="19" t="n">
        <v>86000</v>
      </c>
      <c r="F54" s="19" t="n">
        <v>86000</v>
      </c>
    </row>
    <row r="55">
      <c r="A55" s="10" t="inlineStr">
        <is>
          <t>AWS, Enterprise</t>
        </is>
      </c>
      <c r="B55" s="19" t="n">
        <v>11000</v>
      </c>
      <c r="C55" s="19" t="n">
        <v>23000</v>
      </c>
      <c r="D55" s="19" t="n">
        <v>23000</v>
      </c>
      <c r="E55" s="19" t="n">
        <v>199000</v>
      </c>
      <c r="F55" s="19" t="n">
        <v>169000</v>
      </c>
    </row>
    <row r="56">
      <c r="A56" s="16" t="inlineStr">
        <is>
          <t>Azure, Small</t>
        </is>
      </c>
      <c r="B56" s="19" t="n">
        <v>12000</v>
      </c>
      <c r="C56" s="19" t="inlineStr">
        <is>
          <t>None</t>
        </is>
      </c>
      <c r="D56" s="19" t="n">
        <v>12000</v>
      </c>
      <c r="E56" s="19" t="n">
        <v>22000</v>
      </c>
      <c r="F56" s="19" t="n">
        <v>22000</v>
      </c>
    </row>
    <row r="57">
      <c r="A57" s="10" t="inlineStr">
        <is>
          <t>Azure, Medium</t>
        </is>
      </c>
      <c r="B57" s="19" t="n">
        <v>12000</v>
      </c>
      <c r="C57" s="19" t="inlineStr">
        <is>
          <t>None</t>
        </is>
      </c>
      <c r="D57" s="19" t="n">
        <v>12000</v>
      </c>
      <c r="E57" s="19" t="n">
        <v>49000</v>
      </c>
      <c r="F57" s="19" t="n">
        <v>49000</v>
      </c>
    </row>
    <row r="58">
      <c r="A58" s="10" t="inlineStr">
        <is>
          <t>Azure, Large</t>
        </is>
      </c>
      <c r="B58" s="19" t="n">
        <v>12000</v>
      </c>
      <c r="C58" s="19" t="n">
        <v>24000</v>
      </c>
      <c r="D58" s="19" t="n">
        <v>24000</v>
      </c>
      <c r="E58" s="19" t="n">
        <v>90000</v>
      </c>
      <c r="F58" s="19" t="n">
        <v>90000</v>
      </c>
    </row>
    <row r="59">
      <c r="A59" s="10" t="inlineStr">
        <is>
          <t>Azure, Enterprise</t>
        </is>
      </c>
      <c r="B59" s="19" t="n">
        <v>12000</v>
      </c>
      <c r="C59" s="19" t="n">
        <v>24000</v>
      </c>
      <c r="D59" s="19" t="n">
        <v>24000</v>
      </c>
      <c r="E59" s="19" t="n">
        <v>209000</v>
      </c>
      <c r="F59" s="19" t="n">
        <v>177000</v>
      </c>
    </row>
    <row r="60">
      <c r="A60" s="16" t="inlineStr">
        <is>
          <t>Local partner, Small</t>
        </is>
      </c>
      <c r="B60" s="19" t="n">
        <v>11000</v>
      </c>
      <c r="C60" s="19" t="inlineStr">
        <is>
          <t>None</t>
        </is>
      </c>
      <c r="D60" s="19" t="n">
        <v>11000</v>
      </c>
      <c r="E60" s="19" t="n">
        <v>20000</v>
      </c>
      <c r="F60" s="19" t="n">
        <v>20000</v>
      </c>
    </row>
    <row r="61">
      <c r="A61" s="10" t="inlineStr">
        <is>
          <t>Local partner, Medium</t>
        </is>
      </c>
      <c r="B61" s="19" t="n">
        <v>11000</v>
      </c>
      <c r="C61" s="19" t="inlineStr">
        <is>
          <t>None</t>
        </is>
      </c>
      <c r="D61" s="19" t="n">
        <v>11000</v>
      </c>
      <c r="E61" s="19" t="n">
        <v>45000</v>
      </c>
      <c r="F61" s="19" t="n">
        <v>45000</v>
      </c>
    </row>
    <row r="62">
      <c r="A62" s="10" t="inlineStr">
        <is>
          <t>Local partner, Large</t>
        </is>
      </c>
      <c r="B62" s="19" t="n">
        <v>11000</v>
      </c>
      <c r="C62" s="19" t="n">
        <v>21000</v>
      </c>
      <c r="D62" s="19" t="n">
        <v>21000</v>
      </c>
      <c r="E62" s="19" t="n">
        <v>82000</v>
      </c>
      <c r="F62" s="19" t="n">
        <v>82000</v>
      </c>
    </row>
    <row r="63">
      <c r="A63" s="10" t="inlineStr">
        <is>
          <t>Local partner, Enterprise</t>
        </is>
      </c>
      <c r="B63" s="19" t="n">
        <v>11000</v>
      </c>
      <c r="C63" s="19" t="n">
        <v>21000</v>
      </c>
      <c r="D63" s="19" t="n">
        <v>21000</v>
      </c>
      <c r="E63" s="19" t="n">
        <v>189000</v>
      </c>
      <c r="F63" s="19" t="n">
        <v>160000</v>
      </c>
    </row>
    <row r="64" ht="75" customHeight="1">
      <c r="A64" s="32" t="inlineStr">
        <is>
          <t>Small and Medium: Dev, UAT and Production; integration and system testing in Dev, then promoted to UAT for testing. Large and Enterprise: Dev, SIT, UAT and Production with high availability. Pre-Prod is temporary for every size: created from a production backup for the go-live rehearsal and each major release, then removed; billed per month of use. Self-hosted: the client hosts the same environment set in its own cloud account or data centre; no hosting fee, deployment guide supplied, set-up support at day rates. AWS and Azure are priced on their Singapore regions; the local partner option keeps data in the Philippines. Cloud prices are estimates to be confirmed with the provider before a binding offer. Hosting fees do not increase yearly; provider price changes are passed through at cost.</t>
        </is>
      </c>
    </row>
    <row r="66">
      <c r="A66" s="6" t="inlineStr">
        <is>
          <t>Optional services (PHP)</t>
        </is>
      </c>
      <c r="B66" s="7" t="n"/>
      <c r="C66" s="7" t="n"/>
      <c r="D66" s="7" t="n"/>
      <c r="E66" s="7" t="n"/>
      <c r="F66" s="7" t="n"/>
      <c r="G66" s="7" t="n"/>
      <c r="H66" s="7" t="n"/>
      <c r="I66" s="7" t="n"/>
      <c r="J66" s="7" t="n"/>
      <c r="K66" s="7" t="n"/>
      <c r="L66" s="7" t="n"/>
    </row>
    <row r="67">
      <c r="A67" s="3" t="inlineStr">
        <is>
          <t>Item</t>
        </is>
      </c>
      <c r="B67" s="3" t="inlineStr">
        <is>
          <t>Price</t>
        </is>
      </c>
      <c r="C67" s="3" t="inlineStr">
        <is>
          <t>Unit</t>
        </is>
      </c>
    </row>
    <row r="68">
      <c r="A68" s="10" t="inlineStr">
        <is>
          <t>Additional environment, set-up</t>
        </is>
      </c>
      <c r="B68" s="35" t="n">
        <v>100000</v>
      </c>
      <c r="C68" s="10" t="inlineStr">
        <is>
          <t>one-time</t>
        </is>
      </c>
    </row>
    <row r="69">
      <c r="A69" s="10" t="inlineStr">
        <is>
          <t>Additional environment hosted by iorta TechNXT</t>
        </is>
      </c>
      <c r="B69" s="35" t="n">
        <v>11000</v>
      </c>
      <c r="C69" s="10" t="inlineStr">
        <is>
          <t>per month</t>
        </is>
      </c>
    </row>
    <row r="70">
      <c r="A70" s="10" t="inlineStr">
        <is>
          <t>Data migration beyond the standard templates</t>
        </is>
      </c>
      <c r="B70" s="35" t="n">
        <v>240000</v>
      </c>
      <c r="C70" s="10" t="inlineStr">
        <is>
          <t>per legacy source</t>
        </is>
      </c>
    </row>
    <row r="71">
      <c r="A71" s="10" t="inlineStr">
        <is>
          <t>Data migration, additional effort</t>
        </is>
      </c>
      <c r="B71" s="35" t="n">
        <v>16100</v>
      </c>
      <c r="C71" s="10" t="inlineStr">
        <is>
          <t>per man-day</t>
        </is>
      </c>
    </row>
    <row r="72">
      <c r="A72" s="10" t="inlineStr">
        <is>
          <t>Additional integration, standard</t>
        </is>
      </c>
      <c r="B72" s="35" t="n">
        <v>320000</v>
      </c>
      <c r="C72" s="10" t="inlineStr">
        <is>
          <t>per integration</t>
        </is>
      </c>
    </row>
    <row r="73">
      <c r="A73" s="10" t="inlineStr">
        <is>
          <t>Additional integration, complex</t>
        </is>
      </c>
      <c r="B73" s="35" t="n">
        <v>720000</v>
      </c>
      <c r="C73" s="10" t="inlineStr">
        <is>
          <t>per integration</t>
        </is>
      </c>
    </row>
    <row r="74">
      <c r="A74" s="10" t="inlineStr">
        <is>
          <t>Additional line of business after go-live</t>
        </is>
      </c>
      <c r="B74" s="35" t="n">
        <v>100000</v>
      </c>
      <c r="C74" s="10" t="inlineStr">
        <is>
          <t>per line</t>
        </is>
      </c>
    </row>
    <row r="75">
      <c r="A75" s="10" t="inlineStr">
        <is>
          <t>New report or document template (typical)</t>
        </is>
      </c>
      <c r="B75" s="35" t="n">
        <v>60000</v>
      </c>
      <c r="C75" s="10" t="inlineStr">
        <is>
          <t>per item</t>
        </is>
      </c>
    </row>
    <row r="76">
      <c r="A76" s="10" t="inlineStr">
        <is>
          <t>Connector go-live with a partner (to confirm by management)</t>
        </is>
      </c>
      <c r="B76" s="35" t="n">
        <v>80000</v>
      </c>
      <c r="C76" s="10" t="inlineStr">
        <is>
          <t>per connector</t>
        </is>
      </c>
    </row>
    <row r="77">
      <c r="A77" s="10" t="inlineStr">
        <is>
          <t>Activation of the AML/CFT toolkit (to confirm by management)</t>
        </is>
      </c>
      <c r="B77" s="35" t="n">
        <v>130000</v>
      </c>
      <c r="C77" s="10" t="inlineStr">
        <is>
          <t>one-time</t>
        </is>
      </c>
    </row>
    <row r="78">
      <c r="A78" s="10" t="inlineStr">
        <is>
          <t>Activation of the IC compliance registers (to confirm by management)</t>
        </is>
      </c>
      <c r="B78" s="35" t="n">
        <v>100000</v>
      </c>
      <c r="C78" s="10" t="inlineStr">
        <is>
          <t>one-time</t>
        </is>
      </c>
    </row>
    <row r="79">
      <c r="A79" s="10" t="inlineStr">
        <is>
          <t>Activation of the BIR pack (to confirm by management)</t>
        </is>
      </c>
      <c r="B79" s="35" t="n">
        <v>130000</v>
      </c>
      <c r="C79" s="10" t="inlineStr">
        <is>
          <t>one-time</t>
        </is>
      </c>
    </row>
    <row r="80">
      <c r="A80" s="10" t="inlineStr">
        <is>
          <t>Dealer programme set-up (to confirm by management)</t>
        </is>
      </c>
      <c r="B80" s="35" t="n">
        <v>50000</v>
      </c>
      <c r="C80" s="10" t="inlineStr">
        <is>
          <t>per programme</t>
        </is>
      </c>
    </row>
    <row r="81">
      <c r="A81" s="10" t="inlineStr">
        <is>
          <t>Client brand pack (to confirm by management)</t>
        </is>
      </c>
      <c r="B81" s="35" t="n">
        <v>30000</v>
      </c>
      <c r="C81" s="10" t="inlineStr">
        <is>
          <t>per pack</t>
        </is>
      </c>
    </row>
    <row r="82">
      <c r="A82" s="10" t="inlineStr">
        <is>
          <t>Training beyond the included days</t>
        </is>
      </c>
      <c r="B82" s="19">
        <f>Rate_Trainer</f>
        <v/>
      </c>
      <c r="C82" s="10" t="inlineStr">
        <is>
          <t>per trainer day</t>
        </is>
      </c>
    </row>
    <row r="83">
      <c r="A83" s="10" t="inlineStr">
        <is>
          <t>On-site consultant day (Metro Manila)</t>
        </is>
      </c>
      <c r="B83" s="19">
        <f>Rate_Onsite</f>
        <v/>
      </c>
      <c r="C83" s="10" t="inlineStr">
        <is>
          <t>per day</t>
        </is>
      </c>
    </row>
    <row r="85" ht="18" customHeight="1">
      <c r="A85" s="23" t="inlineStr">
        <is>
          <t>Read from BrokerVerse_Commercials_and_Pricing.xlsx (recommended price points) when this book was built. Pricing workbook state: recalculated with LibreOffice before reading.</t>
        </is>
      </c>
    </row>
  </sheetData>
  <mergeCells count="30">
    <mergeCell ref="D21:L21"/>
    <mergeCell ref="D11:L11"/>
    <mergeCell ref="D13:L13"/>
    <mergeCell ref="F37:L37"/>
    <mergeCell ref="F39:L39"/>
    <mergeCell ref="D17:L17"/>
    <mergeCell ref="D16:L16"/>
    <mergeCell ref="D7:L7"/>
    <mergeCell ref="A85:L85"/>
    <mergeCell ref="D18:L18"/>
    <mergeCell ref="D9:L9"/>
    <mergeCell ref="D12:L12"/>
    <mergeCell ref="D8:L8"/>
    <mergeCell ref="D25:L25"/>
    <mergeCell ref="D24:L24"/>
    <mergeCell ref="D15:L15"/>
    <mergeCell ref="D5:L5"/>
    <mergeCell ref="D23:L23"/>
    <mergeCell ref="F40:L40"/>
    <mergeCell ref="D14:L14"/>
    <mergeCell ref="D26:L26"/>
    <mergeCell ref="D20:L20"/>
    <mergeCell ref="A34:L34"/>
    <mergeCell ref="D10:L10"/>
    <mergeCell ref="D19:L19"/>
    <mergeCell ref="A64:L64"/>
    <mergeCell ref="F41:L41"/>
    <mergeCell ref="D22:L22"/>
    <mergeCell ref="F38:L38"/>
    <mergeCell ref="D6:L6"/>
  </mergeCells>
  <pageMargins left="0.4" right="0.4" top="1" bottom="1" header="0.5" footer="0.5"/>
  <pageSetup orientation="landscape" paperSize="9" fitToHeight="0" fitToWidth="1"/>
  <headerFooter>
    <oddHeader/>
    <oddFooter>&amp;CiNXT BrokerVerse OOTB price book, iorta TechNXT Corp. INTERNAL.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2026-10-04T08:59:49Z</dcterms:created>
  <dcterms:modified xmlns:dcterms="http://purl.org/dc/terms/" xmlns:xsi="http://www.w3.org/2001/XMLSchema-instance" xsi:type="dcterms:W3CDTF">2026-10-04T08:59:49Z</dcterms:modified>
</cp:coreProperties>
</file>