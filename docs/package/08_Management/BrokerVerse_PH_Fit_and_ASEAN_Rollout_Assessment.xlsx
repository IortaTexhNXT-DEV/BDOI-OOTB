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 Process Fit" sheetId="2" state="visible" r:id="rId2"/>
    <sheet xmlns:r="http://schemas.openxmlformats.org/officeDocument/2006/relationships" name="Gaps Ranked" sheetId="3" state="visible" r:id="rId3"/>
    <sheet xmlns:r="http://schemas.openxmlformats.org/officeDocument/2006/relationships" name="ASEAN Countries" sheetId="4" state="visible" r:id="rId4"/>
    <sheet xmlns:r="http://schemas.openxmlformats.org/officeDocument/2006/relationships" name="ASEAN Heat Map" sheetId="5" state="visible" r:id="rId5"/>
    <sheet xmlns:r="http://schemas.openxmlformats.org/officeDocument/2006/relationships" name="Method and Sources" sheetId="6" state="visible" r:id="rId6"/>
  </sheets>
  <definedNames>
    <definedName name="_xlnm._FilterDatabase" localSheetId="1" hidden="1">'PH Process Fit'!$A$1:$L$179</definedName>
    <definedName name="_xlnm._FilterDatabase" localSheetId="2" hidden="1">'Gaps Ranked'!$A$1:$L$55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0B2A4A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B2A4A"/>
      <sz val="10"/>
    </font>
  </fonts>
  <fills count="8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8EEF5"/>
      </patternFill>
    </fill>
    <fill>
      <patternFill patternType="solid">
        <fgColor rgb="00FFF2CC"/>
      </patternFill>
    </fill>
    <fill>
      <patternFill patternType="solid">
        <fgColor rgb="00DCEFE3"/>
      </patternFill>
    </fill>
    <fill>
      <patternFill patternType="solid">
        <fgColor rgb="00F8D7DA"/>
      </patternFill>
    </fill>
    <fill>
      <patternFill patternType="solid">
        <fgColor rgb="00FBE0C2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Philippine process fit by L1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'Summary'!B18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prstDash val="solid"/>
            </a:ln>
          </spPr>
          <cat>
            <numRef>
              <f>'Summary'!$A$19:$A$33</f>
            </numRef>
          </cat>
          <val>
            <numRef>
              <f>'Summary'!$B$19:$B$33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needed by country (midpoint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'Summary'!C36</f>
            </strRef>
          </tx>
          <spPr>
            <a:solidFill xmlns:a="http://schemas.openxmlformats.org/drawingml/2006/main">
              <a:srgbClr val="2F6EBA"/>
            </a:solidFill>
            <a:ln xmlns:a="http://schemas.openxmlformats.org/drawingml/2006/main">
              <a:prstDash val="solid"/>
            </a:ln>
          </spPr>
          <cat>
            <numRef>
              <f>'Summary'!$A$37:$A$45</f>
            </numRef>
          </cat>
          <val>
            <numRef>
              <f>'Summary'!$C$37:$C$45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35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22" customWidth="1" min="4" max="4"/>
    <col width="8" customWidth="1" min="5" max="5"/>
  </cols>
  <sheetData>
    <row r="1">
      <c r="A1" s="1" t="inlineStr">
        <is>
          <t>BrokerVerse: Philippine process fit and ASEAN rollout assessment (INTERNAL)</t>
        </is>
      </c>
    </row>
    <row r="2" ht="30" customHeight="1">
      <c r="A2" s="2" t="inlineStr">
        <is>
          <t>Assessed on the code of branch brokerverse-platform as of 04 October 2026. Work in development is counted as not delivered. Scores: 2 supported end to end, 1 partly supported, 0 not supported.</t>
        </is>
      </c>
    </row>
    <row r="4" ht="30" customHeight="1">
      <c r="A4" s="3" t="inlineStr">
        <is>
          <t>Headline</t>
        </is>
      </c>
      <c r="B4" s="3" t="inlineStr">
        <is>
          <t>Value</t>
        </is>
      </c>
      <c r="C4" s="3" t="inlineStr">
        <is>
          <t>Basis</t>
        </is>
      </c>
    </row>
    <row r="5">
      <c r="A5" s="4" t="inlineStr">
        <is>
          <t>Overall Philippine process fit</t>
        </is>
      </c>
      <c r="B5" s="5" t="n">
        <v>0.8149999999999999</v>
      </c>
      <c r="C5" s="6" t="inlineStr">
        <is>
          <t>163 L2 processes in 15 L1 areas, weighted 1 to 3</t>
        </is>
      </c>
    </row>
    <row r="6">
      <c r="A6" s="4" t="inlineStr">
        <is>
          <t>Regulatory compliance fit (IC, BIR, NPC, AMLC)</t>
        </is>
      </c>
      <c r="B6" s="5" t="n">
        <v>0.7140000000000001</v>
      </c>
      <c r="C6" s="6" t="inlineStr">
        <is>
          <t>51 regulatory L2 processes</t>
        </is>
      </c>
    </row>
    <row r="7">
      <c r="A7" s="4" t="inlineStr">
        <is>
          <t>Operational process fit</t>
        </is>
      </c>
      <c r="B7" s="5" t="n">
        <v>0.865</v>
      </c>
      <c r="C7" s="6" t="inlineStr">
        <is>
          <t>112 operational L2 processes</t>
        </is>
      </c>
    </row>
    <row r="8">
      <c r="A8" s="4" t="inlineStr">
        <is>
          <t>Broker practice fit</t>
        </is>
      </c>
      <c r="B8" s="5" t="n">
        <v>0.8179999999999999</v>
      </c>
      <c r="C8" s="6" t="inlineStr">
        <is>
          <t>L2 processes that apply to a broker</t>
        </is>
      </c>
    </row>
    <row r="9">
      <c r="A9" s="4" t="inlineStr">
        <is>
          <t>Captive agency practice fit</t>
        </is>
      </c>
      <c r="B9" s="5" t="n">
        <v>0.8070000000000001</v>
      </c>
      <c r="C9" s="6" t="inlineStr">
        <is>
          <t>L2 processes that apply to an agency (no market placement)</t>
        </is>
      </c>
    </row>
    <row r="10">
      <c r="A10" s="4" t="inlineStr">
        <is>
          <t>Fit once work in development lands</t>
        </is>
      </c>
      <c r="B10" s="5" t="n">
        <v>0.853</v>
      </c>
      <c r="C10" s="6" t="inlineStr">
        <is>
          <t>12 L2 processes covered by work in development, counted at 2</t>
        </is>
      </c>
    </row>
    <row r="11">
      <c r="A11" s="4" t="inlineStr">
        <is>
          <t>Insurance Commission items</t>
        </is>
      </c>
      <c r="B11" s="5" t="n">
        <v>0.6840000000000001</v>
      </c>
      <c r="C11" s="6" t="inlineStr">
        <is>
          <t>Regulatory items of the Insurance Commission</t>
        </is>
      </c>
    </row>
    <row r="12">
      <c r="A12" s="4" t="inlineStr">
        <is>
          <t>BIR items</t>
        </is>
      </c>
      <c r="B12" s="5" t="n">
        <v>0.8179999999999999</v>
      </c>
      <c r="C12" s="6" t="inlineStr">
        <is>
          <t>Taxes, receipts, books and forms</t>
        </is>
      </c>
    </row>
    <row r="13">
      <c r="A13" s="4" t="inlineStr">
        <is>
          <t>NPC items (Data Privacy Act)</t>
        </is>
      </c>
      <c r="B13" s="5" t="n">
        <v>0.7829999999999999</v>
      </c>
      <c r="C13" s="6" t="inlineStr">
        <is>
          <t>Consent, rights, security, retention</t>
        </is>
      </c>
    </row>
    <row r="14">
      <c r="A14" s="4" t="inlineStr">
        <is>
          <t>AMLC items (AMLA)</t>
        </is>
      </c>
      <c r="B14" s="5" t="n">
        <v>0.357</v>
      </c>
      <c r="C14" s="6" t="inlineStr">
        <is>
          <t>Customer due diligence, screening, reporting</t>
        </is>
      </c>
    </row>
    <row r="15">
      <c r="A15" s="4" t="inlineStr">
        <is>
          <t>L2 processes scored 2 / 1 / 0</t>
        </is>
      </c>
      <c r="B15" s="7" t="inlineStr">
        <is>
          <t>109 / 36 / 18</t>
        </is>
      </c>
      <c r="C15" s="6" t="inlineStr"/>
    </row>
    <row r="17">
      <c r="A17" s="8" t="inlineStr">
        <is>
          <t>Fit by L1 process area</t>
        </is>
      </c>
    </row>
    <row r="18" ht="30" customHeight="1">
      <c r="A18" s="3" t="inlineStr">
        <is>
          <t>L1 process area</t>
        </is>
      </c>
      <c r="B18" s="3" t="inlineStr">
        <is>
          <t>Fit %</t>
        </is>
      </c>
      <c r="C18" s="3" t="inlineStr">
        <is>
          <t>L2 count (2 / 1 / 0)</t>
        </is>
      </c>
    </row>
    <row r="19">
      <c r="A19" s="6" t="inlineStr">
        <is>
          <t>1. Client onboarding, KYC and AML</t>
        </is>
      </c>
      <c r="B19" s="5" t="n">
        <v>0.523</v>
      </c>
      <c r="C19" s="6" t="inlineStr">
        <is>
          <t>10 (4 / 2 / 4)</t>
        </is>
      </c>
    </row>
    <row r="20">
      <c r="A20" s="6" t="inlineStr">
        <is>
          <t>2. Prospecting and sales pipeline</t>
        </is>
      </c>
      <c r="B20" s="5" t="n">
        <v>0.679</v>
      </c>
      <c r="C20" s="6" t="inlineStr">
        <is>
          <t>8 (4 / 3 / 1)</t>
        </is>
      </c>
    </row>
    <row r="21">
      <c r="A21" s="6" t="inlineStr">
        <is>
          <t>3. Quotation and insurer comparison</t>
        </is>
      </c>
      <c r="B21" s="5" t="n">
        <v>0.8959999999999999</v>
      </c>
      <c r="C21" s="6" t="inlineStr">
        <is>
          <t>11 (8 / 3 / 0)</t>
        </is>
      </c>
    </row>
    <row r="22">
      <c r="A22" s="6" t="inlineStr">
        <is>
          <t>4. RFQ, placement, co-insurance and reinsurance</t>
        </is>
      </c>
      <c r="B22" s="5" t="n">
        <v>0.8540000000000001</v>
      </c>
      <c r="C22" s="6" t="inlineStr">
        <is>
          <t>11 (8 / 2 / 1)</t>
        </is>
      </c>
    </row>
    <row r="23">
      <c r="A23" s="6" t="inlineStr">
        <is>
          <t>5. Policy issuance, documents and motor (CTPL, LTO)</t>
        </is>
      </c>
      <c r="B23" s="5" t="n">
        <v>0.845</v>
      </c>
      <c r="C23" s="6" t="inlineStr">
        <is>
          <t>12 (8 / 3 / 1)</t>
        </is>
      </c>
    </row>
    <row r="24">
      <c r="A24" s="6" t="inlineStr">
        <is>
          <t>6. Endorsements and cancellations</t>
        </is>
      </c>
      <c r="B24" s="5" t="n">
        <v>0.8159999999999999</v>
      </c>
      <c r="C24" s="6" t="inlineStr">
        <is>
          <t>8 (6 / 1 / 1)</t>
        </is>
      </c>
    </row>
    <row r="25">
      <c r="A25" s="6" t="inlineStr">
        <is>
          <t>7. Renewals and retention</t>
        </is>
      </c>
      <c r="B25" s="5" t="n">
        <v>0.9229999999999999</v>
      </c>
      <c r="C25" s="6" t="inlineStr">
        <is>
          <t>7 (6 / 0 / 1)</t>
        </is>
      </c>
    </row>
    <row r="26">
      <c r="A26" s="6" t="inlineStr">
        <is>
          <t>8. Billing, collection, credit control and receipts</t>
        </is>
      </c>
      <c r="B26" s="5" t="n">
        <v>0.897</v>
      </c>
      <c r="C26" s="6" t="inlineStr">
        <is>
          <t>13 (11 / 1 / 1)</t>
        </is>
      </c>
    </row>
    <row r="27">
      <c r="A27" s="6" t="inlineStr">
        <is>
          <t>9. Remittance, direct bill and insurer reconciliation</t>
        </is>
      </c>
      <c r="B27" s="5" t="n">
        <v>0.85</v>
      </c>
      <c r="C27" s="6" t="inlineStr">
        <is>
          <t>9 (7 / 0 / 2)</t>
        </is>
      </c>
    </row>
    <row r="28">
      <c r="A28" s="6" t="inlineStr">
        <is>
          <t>10. Commission, referrers and incentives</t>
        </is>
      </c>
      <c r="B28" s="5" t="n">
        <v>0.8859999999999999</v>
      </c>
      <c r="C28" s="6" t="inlineStr">
        <is>
          <t>10 (8 / 1 / 1)</t>
        </is>
      </c>
    </row>
    <row r="29">
      <c r="A29" s="6" t="inlineStr">
        <is>
          <t>11. Claims assistance</t>
        </is>
      </c>
      <c r="B29" s="5" t="n">
        <v>0.857</v>
      </c>
      <c r="C29" s="6" t="inlineStr">
        <is>
          <t>9 (6 / 3 / 0)</t>
        </is>
      </c>
    </row>
    <row r="30">
      <c r="A30" s="6" t="inlineStr">
        <is>
          <t>12. Accounting, general ledger, period end and audit</t>
        </is>
      </c>
      <c r="B30" s="5" t="n">
        <v>0.963</v>
      </c>
      <c r="C30" s="6" t="inlineStr">
        <is>
          <t>11 (10 / 1 / 0)</t>
        </is>
      </c>
    </row>
    <row r="31">
      <c r="A31" s="6" t="inlineStr">
        <is>
          <t>13. Taxes and BIR compliance</t>
        </is>
      </c>
      <c r="B31" s="5" t="n">
        <v>0.758</v>
      </c>
      <c r="C31" s="6" t="inlineStr">
        <is>
          <t>14 (7 / 6 / 1)</t>
        </is>
      </c>
    </row>
    <row r="32">
      <c r="A32" s="6" t="inlineStr">
        <is>
          <t>14. Insurance Commission and Data Privacy compliance</t>
        </is>
      </c>
      <c r="B32" s="5" t="n">
        <v>0.607</v>
      </c>
      <c r="C32" s="6" t="inlineStr">
        <is>
          <t>14 (6 / 4 / 4)</t>
        </is>
      </c>
    </row>
    <row r="33">
      <c r="A33" s="6" t="inlineStr">
        <is>
          <t>15. Reporting, administration, security and go-live</t>
        </is>
      </c>
      <c r="B33" s="5" t="n">
        <v>0.857</v>
      </c>
      <c r="C33" s="6" t="inlineStr">
        <is>
          <t>16 (10 / 6 / 0)</t>
        </is>
      </c>
    </row>
    <row r="35">
      <c r="A35" s="8" t="inlineStr">
        <is>
          <t>ASEAN rollout: change needed against the Philippine product</t>
        </is>
      </c>
    </row>
    <row r="36" ht="30" customHeight="1">
      <c r="A36" s="3" t="inlineStr">
        <is>
          <t>Country</t>
        </is>
      </c>
      <c r="B36" s="3" t="inlineStr">
        <is>
          <t>Change % (range)</t>
        </is>
      </c>
      <c r="C36" s="3" t="inlineStr">
        <is>
          <t>Midpoint %</t>
        </is>
      </c>
      <c r="D36" s="3" t="inlineStr">
        <is>
          <t>Effort (calendar weeks, team of 5)</t>
        </is>
      </c>
      <c r="E36" s="3" t="inlineStr">
        <is>
          <t>Rank</t>
        </is>
      </c>
    </row>
    <row r="37">
      <c r="A37" s="6" t="inlineStr">
        <is>
          <t>Singapore</t>
        </is>
      </c>
      <c r="B37" s="7" t="inlineStr">
        <is>
          <t>20 to 28%</t>
        </is>
      </c>
      <c r="C37" s="7" t="n">
        <v>24</v>
      </c>
      <c r="D37" s="7" t="inlineStr">
        <is>
          <t>12 to 17</t>
        </is>
      </c>
      <c r="E37" s="7" t="n">
        <v>1</v>
      </c>
    </row>
    <row r="38">
      <c r="A38" s="6" t="inlineStr">
        <is>
          <t>Brunei Darussalam</t>
        </is>
      </c>
      <c r="B38" s="7" t="inlineStr">
        <is>
          <t>19 to 29%</t>
        </is>
      </c>
      <c r="C38" s="7" t="n">
        <v>24</v>
      </c>
      <c r="D38" s="7" t="inlineStr">
        <is>
          <t>11 to 17</t>
        </is>
      </c>
      <c r="E38" s="7" t="n">
        <v>2</v>
      </c>
    </row>
    <row r="39">
      <c r="A39" s="6" t="inlineStr">
        <is>
          <t>Malaysia</t>
        </is>
      </c>
      <c r="B39" s="7" t="inlineStr">
        <is>
          <t>27 to 37%</t>
        </is>
      </c>
      <c r="C39" s="7" t="n">
        <v>32</v>
      </c>
      <c r="D39" s="7" t="inlineStr">
        <is>
          <t>16 to 22</t>
        </is>
      </c>
      <c r="E39" s="7" t="n">
        <v>3</v>
      </c>
    </row>
    <row r="40">
      <c r="A40" s="6" t="inlineStr">
        <is>
          <t>Thailand</t>
        </is>
      </c>
      <c r="B40" s="7" t="inlineStr">
        <is>
          <t>33 to 43%</t>
        </is>
      </c>
      <c r="C40" s="7" t="n">
        <v>38</v>
      </c>
      <c r="D40" s="7" t="inlineStr">
        <is>
          <t>20 to 26</t>
        </is>
      </c>
      <c r="E40" s="7" t="n">
        <v>4</v>
      </c>
    </row>
    <row r="41">
      <c r="A41" s="6" t="inlineStr">
        <is>
          <t>Cambodia</t>
        </is>
      </c>
      <c r="B41" s="7" t="inlineStr">
        <is>
          <t>36 to 50%</t>
        </is>
      </c>
      <c r="C41" s="7" t="n">
        <v>43</v>
      </c>
      <c r="D41" s="7" t="inlineStr">
        <is>
          <t>22 to 30</t>
        </is>
      </c>
      <c r="E41" s="7" t="n">
        <v>5</v>
      </c>
    </row>
    <row r="42">
      <c r="A42" s="6" t="inlineStr">
        <is>
          <t>Lao PDR</t>
        </is>
      </c>
      <c r="B42" s="7" t="inlineStr">
        <is>
          <t>36 to 52%</t>
        </is>
      </c>
      <c r="C42" s="7" t="n">
        <v>44</v>
      </c>
      <c r="D42" s="7" t="inlineStr">
        <is>
          <t>22 to 31</t>
        </is>
      </c>
      <c r="E42" s="7" t="n">
        <v>6</v>
      </c>
    </row>
    <row r="43">
      <c r="A43" s="6" t="inlineStr">
        <is>
          <t>Indonesia</t>
        </is>
      </c>
      <c r="B43" s="7" t="inlineStr">
        <is>
          <t>40 to 52%</t>
        </is>
      </c>
      <c r="C43" s="7" t="n">
        <v>46</v>
      </c>
      <c r="D43" s="7" t="inlineStr">
        <is>
          <t>24 to 31</t>
        </is>
      </c>
      <c r="E43" s="7" t="n">
        <v>7</v>
      </c>
    </row>
    <row r="44">
      <c r="A44" s="6" t="inlineStr">
        <is>
          <t>Vietnam</t>
        </is>
      </c>
      <c r="B44" s="7" t="inlineStr">
        <is>
          <t>44 to 56%</t>
        </is>
      </c>
      <c r="C44" s="7" t="n">
        <v>50</v>
      </c>
      <c r="D44" s="7" t="inlineStr">
        <is>
          <t>26 to 34</t>
        </is>
      </c>
      <c r="E44" s="7" t="n">
        <v>8</v>
      </c>
    </row>
    <row r="45">
      <c r="A45" s="6" t="inlineStr">
        <is>
          <t>Myanmar</t>
        </is>
      </c>
      <c r="B45" s="7" t="inlineStr">
        <is>
          <t>41 to 57%</t>
        </is>
      </c>
      <c r="C45" s="7" t="n">
        <v>49</v>
      </c>
      <c r="D45" s="7" t="inlineStr">
        <is>
          <t>25 to 34</t>
        </is>
      </c>
      <c r="E45" s="7" t="n">
        <v>9</v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10" customWidth="1" min="4" max="4"/>
    <col width="8" customWidth="1" min="5" max="5"/>
    <col width="9" customWidth="1" min="6" max="6"/>
    <col width="9" customWidth="1" min="7" max="7"/>
    <col width="10" customWidth="1" min="8" max="8"/>
    <col width="7" customWidth="1" min="9" max="9"/>
    <col width="60" customWidth="1" min="10" max="10"/>
    <col width="52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L1 process area</t>
        </is>
      </c>
      <c r="C1" s="3" t="inlineStr">
        <is>
          <t>L2 process</t>
        </is>
      </c>
      <c r="D1" s="3" t="inlineStr">
        <is>
          <t>Applies to</t>
        </is>
      </c>
      <c r="E1" s="3" t="inlineStr">
        <is>
          <t>Type</t>
        </is>
      </c>
      <c r="F1" s="3" t="inlineStr">
        <is>
          <t>Weight (1-3)</t>
        </is>
      </c>
      <c r="G1" s="3" t="inlineStr">
        <is>
          <t>Score (0-2)</t>
        </is>
      </c>
      <c r="H1" s="3" t="inlineStr">
        <is>
          <t>Weighted score</t>
        </is>
      </c>
      <c r="I1" s="3" t="inlineStr">
        <is>
          <t>Max</t>
        </is>
      </c>
      <c r="J1" s="3" t="inlineStr">
        <is>
          <t>Evidence (screen, setting, API, test)</t>
        </is>
      </c>
      <c r="K1" s="3" t="inlineStr">
        <is>
          <t>Gap note</t>
        </is>
      </c>
      <c r="L1" s="3" t="inlineStr">
        <is>
          <t>In development</t>
        </is>
      </c>
    </row>
    <row r="2">
      <c r="A2" s="9" t="inlineStr">
        <is>
          <t>1</t>
        </is>
      </c>
      <c r="B2" s="9" t="inlineStr">
        <is>
          <t>Client onboarding, KYC and AML</t>
        </is>
      </c>
      <c r="C2" s="9" t="inlineStr">
        <is>
          <t>L1 subtotal: fit 52.3%</t>
        </is>
      </c>
      <c r="D2" s="9" t="inlineStr"/>
      <c r="E2" s="9" t="inlineStr"/>
      <c r="F2" s="10" t="n">
        <v>22</v>
      </c>
      <c r="G2" s="9" t="inlineStr"/>
      <c r="H2" s="10" t="n">
        <v>23</v>
      </c>
      <c r="I2" s="10" t="n">
        <v>44</v>
      </c>
      <c r="J2" s="9" t="inlineStr"/>
      <c r="K2" s="9" t="inlineStr"/>
      <c r="L2" s="9" t="inlineStr"/>
    </row>
    <row r="3">
      <c r="A3" s="7" t="inlineStr">
        <is>
          <t>1.01</t>
        </is>
      </c>
      <c r="B3" s="6" t="inlineStr">
        <is>
          <t>Client onboarding, KYC and AML</t>
        </is>
      </c>
      <c r="C3" s="6" t="inlineStr">
        <is>
          <t>Individual client record with Philippine address, mobile and TIN</t>
        </is>
      </c>
      <c r="D3" s="7" t="inlineStr">
        <is>
          <t>Both</t>
        </is>
      </c>
      <c r="E3" s="7" t="inlineStr">
        <is>
          <t>Ops</t>
        </is>
      </c>
      <c r="F3" s="7" t="n">
        <v>3</v>
      </c>
      <c r="G3" s="11" t="n">
        <v>1</v>
      </c>
      <c r="H3" s="7">
        <f>F3*G3</f>
        <v/>
      </c>
      <c r="I3" s="7">
        <f>2*F3</f>
        <v/>
      </c>
      <c r="J3" s="6" t="inlineStr">
        <is>
          <t>Operations &gt; Clients (/agent/clientlisting); clients.test.js; addresses API (country, province, city, barangay, postal code)</t>
        </is>
      </c>
      <c r="K3" s="6" t="inlineStr">
        <is>
          <t>Client is created at first policy issue. Location masters are labelled State and hold Metro Manila and selected areas, not the full PSGC list (in development).</t>
        </is>
      </c>
      <c r="L3" s="7" t="inlineStr">
        <is>
          <t>Yes</t>
        </is>
      </c>
    </row>
    <row r="4">
      <c r="A4" s="7" t="inlineStr">
        <is>
          <t>1.02</t>
        </is>
      </c>
      <c r="B4" s="6" t="inlineStr">
        <is>
          <t>Client onboarding, KYC and AML</t>
        </is>
      </c>
      <c r="C4" s="6" t="inlineStr">
        <is>
          <t>Corporate client with TIN, registered name and authorised signatories</t>
        </is>
      </c>
      <c r="D4" s="7" t="inlineStr">
        <is>
          <t>Both</t>
        </is>
      </c>
      <c r="E4" s="7" t="inlineStr">
        <is>
          <t>AMLC</t>
        </is>
      </c>
      <c r="F4" s="7" t="n">
        <v>2</v>
      </c>
      <c r="G4" s="11" t="n">
        <v>1</v>
      </c>
      <c r="H4" s="7">
        <f>F4*G4</f>
        <v/>
      </c>
      <c r="I4" s="7">
        <f>2*F4</f>
        <v/>
      </c>
      <c r="J4" s="6" t="inlineStr">
        <is>
          <t>Prospects (corporate requires company name and TIN); leads.test.js</t>
        </is>
      </c>
      <c r="K4" s="6" t="inlineStr">
        <is>
          <t>No structured authorised persons or board resolution record for juridical clients.</t>
        </is>
      </c>
      <c r="L4" s="7" t="inlineStr"/>
    </row>
    <row r="5">
      <c r="A5" s="7" t="inlineStr">
        <is>
          <t>1.03</t>
        </is>
      </c>
      <c r="B5" s="6" t="inlineStr">
        <is>
          <t>Client onboarding, KYC and AML</t>
        </is>
      </c>
      <c r="C5" s="6" t="inlineStr">
        <is>
          <t>Customer identification: government ID type, number and image</t>
        </is>
      </c>
      <c r="D5" s="7" t="inlineStr">
        <is>
          <t>Both</t>
        </is>
      </c>
      <c r="E5" s="7" t="inlineStr">
        <is>
          <t>AMLC</t>
        </is>
      </c>
      <c r="F5" s="7" t="n">
        <v>3</v>
      </c>
      <c r="G5" s="12" t="n">
        <v>2</v>
      </c>
      <c r="H5" s="7">
        <f>F5*G5</f>
        <v/>
      </c>
      <c r="I5" s="7">
        <f>2*F5</f>
        <v/>
      </c>
      <c r="J5" s="6" t="inlineStr">
        <is>
          <t>Policy issue KYC (policy.kyc_required_fields, policy.kyc_id_types, modules/policies/kyc.js); policies.test.js</t>
        </is>
      </c>
      <c r="K5" s="6" t="inlineStr">
        <is>
          <t>Required for motor by default; other lines by setting. The PH ID master list is in development (setting works today).</t>
        </is>
      </c>
      <c r="L5" s="7" t="inlineStr"/>
    </row>
    <row r="6">
      <c r="A6" s="7" t="inlineStr">
        <is>
          <t>1.04</t>
        </is>
      </c>
      <c r="B6" s="6" t="inlineStr">
        <is>
          <t>Client onboarding, KYC and AML</t>
        </is>
      </c>
      <c r="C6" s="6" t="inlineStr">
        <is>
          <t>Risk-based customer due diligence rating and enhanced due diligence</t>
        </is>
      </c>
      <c r="D6" s="7" t="inlineStr">
        <is>
          <t>Both</t>
        </is>
      </c>
      <c r="E6" s="7" t="inlineStr">
        <is>
          <t>AMLC</t>
        </is>
      </c>
      <c r="F6" s="7" t="n">
        <v>2</v>
      </c>
      <c r="G6" s="13" t="n">
        <v>0</v>
      </c>
      <c r="H6" s="7">
        <f>F6*G6</f>
        <v/>
      </c>
      <c r="I6" s="7">
        <f>2*F6</f>
        <v/>
      </c>
      <c r="J6" s="6" t="inlineStr">
        <is>
          <t>None found in backend/src/modules</t>
        </is>
      </c>
      <c r="K6" s="6" t="inlineStr">
        <is>
          <t>No customer risk rating, EDD workflow or periodic KYC refresh.</t>
        </is>
      </c>
      <c r="L6" s="7" t="inlineStr"/>
    </row>
    <row r="7">
      <c r="A7" s="7" t="inlineStr">
        <is>
          <t>1.05</t>
        </is>
      </c>
      <c r="B7" s="6" t="inlineStr">
        <is>
          <t>Client onboarding, KYC and AML</t>
        </is>
      </c>
      <c r="C7" s="6" t="inlineStr">
        <is>
          <t>Beneficial ownership of juridical clients</t>
        </is>
      </c>
      <c r="D7" s="7" t="inlineStr">
        <is>
          <t>Both</t>
        </is>
      </c>
      <c r="E7" s="7" t="inlineStr">
        <is>
          <t>AMLC</t>
        </is>
      </c>
      <c r="F7" s="7" t="n">
        <v>2</v>
      </c>
      <c r="G7" s="13" t="n">
        <v>0</v>
      </c>
      <c r="H7" s="7">
        <f>F7*G7</f>
        <v/>
      </c>
      <c r="I7" s="7">
        <f>2*F7</f>
        <v/>
      </c>
      <c r="J7" s="6" t="inlineStr">
        <is>
          <t>None found</t>
        </is>
      </c>
      <c r="K7" s="6" t="inlineStr">
        <is>
          <t>No beneficial owner capture.</t>
        </is>
      </c>
      <c r="L7" s="7" t="inlineStr"/>
    </row>
    <row r="8">
      <c r="A8" s="7" t="inlineStr">
        <is>
          <t>1.06</t>
        </is>
      </c>
      <c r="B8" s="6" t="inlineStr">
        <is>
          <t>Client onboarding, KYC and AML</t>
        </is>
      </c>
      <c r="C8" s="6" t="inlineStr">
        <is>
          <t>Sanctions, PEP and negative list screening</t>
        </is>
      </c>
      <c r="D8" s="7" t="inlineStr">
        <is>
          <t>Both</t>
        </is>
      </c>
      <c r="E8" s="7" t="inlineStr">
        <is>
          <t>AMLC</t>
        </is>
      </c>
      <c r="F8" s="7" t="n">
        <v>2</v>
      </c>
      <c r="G8" s="13" t="n">
        <v>0</v>
      </c>
      <c r="H8" s="7">
        <f>F8*G8</f>
        <v/>
      </c>
      <c r="I8" s="7">
        <f>2*F8</f>
        <v/>
      </c>
      <c r="J8" s="6" t="inlineStr">
        <is>
          <t>None found (grep sanction/PEP returns nothing)</t>
        </is>
      </c>
      <c r="K8" s="6" t="inlineStr">
        <is>
          <t>No screening at onboarding or at payment.</t>
        </is>
      </c>
      <c r="L8" s="7" t="inlineStr"/>
    </row>
    <row r="9">
      <c r="A9" s="7" t="inlineStr">
        <is>
          <t>1.07</t>
        </is>
      </c>
      <c r="B9" s="6" t="inlineStr">
        <is>
          <t>Client onboarding, KYC and AML</t>
        </is>
      </c>
      <c r="C9" s="6" t="inlineStr">
        <is>
          <t>Covered and suspicious transaction monitoring and AMLC reporting</t>
        </is>
      </c>
      <c r="D9" s="7" t="inlineStr">
        <is>
          <t>Both</t>
        </is>
      </c>
      <c r="E9" s="7" t="inlineStr">
        <is>
          <t>AMLC</t>
        </is>
      </c>
      <c r="F9" s="7" t="n">
        <v>2</v>
      </c>
      <c r="G9" s="13" t="n">
        <v>0</v>
      </c>
      <c r="H9" s="7">
        <f>F9*G9</f>
        <v/>
      </c>
      <c r="I9" s="7">
        <f>2*F9</f>
        <v/>
      </c>
      <c r="J9" s="6" t="inlineStr">
        <is>
          <t>Receipts Register, Collection Report give transaction data only (compliance matrix, AMLA chapter)</t>
        </is>
      </c>
      <c r="K9" s="6" t="inlineStr">
        <is>
          <t>No threshold rules, alert queue or AMLC reporting file.</t>
        </is>
      </c>
      <c r="L9" s="7" t="inlineStr"/>
    </row>
    <row r="10">
      <c r="A10" s="7" t="inlineStr">
        <is>
          <t>1.08</t>
        </is>
      </c>
      <c r="B10" s="6" t="inlineStr">
        <is>
          <t>Client onboarding, KYC and AML</t>
        </is>
      </c>
      <c r="C10" s="6" t="inlineStr">
        <is>
          <t>KYC and transaction record retention (5 years or more)</t>
        </is>
      </c>
      <c r="D10" s="7" t="inlineStr">
        <is>
          <t>Both</t>
        </is>
      </c>
      <c r="E10" s="7" t="inlineStr">
        <is>
          <t>AMLC</t>
        </is>
      </c>
      <c r="F10" s="7" t="n">
        <v>1</v>
      </c>
      <c r="G10" s="12" t="n">
        <v>2</v>
      </c>
      <c r="H10" s="7">
        <f>F10*G10</f>
        <v/>
      </c>
      <c r="I10" s="7">
        <f>2*F10</f>
        <v/>
      </c>
      <c r="J10" s="6" t="inlineStr">
        <is>
          <t>Business records never deleted by housekeeping; privacy.retention_years 10; privacy.test.js</t>
        </is>
      </c>
      <c r="K10" s="6" t="inlineStr"/>
      <c r="L10" s="7" t="inlineStr"/>
    </row>
    <row r="11">
      <c r="A11" s="7" t="inlineStr">
        <is>
          <t>1.09</t>
        </is>
      </c>
      <c r="B11" s="6" t="inlineStr">
        <is>
          <t>Client onboarding, KYC and AML</t>
        </is>
      </c>
      <c r="C11" s="6" t="inlineStr">
        <is>
          <t>Single client view across policies, claims, renewals and endorsements</t>
        </is>
      </c>
      <c r="D11" s="7" t="inlineStr">
        <is>
          <t>Both</t>
        </is>
      </c>
      <c r="E11" s="7" t="inlineStr">
        <is>
          <t>Ops</t>
        </is>
      </c>
      <c r="F11" s="7" t="n">
        <v>2</v>
      </c>
      <c r="G11" s="12" t="n">
        <v>2</v>
      </c>
      <c r="H11" s="7">
        <f>F11*G11</f>
        <v/>
      </c>
      <c r="I11" s="7">
        <f>2*F11</f>
        <v/>
      </c>
      <c r="J11" s="6" t="inlineStr">
        <is>
          <t>Clients &gt; client view tabs; clients.test.js; UAT scenario retail and corporate phases</t>
        </is>
      </c>
      <c r="K11" s="6" t="inlineStr"/>
      <c r="L11" s="7" t="inlineStr"/>
    </row>
    <row r="12">
      <c r="A12" s="7" t="inlineStr">
        <is>
          <t>1.10</t>
        </is>
      </c>
      <c r="B12" s="6" t="inlineStr">
        <is>
          <t>Client onboarding, KYC and AML</t>
        </is>
      </c>
      <c r="C12" s="6" t="inlineStr">
        <is>
          <t>Privacy notice and consent per purpose at onboarding</t>
        </is>
      </c>
      <c r="D12" s="7" t="inlineStr">
        <is>
          <t>Both</t>
        </is>
      </c>
      <c r="E12" s="7" t="inlineStr">
        <is>
          <t>NPC</t>
        </is>
      </c>
      <c r="F12" s="7" t="n">
        <v>3</v>
      </c>
      <c r="G12" s="12" t="n">
        <v>2</v>
      </c>
      <c r="H12" s="7">
        <f>F12*G12</f>
        <v/>
      </c>
      <c r="I12" s="7">
        <f>2*F12</f>
        <v/>
      </c>
      <c r="J12" s="6" t="inlineStr">
        <is>
          <t>Data privacy tab on client and prospect; Master &gt; Data Privacy &gt; Consent Register; privacy.test.js</t>
        </is>
      </c>
      <c r="K12" s="6" t="inlineStr"/>
      <c r="L12" s="7" t="inlineStr"/>
    </row>
    <row r="13">
      <c r="A13" s="9" t="inlineStr">
        <is>
          <t>2</t>
        </is>
      </c>
      <c r="B13" s="9" t="inlineStr">
        <is>
          <t>Prospecting and sales pipeline</t>
        </is>
      </c>
      <c r="C13" s="9" t="inlineStr">
        <is>
          <t>L1 subtotal: fit 67.9%</t>
        </is>
      </c>
      <c r="D13" s="9" t="inlineStr"/>
      <c r="E13" s="9" t="inlineStr"/>
      <c r="F13" s="10" t="n">
        <v>14</v>
      </c>
      <c r="G13" s="9" t="inlineStr"/>
      <c r="H13" s="10" t="n">
        <v>19</v>
      </c>
      <c r="I13" s="10" t="n">
        <v>28</v>
      </c>
      <c r="J13" s="9" t="inlineStr"/>
      <c r="K13" s="9" t="inlineStr"/>
      <c r="L13" s="9" t="inlineStr"/>
    </row>
    <row r="14">
      <c r="A14" s="7" t="inlineStr">
        <is>
          <t>2.01</t>
        </is>
      </c>
      <c r="B14" s="6" t="inlineStr">
        <is>
          <t>Prospecting and sales pipeline</t>
        </is>
      </c>
      <c r="C14" s="6" t="inlineStr">
        <is>
          <t>Lead capture by line (motor, fire, IAR, employee benefits), retail or corporate</t>
        </is>
      </c>
      <c r="D14" s="7" t="inlineStr">
        <is>
          <t>Both</t>
        </is>
      </c>
      <c r="E14" s="7" t="inlineStr">
        <is>
          <t>Ops</t>
        </is>
      </c>
      <c r="F14" s="7" t="n">
        <v>2</v>
      </c>
      <c r="G14" s="12" t="n">
        <v>2</v>
      </c>
      <c r="H14" s="7">
        <f>F14*G14</f>
        <v/>
      </c>
      <c r="I14" s="7">
        <f>2*F14</f>
        <v/>
      </c>
      <c r="J14" s="6" t="inlineStr">
        <is>
          <t>Sales &amp; Marketing &gt; Prospects (/agent/leadlisting); leads.test.js</t>
        </is>
      </c>
      <c r="K14" s="6" t="inlineStr"/>
      <c r="L14" s="7" t="inlineStr"/>
    </row>
    <row r="15">
      <c r="A15" s="7" t="inlineStr">
        <is>
          <t>2.02</t>
        </is>
      </c>
      <c r="B15" s="6" t="inlineStr">
        <is>
          <t>Prospecting and sales pipeline</t>
        </is>
      </c>
      <c r="C15" s="6" t="inlineStr">
        <is>
          <t>Bulk lead upload with row error report</t>
        </is>
      </c>
      <c r="D15" s="7" t="inlineStr">
        <is>
          <t>Both</t>
        </is>
      </c>
      <c r="E15" s="7" t="inlineStr">
        <is>
          <t>Ops</t>
        </is>
      </c>
      <c r="F15" s="7" t="n">
        <v>1</v>
      </c>
      <c r="G15" s="12" t="n">
        <v>2</v>
      </c>
      <c r="H15" s="7">
        <f>F15*G15</f>
        <v/>
      </c>
      <c r="I15" s="7">
        <f>2*F15</f>
        <v/>
      </c>
      <c r="J15" s="6" t="inlineStr">
        <is>
          <t>POST /leads/bulk-upload; leads.test.js</t>
        </is>
      </c>
      <c r="K15" s="6" t="inlineStr"/>
      <c r="L15" s="7" t="inlineStr"/>
    </row>
    <row r="16">
      <c r="A16" s="7" t="inlineStr">
        <is>
          <t>2.03</t>
        </is>
      </c>
      <c r="B16" s="6" t="inlineStr">
        <is>
          <t>Prospecting and sales pipeline</t>
        </is>
      </c>
      <c r="C16" s="6" t="inlineStr">
        <is>
          <t>Lead status pipeline and conversion funnel</t>
        </is>
      </c>
      <c r="D16" s="7" t="inlineStr">
        <is>
          <t>Both</t>
        </is>
      </c>
      <c r="E16" s="7" t="inlineStr">
        <is>
          <t>Ops</t>
        </is>
      </c>
      <c r="F16" s="7" t="n">
        <v>2</v>
      </c>
      <c r="G16" s="12" t="n">
        <v>2</v>
      </c>
      <c r="H16" s="7">
        <f>F16*G16</f>
        <v/>
      </c>
      <c r="I16" s="7">
        <f>2*F16</f>
        <v/>
      </c>
      <c r="J16" s="6" t="inlineStr">
        <is>
          <t>Lead statuses New to Converted or Lost; Lead Conversion Funnel report; reports.test.js</t>
        </is>
      </c>
      <c r="K16" s="6" t="inlineStr"/>
      <c r="L16" s="7" t="inlineStr"/>
    </row>
    <row r="17">
      <c r="A17" s="7" t="inlineStr">
        <is>
          <t>2.04</t>
        </is>
      </c>
      <c r="B17" s="6" t="inlineStr">
        <is>
          <t>Prospecting and sales pipeline</t>
        </is>
      </c>
      <c r="C17" s="6" t="inlineStr">
        <is>
          <t>Sales activities: calls, meetings, follow-up tasks and reminders</t>
        </is>
      </c>
      <c r="D17" s="7" t="inlineStr">
        <is>
          <t>Both</t>
        </is>
      </c>
      <c r="E17" s="7" t="inlineStr">
        <is>
          <t>Ops</t>
        </is>
      </c>
      <c r="F17" s="7" t="n">
        <v>2</v>
      </c>
      <c r="G17" s="13" t="n">
        <v>0</v>
      </c>
      <c r="H17" s="7">
        <f>F17*G17</f>
        <v/>
      </c>
      <c r="I17" s="7">
        <f>2*F17</f>
        <v/>
      </c>
      <c r="J17" s="6" t="inlineStr">
        <is>
          <t>No activity log on leads (modules/leads); My Work inbox in development</t>
        </is>
      </c>
      <c r="K17" s="6" t="inlineStr">
        <is>
          <t>Account executives cannot log activities or schedule follow-ups on a prospect.</t>
        </is>
      </c>
      <c r="L17" s="7" t="inlineStr">
        <is>
          <t>Yes</t>
        </is>
      </c>
    </row>
    <row r="18">
      <c r="A18" s="7" t="inlineStr">
        <is>
          <t>2.05</t>
        </is>
      </c>
      <c r="B18" s="6" t="inlineStr">
        <is>
          <t>Prospecting and sales pipeline</t>
        </is>
      </c>
      <c r="C18" s="6" t="inlineStr">
        <is>
          <t>Lead assignment to account executives and team visibility</t>
        </is>
      </c>
      <c r="D18" s="7" t="inlineStr">
        <is>
          <t>Both</t>
        </is>
      </c>
      <c r="E18" s="7" t="inlineStr">
        <is>
          <t>Ops</t>
        </is>
      </c>
      <c r="F18" s="7" t="n">
        <v>2</v>
      </c>
      <c r="G18" s="11" t="n">
        <v>1</v>
      </c>
      <c r="H18" s="7">
        <f>F18*G18</f>
        <v/>
      </c>
      <c r="I18" s="7">
        <f>2*F18</f>
        <v/>
      </c>
      <c r="J18" s="6" t="inlineStr">
        <is>
          <t>Record scope for scoped roles (security.scoped_roles); scope.test.js</t>
        </is>
      </c>
      <c r="K18" s="6" t="inlineStr">
        <is>
          <t>Owner scoping exists; no assignment rules, reassignment queue or team view.</t>
        </is>
      </c>
      <c r="L18" s="7" t="inlineStr"/>
    </row>
    <row r="19">
      <c r="A19" s="7" t="inlineStr">
        <is>
          <t>2.06</t>
        </is>
      </c>
      <c r="B19" s="6" t="inlineStr">
        <is>
          <t>Prospecting and sales pipeline</t>
        </is>
      </c>
      <c r="C19" s="6" t="inlineStr">
        <is>
          <t>Sales targets and sales dashboard</t>
        </is>
      </c>
      <c r="D19" s="7" t="inlineStr">
        <is>
          <t>Both</t>
        </is>
      </c>
      <c r="E19" s="7" t="inlineStr">
        <is>
          <t>Ops</t>
        </is>
      </c>
      <c r="F19" s="7" t="n">
        <v>2</v>
      </c>
      <c r="G19" s="12" t="n">
        <v>2</v>
      </c>
      <c r="H19" s="7">
        <f>F19*G19</f>
        <v/>
      </c>
      <c r="I19" s="7">
        <f>2*F19</f>
        <v/>
      </c>
      <c r="J19" s="6" t="inlineStr">
        <is>
          <t>Dashboard &gt; Sales Dashboard; dashboard.targets; dashboard.test.js</t>
        </is>
      </c>
      <c r="K19" s="6" t="inlineStr"/>
      <c r="L19" s="7" t="inlineStr"/>
    </row>
    <row r="20">
      <c r="A20" s="7" t="inlineStr">
        <is>
          <t>2.07</t>
        </is>
      </c>
      <c r="B20" s="6" t="inlineStr">
        <is>
          <t>Prospecting and sales pipeline</t>
        </is>
      </c>
      <c r="C20" s="6" t="inlineStr">
        <is>
          <t>Dealer, bank and affinity channel referrals (captive agency, motor dealer branches)</t>
        </is>
      </c>
      <c r="D20" s="7" t="inlineStr">
        <is>
          <t>Agent</t>
        </is>
      </c>
      <c r="E20" s="7" t="inlineStr">
        <is>
          <t>Ops</t>
        </is>
      </c>
      <c r="F20" s="7" t="n">
        <v>2</v>
      </c>
      <c r="G20" s="11" t="n">
        <v>1</v>
      </c>
      <c r="H20" s="7">
        <f>F20*G20</f>
        <v/>
      </c>
      <c r="I20" s="7">
        <f>2*F20</f>
        <v/>
      </c>
      <c r="J20" s="6" t="inlineStr">
        <is>
          <t>Commission &gt; Agents/Referrer Accounts (types Agent, Sub-agent, External); commission.test.js</t>
        </is>
      </c>
      <c r="K20" s="6" t="inlineStr">
        <is>
          <t>No dealer or dealer-branch master, channel hierarchy or dealer production report.</t>
        </is>
      </c>
      <c r="L20" s="7" t="inlineStr"/>
    </row>
    <row r="21">
      <c r="A21" s="7" t="inlineStr">
        <is>
          <t>2.08</t>
        </is>
      </c>
      <c r="B21" s="6" t="inlineStr">
        <is>
          <t>Prospecting and sales pipeline</t>
        </is>
      </c>
      <c r="C21" s="6" t="inlineStr">
        <is>
          <t>Marketing campaigns to consenting clients</t>
        </is>
      </c>
      <c r="D21" s="7" t="inlineStr">
        <is>
          <t>Both</t>
        </is>
      </c>
      <c r="E21" s="7" t="inlineStr">
        <is>
          <t>Ops</t>
        </is>
      </c>
      <c r="F21" s="7" t="n">
        <v>1</v>
      </c>
      <c r="G21" s="11" t="n">
        <v>1</v>
      </c>
      <c r="H21" s="7">
        <f>F21*G21</f>
        <v/>
      </c>
      <c r="I21" s="7">
        <f>2*F21</f>
        <v/>
      </c>
      <c r="J21" s="6" t="inlineStr">
        <is>
          <t>Marketing consent per purpose; Renewals &gt; Lapse Management win-back campaigns</t>
        </is>
      </c>
      <c r="K21" s="6" t="inlineStr">
        <is>
          <t>No general campaign or mass mailing module.</t>
        </is>
      </c>
      <c r="L21" s="7" t="inlineStr"/>
    </row>
    <row r="22">
      <c r="A22" s="9" t="inlineStr">
        <is>
          <t>3</t>
        </is>
      </c>
      <c r="B22" s="9" t="inlineStr">
        <is>
          <t>Quotation and insurer comparison</t>
        </is>
      </c>
      <c r="C22" s="9" t="inlineStr">
        <is>
          <t>L1 subtotal: fit 89.6%</t>
        </is>
      </c>
      <c r="D22" s="9" t="inlineStr"/>
      <c r="E22" s="9" t="inlineStr"/>
      <c r="F22" s="10" t="n">
        <v>24</v>
      </c>
      <c r="G22" s="9" t="inlineStr"/>
      <c r="H22" s="10" t="n">
        <v>43</v>
      </c>
      <c r="I22" s="10" t="n">
        <v>48</v>
      </c>
      <c r="J22" s="9" t="inlineStr"/>
      <c r="K22" s="9" t="inlineStr"/>
      <c r="L22" s="9" t="inlineStr"/>
    </row>
    <row r="23">
      <c r="A23" s="7" t="inlineStr">
        <is>
          <t>3.01</t>
        </is>
      </c>
      <c r="B23" s="6" t="inlineStr">
        <is>
          <t>Quotation and insurer comparison</t>
        </is>
      </c>
      <c r="C23" s="6" t="inlineStr">
        <is>
          <t>Quick quote of packaged products from insurer rate tables</t>
        </is>
      </c>
      <c r="D23" s="7" t="inlineStr">
        <is>
          <t>Both</t>
        </is>
      </c>
      <c r="E23" s="7" t="inlineStr">
        <is>
          <t>Ops</t>
        </is>
      </c>
      <c r="F23" s="7" t="n">
        <v>2</v>
      </c>
      <c r="G23" s="12" t="n">
        <v>2</v>
      </c>
      <c r="H23" s="7">
        <f>F23*G23</f>
        <v/>
      </c>
      <c r="I23" s="7">
        <f>2*F23</f>
        <v/>
      </c>
      <c r="J23" s="6" t="inlineStr">
        <is>
          <t>Sales &amp; Marketing &gt; Quick Quote; Master &gt; Finance &gt; Insurer Rate Tables; packages.test.js</t>
        </is>
      </c>
      <c r="K23" s="6" t="inlineStr"/>
      <c r="L23" s="7" t="inlineStr"/>
    </row>
    <row r="24">
      <c r="A24" s="7" t="inlineStr">
        <is>
          <t>3.02</t>
        </is>
      </c>
      <c r="B24" s="6" t="inlineStr">
        <is>
          <t>Quotation and insurer comparison</t>
        </is>
      </c>
      <c r="C24" s="6" t="inlineStr">
        <is>
          <t>Side-by-side comparison of insurers on screen</t>
        </is>
      </c>
      <c r="D24" s="7" t="inlineStr">
        <is>
          <t>Broker</t>
        </is>
      </c>
      <c r="E24" s="7" t="inlineStr">
        <is>
          <t>Ops</t>
        </is>
      </c>
      <c r="F24" s="7" t="n">
        <v>3</v>
      </c>
      <c r="G24" s="12" t="n">
        <v>2</v>
      </c>
      <c r="H24" s="7">
        <f>F24*G24</f>
        <v/>
      </c>
      <c r="I24" s="7">
        <f>2*F24</f>
        <v/>
      </c>
      <c r="J24" s="6" t="inlineStr">
        <is>
          <t>Sales &amp; Marketing &gt; Compare Insurers (/sales/compare-insurers); packages.test.js</t>
        </is>
      </c>
      <c r="K24" s="6" t="inlineStr"/>
      <c r="L24" s="7" t="inlineStr"/>
    </row>
    <row r="25">
      <c r="A25" s="7" t="inlineStr">
        <is>
          <t>3.03</t>
        </is>
      </c>
      <c r="B25" s="6" t="inlineStr">
        <is>
          <t>Quotation and insurer comparison</t>
        </is>
      </c>
      <c r="C25" s="6" t="inlineStr">
        <is>
          <t>Client-facing comparison and recommendation report</t>
        </is>
      </c>
      <c r="D25" s="7" t="inlineStr">
        <is>
          <t>Broker</t>
        </is>
      </c>
      <c r="E25" s="7" t="inlineStr">
        <is>
          <t>Ops</t>
        </is>
      </c>
      <c r="F25" s="7" t="n">
        <v>2</v>
      </c>
      <c r="G25" s="11" t="n">
        <v>1</v>
      </c>
      <c r="H25" s="7">
        <f>F25*G25</f>
        <v/>
      </c>
      <c r="I25" s="7">
        <f>2*F25</f>
        <v/>
      </c>
      <c r="J25" s="6" t="inlineStr">
        <is>
          <t>Market comparison table on slip PDFs (modules/documents/templates.js)</t>
        </is>
      </c>
      <c r="K25" s="6" t="inlineStr">
        <is>
          <t>Printable comparison report for the client is in development.</t>
        </is>
      </c>
      <c r="L25" s="7" t="inlineStr">
        <is>
          <t>Yes</t>
        </is>
      </c>
    </row>
    <row r="26">
      <c r="A26" s="7" t="inlineStr">
        <is>
          <t>3.04</t>
        </is>
      </c>
      <c r="B26" s="6" t="inlineStr">
        <is>
          <t>Quotation and insurer comparison</t>
        </is>
      </c>
      <c r="C26" s="6" t="inlineStr">
        <is>
          <t>Motor quotation: own damage, acts of nature, VTPL BI/PD, APPA, accessories</t>
        </is>
      </c>
      <c r="D26" s="7" t="inlineStr">
        <is>
          <t>Both</t>
        </is>
      </c>
      <c r="E26" s="7" t="inlineStr">
        <is>
          <t>Ops</t>
        </is>
      </c>
      <c r="F26" s="7" t="n">
        <v>3</v>
      </c>
      <c r="G26" s="12" t="n">
        <v>2</v>
      </c>
      <c r="H26" s="7">
        <f>F26*G26</f>
        <v/>
      </c>
      <c r="I26" s="7">
        <f>2*F26</f>
        <v/>
      </c>
      <c r="J26" s="6" t="inlineStr">
        <is>
          <t>Sales &amp; Marketing &gt; Quotations (/agent/Quotation); quotations.test.js; motor-tariff.test.js</t>
        </is>
      </c>
      <c r="K26" s="6" t="inlineStr"/>
      <c r="L26" s="7" t="inlineStr"/>
    </row>
    <row r="27">
      <c r="A27" s="7" t="inlineStr">
        <is>
          <t>3.05</t>
        </is>
      </c>
      <c r="B27" s="6" t="inlineStr">
        <is>
          <t>Quotation and insurer comparison</t>
        </is>
      </c>
      <c r="C27" s="6" t="inlineStr">
        <is>
          <t>Server-side pricing with premium taxes (VAT, DST, LGT, FST)</t>
        </is>
      </c>
      <c r="D27" s="7" t="inlineStr">
        <is>
          <t>Both</t>
        </is>
      </c>
      <c r="E27" s="7" t="inlineStr">
        <is>
          <t>BIR</t>
        </is>
      </c>
      <c r="F27" s="7" t="n">
        <v>3</v>
      </c>
      <c r="G27" s="12" t="n">
        <v>2</v>
      </c>
      <c r="H27" s="7">
        <f>F27*G27</f>
        <v/>
      </c>
      <c r="I27" s="7">
        <f>2*F27</f>
        <v/>
      </c>
      <c r="J27" s="6" t="inlineStr">
        <is>
          <t>modules/premium-charges (one calculator); premium-charges.test.js; money-single-source.test.js</t>
        </is>
      </c>
      <c r="K27" s="6" t="inlineStr"/>
      <c r="L27" s="7" t="inlineStr"/>
    </row>
    <row r="28">
      <c r="A28" s="7" t="inlineStr">
        <is>
          <t>3.06</t>
        </is>
      </c>
      <c r="B28" s="6" t="inlineStr">
        <is>
          <t>Quotation and insurer comparison</t>
        </is>
      </c>
      <c r="C28" s="6" t="inlineStr">
        <is>
          <t>Quotation for non-motor lines from insurer terms</t>
        </is>
      </c>
      <c r="D28" s="7" t="inlineStr">
        <is>
          <t>Both</t>
        </is>
      </c>
      <c r="E28" s="7" t="inlineStr">
        <is>
          <t>Ops</t>
        </is>
      </c>
      <c r="F28" s="7" t="n">
        <v>3</v>
      </c>
      <c r="G28" s="12" t="n">
        <v>2</v>
      </c>
      <c r="H28" s="7">
        <f>F28*G28</f>
        <v/>
      </c>
      <c r="I28" s="7">
        <f>2*F28</f>
        <v/>
      </c>
      <c r="J28" s="6" t="inlineStr">
        <is>
          <t>Quotation slip and RFQ offers (placement.journey); request-for-quotation.test.js; UAT corporate phase (fire, IAR, CAR, marine, CGL)</t>
        </is>
      </c>
      <c r="K28" s="6" t="inlineStr"/>
      <c r="L28" s="7" t="inlineStr"/>
    </row>
    <row r="29">
      <c r="A29" s="7" t="inlineStr">
        <is>
          <t>3.07</t>
        </is>
      </c>
      <c r="B29" s="6" t="inlineStr">
        <is>
          <t>Quotation and insurer comparison</t>
        </is>
      </c>
      <c r="C29" s="6" t="inlineStr">
        <is>
          <t>Discount control taken from broker commission</t>
        </is>
      </c>
      <c r="D29" s="7" t="inlineStr">
        <is>
          <t>Both</t>
        </is>
      </c>
      <c r="E29" s="7" t="inlineStr">
        <is>
          <t>Ops</t>
        </is>
      </c>
      <c r="F29" s="7" t="n">
        <v>2</v>
      </c>
      <c r="G29" s="12" t="n">
        <v>2</v>
      </c>
      <c r="H29" s="7">
        <f>F29*G29</f>
        <v/>
      </c>
      <c r="I29" s="7">
        <f>2*F29</f>
        <v/>
      </c>
      <c r="J29" s="6" t="inlineStr">
        <is>
          <t>Quotation order summary (discount up to 30%); quotations.test.js</t>
        </is>
      </c>
      <c r="K29" s="6" t="inlineStr"/>
      <c r="L29" s="7" t="inlineStr"/>
    </row>
    <row r="30">
      <c r="A30" s="7" t="inlineStr">
        <is>
          <t>3.08</t>
        </is>
      </c>
      <c r="B30" s="6" t="inlineStr">
        <is>
          <t>Quotation and insurer comparison</t>
        </is>
      </c>
      <c r="C30" s="6" t="inlineStr">
        <is>
          <t>Online client approval of the quotation</t>
        </is>
      </c>
      <c r="D30" s="7" t="inlineStr">
        <is>
          <t>Both</t>
        </is>
      </c>
      <c r="E30" s="7" t="inlineStr">
        <is>
          <t>Ops</t>
        </is>
      </c>
      <c r="F30" s="7" t="n">
        <v>2</v>
      </c>
      <c r="G30" s="12" t="n">
        <v>2</v>
      </c>
      <c r="H30" s="7">
        <f>F30*G30</f>
        <v/>
      </c>
      <c r="I30" s="7">
        <f>2*F30</f>
        <v/>
      </c>
      <c r="J30" s="6" t="inlineStr">
        <is>
          <t>Send for Customer Approval (signed link 168 hours); customer-response.test.js</t>
        </is>
      </c>
      <c r="K30" s="6" t="inlineStr">
        <is>
          <t>Approval through the live e-mail link blocked in the test environment (no SMTP); recorded responses tested.</t>
        </is>
      </c>
      <c r="L30" s="7" t="inlineStr"/>
    </row>
    <row r="31">
      <c r="A31" s="7" t="inlineStr">
        <is>
          <t>3.09</t>
        </is>
      </c>
      <c r="B31" s="6" t="inlineStr">
        <is>
          <t>Quotation and insurer comparison</t>
        </is>
      </c>
      <c r="C31" s="6" t="inlineStr">
        <is>
          <t>Quotation validity, expiry and maker-checker</t>
        </is>
      </c>
      <c r="D31" s="7" t="inlineStr">
        <is>
          <t>Both</t>
        </is>
      </c>
      <c r="E31" s="7" t="inlineStr">
        <is>
          <t>Ops</t>
        </is>
      </c>
      <c r="F31" s="7" t="n">
        <v>1</v>
      </c>
      <c r="G31" s="12" t="n">
        <v>2</v>
      </c>
      <c r="H31" s="7">
        <f>F31*G31</f>
        <v/>
      </c>
      <c r="I31" s="7">
        <f>2*F31</f>
        <v/>
      </c>
      <c r="J31" s="6" t="inlineStr">
        <is>
          <t>limits.quote_validity_days; Quotation expiry job; workflow.quote_maker_checker; quotations.test.js</t>
        </is>
      </c>
      <c r="K31" s="6" t="inlineStr"/>
      <c r="L31" s="7" t="inlineStr"/>
    </row>
    <row r="32">
      <c r="A32" s="7" t="inlineStr">
        <is>
          <t>3.10</t>
        </is>
      </c>
      <c r="B32" s="6" t="inlineStr">
        <is>
          <t>Quotation and insurer comparison</t>
        </is>
      </c>
      <c r="C32" s="6" t="inlineStr">
        <is>
          <t>Electronic signature of proposal and acceptance</t>
        </is>
      </c>
      <c r="D32" s="7" t="inlineStr">
        <is>
          <t>Both</t>
        </is>
      </c>
      <c r="E32" s="7" t="inlineStr">
        <is>
          <t>Ops</t>
        </is>
      </c>
      <c r="F32" s="7" t="n">
        <v>1</v>
      </c>
      <c r="G32" s="11" t="n">
        <v>1</v>
      </c>
      <c r="H32" s="7">
        <f>F32*G32</f>
        <v/>
      </c>
      <c r="I32" s="7">
        <f>2*F32</f>
        <v/>
      </c>
      <c r="J32" s="6" t="inlineStr">
        <is>
          <t>Approval link records acceptance; Signatories master</t>
        </is>
      </c>
      <c r="K32" s="6" t="inlineStr">
        <is>
          <t>E-signature on documents is in development.</t>
        </is>
      </c>
      <c r="L32" s="7" t="inlineStr">
        <is>
          <t>Yes</t>
        </is>
      </c>
    </row>
    <row r="33">
      <c r="A33" s="7" t="inlineStr">
        <is>
          <t>3.11</t>
        </is>
      </c>
      <c r="B33" s="6" t="inlineStr">
        <is>
          <t>Quotation and insurer comparison</t>
        </is>
      </c>
      <c r="C33" s="6" t="inlineStr">
        <is>
          <t>Product rules from the Product Configurator drive the quotation</t>
        </is>
      </c>
      <c r="D33" s="7" t="inlineStr">
        <is>
          <t>Both</t>
        </is>
      </c>
      <c r="E33" s="7" t="inlineStr">
        <is>
          <t>Ops</t>
        </is>
      </c>
      <c r="F33" s="7" t="n">
        <v>2</v>
      </c>
      <c r="G33" s="11" t="n">
        <v>1</v>
      </c>
      <c r="H33" s="7">
        <f>F33*G33</f>
        <v/>
      </c>
      <c r="I33" s="7">
        <f>2*F33</f>
        <v/>
      </c>
      <c r="J33" s="6" t="inlineStr">
        <is>
          <t>Product Configurator &gt; Product Templates (MOT-003-2025 CTPL and APPA tariff used); product-configurator.test.js</t>
        </is>
      </c>
      <c r="K33" s="6" t="inlineStr">
        <is>
          <t>Only the motor tariff feeds quotations; coverage, acceptance and document rules are not yet connected (in development).</t>
        </is>
      </c>
      <c r="L33" s="7" t="inlineStr">
        <is>
          <t>Yes</t>
        </is>
      </c>
    </row>
    <row r="34">
      <c r="A34" s="9" t="inlineStr">
        <is>
          <t>4</t>
        </is>
      </c>
      <c r="B34" s="9" t="inlineStr">
        <is>
          <t>RFQ, placement, co-insurance and reinsurance</t>
        </is>
      </c>
      <c r="C34" s="9" t="inlineStr">
        <is>
          <t>L1 subtotal: fit 85.4%</t>
        </is>
      </c>
      <c r="D34" s="9" t="inlineStr"/>
      <c r="E34" s="9" t="inlineStr"/>
      <c r="F34" s="10" t="n">
        <v>24</v>
      </c>
      <c r="G34" s="9" t="inlineStr"/>
      <c r="H34" s="10" t="n">
        <v>41</v>
      </c>
      <c r="I34" s="10" t="n">
        <v>48</v>
      </c>
      <c r="J34" s="9" t="inlineStr"/>
      <c r="K34" s="9" t="inlineStr"/>
      <c r="L34" s="9" t="inlineStr"/>
    </row>
    <row r="35">
      <c r="A35" s="7" t="inlineStr">
        <is>
          <t>4.01</t>
        </is>
      </c>
      <c r="B35" s="6" t="inlineStr">
        <is>
          <t>RFQ, placement, co-insurance and reinsurance</t>
        </is>
      </c>
      <c r="C35" s="6" t="inlineStr">
        <is>
          <t>Request for Quotation (broker slip) to several insurers by e-mail</t>
        </is>
      </c>
      <c r="D35" s="7" t="inlineStr">
        <is>
          <t>Broker</t>
        </is>
      </c>
      <c r="E35" s="7" t="inlineStr">
        <is>
          <t>Ops</t>
        </is>
      </c>
      <c r="F35" s="7" t="n">
        <v>3</v>
      </c>
      <c r="G35" s="12" t="n">
        <v>2</v>
      </c>
      <c r="H35" s="7">
        <f>F35*G35</f>
        <v/>
      </c>
      <c r="I35" s="7">
        <f>2*F35</f>
        <v/>
      </c>
      <c r="J35" s="6" t="inlineStr">
        <is>
          <t>Sales &amp; Marketing &gt; Request for Quotation (/placement/broker-slips); request-for-quotation.test.js</t>
        </is>
      </c>
      <c r="K35" s="6" t="inlineStr"/>
      <c r="L35" s="7" t="inlineStr"/>
    </row>
    <row r="36">
      <c r="A36" s="7" t="inlineStr">
        <is>
          <t>4.02</t>
        </is>
      </c>
      <c r="B36" s="6" t="inlineStr">
        <is>
          <t>RFQ, placement, co-insurance and reinsurance</t>
        </is>
      </c>
      <c r="C36" s="6" t="inlineStr">
        <is>
          <t>Record insurer offers and declines with terms</t>
        </is>
      </c>
      <c r="D36" s="7" t="inlineStr">
        <is>
          <t>Broker</t>
        </is>
      </c>
      <c r="E36" s="7" t="inlineStr">
        <is>
          <t>Ops</t>
        </is>
      </c>
      <c r="F36" s="7" t="n">
        <v>3</v>
      </c>
      <c r="G36" s="12" t="n">
        <v>2</v>
      </c>
      <c r="H36" s="7">
        <f>F36*G36</f>
        <v/>
      </c>
      <c r="I36" s="7">
        <f>2*F36</f>
        <v/>
      </c>
      <c r="J36" s="6" t="inlineStr">
        <is>
          <t>Broker slip offers (Offered, Declined, Pending); request-for-quotation.test.js</t>
        </is>
      </c>
      <c r="K36" s="6" t="inlineStr"/>
      <c r="L36" s="7" t="inlineStr"/>
    </row>
    <row r="37">
      <c r="A37" s="7" t="inlineStr">
        <is>
          <t>4.03</t>
        </is>
      </c>
      <c r="B37" s="6" t="inlineStr">
        <is>
          <t>RFQ, placement, co-insurance and reinsurance</t>
        </is>
      </c>
      <c r="C37" s="6" t="inlineStr">
        <is>
          <t>Compare offers, best offer and market capacity</t>
        </is>
      </c>
      <c r="D37" s="7" t="inlineStr">
        <is>
          <t>Broker</t>
        </is>
      </c>
      <c r="E37" s="7" t="inlineStr">
        <is>
          <t>Ops</t>
        </is>
      </c>
      <c r="F37" s="7" t="n">
        <v>3</v>
      </c>
      <c r="G37" s="12" t="n">
        <v>2</v>
      </c>
      <c r="H37" s="7">
        <f>F37*G37</f>
        <v/>
      </c>
      <c r="I37" s="7">
        <f>2*F37</f>
        <v/>
      </c>
      <c r="J37" s="6" t="inlineStr">
        <is>
          <t>Request for Quotation &gt; Compare offers; request-for-quotation.test.js</t>
        </is>
      </c>
      <c r="K37" s="6" t="inlineStr"/>
      <c r="L37" s="7" t="inlineStr"/>
    </row>
    <row r="38">
      <c r="A38" s="7" t="inlineStr">
        <is>
          <t>4.04</t>
        </is>
      </c>
      <c r="B38" s="6" t="inlineStr">
        <is>
          <t>RFQ, placement, co-insurance and reinsurance</t>
        </is>
      </c>
      <c r="C38" s="6" t="inlineStr">
        <is>
          <t>Placement slip to lead and co-insurers with confirmation per insurer</t>
        </is>
      </c>
      <c r="D38" s="7" t="inlineStr">
        <is>
          <t>Broker</t>
        </is>
      </c>
      <c r="E38" s="7" t="inlineStr">
        <is>
          <t>Ops</t>
        </is>
      </c>
      <c r="F38" s="7" t="n">
        <v>3</v>
      </c>
      <c r="G38" s="12" t="n">
        <v>2</v>
      </c>
      <c r="H38" s="7">
        <f>F38*G38</f>
        <v/>
      </c>
      <c r="I38" s="7">
        <f>2*F38</f>
        <v/>
      </c>
      <c r="J38" s="6" t="inlineStr">
        <is>
          <t>Sales &amp; Marketing &gt; Placement Slips (/placement/placement-slips); placement.test.js</t>
        </is>
      </c>
      <c r="K38" s="6" t="inlineStr"/>
      <c r="L38" s="7" t="inlineStr"/>
    </row>
    <row r="39">
      <c r="A39" s="7" t="inlineStr">
        <is>
          <t>4.05</t>
        </is>
      </c>
      <c r="B39" s="6" t="inlineStr">
        <is>
          <t>RFQ, placement, co-insurance and reinsurance</t>
        </is>
      </c>
      <c r="C39" s="6" t="inlineStr">
        <is>
          <t>Co-insurance shares, payables and taxes split per participant</t>
        </is>
      </c>
      <c r="D39" s="7" t="inlineStr">
        <is>
          <t>Broker</t>
        </is>
      </c>
      <c r="E39" s="7" t="inlineStr">
        <is>
          <t>Ops</t>
        </is>
      </c>
      <c r="F39" s="7" t="n">
        <v>3</v>
      </c>
      <c r="G39" s="12" t="n">
        <v>2</v>
      </c>
      <c r="H39" s="7">
        <f>F39*G39</f>
        <v/>
      </c>
      <c r="I39" s="7">
        <f>2*F39</f>
        <v/>
      </c>
      <c r="J39" s="6" t="inlineStr">
        <is>
          <t>Co-insurance Register; Due to Insurers by Co-insurer; placement.test.js; remittance.test.js</t>
        </is>
      </c>
      <c r="K39" s="6" t="inlineStr"/>
      <c r="L39" s="7" t="inlineStr"/>
    </row>
    <row r="40">
      <c r="A40" s="7" t="inlineStr">
        <is>
          <t>4.06</t>
        </is>
      </c>
      <c r="B40" s="6" t="inlineStr">
        <is>
          <t>RFQ, placement, co-insurance and reinsurance</t>
        </is>
      </c>
      <c r="C40" s="6" t="inlineStr">
        <is>
          <t>Placement journey rules per line of business</t>
        </is>
      </c>
      <c r="D40" s="7" t="inlineStr">
        <is>
          <t>Broker</t>
        </is>
      </c>
      <c r="E40" s="7" t="inlineStr">
        <is>
          <t>Ops</t>
        </is>
      </c>
      <c r="F40" s="7" t="n">
        <v>2</v>
      </c>
      <c r="G40" s="12" t="n">
        <v>2</v>
      </c>
      <c r="H40" s="7">
        <f>F40*G40</f>
        <v/>
      </c>
      <c r="I40" s="7">
        <f>2*F40</f>
        <v/>
      </c>
      <c r="J40" s="6" t="inlineStr">
        <is>
          <t>placement.journey (Master &gt; Configuration); modules/placement/journey.js; placement.test.js</t>
        </is>
      </c>
      <c r="K40" s="6" t="inlineStr"/>
      <c r="L40" s="7" t="inlineStr"/>
    </row>
    <row r="41">
      <c r="A41" s="7" t="inlineStr">
        <is>
          <t>4.07</t>
        </is>
      </c>
      <c r="B41" s="6" t="inlineStr">
        <is>
          <t>RFQ, placement, co-insurance and reinsurance</t>
        </is>
      </c>
      <c r="C41" s="6" t="inlineStr">
        <is>
          <t>Cover note or binder while the policy is pending</t>
        </is>
      </c>
      <c r="D41" s="7" t="inlineStr">
        <is>
          <t>Both</t>
        </is>
      </c>
      <c r="E41" s="7" t="inlineStr">
        <is>
          <t>Ops</t>
        </is>
      </c>
      <c r="F41" s="7" t="n">
        <v>2</v>
      </c>
      <c r="G41" s="13" t="n">
        <v>0</v>
      </c>
      <c r="H41" s="7">
        <f>F41*G41</f>
        <v/>
      </c>
      <c r="I41" s="7">
        <f>2*F41</f>
        <v/>
      </c>
      <c r="J41" s="6" t="inlineStr">
        <is>
          <t>None found (grep cover note / binder returns nothing)</t>
        </is>
      </c>
      <c r="K41" s="6" t="inlineStr">
        <is>
          <t>No cover note document or temporary cover record.</t>
        </is>
      </c>
      <c r="L41" s="7" t="inlineStr"/>
    </row>
    <row r="42">
      <c r="A42" s="7" t="inlineStr">
        <is>
          <t>4.08</t>
        </is>
      </c>
      <c r="B42" s="6" t="inlineStr">
        <is>
          <t>RFQ, placement, co-insurance and reinsurance</t>
        </is>
      </c>
      <c r="C42" s="6" t="inlineStr">
        <is>
          <t>Placement only with insurers authorised by the IC</t>
        </is>
      </c>
      <c r="D42" s="7" t="inlineStr">
        <is>
          <t>Both</t>
        </is>
      </c>
      <c r="E42" s="7" t="inlineStr">
        <is>
          <t>IC</t>
        </is>
      </c>
      <c r="F42" s="7" t="n">
        <v>2</v>
      </c>
      <c r="G42" s="11" t="n">
        <v>1</v>
      </c>
      <c r="H42" s="7">
        <f>F42*G42</f>
        <v/>
      </c>
      <c r="I42" s="7">
        <f>2*F42</f>
        <v/>
      </c>
      <c r="J42" s="6" t="inlineStr">
        <is>
          <t>Master &gt; Generals &gt; Insurance Management &gt; Insurance Company</t>
        </is>
      </c>
      <c r="K42" s="6" t="inlineStr">
        <is>
          <t>No certificate of authority number or expiry check; IC non-life insurer list is in development.</t>
        </is>
      </c>
      <c r="L42" s="7" t="inlineStr">
        <is>
          <t>Yes</t>
        </is>
      </c>
    </row>
    <row r="43">
      <c r="A43" s="7" t="inlineStr">
        <is>
          <t>4.09</t>
        </is>
      </c>
      <c r="B43" s="6" t="inlineStr">
        <is>
          <t>RFQ, placement, co-insurance and reinsurance</t>
        </is>
      </c>
      <c r="C43" s="6" t="inlineStr">
        <is>
          <t>Market response analytics (hit ratio per insurer)</t>
        </is>
      </c>
      <c r="D43" s="7" t="inlineStr">
        <is>
          <t>Broker</t>
        </is>
      </c>
      <c r="E43" s="7" t="inlineStr">
        <is>
          <t>Ops</t>
        </is>
      </c>
      <c r="F43" s="7" t="n">
        <v>1</v>
      </c>
      <c r="G43" s="12" t="n">
        <v>2</v>
      </c>
      <c r="H43" s="7">
        <f>F43*G43</f>
        <v/>
      </c>
      <c r="I43" s="7">
        <f>2*F43</f>
        <v/>
      </c>
      <c r="J43" s="6" t="inlineStr">
        <is>
          <t>Market Response and Placement Pipeline reports; reports.test.js</t>
        </is>
      </c>
      <c r="K43" s="6" t="inlineStr"/>
      <c r="L43" s="7" t="inlineStr"/>
    </row>
    <row r="44">
      <c r="A44" s="7" t="inlineStr">
        <is>
          <t>4.10</t>
        </is>
      </c>
      <c r="B44" s="6" t="inlineStr">
        <is>
          <t>RFQ, placement, co-insurance and reinsurance</t>
        </is>
      </c>
      <c r="C44" s="6" t="inlineStr">
        <is>
          <t>Facultative reinsurance placement (where the broker acts as reinsurance broker)</t>
        </is>
      </c>
      <c r="D44" s="7" t="inlineStr">
        <is>
          <t>Broker</t>
        </is>
      </c>
      <c r="E44" s="7" t="inlineStr">
        <is>
          <t>Ops</t>
        </is>
      </c>
      <c r="F44" s="7" t="n">
        <v>1</v>
      </c>
      <c r="G44" s="11" t="n">
        <v>1</v>
      </c>
      <c r="H44" s="7">
        <f>F44*G44</f>
        <v/>
      </c>
      <c r="I44" s="7">
        <f>2*F44</f>
        <v/>
      </c>
      <c r="J44" s="6" t="inlineStr">
        <is>
          <t>Reinsurance &gt; Treaty Dashboard, Cession Tracking; reinsurance.test.js</t>
        </is>
      </c>
      <c r="K44" s="6" t="inlineStr">
        <is>
          <t>The module records treaties and cessions from the cedant side; there is no facultative reinsurance slip workflow.</t>
        </is>
      </c>
      <c r="L44" s="7" t="inlineStr"/>
    </row>
    <row r="45">
      <c r="A45" s="7" t="inlineStr">
        <is>
          <t>4.11</t>
        </is>
      </c>
      <c r="B45" s="6" t="inlineStr">
        <is>
          <t>RFQ, placement, co-insurance and reinsurance</t>
        </is>
      </c>
      <c r="C45" s="6" t="inlineStr">
        <is>
          <t>Reinsurance recoveries and reinsurer statement reconciliation</t>
        </is>
      </c>
      <c r="D45" s="7" t="inlineStr">
        <is>
          <t>Broker</t>
        </is>
      </c>
      <c r="E45" s="7" t="inlineStr">
        <is>
          <t>Ops</t>
        </is>
      </c>
      <c r="F45" s="7" t="n">
        <v>1</v>
      </c>
      <c r="G45" s="12" t="n">
        <v>2</v>
      </c>
      <c r="H45" s="7">
        <f>F45*G45</f>
        <v/>
      </c>
      <c r="I45" s="7">
        <f>2*F45</f>
        <v/>
      </c>
      <c r="J45" s="6" t="inlineStr">
        <is>
          <t>Reinsurance &gt; Claims Recovery, Reconciliation; reinsurance.test.js</t>
        </is>
      </c>
      <c r="K45" s="6" t="inlineStr"/>
      <c r="L45" s="7" t="inlineStr"/>
    </row>
    <row r="46">
      <c r="A46" s="9" t="inlineStr">
        <is>
          <t>5</t>
        </is>
      </c>
      <c r="B46" s="9" t="inlineStr">
        <is>
          <t>Policy issuance, documents and motor (CTPL, LTO)</t>
        </is>
      </c>
      <c r="C46" s="9" t="inlineStr">
        <is>
          <t>L1 subtotal: fit 84.5%</t>
        </is>
      </c>
      <c r="D46" s="9" t="inlineStr"/>
      <c r="E46" s="9" t="inlineStr"/>
      <c r="F46" s="10" t="n">
        <v>29</v>
      </c>
      <c r="G46" s="9" t="inlineStr"/>
      <c r="H46" s="10" t="n">
        <v>49</v>
      </c>
      <c r="I46" s="10" t="n">
        <v>58</v>
      </c>
      <c r="J46" s="9" t="inlineStr"/>
      <c r="K46" s="9" t="inlineStr"/>
      <c r="L46" s="9" t="inlineStr"/>
    </row>
    <row r="47">
      <c r="A47" s="7" t="inlineStr">
        <is>
          <t>5.01</t>
        </is>
      </c>
      <c r="B47" s="6" t="inlineStr">
        <is>
          <t>Policy issuance, documents and motor (CTPL, LTO)</t>
        </is>
      </c>
      <c r="C47" s="6" t="inlineStr">
        <is>
          <t>Issue policy from bound placement or accepted quotation, create client, bill premium</t>
        </is>
      </c>
      <c r="D47" s="7" t="inlineStr">
        <is>
          <t>Both</t>
        </is>
      </c>
      <c r="E47" s="7" t="inlineStr">
        <is>
          <t>Ops</t>
        </is>
      </c>
      <c r="F47" s="7" t="n">
        <v>3</v>
      </c>
      <c r="G47" s="12" t="n">
        <v>2</v>
      </c>
      <c r="H47" s="7">
        <f>F47*G47</f>
        <v/>
      </c>
      <c r="I47" s="7">
        <f>2*F47</f>
        <v/>
      </c>
      <c r="J47" s="6" t="inlineStr">
        <is>
          <t>Operations &gt; Policy; quote-to-policy.test.js; policies.test.js; UAT scenario 371 steps passed</t>
        </is>
      </c>
      <c r="K47" s="6" t="inlineStr"/>
      <c r="L47" s="7" t="inlineStr"/>
    </row>
    <row r="48">
      <c r="A48" s="7" t="inlineStr">
        <is>
          <t>5.02</t>
        </is>
      </c>
      <c r="B48" s="6" t="inlineStr">
        <is>
          <t>Policy issuance, documents and motor (CTPL, LTO)</t>
        </is>
      </c>
      <c r="C48" s="6" t="inlineStr">
        <is>
          <t>Record a policy already issued by the insurer</t>
        </is>
      </c>
      <c r="D48" s="7" t="inlineStr">
        <is>
          <t>Both</t>
        </is>
      </c>
      <c r="E48" s="7" t="inlineStr">
        <is>
          <t>Ops</t>
        </is>
      </c>
      <c r="F48" s="7" t="n">
        <v>3</v>
      </c>
      <c r="G48" s="12" t="n">
        <v>2</v>
      </c>
      <c r="H48" s="7">
        <f>F48*G48</f>
        <v/>
      </c>
      <c r="I48" s="7">
        <f>2*F48</f>
        <v/>
      </c>
      <c r="J48" s="6" t="inlineStr">
        <is>
          <t>Placement Slips &gt; Record Issued Policy; placement.test.js</t>
        </is>
      </c>
      <c r="K48" s="6" t="inlineStr"/>
      <c r="L48" s="7" t="inlineStr"/>
    </row>
    <row r="49">
      <c r="A49" s="7" t="inlineStr">
        <is>
          <t>5.03</t>
        </is>
      </c>
      <c r="B49" s="6" t="inlineStr">
        <is>
          <t>Policy issuance, documents and motor (CTPL, LTO)</t>
        </is>
      </c>
      <c r="C49" s="6" t="inlineStr">
        <is>
          <t>Policy schedule and documents generated and e-mailed to the client</t>
        </is>
      </c>
      <c r="D49" s="7" t="inlineStr">
        <is>
          <t>Both</t>
        </is>
      </c>
      <c r="E49" s="7" t="inlineStr">
        <is>
          <t>Ops</t>
        </is>
      </c>
      <c r="F49" s="7" t="n">
        <v>3</v>
      </c>
      <c r="G49" s="12" t="n">
        <v>2</v>
      </c>
      <c r="H49" s="7">
        <f>F49*G49</f>
        <v/>
      </c>
      <c r="I49" s="7">
        <f>2*F49</f>
        <v/>
      </c>
      <c r="J49" s="6" t="inlineStr">
        <is>
          <t>Policy issued e-mail with schedule PDF; printing.test.js; email-documents.test.js</t>
        </is>
      </c>
      <c r="K49" s="6" t="inlineStr"/>
      <c r="L49" s="7" t="inlineStr"/>
    </row>
    <row r="50">
      <c r="A50" s="7" t="inlineStr">
        <is>
          <t>5.04</t>
        </is>
      </c>
      <c r="B50" s="6" t="inlineStr">
        <is>
          <t>Policy issuance, documents and motor (CTPL, LTO)</t>
        </is>
      </c>
      <c r="C50" s="6" t="inlineStr">
        <is>
          <t>Upload of the insurer policy document and attachments</t>
        </is>
      </c>
      <c r="D50" s="7" t="inlineStr">
        <is>
          <t>Both</t>
        </is>
      </c>
      <c r="E50" s="7" t="inlineStr">
        <is>
          <t>Ops</t>
        </is>
      </c>
      <c r="F50" s="7" t="n">
        <v>2</v>
      </c>
      <c r="G50" s="12" t="n">
        <v>2</v>
      </c>
      <c r="H50" s="7">
        <f>F50*G50</f>
        <v/>
      </c>
      <c r="I50" s="7">
        <f>2*F50</f>
        <v/>
      </c>
      <c r="J50" s="6" t="inlineStr">
        <is>
          <t>Policy details &gt; documents (PDF or image, 10 MB); policies.test.js</t>
        </is>
      </c>
      <c r="K50" s="6" t="inlineStr"/>
      <c r="L50" s="7" t="inlineStr"/>
    </row>
    <row r="51">
      <c r="A51" s="7" t="inlineStr">
        <is>
          <t>5.05</t>
        </is>
      </c>
      <c r="B51" s="6" t="inlineStr">
        <is>
          <t>Policy issuance, documents and motor (CTPL, LTO)</t>
        </is>
      </c>
      <c r="C51" s="6" t="inlineStr">
        <is>
          <t>Motor details: chassis, motor, plate or MV file number, mortgagee, photos</t>
        </is>
      </c>
      <c r="D51" s="7" t="inlineStr">
        <is>
          <t>Both</t>
        </is>
      </c>
      <c r="E51" s="7" t="inlineStr">
        <is>
          <t>Ops</t>
        </is>
      </c>
      <c r="F51" s="7" t="n">
        <v>3</v>
      </c>
      <c r="G51" s="12" t="n">
        <v>2</v>
      </c>
      <c r="H51" s="7">
        <f>F51*G51</f>
        <v/>
      </c>
      <c r="I51" s="7">
        <f>2*F51</f>
        <v/>
      </c>
      <c r="J51" s="6" t="inlineStr">
        <is>
          <t>Motor policy issue (policy.kyc_required_fields); policies.test.js</t>
        </is>
      </c>
      <c r="K51" s="6" t="inlineStr"/>
      <c r="L51" s="7" t="inlineStr"/>
    </row>
    <row r="52">
      <c r="A52" s="7" t="inlineStr">
        <is>
          <t>5.06</t>
        </is>
      </c>
      <c r="B52" s="6" t="inlineStr">
        <is>
          <t>Policy issuance, documents and motor (CTPL, LTO)</t>
        </is>
      </c>
      <c r="C52" s="6" t="inlineStr">
        <is>
          <t>CTPL tariff per vehicle class, 1-year and 3-year, never discounted</t>
        </is>
      </c>
      <c r="D52" s="7" t="inlineStr">
        <is>
          <t>Both</t>
        </is>
      </c>
      <c r="E52" s="7" t="inlineStr">
        <is>
          <t>IC</t>
        </is>
      </c>
      <c r="F52" s="7" t="n">
        <v>3</v>
      </c>
      <c r="G52" s="12" t="n">
        <v>2</v>
      </c>
      <c r="H52" s="7">
        <f>F52*G52</f>
        <v/>
      </c>
      <c r="I52" s="7">
        <f>2*F52</f>
        <v/>
      </c>
      <c r="J52" s="6" t="inlineStr">
        <is>
          <t>Product Configurator MOT-003-2025 CTPL &amp; Auto PA tab; motor-tariff.test.js</t>
        </is>
      </c>
      <c r="K52" s="6" t="inlineStr"/>
      <c r="L52" s="7" t="inlineStr"/>
    </row>
    <row r="53">
      <c r="A53" s="7" t="inlineStr">
        <is>
          <t>5.07</t>
        </is>
      </c>
      <c r="B53" s="6" t="inlineStr">
        <is>
          <t>Policy issuance, documents and motor (CTPL, LTO)</t>
        </is>
      </c>
      <c r="C53" s="6" t="inlineStr">
        <is>
          <t>CTPL certificate of cover authentication with the IC-accredited system and LTO</t>
        </is>
      </c>
      <c r="D53" s="7" t="inlineStr">
        <is>
          <t>Both</t>
        </is>
      </c>
      <c r="E53" s="7" t="inlineStr">
        <is>
          <t>IC</t>
        </is>
      </c>
      <c r="F53" s="7" t="n">
        <v>3</v>
      </c>
      <c r="G53" s="11" t="n">
        <v>1</v>
      </c>
      <c r="H53" s="7">
        <f>F53*G53</f>
        <v/>
      </c>
      <c r="I53" s="7">
        <f>2*F53</f>
        <v/>
      </c>
      <c r="J53" s="6" t="inlineStr">
        <is>
          <t>Policy fields Cert Number and Authen Code (recorded by hand)</t>
        </is>
      </c>
      <c r="K53" s="6" t="inlineStr">
        <is>
          <t>No integration with the authentication provider or LTO; done in the insurer or government portal.</t>
        </is>
      </c>
      <c r="L53" s="7" t="inlineStr"/>
    </row>
    <row r="54">
      <c r="A54" s="7" t="inlineStr">
        <is>
          <t>5.08</t>
        </is>
      </c>
      <c r="B54" s="6" t="inlineStr">
        <is>
          <t>Policy issuance, documents and motor (CTPL, LTO)</t>
        </is>
      </c>
      <c r="C54" s="6" t="inlineStr">
        <is>
          <t>Brand-new vehicle programme: dealer sale, financing bank mortgagee clause, free first-year cover</t>
        </is>
      </c>
      <c r="D54" s="7" t="inlineStr">
        <is>
          <t>Agent</t>
        </is>
      </c>
      <c r="E54" s="7" t="inlineStr">
        <is>
          <t>Ops</t>
        </is>
      </c>
      <c r="F54" s="7" t="n">
        <v>2</v>
      </c>
      <c r="G54" s="11" t="n">
        <v>1</v>
      </c>
      <c r="H54" s="7">
        <f>F54*G54</f>
        <v/>
      </c>
      <c r="I54" s="7">
        <f>2*F54</f>
        <v/>
      </c>
      <c r="J54" s="6" t="inlineStr">
        <is>
          <t>Mortgagee field on motor policy; 3-year CTPL for brand-new vehicles</t>
        </is>
      </c>
      <c r="K54" s="6" t="inlineStr">
        <is>
          <t>No dealer or financing-bank programme set-up, bulk dealer upload or bank endorsement letters.</t>
        </is>
      </c>
      <c r="L54" s="7" t="inlineStr"/>
    </row>
    <row r="55">
      <c r="A55" s="7" t="inlineStr">
        <is>
          <t>5.09</t>
        </is>
      </c>
      <c r="B55" s="6" t="inlineStr">
        <is>
          <t>Policy issuance, documents and motor (CTPL, LTO)</t>
        </is>
      </c>
      <c r="C55" s="6" t="inlineStr">
        <is>
          <t>Bulk issuance: fleet schedules and group policies</t>
        </is>
      </c>
      <c r="D55" s="7" t="inlineStr">
        <is>
          <t>Both</t>
        </is>
      </c>
      <c r="E55" s="7" t="inlineStr">
        <is>
          <t>Ops</t>
        </is>
      </c>
      <c r="F55" s="7" t="n">
        <v>2</v>
      </c>
      <c r="G55" s="11" t="n">
        <v>1</v>
      </c>
      <c r="H55" s="7">
        <f>F55*G55</f>
        <v/>
      </c>
      <c r="I55" s="7">
        <f>2*F55</f>
        <v/>
      </c>
      <c r="J55" s="6" t="inlineStr">
        <is>
          <t>Policy bulk upload for new business and in-force book; upload-templates.test.js</t>
        </is>
      </c>
      <c r="K55" s="6" t="inlineStr">
        <is>
          <t>No fleet schedule with per-vehicle premium inside one policy.</t>
        </is>
      </c>
      <c r="L55" s="7" t="inlineStr"/>
    </row>
    <row r="56">
      <c r="A56" s="7" t="inlineStr">
        <is>
          <t>5.10</t>
        </is>
      </c>
      <c r="B56" s="6" t="inlineStr">
        <is>
          <t>Policy issuance, documents and motor (CTPL, LTO)</t>
        </is>
      </c>
      <c r="C56" s="6" t="inlineStr">
        <is>
          <t>Policy life cycle statuses and payment statuses</t>
        </is>
      </c>
      <c r="D56" s="7" t="inlineStr">
        <is>
          <t>Both</t>
        </is>
      </c>
      <c r="E56" s="7" t="inlineStr">
        <is>
          <t>Ops</t>
        </is>
      </c>
      <c r="F56" s="7" t="n">
        <v>2</v>
      </c>
      <c r="G56" s="12" t="n">
        <v>2</v>
      </c>
      <c r="H56" s="7">
        <f>F56*G56</f>
        <v/>
      </c>
      <c r="I56" s="7">
        <f>2*F56</f>
        <v/>
      </c>
      <c r="J56" s="6" t="inlineStr">
        <is>
          <t>Policy statuses Active, Expired, Renewed, Lapsed, Cancelled; policies.test.js</t>
        </is>
      </c>
      <c r="K56" s="6" t="inlineStr"/>
      <c r="L56" s="7" t="inlineStr"/>
    </row>
    <row r="57">
      <c r="A57" s="7" t="inlineStr">
        <is>
          <t>5.11</t>
        </is>
      </c>
      <c r="B57" s="6" t="inlineStr">
        <is>
          <t>Policy issuance, documents and motor (CTPL, LTO)</t>
        </is>
      </c>
      <c r="C57" s="6" t="inlineStr">
        <is>
          <t>Lines placed: motor, fire, IAR, CAR, EAR, marine, CGL, money, PA, travel, EB, surety</t>
        </is>
      </c>
      <c r="D57" s="7" t="inlineStr">
        <is>
          <t>Both</t>
        </is>
      </c>
      <c r="E57" s="7" t="inlineStr">
        <is>
          <t>Ops</t>
        </is>
      </c>
      <c r="F57" s="7" t="n">
        <v>2</v>
      </c>
      <c r="G57" s="12" t="n">
        <v>2</v>
      </c>
      <c r="H57" s="7">
        <f>F57*G57</f>
        <v/>
      </c>
      <c r="I57" s="7">
        <f>2*F57</f>
        <v/>
      </c>
      <c r="J57" s="6" t="inlineStr">
        <is>
          <t>UAT data set issued 62 new policies across these lines (test-summary.md, UAT data set)</t>
        </is>
      </c>
      <c r="K57" s="6" t="inlineStr"/>
      <c r="L57" s="7" t="inlineStr"/>
    </row>
    <row r="58">
      <c r="A58" s="7" t="inlineStr">
        <is>
          <t>5.12</t>
        </is>
      </c>
      <c r="B58" s="6" t="inlineStr">
        <is>
          <t>Policy issuance, documents and motor (CTPL, LTO)</t>
        </is>
      </c>
      <c r="C58" s="6" t="inlineStr">
        <is>
          <t>Marine open cover with certificates and declarations</t>
        </is>
      </c>
      <c r="D58" s="7" t="inlineStr">
        <is>
          <t>Broker</t>
        </is>
      </c>
      <c r="E58" s="7" t="inlineStr">
        <is>
          <t>Ops</t>
        </is>
      </c>
      <c r="F58" s="7" t="n">
        <v>1</v>
      </c>
      <c r="G58" s="13" t="n">
        <v>0</v>
      </c>
      <c r="H58" s="7">
        <f>F58*G58</f>
        <v/>
      </c>
      <c r="I58" s="7">
        <f>2*F58</f>
        <v/>
      </c>
      <c r="J58" s="6" t="inlineStr">
        <is>
          <t>None found</t>
        </is>
      </c>
      <c r="K58" s="6" t="inlineStr">
        <is>
          <t>No open cover or declaration processing.</t>
        </is>
      </c>
      <c r="L58" s="7" t="inlineStr"/>
    </row>
    <row r="59">
      <c r="A59" s="9" t="inlineStr">
        <is>
          <t>6</t>
        </is>
      </c>
      <c r="B59" s="9" t="inlineStr">
        <is>
          <t>Endorsements and cancellations</t>
        </is>
      </c>
      <c r="C59" s="9" t="inlineStr">
        <is>
          <t>L1 subtotal: fit 81.6%</t>
        </is>
      </c>
      <c r="D59" s="9" t="inlineStr"/>
      <c r="E59" s="9" t="inlineStr"/>
      <c r="F59" s="10" t="n">
        <v>19</v>
      </c>
      <c r="G59" s="9" t="inlineStr"/>
      <c r="H59" s="10" t="n">
        <v>31</v>
      </c>
      <c r="I59" s="10" t="n">
        <v>38</v>
      </c>
      <c r="J59" s="9" t="inlineStr"/>
      <c r="K59" s="9" t="inlineStr"/>
      <c r="L59" s="9" t="inlineStr"/>
    </row>
    <row r="60">
      <c r="A60" s="7" t="inlineStr">
        <is>
          <t>6.01</t>
        </is>
      </c>
      <c r="B60" s="6" t="inlineStr">
        <is>
          <t>Endorsements and cancellations</t>
        </is>
      </c>
      <c r="C60" s="6" t="inlineStr">
        <is>
          <t>Motor endorsements: personal details, motor details, coverage change, extension</t>
        </is>
      </c>
      <c r="D60" s="7" t="inlineStr">
        <is>
          <t>Both</t>
        </is>
      </c>
      <c r="E60" s="7" t="inlineStr">
        <is>
          <t>Ops</t>
        </is>
      </c>
      <c r="F60" s="7" t="n">
        <v>3</v>
      </c>
      <c r="G60" s="12" t="n">
        <v>2</v>
      </c>
      <c r="H60" s="7">
        <f>F60*G60</f>
        <v/>
      </c>
      <c r="I60" s="7">
        <f>2*F60</f>
        <v/>
      </c>
      <c r="J60" s="6" t="inlineStr">
        <is>
          <t>Operations &gt; Policy &gt; Endorsement; endorsements.test.js</t>
        </is>
      </c>
      <c r="K60" s="6" t="inlineStr"/>
      <c r="L60" s="7" t="inlineStr"/>
    </row>
    <row r="61">
      <c r="A61" s="7" t="inlineStr">
        <is>
          <t>6.02</t>
        </is>
      </c>
      <c r="B61" s="6" t="inlineStr">
        <is>
          <t>Endorsements and cancellations</t>
        </is>
      </c>
      <c r="C61" s="6" t="inlineStr">
        <is>
          <t>Non-motor endorsements: premium change</t>
        </is>
      </c>
      <c r="D61" s="7" t="inlineStr">
        <is>
          <t>Both</t>
        </is>
      </c>
      <c r="E61" s="7" t="inlineStr">
        <is>
          <t>Ops</t>
        </is>
      </c>
      <c r="F61" s="7" t="n">
        <v>2</v>
      </c>
      <c r="G61" s="12" t="n">
        <v>2</v>
      </c>
      <c r="H61" s="7">
        <f>F61*G61</f>
        <v/>
      </c>
      <c r="I61" s="7">
        <f>2*F61</f>
        <v/>
      </c>
      <c r="J61" s="6" t="inlineStr">
        <is>
          <t>Fire and allied perils Regular / Premium Change; endorsements.test.js</t>
        </is>
      </c>
      <c r="K61" s="6" t="inlineStr"/>
      <c r="L61" s="7" t="inlineStr"/>
    </row>
    <row r="62">
      <c r="A62" s="7" t="inlineStr">
        <is>
          <t>6.03</t>
        </is>
      </c>
      <c r="B62" s="6" t="inlineStr">
        <is>
          <t>Endorsements and cancellations</t>
        </is>
      </c>
      <c r="C62" s="6" t="inlineStr">
        <is>
          <t>Re-pricing of coverage change with taxes on the server</t>
        </is>
      </c>
      <c r="D62" s="7" t="inlineStr">
        <is>
          <t>Both</t>
        </is>
      </c>
      <c r="E62" s="7" t="inlineStr">
        <is>
          <t>Ops</t>
        </is>
      </c>
      <c r="F62" s="7" t="n">
        <v>2</v>
      </c>
      <c r="G62" s="12" t="n">
        <v>2</v>
      </c>
      <c r="H62" s="7">
        <f>F62*G62</f>
        <v/>
      </c>
      <c r="I62" s="7">
        <f>2*F62</f>
        <v/>
      </c>
      <c r="J62" s="6" t="inlineStr">
        <is>
          <t>endorsements.test.js (premium delta priced on the server; refuses a mismatched delta)</t>
        </is>
      </c>
      <c r="K62" s="6" t="inlineStr"/>
      <c r="L62" s="7" t="inlineStr"/>
    </row>
    <row r="63">
      <c r="A63" s="7" t="inlineStr">
        <is>
          <t>6.04</t>
        </is>
      </c>
      <c r="B63" s="6" t="inlineStr">
        <is>
          <t>Endorsements and cancellations</t>
        </is>
      </c>
      <c r="C63" s="6" t="inlineStr">
        <is>
          <t>Cancellation full, partial or pro-rata with return premium computed</t>
        </is>
      </c>
      <c r="D63" s="7" t="inlineStr">
        <is>
          <t>Both</t>
        </is>
      </c>
      <c r="E63" s="7" t="inlineStr">
        <is>
          <t>Ops</t>
        </is>
      </c>
      <c r="F63" s="7" t="n">
        <v>3</v>
      </c>
      <c r="G63" s="11" t="n">
        <v>1</v>
      </c>
      <c r="H63" s="7">
        <f>F63*G63</f>
        <v/>
      </c>
      <c r="I63" s="7">
        <f>2*F63</f>
        <v/>
      </c>
      <c r="J63" s="6" t="inlineStr">
        <is>
          <t>Cancellation endorsement (cancellationType); endorsements.test.js; package sections pro rata (packages.endorsement_prorata)</t>
        </is>
      </c>
      <c r="K63" s="6" t="inlineStr">
        <is>
          <t>For regular policies the return premium of a cancellation is entered by the user, not computed from days left.</t>
        </is>
      </c>
      <c r="L63" s="7" t="inlineStr"/>
    </row>
    <row r="64">
      <c r="A64" s="7" t="inlineStr">
        <is>
          <t>6.05</t>
        </is>
      </c>
      <c r="B64" s="6" t="inlineStr">
        <is>
          <t>Endorsements and cancellations</t>
        </is>
      </c>
      <c r="C64" s="6" t="inlineStr">
        <is>
          <t>Short-period rate scale when the insured cancels</t>
        </is>
      </c>
      <c r="D64" s="7" t="inlineStr">
        <is>
          <t>Both</t>
        </is>
      </c>
      <c r="E64" s="7" t="inlineStr">
        <is>
          <t>Ops</t>
        </is>
      </c>
      <c r="F64" s="7" t="n">
        <v>2</v>
      </c>
      <c r="G64" s="13" t="n">
        <v>0</v>
      </c>
      <c r="H64" s="7">
        <f>F64*G64</f>
        <v/>
      </c>
      <c r="I64" s="7">
        <f>2*F64</f>
        <v/>
      </c>
      <c r="J64" s="6" t="inlineStr">
        <is>
          <t>None found (grep short period returns nothing)</t>
        </is>
      </c>
      <c r="K64" s="6" t="inlineStr">
        <is>
          <t>No short-period table or computation.</t>
        </is>
      </c>
      <c r="L64" s="7" t="inlineStr"/>
    </row>
    <row r="65">
      <c r="A65" s="7" t="inlineStr">
        <is>
          <t>6.06</t>
        </is>
      </c>
      <c r="B65" s="6" t="inlineStr">
        <is>
          <t>Endorsements and cancellations</t>
        </is>
      </c>
      <c r="C65" s="6" t="inlineStr">
        <is>
          <t>Return premium: refund to client, netting on insurer remittance, commission clawback</t>
        </is>
      </c>
      <c r="D65" s="7" t="inlineStr">
        <is>
          <t>Both</t>
        </is>
      </c>
      <c r="E65" s="7" t="inlineStr">
        <is>
          <t>Ops</t>
        </is>
      </c>
      <c r="F65" s="7" t="n">
        <v>3</v>
      </c>
      <c r="G65" s="12" t="n">
        <v>2</v>
      </c>
      <c r="H65" s="7">
        <f>F65*G65</f>
        <v/>
      </c>
      <c r="I65" s="7">
        <f>2*F65</f>
        <v/>
      </c>
      <c r="J65" s="6" t="inlineStr">
        <is>
          <t>endorsements.test.js; remittance.test.js; commission.test.js (clawback)</t>
        </is>
      </c>
      <c r="K65" s="6" t="inlineStr"/>
      <c r="L65" s="7" t="inlineStr"/>
    </row>
    <row r="66">
      <c r="A66" s="7" t="inlineStr">
        <is>
          <t>6.07</t>
        </is>
      </c>
      <c r="B66" s="6" t="inlineStr">
        <is>
          <t>Endorsements and cancellations</t>
        </is>
      </c>
      <c r="C66" s="6" t="inlineStr">
        <is>
          <t>Completion with insurer endorsement document and client notice</t>
        </is>
      </c>
      <c r="D66" s="7" t="inlineStr">
        <is>
          <t>Both</t>
        </is>
      </c>
      <c r="E66" s="7" t="inlineStr">
        <is>
          <t>Ops</t>
        </is>
      </c>
      <c r="F66" s="7" t="n">
        <v>2</v>
      </c>
      <c r="G66" s="12" t="n">
        <v>2</v>
      </c>
      <c r="H66" s="7">
        <f>F66*G66</f>
        <v/>
      </c>
      <c r="I66" s="7">
        <f>2*F66</f>
        <v/>
      </c>
      <c r="J66" s="6" t="inlineStr">
        <is>
          <t>Endorsement completion upload; e-mail on completion; endorsements.test.js</t>
        </is>
      </c>
      <c r="K66" s="6" t="inlineStr"/>
      <c r="L66" s="7" t="inlineStr"/>
    </row>
    <row r="67">
      <c r="A67" s="7" t="inlineStr">
        <is>
          <t>6.08</t>
        </is>
      </c>
      <c r="B67" s="6" t="inlineStr">
        <is>
          <t>Endorsements and cancellations</t>
        </is>
      </c>
      <c r="C67" s="6" t="inlineStr">
        <is>
          <t>Cancellation for non-payment from the premium warranty monitor</t>
        </is>
      </c>
      <c r="D67" s="7" t="inlineStr">
        <is>
          <t>Both</t>
        </is>
      </c>
      <c r="E67" s="7" t="inlineStr">
        <is>
          <t>IC</t>
        </is>
      </c>
      <c r="F67" s="7" t="n">
        <v>2</v>
      </c>
      <c r="G67" s="12" t="n">
        <v>2</v>
      </c>
      <c r="H67" s="7">
        <f>F67*G67</f>
        <v/>
      </c>
      <c r="I67" s="7">
        <f>2*F67</f>
        <v/>
      </c>
      <c r="J67" s="6" t="inlineStr">
        <is>
          <t>Accounts &gt; Credit Control &gt; Premium Warranty Monitor (draft cancellation endorsement); credit-control.test.js</t>
        </is>
      </c>
      <c r="K67" s="6" t="inlineStr"/>
      <c r="L67" s="7" t="inlineStr"/>
    </row>
    <row r="68">
      <c r="A68" s="9" t="inlineStr">
        <is>
          <t>7</t>
        </is>
      </c>
      <c r="B68" s="9" t="inlineStr">
        <is>
          <t>Renewals and retention</t>
        </is>
      </c>
      <c r="C68" s="9" t="inlineStr">
        <is>
          <t>L1 subtotal: fit 92.3%</t>
        </is>
      </c>
      <c r="D68" s="9" t="inlineStr"/>
      <c r="E68" s="9" t="inlineStr"/>
      <c r="F68" s="10" t="n">
        <v>13</v>
      </c>
      <c r="G68" s="9" t="inlineStr"/>
      <c r="H68" s="10" t="n">
        <v>24</v>
      </c>
      <c r="I68" s="10" t="n">
        <v>26</v>
      </c>
      <c r="J68" s="9" t="inlineStr"/>
      <c r="K68" s="9" t="inlineStr"/>
      <c r="L68" s="9" t="inlineStr"/>
    </row>
    <row r="69">
      <c r="A69" s="7" t="inlineStr">
        <is>
          <t>7.01</t>
        </is>
      </c>
      <c r="B69" s="6" t="inlineStr">
        <is>
          <t>Renewals and retention</t>
        </is>
      </c>
      <c r="C69" s="6" t="inlineStr">
        <is>
          <t>Renewal pipeline 90 days before expiry, notices at 60, 30 and 15 days</t>
        </is>
      </c>
      <c r="D69" s="7" t="inlineStr">
        <is>
          <t>Both</t>
        </is>
      </c>
      <c r="E69" s="7" t="inlineStr">
        <is>
          <t>Ops</t>
        </is>
      </c>
      <c r="F69" s="7" t="n">
        <v>3</v>
      </c>
      <c r="G69" s="12" t="n">
        <v>2</v>
      </c>
      <c r="H69" s="7">
        <f>F69*G69</f>
        <v/>
      </c>
      <c r="I69" s="7">
        <f>2*F69</f>
        <v/>
      </c>
      <c r="J69" s="6" t="inlineStr">
        <is>
          <t>Renewals &gt; Renewal Queue; renewals.pipeline_days; renewals.test.js</t>
        </is>
      </c>
      <c r="K69" s="6" t="inlineStr"/>
      <c r="L69" s="7" t="inlineStr"/>
    </row>
    <row r="70">
      <c r="A70" s="7" t="inlineStr">
        <is>
          <t>7.02</t>
        </is>
      </c>
      <c r="B70" s="6" t="inlineStr">
        <is>
          <t>Renewals and retention</t>
        </is>
      </c>
      <c r="C70" s="6" t="inlineStr">
        <is>
          <t>Renewal re-rating, negotiation with the insurer and renewal quotation</t>
        </is>
      </c>
      <c r="D70" s="7" t="inlineStr">
        <is>
          <t>Both</t>
        </is>
      </c>
      <c r="E70" s="7" t="inlineStr">
        <is>
          <t>Ops</t>
        </is>
      </c>
      <c r="F70" s="7" t="n">
        <v>3</v>
      </c>
      <c r="G70" s="12" t="n">
        <v>2</v>
      </c>
      <c r="H70" s="7">
        <f>F70*G70</f>
        <v/>
      </c>
      <c r="I70" s="7">
        <f>2*F70</f>
        <v/>
      </c>
      <c r="J70" s="6" t="inlineStr">
        <is>
          <t>Renewals &gt; Negotiations; renewals.test.js; money-single-source.test.js</t>
        </is>
      </c>
      <c r="K70" s="6" t="inlineStr"/>
      <c r="L70" s="7" t="inlineStr"/>
    </row>
    <row r="71">
      <c r="A71" s="7" t="inlineStr">
        <is>
          <t>7.03</t>
        </is>
      </c>
      <c r="B71" s="6" t="inlineStr">
        <is>
          <t>Renewals and retention</t>
        </is>
      </c>
      <c r="C71" s="6" t="inlineStr">
        <is>
          <t>Renewal batch (up to 500 policies)</t>
        </is>
      </c>
      <c r="D71" s="7" t="inlineStr">
        <is>
          <t>Both</t>
        </is>
      </c>
      <c r="E71" s="7" t="inlineStr">
        <is>
          <t>Ops</t>
        </is>
      </c>
      <c r="F71" s="7" t="n">
        <v>2</v>
      </c>
      <c r="G71" s="12" t="n">
        <v>2</v>
      </c>
      <c r="H71" s="7">
        <f>F71*G71</f>
        <v/>
      </c>
      <c r="I71" s="7">
        <f>2*F71</f>
        <v/>
      </c>
      <c r="J71" s="6" t="inlineStr">
        <is>
          <t>Renewals &gt; Renewal Batch; renewals.test.js</t>
        </is>
      </c>
      <c r="K71" s="6" t="inlineStr"/>
      <c r="L71" s="7" t="inlineStr"/>
    </row>
    <row r="72">
      <c r="A72" s="7" t="inlineStr">
        <is>
          <t>7.04</t>
        </is>
      </c>
      <c r="B72" s="6" t="inlineStr">
        <is>
          <t>Renewals and retention</t>
        </is>
      </c>
      <c r="C72" s="6" t="inlineStr">
        <is>
          <t>At-risk scoring, retention analytics and performance</t>
        </is>
      </c>
      <c r="D72" s="7" t="inlineStr">
        <is>
          <t>Both</t>
        </is>
      </c>
      <c r="E72" s="7" t="inlineStr">
        <is>
          <t>Ops</t>
        </is>
      </c>
      <c r="F72" s="7" t="n">
        <v>1</v>
      </c>
      <c r="G72" s="12" t="n">
        <v>2</v>
      </c>
      <c r="H72" s="7">
        <f>F72*G72</f>
        <v/>
      </c>
      <c r="I72" s="7">
        <f>2*F72</f>
        <v/>
      </c>
      <c r="J72" s="6" t="inlineStr">
        <is>
          <t>Renewals &gt; At-Risk Policies, Retention Analytics, Performance; renewals.test.js</t>
        </is>
      </c>
      <c r="K72" s="6" t="inlineStr"/>
      <c r="L72" s="7" t="inlineStr"/>
    </row>
    <row r="73">
      <c r="A73" s="7" t="inlineStr">
        <is>
          <t>7.05</t>
        </is>
      </c>
      <c r="B73" s="6" t="inlineStr">
        <is>
          <t>Renewals and retention</t>
        </is>
      </c>
      <c r="C73" s="6" t="inlineStr">
        <is>
          <t>Lapse management and win-back</t>
        </is>
      </c>
      <c r="D73" s="7" t="inlineStr">
        <is>
          <t>Both</t>
        </is>
      </c>
      <c r="E73" s="7" t="inlineStr">
        <is>
          <t>Ops</t>
        </is>
      </c>
      <c r="F73" s="7" t="n">
        <v>1</v>
      </c>
      <c r="G73" s="12" t="n">
        <v>2</v>
      </c>
      <c r="H73" s="7">
        <f>F73*G73</f>
        <v/>
      </c>
      <c r="I73" s="7">
        <f>2*F73</f>
        <v/>
      </c>
      <c r="J73" s="6" t="inlineStr">
        <is>
          <t>Renewals &gt; Lapse Management; renewals.grace_period_days; renewals.test.js</t>
        </is>
      </c>
      <c r="K73" s="6" t="inlineStr"/>
      <c r="L73" s="7" t="inlineStr"/>
    </row>
    <row r="74">
      <c r="A74" s="7" t="inlineStr">
        <is>
          <t>7.06</t>
        </is>
      </c>
      <c r="B74" s="6" t="inlineStr">
        <is>
          <t>Renewals and retention</t>
        </is>
      </c>
      <c r="C74" s="6" t="inlineStr">
        <is>
          <t>Renewal of placed and co-insured risks through the placement journey</t>
        </is>
      </c>
      <c r="D74" s="7" t="inlineStr">
        <is>
          <t>Broker</t>
        </is>
      </c>
      <c r="E74" s="7" t="inlineStr">
        <is>
          <t>Ops</t>
        </is>
      </c>
      <c r="F74" s="7" t="n">
        <v>2</v>
      </c>
      <c r="G74" s="12" t="n">
        <v>2</v>
      </c>
      <c r="H74" s="7">
        <f>F74*G74</f>
        <v/>
      </c>
      <c r="I74" s="7">
        <f>2*F74</f>
        <v/>
      </c>
      <c r="J74" s="6" t="inlineStr">
        <is>
          <t>placement.journey_applies_to_renewals; placement.test.js</t>
        </is>
      </c>
      <c r="K74" s="6" t="inlineStr"/>
      <c r="L74" s="7" t="inlineStr"/>
    </row>
    <row r="75">
      <c r="A75" s="7" t="inlineStr">
        <is>
          <t>7.07</t>
        </is>
      </c>
      <c r="B75" s="6" t="inlineStr">
        <is>
          <t>Renewals and retention</t>
        </is>
      </c>
      <c r="C75" s="6" t="inlineStr">
        <is>
          <t>Renewal notices by SMS or messaging app</t>
        </is>
      </c>
      <c r="D75" s="7" t="inlineStr">
        <is>
          <t>Both</t>
        </is>
      </c>
      <c r="E75" s="7" t="inlineStr">
        <is>
          <t>Ops</t>
        </is>
      </c>
      <c r="F75" s="7" t="n">
        <v>1</v>
      </c>
      <c r="G75" s="13" t="n">
        <v>0</v>
      </c>
      <c r="H75" s="7">
        <f>F75*G75</f>
        <v/>
      </c>
      <c r="I75" s="7">
        <f>2*F75</f>
        <v/>
      </c>
      <c r="J75" s="6" t="inlineStr">
        <is>
          <t>E-mail and in-app only (product functionality checklist item 59)</t>
        </is>
      </c>
      <c r="K75" s="6" t="inlineStr">
        <is>
          <t>No SMS or Viber gateway.</t>
        </is>
      </c>
      <c r="L75" s="7" t="inlineStr"/>
    </row>
    <row r="76">
      <c r="A76" s="9" t="inlineStr">
        <is>
          <t>8</t>
        </is>
      </c>
      <c r="B76" s="9" t="inlineStr">
        <is>
          <t>Billing, collection, credit control and receipts</t>
        </is>
      </c>
      <c r="C76" s="9" t="inlineStr">
        <is>
          <t>L1 subtotal: fit 89.7%</t>
        </is>
      </c>
      <c r="D76" s="9" t="inlineStr"/>
      <c r="E76" s="9" t="inlineStr"/>
      <c r="F76" s="10" t="n">
        <v>29</v>
      </c>
      <c r="G76" s="9" t="inlineStr"/>
      <c r="H76" s="10" t="n">
        <v>52</v>
      </c>
      <c r="I76" s="10" t="n">
        <v>58</v>
      </c>
      <c r="J76" s="9" t="inlineStr"/>
      <c r="K76" s="9" t="inlineStr"/>
      <c r="L76" s="9" t="inlineStr"/>
    </row>
    <row r="77">
      <c r="A77" s="7" t="inlineStr">
        <is>
          <t>8.01</t>
        </is>
      </c>
      <c r="B77" s="6" t="inlineStr">
        <is>
          <t>Billing, collection, credit control and receipts</t>
        </is>
      </c>
      <c r="C77" s="6" t="inlineStr">
        <is>
          <t>Premium bill on issue, endorsement and renewal; invoice e-mailed</t>
        </is>
      </c>
      <c r="D77" s="7" t="inlineStr">
        <is>
          <t>Both</t>
        </is>
      </c>
      <c r="E77" s="7" t="inlineStr">
        <is>
          <t>Ops</t>
        </is>
      </c>
      <c r="F77" s="7" t="n">
        <v>3</v>
      </c>
      <c r="G77" s="12" t="n">
        <v>2</v>
      </c>
      <c r="H77" s="7">
        <f>F77*G77</f>
        <v/>
      </c>
      <c r="I77" s="7">
        <f>2*F77</f>
        <v/>
      </c>
      <c r="J77" s="6" t="inlineStr">
        <is>
          <t>INV series; E-mail invoice; receipts.test.js; email-documents.test.js</t>
        </is>
      </c>
      <c r="K77" s="6" t="inlineStr"/>
      <c r="L77" s="7" t="inlineStr"/>
    </row>
    <row r="78">
      <c r="A78" s="7" t="inlineStr">
        <is>
          <t>8.02</t>
        </is>
      </c>
      <c r="B78" s="6" t="inlineStr">
        <is>
          <t>Billing, collection, credit control and receipts</t>
        </is>
      </c>
      <c r="C78" s="6" t="inlineStr">
        <is>
          <t>Payment capture (cash, cheque, transfer, online) with proof for verification</t>
        </is>
      </c>
      <c r="D78" s="7" t="inlineStr">
        <is>
          <t>Both</t>
        </is>
      </c>
      <c r="E78" s="7" t="inlineStr">
        <is>
          <t>Ops</t>
        </is>
      </c>
      <c r="F78" s="7" t="n">
        <v>3</v>
      </c>
      <c r="G78" s="12" t="n">
        <v>2</v>
      </c>
      <c r="H78" s="7">
        <f>F78*G78</f>
        <v/>
      </c>
      <c r="I78" s="7">
        <f>2*F78</f>
        <v/>
      </c>
      <c r="J78" s="6" t="inlineStr">
        <is>
          <t>Operations &gt; Payments; payments.test.js; policy-payments.test.js; payment-segregation.test.js</t>
        </is>
      </c>
      <c r="K78" s="6" t="inlineStr"/>
      <c r="L78" s="7" t="inlineStr"/>
    </row>
    <row r="79">
      <c r="A79" s="7" t="inlineStr">
        <is>
          <t>8.03</t>
        </is>
      </c>
      <c r="B79" s="6" t="inlineStr">
        <is>
          <t>Billing, collection, credit control and receipts</t>
        </is>
      </c>
      <c r="C79" s="6" t="inlineStr">
        <is>
          <t>Official receipt posting by Accounting, partial payments</t>
        </is>
      </c>
      <c r="D79" s="7" t="inlineStr">
        <is>
          <t>Both</t>
        </is>
      </c>
      <c r="E79" s="7" t="inlineStr">
        <is>
          <t>Ops</t>
        </is>
      </c>
      <c r="F79" s="7" t="n">
        <v>3</v>
      </c>
      <c r="G79" s="12" t="n">
        <v>2</v>
      </c>
      <c r="H79" s="7">
        <f>F79*G79</f>
        <v/>
      </c>
      <c r="I79" s="7">
        <f>2*F79</f>
        <v/>
      </c>
      <c r="J79" s="6" t="inlineStr">
        <is>
          <t>Accounts &gt; Receipts; receipts.test.js</t>
        </is>
      </c>
      <c r="K79" s="6" t="inlineStr"/>
      <c r="L79" s="7" t="inlineStr"/>
    </row>
    <row r="80">
      <c r="A80" s="7" t="inlineStr">
        <is>
          <t>8.04</t>
        </is>
      </c>
      <c r="B80" s="6" t="inlineStr">
        <is>
          <t>Billing, collection, credit control and receipts</t>
        </is>
      </c>
      <c r="C80" s="6" t="inlineStr">
        <is>
          <t>Receipt numbering continuity and printing on letterhead with TIN</t>
        </is>
      </c>
      <c r="D80" s="7" t="inlineStr">
        <is>
          <t>Both</t>
        </is>
      </c>
      <c r="E80" s="7" t="inlineStr">
        <is>
          <t>BIR</t>
        </is>
      </c>
      <c r="F80" s="7" t="n">
        <v>2</v>
      </c>
      <c r="G80" s="12" t="n">
        <v>2</v>
      </c>
      <c r="H80" s="7">
        <f>F80*G80</f>
        <v/>
      </c>
      <c r="I80" s="7">
        <f>2*F80</f>
        <v/>
      </c>
      <c r="J80" s="6" t="inlineStr">
        <is>
          <t>Master &gt; Document Numbering (61 series); numbering.test.js; printing.test.js</t>
        </is>
      </c>
      <c r="K80" s="6" t="inlineStr"/>
      <c r="L80" s="7" t="inlineStr"/>
    </row>
    <row r="81">
      <c r="A81" s="7" t="inlineStr">
        <is>
          <t>8.05</t>
        </is>
      </c>
      <c r="B81" s="6" t="inlineStr">
        <is>
          <t>Billing, collection, credit control and receipts</t>
        </is>
      </c>
      <c r="C81" s="6" t="inlineStr">
        <is>
          <t>Returned cheques (DAIF, DAUD) cancel the receipt and reopen the bill</t>
        </is>
      </c>
      <c r="D81" s="7" t="inlineStr">
        <is>
          <t>Both</t>
        </is>
      </c>
      <c r="E81" s="7" t="inlineStr">
        <is>
          <t>Ops</t>
        </is>
      </c>
      <c r="F81" s="7" t="n">
        <v>2</v>
      </c>
      <c r="G81" s="12" t="n">
        <v>2</v>
      </c>
      <c r="H81" s="7">
        <f>F81*G81</f>
        <v/>
      </c>
      <c r="I81" s="7">
        <f>2*F81</f>
        <v/>
      </c>
      <c r="J81" s="6" t="inlineStr">
        <is>
          <t>Bank transaction types; receipts.test.js; bank-reconciliation.test.js</t>
        </is>
      </c>
      <c r="K81" s="6" t="inlineStr"/>
      <c r="L81" s="7" t="inlineStr"/>
    </row>
    <row r="82">
      <c r="A82" s="7" t="inlineStr">
        <is>
          <t>8.06</t>
        </is>
      </c>
      <c r="B82" s="6" t="inlineStr">
        <is>
          <t>Billing, collection, credit control and receipts</t>
        </is>
      </c>
      <c r="C82" s="6" t="inlineStr">
        <is>
          <t>Online payment links with automatic receipt</t>
        </is>
      </c>
      <c r="D82" s="7" t="inlineStr">
        <is>
          <t>Both</t>
        </is>
      </c>
      <c r="E82" s="7" t="inlineStr">
        <is>
          <t>Ops</t>
        </is>
      </c>
      <c r="F82" s="7" t="n">
        <v>2</v>
      </c>
      <c r="G82" s="12" t="n">
        <v>2</v>
      </c>
      <c r="H82" s="7">
        <f>F82*G82</f>
        <v/>
      </c>
      <c r="I82" s="7">
        <f>2*F82</f>
        <v/>
      </c>
      <c r="J82" s="6" t="inlineStr">
        <is>
          <t>Payment links (PayMongo, Dragonpay, sandbox provider); payments.test.js</t>
        </is>
      </c>
      <c r="K82" s="6" t="inlineStr">
        <is>
          <t>Tested with the sandbox provider only; live keys are a go-live task.</t>
        </is>
      </c>
      <c r="L82" s="7" t="inlineStr"/>
    </row>
    <row r="83">
      <c r="A83" s="7" t="inlineStr">
        <is>
          <t>8.07</t>
        </is>
      </c>
      <c r="B83" s="6" t="inlineStr">
        <is>
          <t>Billing, collection, credit control and receipts</t>
        </is>
      </c>
      <c r="C83" s="6" t="inlineStr">
        <is>
          <t>Receivables ageing and automatic collection reminders</t>
        </is>
      </c>
      <c r="D83" s="7" t="inlineStr">
        <is>
          <t>Both</t>
        </is>
      </c>
      <c r="E83" s="7" t="inlineStr">
        <is>
          <t>Ops</t>
        </is>
      </c>
      <c r="F83" s="7" t="n">
        <v>3</v>
      </c>
      <c r="G83" s="12" t="n">
        <v>2</v>
      </c>
      <c r="H83" s="7">
        <f>F83*G83</f>
        <v/>
      </c>
      <c r="I83" s="7">
        <f>2*F83</f>
        <v/>
      </c>
      <c r="J83" s="6" t="inlineStr">
        <is>
          <t>Accounts &gt; Collections; Collection reminders job; collections.test.js</t>
        </is>
      </c>
      <c r="K83" s="6" t="inlineStr"/>
      <c r="L83" s="7" t="inlineStr"/>
    </row>
    <row r="84">
      <c r="A84" s="7" t="inlineStr">
        <is>
          <t>8.08</t>
        </is>
      </c>
      <c r="B84" s="6" t="inlineStr">
        <is>
          <t>Billing, collection, credit control and receipts</t>
        </is>
      </c>
      <c r="C84" s="6" t="inlineStr">
        <is>
          <t>Premium payment warranty and credit terms per insurer (Insurance Code, IC rules)</t>
        </is>
      </c>
      <c r="D84" s="7" t="inlineStr">
        <is>
          <t>Both</t>
        </is>
      </c>
      <c r="E84" s="7" t="inlineStr">
        <is>
          <t>IC</t>
        </is>
      </c>
      <c r="F84" s="7" t="n">
        <v>3</v>
      </c>
      <c r="G84" s="12" t="n">
        <v>2</v>
      </c>
      <c r="H84" s="7">
        <f>F84*G84</f>
        <v/>
      </c>
      <c r="I84" s="7">
        <f>2*F84</f>
        <v/>
      </c>
      <c r="J84" s="6" t="inlineStr">
        <is>
          <t>Insurance Company &gt; Premium Payment Warranty; Premium Warranty Monitor; claims.block_unpaid_premium; credit-control.test.js</t>
        </is>
      </c>
      <c r="K84" s="6" t="inlineStr"/>
      <c r="L84" s="7" t="inlineStr"/>
    </row>
    <row r="85">
      <c r="A85" s="7" t="inlineStr">
        <is>
          <t>8.09</t>
        </is>
      </c>
      <c r="B85" s="6" t="inlineStr">
        <is>
          <t>Billing, collection, credit control and receipts</t>
        </is>
      </c>
      <c r="C85" s="6" t="inlineStr">
        <is>
          <t>Instalment billing with separate instalment invoices</t>
        </is>
      </c>
      <c r="D85" s="7" t="inlineStr">
        <is>
          <t>Both</t>
        </is>
      </c>
      <c r="E85" s="7" t="inlineStr">
        <is>
          <t>Ops</t>
        </is>
      </c>
      <c r="F85" s="7" t="n">
        <v>2</v>
      </c>
      <c r="G85" s="11" t="n">
        <v>1</v>
      </c>
      <c r="H85" s="7">
        <f>F85*G85</f>
        <v/>
      </c>
      <c r="I85" s="7">
        <f>2*F85</f>
        <v/>
      </c>
      <c r="J85" s="6" t="inlineStr">
        <is>
          <t>Accounts &gt; Credit Control &gt; Instalment Plans; credit-control.test.js</t>
        </is>
      </c>
      <c r="K85" s="6" t="inlineStr">
        <is>
          <t>Plans split the follow-up of a bill without changing the ledger; no invoice per instalment.</t>
        </is>
      </c>
      <c r="L85" s="7" t="inlineStr"/>
    </row>
    <row r="86">
      <c r="A86" s="7" t="inlineStr">
        <is>
          <t>8.10</t>
        </is>
      </c>
      <c r="B86" s="6" t="inlineStr">
        <is>
          <t>Billing, collection, credit control and receipts</t>
        </is>
      </c>
      <c r="C86" s="6" t="inlineStr">
        <is>
          <t>Client credit limits with exception notice</t>
        </is>
      </c>
      <c r="D86" s="7" t="inlineStr">
        <is>
          <t>Both</t>
        </is>
      </c>
      <c r="E86" s="7" t="inlineStr">
        <is>
          <t>Ops</t>
        </is>
      </c>
      <c r="F86" s="7" t="n">
        <v>1</v>
      </c>
      <c r="G86" s="12" t="n">
        <v>2</v>
      </c>
      <c r="H86" s="7">
        <f>F86*G86</f>
        <v/>
      </c>
      <c r="I86" s="7">
        <f>2*F86</f>
        <v/>
      </c>
      <c r="J86" s="6" t="inlineStr">
        <is>
          <t>Accounts &gt; Credit Control &gt; Client Credit Limits; credit-control.test.js</t>
        </is>
      </c>
      <c r="K86" s="6" t="inlineStr"/>
      <c r="L86" s="7" t="inlineStr"/>
    </row>
    <row r="87">
      <c r="A87" s="7" t="inlineStr">
        <is>
          <t>8.11</t>
        </is>
      </c>
      <c r="B87" s="6" t="inlineStr">
        <is>
          <t>Billing, collection, credit control and receipts</t>
        </is>
      </c>
      <c r="C87" s="6" t="inlineStr">
        <is>
          <t>Collection follow-up log, commitments and escalation</t>
        </is>
      </c>
      <c r="D87" s="7" t="inlineStr">
        <is>
          <t>Both</t>
        </is>
      </c>
      <c r="E87" s="7" t="inlineStr">
        <is>
          <t>Ops</t>
        </is>
      </c>
      <c r="F87" s="7" t="n">
        <v>2</v>
      </c>
      <c r="G87" s="12" t="n">
        <v>2</v>
      </c>
      <c r="H87" s="7">
        <f>F87*G87</f>
        <v/>
      </c>
      <c r="I87" s="7">
        <f>2*F87</f>
        <v/>
      </c>
      <c r="J87" s="6" t="inlineStr">
        <is>
          <t>Collection items; collections.test.js</t>
        </is>
      </c>
      <c r="K87" s="6" t="inlineStr"/>
      <c r="L87" s="7" t="inlineStr"/>
    </row>
    <row r="88">
      <c r="A88" s="7" t="inlineStr">
        <is>
          <t>8.12</t>
        </is>
      </c>
      <c r="B88" s="6" t="inlineStr">
        <is>
          <t>Billing, collection, credit control and receipts</t>
        </is>
      </c>
      <c r="C88" s="6" t="inlineStr">
        <is>
          <t>Post-dated cheque register and deposit on due date</t>
        </is>
      </c>
      <c r="D88" s="7" t="inlineStr">
        <is>
          <t>Both</t>
        </is>
      </c>
      <c r="E88" s="7" t="inlineStr">
        <is>
          <t>Ops</t>
        </is>
      </c>
      <c r="F88" s="7" t="n">
        <v>2</v>
      </c>
      <c r="G88" s="13" t="n">
        <v>0</v>
      </c>
      <c r="H88" s="7">
        <f>F88*G88</f>
        <v/>
      </c>
      <c r="I88" s="7">
        <f>2*F88</f>
        <v/>
      </c>
      <c r="J88" s="6" t="inlineStr">
        <is>
          <t>Not found as a register (cheque date handling in disbursements only)</t>
        </is>
      </c>
      <c r="K88" s="6" t="inlineStr">
        <is>
          <t>Post-dated cheques received from clients are not tracked until deposit.</t>
        </is>
      </c>
      <c r="L88" s="7" t="inlineStr"/>
    </row>
    <row r="89">
      <c r="A89" s="7" t="inlineStr">
        <is>
          <t>8.13</t>
        </is>
      </c>
      <c r="B89" s="6" t="inlineStr">
        <is>
          <t>Billing, collection, credit control and receipts</t>
        </is>
      </c>
      <c r="C89" s="6" t="inlineStr">
        <is>
          <t>Bulk receipt upload and bulk print</t>
        </is>
      </c>
      <c r="D89" s="7" t="inlineStr">
        <is>
          <t>Both</t>
        </is>
      </c>
      <c r="E89" s="7" t="inlineStr">
        <is>
          <t>Ops</t>
        </is>
      </c>
      <c r="F89" s="7" t="n">
        <v>1</v>
      </c>
      <c r="G89" s="12" t="n">
        <v>2</v>
      </c>
      <c r="H89" s="7">
        <f>F89*G89</f>
        <v/>
      </c>
      <c r="I89" s="7">
        <f>2*F89</f>
        <v/>
      </c>
      <c r="J89" s="6" t="inlineStr">
        <is>
          <t>Receipts bulk upload (1,000 rows) and Bulk Print; receipts.test.js</t>
        </is>
      </c>
      <c r="K89" s="6" t="inlineStr"/>
      <c r="L89" s="7" t="inlineStr"/>
    </row>
    <row r="90">
      <c r="A90" s="9" t="inlineStr">
        <is>
          <t>9</t>
        </is>
      </c>
      <c r="B90" s="9" t="inlineStr">
        <is>
          <t>Remittance, direct bill and insurer reconciliation</t>
        </is>
      </c>
      <c r="C90" s="9" t="inlineStr">
        <is>
          <t>L1 subtotal: fit 85.0%</t>
        </is>
      </c>
      <c r="D90" s="9" t="inlineStr"/>
      <c r="E90" s="9" t="inlineStr"/>
      <c r="F90" s="10" t="n">
        <v>20</v>
      </c>
      <c r="G90" s="9" t="inlineStr"/>
      <c r="H90" s="10" t="n">
        <v>34</v>
      </c>
      <c r="I90" s="10" t="n">
        <v>40</v>
      </c>
      <c r="J90" s="9" t="inlineStr"/>
      <c r="K90" s="9" t="inlineStr"/>
      <c r="L90" s="9" t="inlineStr"/>
    </row>
    <row r="91">
      <c r="A91" s="7" t="inlineStr">
        <is>
          <t>9.01</t>
        </is>
      </c>
      <c r="B91" s="6" t="inlineStr">
        <is>
          <t>Remittance, direct bill and insurer reconciliation</t>
        </is>
      </c>
      <c r="C91" s="6" t="inlineStr">
        <is>
          <t>Remittance per insurer net of commission, by co-insurer share</t>
        </is>
      </c>
      <c r="D91" s="7" t="inlineStr">
        <is>
          <t>Both</t>
        </is>
      </c>
      <c r="E91" s="7" t="inlineStr">
        <is>
          <t>IC</t>
        </is>
      </c>
      <c r="F91" s="7" t="n">
        <v>3</v>
      </c>
      <c r="G91" s="12" t="n">
        <v>2</v>
      </c>
      <c r="H91" s="7">
        <f>F91*G91</f>
        <v/>
      </c>
      <c r="I91" s="7">
        <f>2*F91</f>
        <v/>
      </c>
      <c r="J91" s="6" t="inlineStr">
        <is>
          <t>Accounts &gt; Remittance &gt; Automated Processing; remittance.test.js</t>
        </is>
      </c>
      <c r="K91" s="6" t="inlineStr"/>
      <c r="L91" s="7" t="inlineStr"/>
    </row>
    <row r="92">
      <c r="A92" s="7" t="inlineStr">
        <is>
          <t>9.02</t>
        </is>
      </c>
      <c r="B92" s="6" t="inlineStr">
        <is>
          <t>Remittance, direct bill and insurer reconciliation</t>
        </is>
      </c>
      <c r="C92" s="6" t="inlineStr">
        <is>
          <t>Remittance terms per insurer, due dates and remittance ageing</t>
        </is>
      </c>
      <c r="D92" s="7" t="inlineStr">
        <is>
          <t>Both</t>
        </is>
      </c>
      <c r="E92" s="7" t="inlineStr">
        <is>
          <t>IC</t>
        </is>
      </c>
      <c r="F92" s="7" t="n">
        <v>3</v>
      </c>
      <c r="G92" s="12" t="n">
        <v>2</v>
      </c>
      <c r="H92" s="7">
        <f>F92*G92</f>
        <v/>
      </c>
      <c r="I92" s="7">
        <f>2*F92</f>
        <v/>
      </c>
      <c r="J92" s="6" t="inlineStr">
        <is>
          <t>Insurance Company &gt; Remittance Terms; Credit Control &gt; Remittance Ageing; remittance.test.js</t>
        </is>
      </c>
      <c r="K92" s="6" t="inlineStr"/>
      <c r="L92" s="7" t="inlineStr"/>
    </row>
    <row r="93">
      <c r="A93" s="7" t="inlineStr">
        <is>
          <t>9.03</t>
        </is>
      </c>
      <c r="B93" s="6" t="inlineStr">
        <is>
          <t>Remittance, direct bill and insurer reconciliation</t>
        </is>
      </c>
      <c r="C93" s="6" t="inlineStr">
        <is>
          <t>Remittance approval within Authority Matrix limits</t>
        </is>
      </c>
      <c r="D93" s="7" t="inlineStr">
        <is>
          <t>Both</t>
        </is>
      </c>
      <c r="E93" s="7" t="inlineStr">
        <is>
          <t>Ops</t>
        </is>
      </c>
      <c r="F93" s="7" t="n">
        <v>2</v>
      </c>
      <c r="G93" s="12" t="n">
        <v>2</v>
      </c>
      <c r="H93" s="7">
        <f>F93*G93</f>
        <v/>
      </c>
      <c r="I93" s="7">
        <f>2*F93</f>
        <v/>
      </c>
      <c r="J93" s="6" t="inlineStr">
        <is>
          <t>Remittance &gt; Approval Workflow; Authority Matrix; consolidation.test.js; remittance.test.js</t>
        </is>
      </c>
      <c r="K93" s="6" t="inlineStr"/>
      <c r="L93" s="7" t="inlineStr"/>
    </row>
    <row r="94">
      <c r="A94" s="7" t="inlineStr">
        <is>
          <t>9.04</t>
        </is>
      </c>
      <c r="B94" s="6" t="inlineStr">
        <is>
          <t>Remittance, direct bill and insurer reconciliation</t>
        </is>
      </c>
      <c r="C94" s="6" t="inlineStr">
        <is>
          <t>Settlement by payment voucher and electronic transfer record</t>
        </is>
      </c>
      <c r="D94" s="7" t="inlineStr">
        <is>
          <t>Both</t>
        </is>
      </c>
      <c r="E94" s="7" t="inlineStr">
        <is>
          <t>Ops</t>
        </is>
      </c>
      <c r="F94" s="7" t="n">
        <v>2</v>
      </c>
      <c r="G94" s="12" t="n">
        <v>2</v>
      </c>
      <c r="H94" s="7">
        <f>F94*G94</f>
        <v/>
      </c>
      <c r="I94" s="7">
        <f>2*F94</f>
        <v/>
      </c>
      <c r="J94" s="6" t="inlineStr">
        <is>
          <t>Remittance &gt; Settlement, Electronic Transfer; disbursements.test.js</t>
        </is>
      </c>
      <c r="K94" s="6" t="inlineStr"/>
      <c r="L94" s="7" t="inlineStr"/>
    </row>
    <row r="95">
      <c r="A95" s="7" t="inlineStr">
        <is>
          <t>9.05</t>
        </is>
      </c>
      <c r="B95" s="6" t="inlineStr">
        <is>
          <t>Remittance, direct bill and insurer reconciliation</t>
        </is>
      </c>
      <c r="C95" s="6" t="inlineStr">
        <is>
          <t>Bank payment file (InstaPay, PESONet, bulk credit) for insurers and referrers</t>
        </is>
      </c>
      <c r="D95" s="7" t="inlineStr">
        <is>
          <t>Both</t>
        </is>
      </c>
      <c r="E95" s="7" t="inlineStr">
        <is>
          <t>Ops</t>
        </is>
      </c>
      <c r="F95" s="7" t="n">
        <v>2</v>
      </c>
      <c r="G95" s="13" t="n">
        <v>0</v>
      </c>
      <c r="H95" s="7">
        <f>F95*G95</f>
        <v/>
      </c>
      <c r="I95" s="7">
        <f>2*F95</f>
        <v/>
      </c>
      <c r="J95" s="6" t="inlineStr">
        <is>
          <t>Transfers recorded only (checklist item 58)</t>
        </is>
      </c>
      <c r="K95" s="6" t="inlineStr">
        <is>
          <t>No bank upload file; payments keyed in the bank portal.</t>
        </is>
      </c>
      <c r="L95" s="7" t="inlineStr"/>
    </row>
    <row r="96">
      <c r="A96" s="7" t="inlineStr">
        <is>
          <t>9.06</t>
        </is>
      </c>
      <c r="B96" s="6" t="inlineStr">
        <is>
          <t>Remittance, direct bill and insurer reconciliation</t>
        </is>
      </c>
      <c r="C96" s="6" t="inlineStr">
        <is>
          <t>Direct bill commission debit notes with VAT and EWT</t>
        </is>
      </c>
      <c r="D96" s="7" t="inlineStr">
        <is>
          <t>Both</t>
        </is>
      </c>
      <c r="E96" s="7" t="inlineStr">
        <is>
          <t>BIR</t>
        </is>
      </c>
      <c r="F96" s="7" t="n">
        <v>3</v>
      </c>
      <c r="G96" s="12" t="n">
        <v>2</v>
      </c>
      <c r="H96" s="7">
        <f>F96*G96</f>
        <v/>
      </c>
      <c r="I96" s="7">
        <f>2*F96</f>
        <v/>
      </c>
      <c r="J96" s="6" t="inlineStr">
        <is>
          <t>Remittance &gt; Direct Bill Processing; direct-bill.test.js; direct-bill-client-payments.test.js</t>
        </is>
      </c>
      <c r="K96" s="6" t="inlineStr"/>
      <c r="L96" s="7" t="inlineStr"/>
    </row>
    <row r="97">
      <c r="A97" s="7" t="inlineStr">
        <is>
          <t>9.07</t>
        </is>
      </c>
      <c r="B97" s="6" t="inlineStr">
        <is>
          <t>Remittance, direct bill and insurer reconciliation</t>
        </is>
      </c>
      <c r="C97" s="6" t="inlineStr">
        <is>
          <t>Agency bill processing</t>
        </is>
      </c>
      <c r="D97" s="7" t="inlineStr">
        <is>
          <t>Agent</t>
        </is>
      </c>
      <c r="E97" s="7" t="inlineStr">
        <is>
          <t>Ops</t>
        </is>
      </c>
      <c r="F97" s="7" t="n">
        <v>2</v>
      </c>
      <c r="G97" s="12" t="n">
        <v>2</v>
      </c>
      <c r="H97" s="7">
        <f>F97*G97</f>
        <v/>
      </c>
      <c r="I97" s="7">
        <f>2*F97</f>
        <v/>
      </c>
      <c r="J97" s="6" t="inlineStr">
        <is>
          <t>Remittance &gt; Agency Bill Processing (/finance/remittance/agencybill); remittance.test.js</t>
        </is>
      </c>
      <c r="K97" s="6" t="inlineStr"/>
      <c r="L97" s="7" t="inlineStr"/>
    </row>
    <row r="98">
      <c r="A98" s="7" t="inlineStr">
        <is>
          <t>9.08</t>
        </is>
      </c>
      <c r="B98" s="6" t="inlineStr">
        <is>
          <t>Remittance, direct bill and insurer reconciliation</t>
        </is>
      </c>
      <c r="C98" s="6" t="inlineStr">
        <is>
          <t>Insurer statement of account import, matching and differences</t>
        </is>
      </c>
      <c r="D98" s="7" t="inlineStr">
        <is>
          <t>Both</t>
        </is>
      </c>
      <c r="E98" s="7" t="inlineStr">
        <is>
          <t>Ops</t>
        </is>
      </c>
      <c r="F98" s="7" t="n">
        <v>2</v>
      </c>
      <c r="G98" s="12" t="n">
        <v>2</v>
      </c>
      <c r="H98" s="7">
        <f>F98*G98</f>
        <v/>
      </c>
      <c r="I98" s="7">
        <f>2*F98</f>
        <v/>
      </c>
      <c r="J98" s="6" t="inlineStr">
        <is>
          <t>Accounts &gt; Insurer Reconciliation &gt; Insurer Statements; insurer-reconciliation.test.js</t>
        </is>
      </c>
      <c r="K98" s="6" t="inlineStr"/>
      <c r="L98" s="7" t="inlineStr"/>
    </row>
    <row r="99">
      <c r="A99" s="7" t="inlineStr">
        <is>
          <t>9.09</t>
        </is>
      </c>
      <c r="B99" s="6" t="inlineStr">
        <is>
          <t>Remittance, direct bill and insurer reconciliation</t>
        </is>
      </c>
      <c r="C99" s="6" t="inlineStr">
        <is>
          <t>Insurer system integration (policy, premium, claims data by API)</t>
        </is>
      </c>
      <c r="D99" s="7" t="inlineStr">
        <is>
          <t>Both</t>
        </is>
      </c>
      <c r="E99" s="7" t="inlineStr">
        <is>
          <t>Ops</t>
        </is>
      </c>
      <c r="F99" s="7" t="n">
        <v>1</v>
      </c>
      <c r="G99" s="13" t="n">
        <v>0</v>
      </c>
      <c r="H99" s="7">
        <f>F99*G99</f>
        <v/>
      </c>
      <c r="I99" s="7">
        <f>2*F99</f>
        <v/>
      </c>
      <c r="J99" s="6" t="inlineStr">
        <is>
          <t>Files and e-mail only (checklist item 57)</t>
        </is>
      </c>
      <c r="K99" s="6" t="inlineStr">
        <is>
          <t>No insurer API connector.</t>
        </is>
      </c>
      <c r="L99" s="7" t="inlineStr"/>
    </row>
    <row r="100">
      <c r="A100" s="9" t="inlineStr">
        <is>
          <t>10</t>
        </is>
      </c>
      <c r="B100" s="9" t="inlineStr">
        <is>
          <t>Commission, referrers and incentives</t>
        </is>
      </c>
      <c r="C100" s="9" t="inlineStr">
        <is>
          <t>L1 subtotal: fit 88.6%</t>
        </is>
      </c>
      <c r="D100" s="9" t="inlineStr"/>
      <c r="E100" s="9" t="inlineStr"/>
      <c r="F100" s="10" t="n">
        <v>22</v>
      </c>
      <c r="G100" s="9" t="inlineStr"/>
      <c r="H100" s="10" t="n">
        <v>39</v>
      </c>
      <c r="I100" s="10" t="n">
        <v>44</v>
      </c>
      <c r="J100" s="9" t="inlineStr"/>
      <c r="K100" s="9" t="inlineStr"/>
      <c r="L100" s="9" t="inlineStr"/>
    </row>
    <row r="101">
      <c r="A101" s="7" t="inlineStr">
        <is>
          <t>10.01</t>
        </is>
      </c>
      <c r="B101" s="6" t="inlineStr">
        <is>
          <t>Commission, referrers and incentives</t>
        </is>
      </c>
      <c r="C101" s="6" t="inlineStr">
        <is>
          <t>Commission rate matrix by insurer, product, line and policy type with dates</t>
        </is>
      </c>
      <c r="D101" s="7" t="inlineStr">
        <is>
          <t>Both</t>
        </is>
      </c>
      <c r="E101" s="7" t="inlineStr">
        <is>
          <t>Ops</t>
        </is>
      </c>
      <c r="F101" s="7" t="n">
        <v>3</v>
      </c>
      <c r="G101" s="12" t="n">
        <v>2</v>
      </c>
      <c r="H101" s="7">
        <f>F101*G101</f>
        <v/>
      </c>
      <c r="I101" s="7">
        <f>2*F101</f>
        <v/>
      </c>
      <c r="J101" s="6" t="inlineStr">
        <is>
          <t>Master &gt; Finance &gt; Commission Rate Matrix; commission.test.js</t>
        </is>
      </c>
      <c r="K101" s="6" t="inlineStr"/>
      <c r="L101" s="7" t="inlineStr"/>
    </row>
    <row r="102">
      <c r="A102" s="7" t="inlineStr">
        <is>
          <t>10.02</t>
        </is>
      </c>
      <c r="B102" s="6" t="inlineStr">
        <is>
          <t>Commission, referrers and incentives</t>
        </is>
      </c>
      <c r="C102" s="6" t="inlineStr">
        <is>
          <t>Brokerage or agency commission income per insurer per policy</t>
        </is>
      </c>
      <c r="D102" s="7" t="inlineStr">
        <is>
          <t>Both</t>
        </is>
      </c>
      <c r="E102" s="7" t="inlineStr">
        <is>
          <t>Ops</t>
        </is>
      </c>
      <c r="F102" s="7" t="n">
        <v>3</v>
      </c>
      <c r="G102" s="12" t="n">
        <v>2</v>
      </c>
      <c r="H102" s="7">
        <f>F102*G102</f>
        <v/>
      </c>
      <c r="I102" s="7">
        <f>2*F102</f>
        <v/>
      </c>
      <c r="J102" s="6" t="inlineStr">
        <is>
          <t>Posting rule policy issue; accounting.test.js; commission.test.js</t>
        </is>
      </c>
      <c r="K102" s="6" t="inlineStr"/>
      <c r="L102" s="7" t="inlineStr"/>
    </row>
    <row r="103">
      <c r="A103" s="7" t="inlineStr">
        <is>
          <t>10.03</t>
        </is>
      </c>
      <c r="B103" s="6" t="inlineStr">
        <is>
          <t>Commission, referrers and incentives</t>
        </is>
      </c>
      <c r="C103" s="6" t="inlineStr">
        <is>
          <t>Referrer and sub-agent commission chain, payable on full collection</t>
        </is>
      </c>
      <c r="D103" s="7" t="inlineStr">
        <is>
          <t>Both</t>
        </is>
      </c>
      <c r="E103" s="7" t="inlineStr">
        <is>
          <t>Ops</t>
        </is>
      </c>
      <c r="F103" s="7" t="n">
        <v>3</v>
      </c>
      <c r="G103" s="12" t="n">
        <v>2</v>
      </c>
      <c r="H103" s="7">
        <f>F103*G103</f>
        <v/>
      </c>
      <c r="I103" s="7">
        <f>2*F103</f>
        <v/>
      </c>
      <c r="J103" s="6" t="inlineStr">
        <is>
          <t>commission.require_full_payment; Agents/Referrer Accounts; commission.test.js</t>
        </is>
      </c>
      <c r="K103" s="6" t="inlineStr"/>
      <c r="L103" s="7" t="inlineStr"/>
    </row>
    <row r="104">
      <c r="A104" s="7" t="inlineStr">
        <is>
          <t>10.04</t>
        </is>
      </c>
      <c r="B104" s="6" t="inlineStr">
        <is>
          <t>Commission, referrers and incentives</t>
        </is>
      </c>
      <c r="C104" s="6" t="inlineStr">
        <is>
          <t>Withholding tax on commission paid, by payee type and ATC</t>
        </is>
      </c>
      <c r="D104" s="7" t="inlineStr">
        <is>
          <t>Both</t>
        </is>
      </c>
      <c r="E104" s="7" t="inlineStr">
        <is>
          <t>BIR</t>
        </is>
      </c>
      <c r="F104" s="7" t="n">
        <v>3</v>
      </c>
      <c r="G104" s="12" t="n">
        <v>2</v>
      </c>
      <c r="H104" s="7">
        <f>F104*G104</f>
        <v/>
      </c>
      <c r="I104" s="7">
        <f>2*F104</f>
        <v/>
      </c>
      <c r="J104" s="6" t="inlineStr">
        <is>
          <t>commission.wht_code_by_type; bir.atc_by_payee; commission-taxes.test.js</t>
        </is>
      </c>
      <c r="K104" s="6" t="inlineStr"/>
      <c r="L104" s="7" t="inlineStr"/>
    </row>
    <row r="105">
      <c r="A105" s="7" t="inlineStr">
        <is>
          <t>10.05</t>
        </is>
      </c>
      <c r="B105" s="6" t="inlineStr">
        <is>
          <t>Commission, referrers and incentives</t>
        </is>
      </c>
      <c r="C105" s="6" t="inlineStr">
        <is>
          <t>Commission payout by voucher and bulk disbursement</t>
        </is>
      </c>
      <c r="D105" s="7" t="inlineStr">
        <is>
          <t>Both</t>
        </is>
      </c>
      <c r="E105" s="7" t="inlineStr">
        <is>
          <t>Ops</t>
        </is>
      </c>
      <c r="F105" s="7" t="n">
        <v>2</v>
      </c>
      <c r="G105" s="12" t="n">
        <v>2</v>
      </c>
      <c r="H105" s="7">
        <f>F105*G105</f>
        <v/>
      </c>
      <c r="I105" s="7">
        <f>2*F105</f>
        <v/>
      </c>
      <c r="J105" s="6" t="inlineStr">
        <is>
          <t>Generate payout; Disbursement &gt; Bulk Disburse; disbursements.test.js</t>
        </is>
      </c>
      <c r="K105" s="6" t="inlineStr"/>
      <c r="L105" s="7" t="inlineStr"/>
    </row>
    <row r="106">
      <c r="A106" s="7" t="inlineStr">
        <is>
          <t>10.06</t>
        </is>
      </c>
      <c r="B106" s="6" t="inlineStr">
        <is>
          <t>Commission, referrers and incentives</t>
        </is>
      </c>
      <c r="C106" s="6" t="inlineStr">
        <is>
          <t>Commission clawback on return premium</t>
        </is>
      </c>
      <c r="D106" s="7" t="inlineStr">
        <is>
          <t>Both</t>
        </is>
      </c>
      <c r="E106" s="7" t="inlineStr">
        <is>
          <t>Ops</t>
        </is>
      </c>
      <c r="F106" s="7" t="n">
        <v>2</v>
      </c>
      <c r="G106" s="12" t="n">
        <v>2</v>
      </c>
      <c r="H106" s="7">
        <f>F106*G106</f>
        <v/>
      </c>
      <c r="I106" s="7">
        <f>2*F106</f>
        <v/>
      </c>
      <c r="J106" s="6" t="inlineStr">
        <is>
          <t>Commission line status Reversed; commission.test.js</t>
        </is>
      </c>
      <c r="K106" s="6" t="inlineStr"/>
      <c r="L106" s="7" t="inlineStr"/>
    </row>
    <row r="107">
      <c r="A107" s="7" t="inlineStr">
        <is>
          <t>10.07</t>
        </is>
      </c>
      <c r="B107" s="6" t="inlineStr">
        <is>
          <t>Commission, referrers and incentives</t>
        </is>
      </c>
      <c r="C107" s="6" t="inlineStr">
        <is>
          <t>Commission statements for referrers and the broker</t>
        </is>
      </c>
      <c r="D107" s="7" t="inlineStr">
        <is>
          <t>Both</t>
        </is>
      </c>
      <c r="E107" s="7" t="inlineStr">
        <is>
          <t>Ops</t>
        </is>
      </c>
      <c r="F107" s="7" t="n">
        <v>2</v>
      </c>
      <c r="G107" s="12" t="n">
        <v>2</v>
      </c>
      <c r="H107" s="7">
        <f>F107*G107</f>
        <v/>
      </c>
      <c r="I107" s="7">
        <f>2*F107</f>
        <v/>
      </c>
      <c r="J107" s="6" t="inlineStr">
        <is>
          <t>Broker Commission Statement; Commission Dashboard; reports.test.js</t>
        </is>
      </c>
      <c r="K107" s="6" t="inlineStr"/>
      <c r="L107" s="7" t="inlineStr"/>
    </row>
    <row r="108">
      <c r="A108" s="7" t="inlineStr">
        <is>
          <t>10.08</t>
        </is>
      </c>
      <c r="B108" s="6" t="inlineStr">
        <is>
          <t>Commission, referrers and incentives</t>
        </is>
      </c>
      <c r="C108" s="6" t="inlineStr">
        <is>
          <t>Incentive programmes for account executives</t>
        </is>
      </c>
      <c r="D108" s="7" t="inlineStr">
        <is>
          <t>Both</t>
        </is>
      </c>
      <c r="E108" s="7" t="inlineStr">
        <is>
          <t>Ops</t>
        </is>
      </c>
      <c r="F108" s="7" t="n">
        <v>1</v>
      </c>
      <c r="G108" s="12" t="n">
        <v>2</v>
      </c>
      <c r="H108" s="7">
        <f>F108*G108</f>
        <v/>
      </c>
      <c r="I108" s="7">
        <f>2*F108</f>
        <v/>
      </c>
      <c r="J108" s="6" t="inlineStr">
        <is>
          <t>Incentive &gt; My Programs, Calculations, Approvals, Statement; incentive.test.js</t>
        </is>
      </c>
      <c r="K108" s="6" t="inlineStr"/>
      <c r="L108" s="7" t="inlineStr"/>
    </row>
    <row r="109">
      <c r="A109" s="7" t="inlineStr">
        <is>
          <t>10.09</t>
        </is>
      </c>
      <c r="B109" s="6" t="inlineStr">
        <is>
          <t>Commission, referrers and incentives</t>
        </is>
      </c>
      <c r="C109" s="6" t="inlineStr">
        <is>
          <t>Licence check of agents and sub-agents before paying commission</t>
        </is>
      </c>
      <c r="D109" s="7" t="inlineStr">
        <is>
          <t>Both</t>
        </is>
      </c>
      <c r="E109" s="7" t="inlineStr">
        <is>
          <t>IC</t>
        </is>
      </c>
      <c r="F109" s="7" t="n">
        <v>2</v>
      </c>
      <c r="G109" s="13" t="n">
        <v>0</v>
      </c>
      <c r="H109" s="7">
        <f>F109*G109</f>
        <v/>
      </c>
      <c r="I109" s="7">
        <f>2*F109</f>
        <v/>
      </c>
      <c r="J109" s="6" t="inlineStr">
        <is>
          <t>No licence number or expiry on referrer accounts (grep licence: company master only)</t>
        </is>
      </c>
      <c r="K109" s="6" t="inlineStr">
        <is>
          <t>Commission can be paid to a referrer without a valid IC licence where one is required.</t>
        </is>
      </c>
      <c r="L109" s="7" t="inlineStr"/>
    </row>
    <row r="110">
      <c r="A110" s="7" t="inlineStr">
        <is>
          <t>10.10</t>
        </is>
      </c>
      <c r="B110" s="6" t="inlineStr">
        <is>
          <t>Commission, referrers and incentives</t>
        </is>
      </c>
      <c r="C110" s="6" t="inlineStr">
        <is>
          <t>Overriding, profit and contingent commission from insurers</t>
        </is>
      </c>
      <c r="D110" s="7" t="inlineStr">
        <is>
          <t>Both</t>
        </is>
      </c>
      <c r="E110" s="7" t="inlineStr">
        <is>
          <t>Ops</t>
        </is>
      </c>
      <c r="F110" s="7" t="n">
        <v>1</v>
      </c>
      <c r="G110" s="11" t="n">
        <v>1</v>
      </c>
      <c r="H110" s="7">
        <f>F110*G110</f>
        <v/>
      </c>
      <c r="I110" s="7">
        <f>2*F110</f>
        <v/>
      </c>
      <c r="J110" s="6" t="inlineStr">
        <is>
          <t>Journal Voucher (manual)</t>
        </is>
      </c>
      <c r="K110" s="6" t="inlineStr">
        <is>
          <t>No computation; booked by journal voucher.</t>
        </is>
      </c>
      <c r="L110" s="7" t="inlineStr"/>
    </row>
    <row r="111">
      <c r="A111" s="9" t="inlineStr">
        <is>
          <t>11</t>
        </is>
      </c>
      <c r="B111" s="9" t="inlineStr">
        <is>
          <t>Claims assistance</t>
        </is>
      </c>
      <c r="C111" s="9" t="inlineStr">
        <is>
          <t>L1 subtotal: fit 85.7%</t>
        </is>
      </c>
      <c r="D111" s="9" t="inlineStr"/>
      <c r="E111" s="9" t="inlineStr"/>
      <c r="F111" s="10" t="n">
        <v>21</v>
      </c>
      <c r="G111" s="9" t="inlineStr"/>
      <c r="H111" s="10" t="n">
        <v>36</v>
      </c>
      <c r="I111" s="10" t="n">
        <v>42</v>
      </c>
      <c r="J111" s="9" t="inlineStr"/>
      <c r="K111" s="9" t="inlineStr"/>
      <c r="L111" s="9" t="inlineStr"/>
    </row>
    <row r="112">
      <c r="A112" s="7" t="inlineStr">
        <is>
          <t>11.01</t>
        </is>
      </c>
      <c r="B112" s="6" t="inlineStr">
        <is>
          <t>Claims assistance</t>
        </is>
      </c>
      <c r="C112" s="6" t="inlineStr">
        <is>
          <t>Claim registration with incident, driver, third party and documents</t>
        </is>
      </c>
      <c r="D112" s="7" t="inlineStr">
        <is>
          <t>Both</t>
        </is>
      </c>
      <c r="E112" s="7" t="inlineStr">
        <is>
          <t>Ops</t>
        </is>
      </c>
      <c r="F112" s="7" t="n">
        <v>3</v>
      </c>
      <c r="G112" s="12" t="n">
        <v>2</v>
      </c>
      <c r="H112" s="7">
        <f>F112*G112</f>
        <v/>
      </c>
      <c r="I112" s="7">
        <f>2*F112</f>
        <v/>
      </c>
      <c r="J112" s="6" t="inlineStr">
        <is>
          <t>Operations &gt; Claims (/agent/claim); claims.test.js</t>
        </is>
      </c>
      <c r="K112" s="6" t="inlineStr"/>
      <c r="L112" s="7" t="inlineStr"/>
    </row>
    <row r="113">
      <c r="A113" s="7" t="inlineStr">
        <is>
          <t>11.02</t>
        </is>
      </c>
      <c r="B113" s="6" t="inlineStr">
        <is>
          <t>Claims assistance</t>
        </is>
      </c>
      <c r="C113" s="6" t="inlineStr">
        <is>
          <t>Preliminary loss advice to the insurer by e-mail</t>
        </is>
      </c>
      <c r="D113" s="7" t="inlineStr">
        <is>
          <t>Both</t>
        </is>
      </c>
      <c r="E113" s="7" t="inlineStr">
        <is>
          <t>Ops</t>
        </is>
      </c>
      <c r="F113" s="7" t="n">
        <v>3</v>
      </c>
      <c r="G113" s="12" t="n">
        <v>2</v>
      </c>
      <c r="H113" s="7">
        <f>F113*G113</f>
        <v/>
      </c>
      <c r="I113" s="7">
        <f>2*F113</f>
        <v/>
      </c>
      <c r="J113" s="6" t="inlineStr">
        <is>
          <t>Claim registration e-mail to insurer claims address; claims.test.js</t>
        </is>
      </c>
      <c r="K113" s="6" t="inlineStr"/>
      <c r="L113" s="7" t="inlineStr"/>
    </row>
    <row r="114">
      <c r="A114" s="7" t="inlineStr">
        <is>
          <t>11.03</t>
        </is>
      </c>
      <c r="B114" s="6" t="inlineStr">
        <is>
          <t>Claims assistance</t>
        </is>
      </c>
      <c r="C114" s="6" t="inlineStr">
        <is>
          <t>Claim document checklist per line and missing document follow-up</t>
        </is>
      </c>
      <c r="D114" s="7" t="inlineStr">
        <is>
          <t>Both</t>
        </is>
      </c>
      <c r="E114" s="7" t="inlineStr">
        <is>
          <t>Ops</t>
        </is>
      </c>
      <c r="F114" s="7" t="n">
        <v>2</v>
      </c>
      <c r="G114" s="11" t="n">
        <v>1</v>
      </c>
      <c r="H114" s="7">
        <f>F114*G114</f>
        <v/>
      </c>
      <c r="I114" s="7">
        <f>2*F114</f>
        <v/>
      </c>
      <c r="J114" s="6" t="inlineStr">
        <is>
          <t>Claim documents upload; causes of loss per line (GET /claims/config)</t>
        </is>
      </c>
      <c r="K114" s="6" t="inlineStr">
        <is>
          <t>No required-document checklist or reminder to the claimant.</t>
        </is>
      </c>
      <c r="L114" s="7" t="inlineStr"/>
    </row>
    <row r="115">
      <c r="A115" s="7" t="inlineStr">
        <is>
          <t>11.04</t>
        </is>
      </c>
      <c r="B115" s="6" t="inlineStr">
        <is>
          <t>Claims assistance</t>
        </is>
      </c>
      <c r="C115" s="6" t="inlineStr">
        <is>
          <t>Adjuster, insurer claim number, status tracking and handling time</t>
        </is>
      </c>
      <c r="D115" s="7" t="inlineStr">
        <is>
          <t>Both</t>
        </is>
      </c>
      <c r="E115" s="7" t="inlineStr">
        <is>
          <t>Ops</t>
        </is>
      </c>
      <c r="F115" s="7" t="n">
        <v>2</v>
      </c>
      <c r="G115" s="12" t="n">
        <v>2</v>
      </c>
      <c r="H115" s="7">
        <f>F115*G115</f>
        <v/>
      </c>
      <c r="I115" s="7">
        <f>2*F115</f>
        <v/>
      </c>
      <c r="J115" s="6" t="inlineStr">
        <is>
          <t>Claim statuses; claims.sla_days 20; Claims Dashboard; claims.test.js</t>
        </is>
      </c>
      <c r="K115" s="6" t="inlineStr"/>
      <c r="L115" s="7" t="inlineStr"/>
    </row>
    <row r="116">
      <c r="A116" s="7" t="inlineStr">
        <is>
          <t>11.05</t>
        </is>
      </c>
      <c r="B116" s="6" t="inlineStr">
        <is>
          <t>Claims assistance</t>
        </is>
      </c>
      <c r="C116" s="6" t="inlineStr">
        <is>
          <t>Settlement approval by a second user and claim letters (discharge voucher)</t>
        </is>
      </c>
      <c r="D116" s="7" t="inlineStr">
        <is>
          <t>Both</t>
        </is>
      </c>
      <c r="E116" s="7" t="inlineStr">
        <is>
          <t>Ops</t>
        </is>
      </c>
      <c r="F116" s="7" t="n">
        <v>3</v>
      </c>
      <c r="G116" s="12" t="n">
        <v>2</v>
      </c>
      <c r="H116" s="7">
        <f>F116*G116</f>
        <v/>
      </c>
      <c r="I116" s="7">
        <f>2*F116</f>
        <v/>
      </c>
      <c r="J116" s="6" t="inlineStr">
        <is>
          <t>claims.settlement_maker_checker; Claims Discharge Voucher PDF; claims.test.js</t>
        </is>
      </c>
      <c r="K116" s="6" t="inlineStr"/>
      <c r="L116" s="7" t="inlineStr"/>
    </row>
    <row r="117">
      <c r="A117" s="7" t="inlineStr">
        <is>
          <t>11.06</t>
        </is>
      </c>
      <c r="B117" s="6" t="inlineStr">
        <is>
          <t>Claims assistance</t>
        </is>
      </c>
      <c r="C117" s="6" t="inlineStr">
        <is>
          <t>Claims paid through the broker: funds received and paid to claimant</t>
        </is>
      </c>
      <c r="D117" s="7" t="inlineStr">
        <is>
          <t>Both</t>
        </is>
      </c>
      <c r="E117" s="7" t="inlineStr">
        <is>
          <t>Ops</t>
        </is>
      </c>
      <c r="F117" s="7" t="n">
        <v>2</v>
      </c>
      <c r="G117" s="11" t="n">
        <v>1</v>
      </c>
      <c r="H117" s="7">
        <f>F117*G117</f>
        <v/>
      </c>
      <c r="I117" s="7">
        <f>2*F117</f>
        <v/>
      </c>
      <c r="J117" s="6" t="inlineStr">
        <is>
          <t>Settlement cash panel (POST /claims/:id/settlement-cash/...); claims.test.js</t>
        </is>
      </c>
      <c r="K117" s="6" t="inlineStr">
        <is>
          <t>Panel is on the claim screens; Accounting menu not extended, so the System Administrator records it (known limitation).</t>
        </is>
      </c>
      <c r="L117" s="7" t="inlineStr"/>
    </row>
    <row r="118">
      <c r="A118" s="7" t="inlineStr">
        <is>
          <t>11.07</t>
        </is>
      </c>
      <c r="B118" s="6" t="inlineStr">
        <is>
          <t>Claims assistance</t>
        </is>
      </c>
      <c r="C118" s="6" t="inlineStr">
        <is>
          <t>Co-insurer shares of claims and settlements</t>
        </is>
      </c>
      <c r="D118" s="7" t="inlineStr">
        <is>
          <t>Both</t>
        </is>
      </c>
      <c r="E118" s="7" t="inlineStr">
        <is>
          <t>Ops</t>
        </is>
      </c>
      <c r="F118" s="7" t="n">
        <v>2</v>
      </c>
      <c r="G118" s="12" t="n">
        <v>2</v>
      </c>
      <c r="H118" s="7">
        <f>F118*G118</f>
        <v/>
      </c>
      <c r="I118" s="7">
        <f>2*F118</f>
        <v/>
      </c>
      <c r="J118" s="6" t="inlineStr">
        <is>
          <t>Claim screens show each insurer share; claims.test.js</t>
        </is>
      </c>
      <c r="K118" s="6" t="inlineStr"/>
      <c r="L118" s="7" t="inlineStr"/>
    </row>
    <row r="119">
      <c r="A119" s="7" t="inlineStr">
        <is>
          <t>11.08</t>
        </is>
      </c>
      <c r="B119" s="6" t="inlineStr">
        <is>
          <t>Claims assistance</t>
        </is>
      </c>
      <c r="C119" s="6" t="inlineStr">
        <is>
          <t>Motor claims: repair shop, estimate and letter of authority</t>
        </is>
      </c>
      <c r="D119" s="7" t="inlineStr">
        <is>
          <t>Both</t>
        </is>
      </c>
      <c r="E119" s="7" t="inlineStr">
        <is>
          <t>Ops</t>
        </is>
      </c>
      <c r="F119" s="7" t="n">
        <v>2</v>
      </c>
      <c r="G119" s="11" t="n">
        <v>1</v>
      </c>
      <c r="H119" s="7">
        <f>F119*G119</f>
        <v/>
      </c>
      <c r="I119" s="7">
        <f>2*F119</f>
        <v/>
      </c>
      <c r="J119" s="6" t="inlineStr">
        <is>
          <t>Repair shop on settlement (migration 0216)</t>
        </is>
      </c>
      <c r="K119" s="6" t="inlineStr">
        <is>
          <t>No estimate approval or letter of authority workflow.</t>
        </is>
      </c>
      <c r="L119" s="7" t="inlineStr"/>
    </row>
    <row r="120">
      <c r="A120" s="7" t="inlineStr">
        <is>
          <t>11.09</t>
        </is>
      </c>
      <c r="B120" s="6" t="inlineStr">
        <is>
          <t>Claims assistance</t>
        </is>
      </c>
      <c r="C120" s="6" t="inlineStr">
        <is>
          <t>Claims position and ageing reports</t>
        </is>
      </c>
      <c r="D120" s="7" t="inlineStr">
        <is>
          <t>Both</t>
        </is>
      </c>
      <c r="E120" s="7" t="inlineStr">
        <is>
          <t>Ops</t>
        </is>
      </c>
      <c r="F120" s="7" t="n">
        <v>2</v>
      </c>
      <c r="G120" s="12" t="n">
        <v>2</v>
      </c>
      <c r="H120" s="7">
        <f>F120*G120</f>
        <v/>
      </c>
      <c r="I120" s="7">
        <f>2*F120</f>
        <v/>
      </c>
      <c r="J120" s="6" t="inlineStr">
        <is>
          <t>Claims Position, Claims Ageing; reports.test.js</t>
        </is>
      </c>
      <c r="K120" s="6" t="inlineStr"/>
      <c r="L120" s="7" t="inlineStr"/>
    </row>
    <row r="121">
      <c r="A121" s="9" t="inlineStr">
        <is>
          <t>12</t>
        </is>
      </c>
      <c r="B121" s="9" t="inlineStr">
        <is>
          <t>Accounting, general ledger, period end and audit</t>
        </is>
      </c>
      <c r="C121" s="9" t="inlineStr">
        <is>
          <t>L1 subtotal: fit 96.3%</t>
        </is>
      </c>
      <c r="D121" s="9" t="inlineStr"/>
      <c r="E121" s="9" t="inlineStr"/>
      <c r="F121" s="10" t="n">
        <v>27</v>
      </c>
      <c r="G121" s="9" t="inlineStr"/>
      <c r="H121" s="10" t="n">
        <v>52</v>
      </c>
      <c r="I121" s="10" t="n">
        <v>54</v>
      </c>
      <c r="J121" s="9" t="inlineStr"/>
      <c r="K121" s="9" t="inlineStr"/>
      <c r="L121" s="9" t="inlineStr"/>
    </row>
    <row r="122">
      <c r="A122" s="7" t="inlineStr">
        <is>
          <t>12.01</t>
        </is>
      </c>
      <c r="B122" s="6" t="inlineStr">
        <is>
          <t>Accounting, general ledger, period end and audit</t>
        </is>
      </c>
      <c r="C122" s="6" t="inlineStr">
        <is>
          <t>Double-entry general ledger fed by posting rules</t>
        </is>
      </c>
      <c r="D122" s="7" t="inlineStr">
        <is>
          <t>Both</t>
        </is>
      </c>
      <c r="E122" s="7" t="inlineStr">
        <is>
          <t>Ops</t>
        </is>
      </c>
      <c r="F122" s="7" t="n">
        <v>3</v>
      </c>
      <c r="G122" s="12" t="n">
        <v>2</v>
      </c>
      <c r="H122" s="7">
        <f>F122*G122</f>
        <v/>
      </c>
      <c r="I122" s="7">
        <f>2*F122</f>
        <v/>
      </c>
      <c r="J122" s="6" t="inlineStr">
        <is>
          <t>Master &gt; Finance &gt; Posting Rules, Account Determination; posting-rules.test.js; accounting-flow.test.js</t>
        </is>
      </c>
      <c r="K122" s="6" t="inlineStr"/>
      <c r="L122" s="7" t="inlineStr"/>
    </row>
    <row r="123">
      <c r="A123" s="7" t="inlineStr">
        <is>
          <t>12.02</t>
        </is>
      </c>
      <c r="B123" s="6" t="inlineStr">
        <is>
          <t>Accounting, general ledger, period end and audit</t>
        </is>
      </c>
      <c r="C123" s="6" t="inlineStr">
        <is>
          <t>Philippine broker chart of accounts with premium trust account</t>
        </is>
      </c>
      <c r="D123" s="7" t="inlineStr">
        <is>
          <t>Both</t>
        </is>
      </c>
      <c r="E123" s="7" t="inlineStr">
        <is>
          <t>Ops</t>
        </is>
      </c>
      <c r="F123" s="7" t="n">
        <v>2</v>
      </c>
      <c r="G123" s="12" t="n">
        <v>2</v>
      </c>
      <c r="H123" s="7">
        <f>F123*G123</f>
        <v/>
      </c>
      <c r="I123" s="7">
        <f>2*F123</f>
        <v/>
      </c>
      <c r="J123" s="6" t="inlineStr">
        <is>
          <t>Main Account, Sub Account masters; chart-of-accounts.test.js</t>
        </is>
      </c>
      <c r="K123" s="6" t="inlineStr"/>
      <c r="L123" s="7" t="inlineStr"/>
    </row>
    <row r="124">
      <c r="A124" s="7" t="inlineStr">
        <is>
          <t>12.03</t>
        </is>
      </c>
      <c r="B124" s="6" t="inlineStr">
        <is>
          <t>Accounting, general ledger, period end and audit</t>
        </is>
      </c>
      <c r="C124" s="6" t="inlineStr">
        <is>
          <t>Journal, correction and reversal vouchers with approval</t>
        </is>
      </c>
      <c r="D124" s="7" t="inlineStr">
        <is>
          <t>Both</t>
        </is>
      </c>
      <c r="E124" s="7" t="inlineStr">
        <is>
          <t>Ops</t>
        </is>
      </c>
      <c r="F124" s="7" t="n">
        <v>3</v>
      </c>
      <c r="G124" s="12" t="n">
        <v>2</v>
      </c>
      <c r="H124" s="7">
        <f>F124*G124</f>
        <v/>
      </c>
      <c r="I124" s="7">
        <f>2*F124</f>
        <v/>
      </c>
      <c r="J124" s="6" t="inlineStr">
        <is>
          <t>Accounts &gt; Journal Voucher, Correction JV, Reversal JV; journal.test.js</t>
        </is>
      </c>
      <c r="K124" s="6" t="inlineStr"/>
      <c r="L124" s="7" t="inlineStr"/>
    </row>
    <row r="125">
      <c r="A125" s="7" t="inlineStr">
        <is>
          <t>12.04</t>
        </is>
      </c>
      <c r="B125" s="6" t="inlineStr">
        <is>
          <t>Accounting, general ledger, period end and audit</t>
        </is>
      </c>
      <c r="C125" s="6" t="inlineStr">
        <is>
          <t>Payment vouchers, cheques and petty cash</t>
        </is>
      </c>
      <c r="D125" s="7" t="inlineStr">
        <is>
          <t>Both</t>
        </is>
      </c>
      <c r="E125" s="7" t="inlineStr">
        <is>
          <t>Ops</t>
        </is>
      </c>
      <c r="F125" s="7" t="n">
        <v>3</v>
      </c>
      <c r="G125" s="12" t="n">
        <v>2</v>
      </c>
      <c r="H125" s="7">
        <f>F125*G125</f>
        <v/>
      </c>
      <c r="I125" s="7">
        <f>2*F125</f>
        <v/>
      </c>
      <c r="J125" s="6" t="inlineStr">
        <is>
          <t>Accounts &gt; Disbursement, Petty Cash; disbursements.test.js</t>
        </is>
      </c>
      <c r="K125" s="6" t="inlineStr"/>
      <c r="L125" s="7" t="inlineStr"/>
    </row>
    <row r="126">
      <c r="A126" s="7" t="inlineStr">
        <is>
          <t>12.05</t>
        </is>
      </c>
      <c r="B126" s="6" t="inlineStr">
        <is>
          <t>Accounting, general ledger, period end and audit</t>
        </is>
      </c>
      <c r="C126" s="6" t="inlineStr">
        <is>
          <t>Bank statement import, auto-match and reconciliation statement</t>
        </is>
      </c>
      <c r="D126" s="7" t="inlineStr">
        <is>
          <t>Both</t>
        </is>
      </c>
      <c r="E126" s="7" t="inlineStr">
        <is>
          <t>Ops</t>
        </is>
      </c>
      <c r="F126" s="7" t="n">
        <v>3</v>
      </c>
      <c r="G126" s="12" t="n">
        <v>2</v>
      </c>
      <c r="H126" s="7">
        <f>F126*G126</f>
        <v/>
      </c>
      <c r="I126" s="7">
        <f>2*F126</f>
        <v/>
      </c>
      <c r="J126" s="6" t="inlineStr">
        <is>
          <t>Accounts &gt; Bank Reconciliation; bank-reconciliation.test.js</t>
        </is>
      </c>
      <c r="K126" s="6" t="inlineStr"/>
      <c r="L126" s="7" t="inlineStr"/>
    </row>
    <row r="127">
      <c r="A127" s="7" t="inlineStr">
        <is>
          <t>12.06</t>
        </is>
      </c>
      <c r="B127" s="6" t="inlineStr">
        <is>
          <t>Accounting, general ledger, period end and audit</t>
        </is>
      </c>
      <c r="C127" s="6" t="inlineStr">
        <is>
          <t>Month-end close with checklist, accruals and recurring journals</t>
        </is>
      </c>
      <c r="D127" s="7" t="inlineStr">
        <is>
          <t>Both</t>
        </is>
      </c>
      <c r="E127" s="7" t="inlineStr">
        <is>
          <t>Ops</t>
        </is>
      </c>
      <c r="F127" s="7" t="n">
        <v>3</v>
      </c>
      <c r="G127" s="12" t="n">
        <v>2</v>
      </c>
      <c r="H127" s="7">
        <f>F127*G127</f>
        <v/>
      </c>
      <c r="I127" s="7">
        <f>2*F127</f>
        <v/>
      </c>
      <c r="J127" s="6" t="inlineStr">
        <is>
          <t>Accounts &gt; Period End &gt; Month-End Close; period-end.test.js; period-end-calendar.test.js</t>
        </is>
      </c>
      <c r="K127" s="6" t="inlineStr"/>
      <c r="L127" s="7" t="inlineStr"/>
    </row>
    <row r="128">
      <c r="A128" s="7" t="inlineStr">
        <is>
          <t>12.07</t>
        </is>
      </c>
      <c r="B128" s="6" t="inlineStr">
        <is>
          <t>Accounting, general ledger, period end and audit</t>
        </is>
      </c>
      <c r="C128" s="6" t="inlineStr">
        <is>
          <t>Year-end close and opening balances</t>
        </is>
      </c>
      <c r="D128" s="7" t="inlineStr">
        <is>
          <t>Both</t>
        </is>
      </c>
      <c r="E128" s="7" t="inlineStr">
        <is>
          <t>Ops</t>
        </is>
      </c>
      <c r="F128" s="7" t="n">
        <v>2</v>
      </c>
      <c r="G128" s="12" t="n">
        <v>2</v>
      </c>
      <c r="H128" s="7">
        <f>F128*G128</f>
        <v/>
      </c>
      <c r="I128" s="7">
        <f>2*F128</f>
        <v/>
      </c>
      <c r="J128" s="6" t="inlineStr">
        <is>
          <t>Accounts &gt; Period End &gt; Year-End Close; period-end.test.js</t>
        </is>
      </c>
      <c r="K128" s="6" t="inlineStr"/>
      <c r="L128" s="7" t="inlineStr"/>
    </row>
    <row r="129">
      <c r="A129" s="7" t="inlineStr">
        <is>
          <t>12.08</t>
        </is>
      </c>
      <c r="B129" s="6" t="inlineStr">
        <is>
          <t>Accounting, general ledger, period end and audit</t>
        </is>
      </c>
      <c r="C129" s="6" t="inlineStr">
        <is>
          <t>Financial statements: income statement, balance sheet, trial balance</t>
        </is>
      </c>
      <c r="D129" s="7" t="inlineStr">
        <is>
          <t>Both</t>
        </is>
      </c>
      <c r="E129" s="7" t="inlineStr">
        <is>
          <t>Ops</t>
        </is>
      </c>
      <c r="F129" s="7" t="n">
        <v>3</v>
      </c>
      <c r="G129" s="12" t="n">
        <v>2</v>
      </c>
      <c r="H129" s="7">
        <f>F129*G129</f>
        <v/>
      </c>
      <c r="I129" s="7">
        <f>2*F129</f>
        <v/>
      </c>
      <c r="J129" s="6" t="inlineStr">
        <is>
          <t>Accounts &gt; Period End &gt; Financial Statements; reports.test.js</t>
        </is>
      </c>
      <c r="K129" s="6" t="inlineStr"/>
      <c r="L129" s="7" t="inlineStr"/>
    </row>
    <row r="130">
      <c r="A130" s="7" t="inlineStr">
        <is>
          <t>12.09</t>
        </is>
      </c>
      <c r="B130" s="6" t="inlineStr">
        <is>
          <t>Accounting, general ledger, period end and audit</t>
        </is>
      </c>
      <c r="C130" s="6" t="inlineStr">
        <is>
          <t>Multi-currency transactions and FX revaluation</t>
        </is>
      </c>
      <c r="D130" s="7" t="inlineStr">
        <is>
          <t>Both</t>
        </is>
      </c>
      <c r="E130" s="7" t="inlineStr">
        <is>
          <t>Ops</t>
        </is>
      </c>
      <c r="F130" s="7" t="n">
        <v>1</v>
      </c>
      <c r="G130" s="12" t="n">
        <v>2</v>
      </c>
      <c r="H130" s="7">
        <f>F130*G130</f>
        <v/>
      </c>
      <c r="I130" s="7">
        <f>2*F130</f>
        <v/>
      </c>
      <c r="J130" s="6" t="inlineStr">
        <is>
          <t>Master &gt; Finance &gt; Currency, Exchange Rate (migration 0235); period-end.test.js</t>
        </is>
      </c>
      <c r="K130" s="6" t="inlineStr"/>
      <c r="L130" s="7" t="inlineStr"/>
    </row>
    <row r="131">
      <c r="A131" s="7" t="inlineStr">
        <is>
          <t>12.10</t>
        </is>
      </c>
      <c r="B131" s="6" t="inlineStr">
        <is>
          <t>Accounting, general ledger, period end and audit</t>
        </is>
      </c>
      <c r="C131" s="6" t="inlineStr">
        <is>
          <t>Supplier invoices, input VAT, fixed assets and depreciation</t>
        </is>
      </c>
      <c r="D131" s="7" t="inlineStr">
        <is>
          <t>Both</t>
        </is>
      </c>
      <c r="E131" s="7" t="inlineStr">
        <is>
          <t>Ops</t>
        </is>
      </c>
      <c r="F131" s="7" t="n">
        <v>2</v>
      </c>
      <c r="G131" s="11" t="n">
        <v>1</v>
      </c>
      <c r="H131" s="7">
        <f>F131*G131</f>
        <v/>
      </c>
      <c r="I131" s="7">
        <f>2*F131</f>
        <v/>
      </c>
      <c r="J131" s="6" t="inlineStr">
        <is>
          <t>Supplier payment vouchers with withholding; input VAT tax code</t>
        </is>
      </c>
      <c r="K131" s="6" t="inlineStr">
        <is>
          <t>No supplier invoice register (accounts payable sub-ledger) or fixed asset register.</t>
        </is>
      </c>
      <c r="L131" s="7" t="inlineStr"/>
    </row>
    <row r="132">
      <c r="A132" s="7" t="inlineStr">
        <is>
          <t>12.11</t>
        </is>
      </c>
      <c r="B132" s="6" t="inlineStr">
        <is>
          <t>Accounting, general ledger, period end and audit</t>
        </is>
      </c>
      <c r="C132" s="6" t="inlineStr">
        <is>
          <t>Audit support: GL detail, journal register, source document trace</t>
        </is>
      </c>
      <c r="D132" s="7" t="inlineStr">
        <is>
          <t>Both</t>
        </is>
      </c>
      <c r="E132" s="7" t="inlineStr">
        <is>
          <t>Ops</t>
        </is>
      </c>
      <c r="F132" s="7" t="n">
        <v>2</v>
      </c>
      <c r="G132" s="12" t="n">
        <v>2</v>
      </c>
      <c r="H132" s="7">
        <f>F132*G132</f>
        <v/>
      </c>
      <c r="I132" s="7">
        <f>2*F132</f>
        <v/>
      </c>
      <c r="J132" s="6" t="inlineStr">
        <is>
          <t>General Ledger Detail, Journal Register; each journal points to its source; journal.test.js</t>
        </is>
      </c>
      <c r="K132" s="6" t="inlineStr"/>
      <c r="L132" s="7" t="inlineStr"/>
    </row>
    <row r="133">
      <c r="A133" s="9" t="inlineStr">
        <is>
          <t>13</t>
        </is>
      </c>
      <c r="B133" s="9" t="inlineStr">
        <is>
          <t>Taxes and BIR compliance</t>
        </is>
      </c>
      <c r="C133" s="9" t="inlineStr">
        <is>
          <t>L1 subtotal: fit 75.8%</t>
        </is>
      </c>
      <c r="D133" s="9" t="inlineStr"/>
      <c r="E133" s="9" t="inlineStr"/>
      <c r="F133" s="10" t="n">
        <v>33</v>
      </c>
      <c r="G133" s="9" t="inlineStr"/>
      <c r="H133" s="10" t="n">
        <v>50</v>
      </c>
      <c r="I133" s="10" t="n">
        <v>66</v>
      </c>
      <c r="J133" s="9" t="inlineStr"/>
      <c r="K133" s="9" t="inlineStr"/>
      <c r="L133" s="9" t="inlineStr"/>
    </row>
    <row r="134">
      <c r="A134" s="7" t="inlineStr">
        <is>
          <t>13.01</t>
        </is>
      </c>
      <c r="B134" s="6" t="inlineStr">
        <is>
          <t>Taxes and BIR compliance</t>
        </is>
      </c>
      <c r="C134" s="6" t="inlineStr">
        <is>
          <t>Premium taxes: DST (NIRC s.184), VAT 12%, LGT by LGU, FST 2%</t>
        </is>
      </c>
      <c r="D134" s="7" t="inlineStr">
        <is>
          <t>Both</t>
        </is>
      </c>
      <c r="E134" s="7" t="inlineStr">
        <is>
          <t>BIR</t>
        </is>
      </c>
      <c r="F134" s="7" t="n">
        <v>3</v>
      </c>
      <c r="G134" s="12" t="n">
        <v>2</v>
      </c>
      <c r="H134" s="7">
        <f>F134*G134</f>
        <v/>
      </c>
      <c r="I134" s="7">
        <f>2*F134</f>
        <v/>
      </c>
      <c r="J134" s="6" t="inlineStr">
        <is>
          <t>Master &gt; Finance &gt; Premium Taxes &amp; LGU Rates; premium-charges.test.js</t>
        </is>
      </c>
      <c r="K134" s="6" t="inlineStr">
        <is>
          <t>DST rule delivered as 12.5% of premium; the per-unit option (PHP 0.50 per PHP 4.00, fraction rounded up) is available.</t>
        </is>
      </c>
      <c r="L134" s="7" t="inlineStr"/>
    </row>
    <row r="135">
      <c r="A135" s="7" t="inlineStr">
        <is>
          <t>13.02</t>
        </is>
      </c>
      <c r="B135" s="6" t="inlineStr">
        <is>
          <t>Taxes and BIR compliance</t>
        </is>
      </c>
      <c r="C135" s="6" t="inlineStr">
        <is>
          <t>Premium tax regime per product (VAT or premium tax)</t>
        </is>
      </c>
      <c r="D135" s="7" t="inlineStr">
        <is>
          <t>Both</t>
        </is>
      </c>
      <c r="E135" s="7" t="inlineStr">
        <is>
          <t>BIR</t>
        </is>
      </c>
      <c r="F135" s="7" t="n">
        <v>2</v>
      </c>
      <c r="G135" s="12" t="n">
        <v>2</v>
      </c>
      <c r="H135" s="7">
        <f>F135*G135</f>
        <v/>
      </c>
      <c r="I135" s="7">
        <f>2*F135</f>
        <v/>
      </c>
      <c r="J135" s="6" t="inlineStr">
        <is>
          <t>Product master premium_tax_regime; premium-charges.test.js</t>
        </is>
      </c>
      <c r="K135" s="6" t="inlineStr"/>
      <c r="L135" s="7" t="inlineStr"/>
    </row>
    <row r="136">
      <c r="A136" s="7" t="inlineStr">
        <is>
          <t>13.03</t>
        </is>
      </c>
      <c r="B136" s="6" t="inlineStr">
        <is>
          <t>Taxes and BIR compliance</t>
        </is>
      </c>
      <c r="C136" s="6" t="inlineStr">
        <is>
          <t>Output VAT on commission and VAT Summary (2550Q working paper)</t>
        </is>
      </c>
      <c r="D136" s="7" t="inlineStr">
        <is>
          <t>Both</t>
        </is>
      </c>
      <c r="E136" s="7" t="inlineStr">
        <is>
          <t>BIR</t>
        </is>
      </c>
      <c r="F136" s="7" t="n">
        <v>3</v>
      </c>
      <c r="G136" s="12" t="n">
        <v>2</v>
      </c>
      <c r="H136" s="7">
        <f>F136*G136</f>
        <v/>
      </c>
      <c r="I136" s="7">
        <f>2*F136</f>
        <v/>
      </c>
      <c r="J136" s="6" t="inlineStr">
        <is>
          <t>Accounts &gt; Tax &gt; VAT Summary; commission-taxes.test.js</t>
        </is>
      </c>
      <c r="K136" s="6" t="inlineStr"/>
      <c r="L136" s="7" t="inlineStr"/>
    </row>
    <row r="137">
      <c r="A137" s="7" t="inlineStr">
        <is>
          <t>13.04</t>
        </is>
      </c>
      <c r="B137" s="6" t="inlineStr">
        <is>
          <t>Taxes and BIR compliance</t>
        </is>
      </c>
      <c r="C137" s="6" t="inlineStr">
        <is>
          <t>Percentage tax for a non-VAT broker or agent (2551Q)</t>
        </is>
      </c>
      <c r="D137" s="7" t="inlineStr">
        <is>
          <t>Both</t>
        </is>
      </c>
      <c r="E137" s="7" t="inlineStr">
        <is>
          <t>BIR</t>
        </is>
      </c>
      <c r="F137" s="7" t="n">
        <v>1</v>
      </c>
      <c r="G137" s="11" t="n">
        <v>1</v>
      </c>
      <c r="H137" s="7">
        <f>F137*G137</f>
        <v/>
      </c>
      <c r="I137" s="7">
        <f>2*F137</f>
        <v/>
      </c>
      <c r="J137" s="6" t="inlineStr">
        <is>
          <t>direct_bill.broker_vat_registered switch</t>
        </is>
      </c>
      <c r="K137" s="6" t="inlineStr">
        <is>
          <t>No percentage tax working paper.</t>
        </is>
      </c>
      <c r="L137" s="7" t="inlineStr"/>
    </row>
    <row r="138">
      <c r="A138" s="7" t="inlineStr">
        <is>
          <t>13.05</t>
        </is>
      </c>
      <c r="B138" s="6" t="inlineStr">
        <is>
          <t>Taxes and BIR compliance</t>
        </is>
      </c>
      <c r="C138" s="6" t="inlineStr">
        <is>
          <t>EWT on payments and BIR Form 2307 issued</t>
        </is>
      </c>
      <c r="D138" s="7" t="inlineStr">
        <is>
          <t>Both</t>
        </is>
      </c>
      <c r="E138" s="7" t="inlineStr">
        <is>
          <t>BIR</t>
        </is>
      </c>
      <c r="F138" s="7" t="n">
        <v>3</v>
      </c>
      <c r="G138" s="12" t="n">
        <v>2</v>
      </c>
      <c r="H138" s="7">
        <f>F138*G138</f>
        <v/>
      </c>
      <c r="I138" s="7">
        <f>2*F138</f>
        <v/>
      </c>
      <c r="J138" s="6" t="inlineStr">
        <is>
          <t>Accounts &gt; Tax &gt; BIR Form 2307 (Issued by us); commission-taxes.test.js</t>
        </is>
      </c>
      <c r="K138" s="6" t="inlineStr"/>
      <c r="L138" s="7" t="inlineStr"/>
    </row>
    <row r="139">
      <c r="A139" s="7" t="inlineStr">
        <is>
          <t>13.06</t>
        </is>
      </c>
      <c r="B139" s="6" t="inlineStr">
        <is>
          <t>Taxes and BIR compliance</t>
        </is>
      </c>
      <c r="C139" s="6" t="inlineStr">
        <is>
          <t>CWT withheld by insurers, BIR Form 2307 received and SAWT</t>
        </is>
      </c>
      <c r="D139" s="7" t="inlineStr">
        <is>
          <t>Both</t>
        </is>
      </c>
      <c r="E139" s="7" t="inlineStr">
        <is>
          <t>BIR</t>
        </is>
      </c>
      <c r="F139" s="7" t="n">
        <v>3</v>
      </c>
      <c r="G139" s="12" t="n">
        <v>2</v>
      </c>
      <c r="H139" s="7">
        <f>F139*G139</f>
        <v/>
      </c>
      <c r="I139" s="7">
        <f>2*F139</f>
        <v/>
      </c>
      <c r="J139" s="6" t="inlineStr">
        <is>
          <t>BIR Form 2307 (Received); SAWT; direct-bill.test.js</t>
        </is>
      </c>
      <c r="K139" s="6" t="inlineStr"/>
      <c r="L139" s="7" t="inlineStr"/>
    </row>
    <row r="140">
      <c r="A140" s="7" t="inlineStr">
        <is>
          <t>13.07</t>
        </is>
      </c>
      <c r="B140" s="6" t="inlineStr">
        <is>
          <t>Taxes and BIR compliance</t>
        </is>
      </c>
      <c r="C140" s="6" t="inlineStr">
        <is>
          <t>Monthly and quarterly EWT returns (0619-E, 1601-EQ) with QAP</t>
        </is>
      </c>
      <c r="D140" s="7" t="inlineStr">
        <is>
          <t>Both</t>
        </is>
      </c>
      <c r="E140" s="7" t="inlineStr">
        <is>
          <t>BIR</t>
        </is>
      </c>
      <c r="F140" s="7" t="n">
        <v>3</v>
      </c>
      <c r="G140" s="11" t="n">
        <v>1</v>
      </c>
      <c r="H140" s="7">
        <f>F140*G140</f>
        <v/>
      </c>
      <c r="I140" s="7">
        <f>2*F140</f>
        <v/>
      </c>
      <c r="J140" s="6" t="inlineStr">
        <is>
          <t>Accounts &gt; Tax &gt; QAP</t>
        </is>
      </c>
      <c r="K140" s="6" t="inlineStr">
        <is>
          <t>QAP is delivered; the return figures per ATC are not laid out as the 0619-E / 1601-EQ forms.</t>
        </is>
      </c>
      <c r="L140" s="7" t="inlineStr"/>
    </row>
    <row r="141">
      <c r="A141" s="7" t="inlineStr">
        <is>
          <t>13.08</t>
        </is>
      </c>
      <c r="B141" s="6" t="inlineStr">
        <is>
          <t>Taxes and BIR compliance</t>
        </is>
      </c>
      <c r="C141" s="6" t="inlineStr">
        <is>
          <t>Annual information return and alphalist (1604-E)</t>
        </is>
      </c>
      <c r="D141" s="7" t="inlineStr">
        <is>
          <t>Both</t>
        </is>
      </c>
      <c r="E141" s="7" t="inlineStr">
        <is>
          <t>BIR</t>
        </is>
      </c>
      <c r="F141" s="7" t="n">
        <v>2</v>
      </c>
      <c r="G141" s="11" t="n">
        <v>1</v>
      </c>
      <c r="H141" s="7">
        <f>F141*G141</f>
        <v/>
      </c>
      <c r="I141" s="7">
        <f>2*F141</f>
        <v/>
      </c>
      <c r="J141" s="6" t="inlineStr">
        <is>
          <t>QAP run for a full year range (generic date criteria)</t>
        </is>
      </c>
      <c r="K141" s="6" t="inlineStr">
        <is>
          <t>No 1604-E alphalist layout.</t>
        </is>
      </c>
      <c r="L141" s="7" t="inlineStr"/>
    </row>
    <row r="142">
      <c r="A142" s="7" t="inlineStr">
        <is>
          <t>13.09</t>
        </is>
      </c>
      <c r="B142" s="6" t="inlineStr">
        <is>
          <t>Taxes and BIR compliance</t>
        </is>
      </c>
      <c r="C142" s="6" t="inlineStr">
        <is>
          <t>SLSP sales and purchases</t>
        </is>
      </c>
      <c r="D142" s="7" t="inlineStr">
        <is>
          <t>Both</t>
        </is>
      </c>
      <c r="E142" s="7" t="inlineStr">
        <is>
          <t>BIR</t>
        </is>
      </c>
      <c r="F142" s="7" t="n">
        <v>2</v>
      </c>
      <c r="G142" s="12" t="n">
        <v>2</v>
      </c>
      <c r="H142" s="7">
        <f>F142*G142</f>
        <v/>
      </c>
      <c r="I142" s="7">
        <f>2*F142</f>
        <v/>
      </c>
      <c r="J142" s="6" t="inlineStr">
        <is>
          <t>Accounts &gt; Tax &gt; SLSP Sales, SLSP Purchases (BIR column order)</t>
        </is>
      </c>
      <c r="K142" s="6" t="inlineStr"/>
      <c r="L142" s="7" t="inlineStr"/>
    </row>
    <row r="143">
      <c r="A143" s="7" t="inlineStr">
        <is>
          <t>13.10</t>
        </is>
      </c>
      <c r="B143" s="6" t="inlineStr">
        <is>
          <t>Taxes and BIR compliance</t>
        </is>
      </c>
      <c r="C143" s="6" t="inlineStr">
        <is>
          <t>Invoices under the EOPT Act and RR 7-2024 (invoice as primary document, required fields)</t>
        </is>
      </c>
      <c r="D143" s="7" t="inlineStr">
        <is>
          <t>Both</t>
        </is>
      </c>
      <c r="E143" s="7" t="inlineStr">
        <is>
          <t>BIR</t>
        </is>
      </c>
      <c r="F143" s="7" t="n">
        <v>3</v>
      </c>
      <c r="G143" s="11" t="n">
        <v>1</v>
      </c>
      <c r="H143" s="7">
        <f>F143*G143</f>
        <v/>
      </c>
      <c r="I143" s="7">
        <f>2*F143</f>
        <v/>
      </c>
      <c r="J143" s="6" t="inlineStr">
        <is>
          <t>INV, OR and DN series on letterhead with TIN; compliance matrix (Invoices and receipts)</t>
        </is>
      </c>
      <c r="K143" s="6" t="inlineStr">
        <is>
          <t>Which document is the registered invoice and its printed fields are not fixed in the product; layout changes are outside OOTB.</t>
        </is>
      </c>
      <c r="L143" s="7" t="inlineStr"/>
    </row>
    <row r="144">
      <c r="A144" s="7" t="inlineStr">
        <is>
          <t>13.11</t>
        </is>
      </c>
      <c r="B144" s="6" t="inlineStr">
        <is>
          <t>Taxes and BIR compliance</t>
        </is>
      </c>
      <c r="C144" s="6" t="inlineStr">
        <is>
          <t>Computerized accounting system registration support (books, outputs, controls)</t>
        </is>
      </c>
      <c r="D144" s="7" t="inlineStr">
        <is>
          <t>Both</t>
        </is>
      </c>
      <c r="E144" s="7" t="inlineStr">
        <is>
          <t>BIR</t>
        </is>
      </c>
      <c r="F144" s="7" t="n">
        <v>3</v>
      </c>
      <c r="G144" s="11" t="n">
        <v>1</v>
      </c>
      <c r="H144" s="7">
        <f>F144*G144</f>
        <v/>
      </c>
      <c r="I144" s="7">
        <f>2*F144</f>
        <v/>
      </c>
      <c r="J144" s="6" t="inlineStr">
        <is>
          <t>Journals, ledgers, audit trail, period locks, number series; documentation pack</t>
        </is>
      </c>
      <c r="K144" s="6" t="inlineStr">
        <is>
          <t>No loose-leaf books print set or CAS output pack; registration is with the broker.</t>
        </is>
      </c>
      <c r="L144" s="7" t="inlineStr"/>
    </row>
    <row r="145">
      <c r="A145" s="7" t="inlineStr">
        <is>
          <t>13.12</t>
        </is>
      </c>
      <c r="B145" s="6" t="inlineStr">
        <is>
          <t>Taxes and BIR compliance</t>
        </is>
      </c>
      <c r="C145" s="6" t="inlineStr">
        <is>
          <t>Electronic invoicing and sales data transmission to BIR (EIS)</t>
        </is>
      </c>
      <c r="D145" s="7" t="inlineStr">
        <is>
          <t>Both</t>
        </is>
      </c>
      <c r="E145" s="7" t="inlineStr">
        <is>
          <t>BIR</t>
        </is>
      </c>
      <c r="F145" s="7" t="n">
        <v>1</v>
      </c>
      <c r="G145" s="13" t="n">
        <v>0</v>
      </c>
      <c r="H145" s="7">
        <f>F145*G145</f>
        <v/>
      </c>
      <c r="I145" s="7">
        <f>2*F145</f>
        <v/>
      </c>
      <c r="J145" s="6" t="inlineStr">
        <is>
          <t>None found</t>
        </is>
      </c>
      <c r="K145" s="6" t="inlineStr">
        <is>
          <t>No EIS connector (not yet mandatory for most brokers; to verify).</t>
        </is>
      </c>
      <c r="L145" s="7" t="inlineStr"/>
    </row>
    <row r="146">
      <c r="A146" s="7" t="inlineStr">
        <is>
          <t>13.13</t>
        </is>
      </c>
      <c r="B146" s="6" t="inlineStr">
        <is>
          <t>Taxes and BIR compliance</t>
        </is>
      </c>
      <c r="C146" s="6" t="inlineStr">
        <is>
          <t>BIR validation files (DAT) for alphalists and SLSP</t>
        </is>
      </c>
      <c r="D146" s="7" t="inlineStr">
        <is>
          <t>Both</t>
        </is>
      </c>
      <c r="E146" s="7" t="inlineStr">
        <is>
          <t>BIR</t>
        </is>
      </c>
      <c r="F146" s="7" t="n">
        <v>2</v>
      </c>
      <c r="G146" s="11" t="n">
        <v>1</v>
      </c>
      <c r="H146" s="7">
        <f>F146*G146</f>
        <v/>
      </c>
      <c r="I146" s="7">
        <f>2*F146</f>
        <v/>
      </c>
      <c r="J146" s="6" t="inlineStr">
        <is>
          <t>SAWT, QAP, SLSP as CSV or Excel in BIR column order</t>
        </is>
      </c>
      <c r="K146" s="6" t="inlineStr">
        <is>
          <t>Files are re-keyed or imported into the BIR tools; no DAT file.</t>
        </is>
      </c>
      <c r="L146" s="7" t="inlineStr"/>
    </row>
    <row r="147">
      <c r="A147" s="7" t="inlineStr">
        <is>
          <t>13.14</t>
        </is>
      </c>
      <c r="B147" s="6" t="inlineStr">
        <is>
          <t>Taxes and BIR compliance</t>
        </is>
      </c>
      <c r="C147" s="6" t="inlineStr">
        <is>
          <t>Tax codes with ATC, rates, GL account and effective dates</t>
        </is>
      </c>
      <c r="D147" s="7" t="inlineStr">
        <is>
          <t>Both</t>
        </is>
      </c>
      <c r="E147" s="7" t="inlineStr">
        <is>
          <t>BIR</t>
        </is>
      </c>
      <c r="F147" s="7" t="n">
        <v>2</v>
      </c>
      <c r="G147" s="12" t="n">
        <v>2</v>
      </c>
      <c r="H147" s="7">
        <f>F147*G147</f>
        <v/>
      </c>
      <c r="I147" s="7">
        <f>2*F147</f>
        <v/>
      </c>
      <c r="J147" s="6" t="inlineStr">
        <is>
          <t>Master &gt; Finance &gt; Taxation; commission-taxes.test.js</t>
        </is>
      </c>
      <c r="K147" s="6" t="inlineStr"/>
      <c r="L147" s="7" t="inlineStr"/>
    </row>
    <row r="148">
      <c r="A148" s="9" t="inlineStr">
        <is>
          <t>14</t>
        </is>
      </c>
      <c r="B148" s="9" t="inlineStr">
        <is>
          <t>Insurance Commission and Data Privacy compliance</t>
        </is>
      </c>
      <c r="C148" s="9" t="inlineStr">
        <is>
          <t>L1 subtotal: fit 60.7%</t>
        </is>
      </c>
      <c r="D148" s="9" t="inlineStr"/>
      <c r="E148" s="9" t="inlineStr"/>
      <c r="F148" s="10" t="n">
        <v>28</v>
      </c>
      <c r="G148" s="9" t="inlineStr"/>
      <c r="H148" s="10" t="n">
        <v>34</v>
      </c>
      <c r="I148" s="10" t="n">
        <v>56</v>
      </c>
      <c r="J148" s="9" t="inlineStr"/>
      <c r="K148" s="9" t="inlineStr"/>
      <c r="L148" s="9" t="inlineStr"/>
    </row>
    <row r="149">
      <c r="A149" s="7" t="inlineStr">
        <is>
          <t>14.01</t>
        </is>
      </c>
      <c r="B149" s="6" t="inlineStr">
        <is>
          <t>Insurance Commission and Data Privacy compliance</t>
        </is>
      </c>
      <c r="C149" s="6" t="inlineStr">
        <is>
          <t>IC licence number on company master and documents</t>
        </is>
      </c>
      <c r="D149" s="7" t="inlineStr">
        <is>
          <t>Both</t>
        </is>
      </c>
      <c r="E149" s="7" t="inlineStr">
        <is>
          <t>IC</t>
        </is>
      </c>
      <c r="F149" s="7" t="n">
        <v>1</v>
      </c>
      <c r="G149" s="12" t="n">
        <v>2</v>
      </c>
      <c r="H149" s="7">
        <f>F149*G149</f>
        <v/>
      </c>
      <c r="I149" s="7">
        <f>2*F149</f>
        <v/>
      </c>
      <c r="J149" s="6" t="inlineStr">
        <is>
          <t>Company master (IC licence number); printing.test.js</t>
        </is>
      </c>
      <c r="K149" s="6" t="inlineStr"/>
      <c r="L149" s="7" t="inlineStr"/>
    </row>
    <row r="150">
      <c r="A150" s="7" t="inlineStr">
        <is>
          <t>14.02</t>
        </is>
      </c>
      <c r="B150" s="6" t="inlineStr">
        <is>
          <t>Insurance Commission and Data Privacy compliance</t>
        </is>
      </c>
      <c r="C150" s="6" t="inlineStr">
        <is>
          <t>Licence renewal tracking of the firm and licensed individuals</t>
        </is>
      </c>
      <c r="D150" s="7" t="inlineStr">
        <is>
          <t>Both</t>
        </is>
      </c>
      <c r="E150" s="7" t="inlineStr">
        <is>
          <t>IC</t>
        </is>
      </c>
      <c r="F150" s="7" t="n">
        <v>2</v>
      </c>
      <c r="G150" s="13" t="n">
        <v>0</v>
      </c>
      <c r="H150" s="7">
        <f>F150*G150</f>
        <v/>
      </c>
      <c r="I150" s="7">
        <f>2*F150</f>
        <v/>
      </c>
      <c r="J150" s="6" t="inlineStr">
        <is>
          <t>None found</t>
        </is>
      </c>
      <c r="K150" s="6" t="inlineStr">
        <is>
          <t>No licence expiry calendar for the firm, its officers or solicitors.</t>
        </is>
      </c>
      <c r="L150" s="7" t="inlineStr"/>
    </row>
    <row r="151">
      <c r="A151" s="7" t="inlineStr">
        <is>
          <t>14.03</t>
        </is>
      </c>
      <c r="B151" s="6" t="inlineStr">
        <is>
          <t>Insurance Commission and Data Privacy compliance</t>
        </is>
      </c>
      <c r="C151" s="6" t="inlineStr">
        <is>
          <t>Fit and proper records of directors and officers</t>
        </is>
      </c>
      <c r="D151" s="7" t="inlineStr">
        <is>
          <t>Both</t>
        </is>
      </c>
      <c r="E151" s="7" t="inlineStr">
        <is>
          <t>IC</t>
        </is>
      </c>
      <c r="F151" s="7" t="n">
        <v>1</v>
      </c>
      <c r="G151" s="13" t="n">
        <v>0</v>
      </c>
      <c r="H151" s="7">
        <f>F151*G151</f>
        <v/>
      </c>
      <c r="I151" s="7">
        <f>2*F151</f>
        <v/>
      </c>
      <c r="J151" s="6" t="inlineStr">
        <is>
          <t>None found</t>
        </is>
      </c>
      <c r="K151" s="6" t="inlineStr">
        <is>
          <t>Kept outside the system.</t>
        </is>
      </c>
      <c r="L151" s="7" t="inlineStr"/>
    </row>
    <row r="152">
      <c r="A152" s="7" t="inlineStr">
        <is>
          <t>14.04</t>
        </is>
      </c>
      <c r="B152" s="6" t="inlineStr">
        <is>
          <t>Insurance Commission and Data Privacy compliance</t>
        </is>
      </c>
      <c r="C152" s="6" t="inlineStr">
        <is>
          <t>IC annual statement and financial reports in the IC format</t>
        </is>
      </c>
      <c r="D152" s="7" t="inlineStr">
        <is>
          <t>Both</t>
        </is>
      </c>
      <c r="E152" s="7" t="inlineStr">
        <is>
          <t>IC</t>
        </is>
      </c>
      <c r="F152" s="7" t="n">
        <v>3</v>
      </c>
      <c r="G152" s="11" t="n">
        <v>1</v>
      </c>
      <c r="H152" s="7">
        <f>F152*G152</f>
        <v/>
      </c>
      <c r="I152" s="7">
        <f>2*F152</f>
        <v/>
      </c>
      <c r="J152" s="6" t="inlineStr">
        <is>
          <t>Financial Statements; Trial Balance (figures only)</t>
        </is>
      </c>
      <c r="K152" s="6" t="inlineStr">
        <is>
          <t>No IC-format report (checklist item 60).</t>
        </is>
      </c>
      <c r="L152" s="7" t="inlineStr"/>
    </row>
    <row r="153">
      <c r="A153" s="7" t="inlineStr">
        <is>
          <t>14.05</t>
        </is>
      </c>
      <c r="B153" s="6" t="inlineStr">
        <is>
          <t>Insurance Commission and Data Privacy compliance</t>
        </is>
      </c>
      <c r="C153" s="6" t="inlineStr">
        <is>
          <t>IC production and business reports (premium placed by insurer and line)</t>
        </is>
      </c>
      <c r="D153" s="7" t="inlineStr">
        <is>
          <t>Both</t>
        </is>
      </c>
      <c r="E153" s="7" t="inlineStr">
        <is>
          <t>IC</t>
        </is>
      </c>
      <c r="F153" s="7" t="n">
        <v>2</v>
      </c>
      <c r="G153" s="11" t="n">
        <v>1</v>
      </c>
      <c r="H153" s="7">
        <f>F153*G153</f>
        <v/>
      </c>
      <c r="I153" s="7">
        <f>2*F153</f>
        <v/>
      </c>
      <c r="J153" s="6" t="inlineStr">
        <is>
          <t>Production Register; Premium by Product / Month / Insurer</t>
        </is>
      </c>
      <c r="K153" s="6" t="inlineStr">
        <is>
          <t>Figures available; IC layout not produced.</t>
        </is>
      </c>
      <c r="L153" s="7" t="inlineStr"/>
    </row>
    <row r="154">
      <c r="A154" s="7" t="inlineStr">
        <is>
          <t>14.06</t>
        </is>
      </c>
      <c r="B154" s="6" t="inlineStr">
        <is>
          <t>Insurance Commission and Data Privacy compliance</t>
        </is>
      </c>
      <c r="C154" s="6" t="inlineStr">
        <is>
          <t>Records of business available for IC examination</t>
        </is>
      </c>
      <c r="D154" s="7" t="inlineStr">
        <is>
          <t>Both</t>
        </is>
      </c>
      <c r="E154" s="7" t="inlineStr">
        <is>
          <t>IC</t>
        </is>
      </c>
      <c r="F154" s="7" t="n">
        <v>3</v>
      </c>
      <c r="G154" s="12" t="n">
        <v>2</v>
      </c>
      <c r="H154" s="7">
        <f>F154*G154</f>
        <v/>
      </c>
      <c r="I154" s="7">
        <f>2*F154</f>
        <v/>
      </c>
      <c r="J154" s="6" t="inlineStr">
        <is>
          <t>Numbered placement trail RFQ to policy to receipt; reports; audit log</t>
        </is>
      </c>
      <c r="K154" s="6" t="inlineStr"/>
      <c r="L154" s="7" t="inlineStr"/>
    </row>
    <row r="155">
      <c r="A155" s="7" t="inlineStr">
        <is>
          <t>14.07</t>
        </is>
      </c>
      <c r="B155" s="6" t="inlineStr">
        <is>
          <t>Insurance Commission and Data Privacy compliance</t>
        </is>
      </c>
      <c r="C155" s="6" t="inlineStr">
        <is>
          <t>Premium held in trust for insurers, apart from own funds</t>
        </is>
      </c>
      <c r="D155" s="7" t="inlineStr">
        <is>
          <t>Both</t>
        </is>
      </c>
      <c r="E155" s="7" t="inlineStr">
        <is>
          <t>IC</t>
        </is>
      </c>
      <c r="F155" s="7" t="n">
        <v>3</v>
      </c>
      <c r="G155" s="12" t="n">
        <v>2</v>
      </c>
      <c r="H155" s="7">
        <f>F155*G155</f>
        <v/>
      </c>
      <c r="I155" s="7">
        <f>2*F155</f>
        <v/>
      </c>
      <c r="J155" s="6" t="inlineStr">
        <is>
          <t>Premiums Payable to Insurers per insurer; Premium Trust Account; payment-segregation.test.js</t>
        </is>
      </c>
      <c r="K155" s="6" t="inlineStr"/>
      <c r="L155" s="7" t="inlineStr"/>
    </row>
    <row r="156">
      <c r="A156" s="7" t="inlineStr">
        <is>
          <t>14.08</t>
        </is>
      </c>
      <c r="B156" s="6" t="inlineStr">
        <is>
          <t>Insurance Commission and Data Privacy compliance</t>
        </is>
      </c>
      <c r="C156" s="6" t="inlineStr">
        <is>
          <t>Complaints handling and financial consumer protection (RA 11765)</t>
        </is>
      </c>
      <c r="D156" s="7" t="inlineStr">
        <is>
          <t>Both</t>
        </is>
      </c>
      <c r="E156" s="7" t="inlineStr">
        <is>
          <t>IC</t>
        </is>
      </c>
      <c r="F156" s="7" t="n">
        <v>2</v>
      </c>
      <c r="G156" s="13" t="n">
        <v>0</v>
      </c>
      <c r="H156" s="7">
        <f>F156*G156</f>
        <v/>
      </c>
      <c r="I156" s="7">
        <f>2*F156</f>
        <v/>
      </c>
      <c r="J156" s="6" t="inlineStr">
        <is>
          <t>None found (grep complaint returns nothing)</t>
        </is>
      </c>
      <c r="K156" s="6" t="inlineStr">
        <is>
          <t>No complaints register or response time tracking.</t>
        </is>
      </c>
      <c r="L156" s="7" t="inlineStr"/>
    </row>
    <row r="157">
      <c r="A157" s="7" t="inlineStr">
        <is>
          <t>14.09</t>
        </is>
      </c>
      <c r="B157" s="6" t="inlineStr">
        <is>
          <t>Insurance Commission and Data Privacy compliance</t>
        </is>
      </c>
      <c r="C157" s="6" t="inlineStr">
        <is>
          <t>Data subject requests, export and anonymisation</t>
        </is>
      </c>
      <c r="D157" s="7" t="inlineStr">
        <is>
          <t>Both</t>
        </is>
      </c>
      <c r="E157" s="7" t="inlineStr">
        <is>
          <t>NPC</t>
        </is>
      </c>
      <c r="F157" s="7" t="n">
        <v>3</v>
      </c>
      <c r="G157" s="12" t="n">
        <v>2</v>
      </c>
      <c r="H157" s="7">
        <f>F157*G157</f>
        <v/>
      </c>
      <c r="I157" s="7">
        <f>2*F157</f>
        <v/>
      </c>
      <c r="J157" s="6" t="inlineStr">
        <is>
          <t>Master &gt; Data Privacy &gt; Data Subject Requests; privacy.test.js</t>
        </is>
      </c>
      <c r="K157" s="6" t="inlineStr"/>
      <c r="L157" s="7" t="inlineStr"/>
    </row>
    <row r="158">
      <c r="A158" s="7" t="inlineStr">
        <is>
          <t>14.10</t>
        </is>
      </c>
      <c r="B158" s="6" t="inlineStr">
        <is>
          <t>Insurance Commission and Data Privacy compliance</t>
        </is>
      </c>
      <c r="C158" s="6" t="inlineStr">
        <is>
          <t>Retention and disposal of personal data</t>
        </is>
      </c>
      <c r="D158" s="7" t="inlineStr">
        <is>
          <t>Both</t>
        </is>
      </c>
      <c r="E158" s="7" t="inlineStr">
        <is>
          <t>NPC</t>
        </is>
      </c>
      <c r="F158" s="7" t="n">
        <v>2</v>
      </c>
      <c r="G158" s="12" t="n">
        <v>2</v>
      </c>
      <c r="H158" s="7">
        <f>F158*G158</f>
        <v/>
      </c>
      <c r="I158" s="7">
        <f>2*F158</f>
        <v/>
      </c>
      <c r="J158" s="6" t="inlineStr">
        <is>
          <t>privacy.retention_years; housekeeping.* settings; privacy.test.js</t>
        </is>
      </c>
      <c r="K158" s="6" t="inlineStr"/>
      <c r="L158" s="7" t="inlineStr"/>
    </row>
    <row r="159">
      <c r="A159" s="7" t="inlineStr">
        <is>
          <t>14.11</t>
        </is>
      </c>
      <c r="B159" s="6" t="inlineStr">
        <is>
          <t>Insurance Commission and Data Privacy compliance</t>
        </is>
      </c>
      <c r="C159" s="6" t="inlineStr">
        <is>
          <t>Breach detection support and breach register</t>
        </is>
      </c>
      <c r="D159" s="7" t="inlineStr">
        <is>
          <t>Both</t>
        </is>
      </c>
      <c r="E159" s="7" t="inlineStr">
        <is>
          <t>NPC</t>
        </is>
      </c>
      <c r="F159" s="7" t="n">
        <v>2</v>
      </c>
      <c r="G159" s="11" t="n">
        <v>1</v>
      </c>
      <c r="H159" s="7">
        <f>F159*G159</f>
        <v/>
      </c>
      <c r="I159" s="7">
        <f>2*F159</f>
        <v/>
      </c>
      <c r="J159" s="6" t="inlineStr">
        <is>
          <t>Login history, audit log, failed sign-in alarms</t>
        </is>
      </c>
      <c r="K159" s="6" t="inlineStr">
        <is>
          <t>No breach register or 72-hour notification tracker.</t>
        </is>
      </c>
      <c r="L159" s="7" t="inlineStr"/>
    </row>
    <row r="160">
      <c r="A160" s="7" t="inlineStr">
        <is>
          <t>14.12</t>
        </is>
      </c>
      <c r="B160" s="6" t="inlineStr">
        <is>
          <t>Insurance Commission and Data Privacy compliance</t>
        </is>
      </c>
      <c r="C160" s="6" t="inlineStr">
        <is>
          <t>Masking of personal data on screens and exports by role</t>
        </is>
      </c>
      <c r="D160" s="7" t="inlineStr">
        <is>
          <t>Both</t>
        </is>
      </c>
      <c r="E160" s="7" t="inlineStr">
        <is>
          <t>NPC</t>
        </is>
      </c>
      <c r="F160" s="7" t="n">
        <v>2</v>
      </c>
      <c r="G160" s="13" t="n">
        <v>0</v>
      </c>
      <c r="H160" s="7">
        <f>F160*G160</f>
        <v/>
      </c>
      <c r="I160" s="7">
        <f>2*F160</f>
        <v/>
      </c>
      <c r="J160" s="6" t="inlineStr">
        <is>
          <t>Not delivered (in development)</t>
        </is>
      </c>
      <c r="K160" s="6" t="inlineStr">
        <is>
          <t>Personal identifiers shown in full to every role with read access.</t>
        </is>
      </c>
      <c r="L160" s="7" t="inlineStr">
        <is>
          <t>Yes</t>
        </is>
      </c>
    </row>
    <row r="161">
      <c r="A161" s="7" t="inlineStr">
        <is>
          <t>14.13</t>
        </is>
      </c>
      <c r="B161" s="6" t="inlineStr">
        <is>
          <t>Insurance Commission and Data Privacy compliance</t>
        </is>
      </c>
      <c r="C161" s="6" t="inlineStr">
        <is>
          <t>Encryption of personal identifiers</t>
        </is>
      </c>
      <c r="D161" s="7" t="inlineStr">
        <is>
          <t>Both</t>
        </is>
      </c>
      <c r="E161" s="7" t="inlineStr">
        <is>
          <t>NPC</t>
        </is>
      </c>
      <c r="F161" s="7" t="n">
        <v>1</v>
      </c>
      <c r="G161" s="11" t="n">
        <v>1</v>
      </c>
      <c r="H161" s="7">
        <f>F161*G161</f>
        <v/>
      </c>
      <c r="I161" s="7">
        <f>2*F161</f>
        <v/>
      </c>
      <c r="J161" s="6" t="inlineStr">
        <is>
          <t>Storage encryption (hosting); two-step secrets AES-256-GCM; BV-DEF-003 open</t>
        </is>
      </c>
      <c r="K161" s="6" t="inlineStr">
        <is>
          <t>No field-level encryption of IDs and TIN.</t>
        </is>
      </c>
      <c r="L161" s="7" t="inlineStr"/>
    </row>
    <row r="162">
      <c r="A162" s="7" t="inlineStr">
        <is>
          <t>14.14</t>
        </is>
      </c>
      <c r="B162" s="6" t="inlineStr">
        <is>
          <t>Insurance Commission and Data Privacy compliance</t>
        </is>
      </c>
      <c r="C162" s="6" t="inlineStr">
        <is>
          <t>Data residency in the Philippines when required</t>
        </is>
      </c>
      <c r="D162" s="7" t="inlineStr">
        <is>
          <t>Both</t>
        </is>
      </c>
      <c r="E162" s="7" t="inlineStr">
        <is>
          <t>NPC</t>
        </is>
      </c>
      <c r="F162" s="7" t="n">
        <v>1</v>
      </c>
      <c r="G162" s="12" t="n">
        <v>2</v>
      </c>
      <c r="H162" s="7">
        <f>F162*G162</f>
        <v/>
      </c>
      <c r="I162" s="7">
        <f>2*F162</f>
        <v/>
      </c>
      <c r="J162" s="6" t="inlineStr">
        <is>
          <t>Hosting options: local partner or on-premise (architecture document)</t>
        </is>
      </c>
      <c r="K162" s="6" t="inlineStr"/>
      <c r="L162" s="7" t="inlineStr"/>
    </row>
    <row r="163">
      <c r="A163" s="9" t="inlineStr">
        <is>
          <t>15</t>
        </is>
      </c>
      <c r="B163" s="9" t="inlineStr">
        <is>
          <t>Reporting, administration, security and go-live</t>
        </is>
      </c>
      <c r="C163" s="9" t="inlineStr">
        <is>
          <t>L1 subtotal: fit 85.7%</t>
        </is>
      </c>
      <c r="D163" s="9" t="inlineStr"/>
      <c r="E163" s="9" t="inlineStr"/>
      <c r="F163" s="10" t="n">
        <v>35</v>
      </c>
      <c r="G163" s="9" t="inlineStr"/>
      <c r="H163" s="10" t="n">
        <v>60</v>
      </c>
      <c r="I163" s="10" t="n">
        <v>70</v>
      </c>
      <c r="J163" s="9" t="inlineStr"/>
      <c r="K163" s="9" t="inlineStr"/>
      <c r="L163" s="9" t="inlineStr"/>
    </row>
    <row r="164">
      <c r="A164" s="7" t="inlineStr">
        <is>
          <t>15.01</t>
        </is>
      </c>
      <c r="B164" s="6" t="inlineStr">
        <is>
          <t>Reporting, administration, security and go-live</t>
        </is>
      </c>
      <c r="C164" s="6" t="inlineStr">
        <is>
          <t>Report catalogue (39 reports) in Excel, CSV and PDF with scheduled e-mail</t>
        </is>
      </c>
      <c r="D164" s="7" t="inlineStr">
        <is>
          <t>Both</t>
        </is>
      </c>
      <c r="E164" s="7" t="inlineStr">
        <is>
          <t>Ops</t>
        </is>
      </c>
      <c r="F164" s="7" t="n">
        <v>3</v>
      </c>
      <c r="G164" s="12" t="n">
        <v>2</v>
      </c>
      <c r="H164" s="7">
        <f>F164*G164</f>
        <v/>
      </c>
      <c r="I164" s="7">
        <f>2*F164</f>
        <v/>
      </c>
      <c r="J164" s="6" t="inlineStr">
        <is>
          <t>Reports &gt; All Reports (/reports/catalogue); reports.test.js; Daily reports job</t>
        </is>
      </c>
      <c r="K164" s="6" t="inlineStr"/>
      <c r="L164" s="7" t="inlineStr"/>
    </row>
    <row r="165">
      <c r="A165" s="7" t="inlineStr">
        <is>
          <t>15.02</t>
        </is>
      </c>
      <c r="B165" s="6" t="inlineStr">
        <is>
          <t>Reporting, administration, security and go-live</t>
        </is>
      </c>
      <c r="C165" s="6" t="inlineStr">
        <is>
          <t>Role dashboards (executive, sales, processing, claims, commission)</t>
        </is>
      </c>
      <c r="D165" s="7" t="inlineStr">
        <is>
          <t>Both</t>
        </is>
      </c>
      <c r="E165" s="7" t="inlineStr">
        <is>
          <t>Ops</t>
        </is>
      </c>
      <c r="F165" s="7" t="n">
        <v>2</v>
      </c>
      <c r="G165" s="12" t="n">
        <v>2</v>
      </c>
      <c r="H165" s="7">
        <f>F165*G165</f>
        <v/>
      </c>
      <c r="I165" s="7">
        <f>2*F165</f>
        <v/>
      </c>
      <c r="J165" s="6" t="inlineStr">
        <is>
          <t>Dashboard menu; dashboard.test.js</t>
        </is>
      </c>
      <c r="K165" s="6" t="inlineStr"/>
      <c r="L165" s="7" t="inlineStr"/>
    </row>
    <row r="166">
      <c r="A166" s="7" t="inlineStr">
        <is>
          <t>15.03</t>
        </is>
      </c>
      <c r="B166" s="6" t="inlineStr">
        <is>
          <t>Reporting, administration, security and go-live</t>
        </is>
      </c>
      <c r="C166" s="6" t="inlineStr">
        <is>
          <t>Ad hoc reporting and BI extract</t>
        </is>
      </c>
      <c r="D166" s="7" t="inlineStr">
        <is>
          <t>Both</t>
        </is>
      </c>
      <c r="E166" s="7" t="inlineStr">
        <is>
          <t>Ops</t>
        </is>
      </c>
      <c r="F166" s="7" t="n">
        <v>1</v>
      </c>
      <c r="G166" s="11" t="n">
        <v>1</v>
      </c>
      <c r="H166" s="7">
        <f>F166*G166</f>
        <v/>
      </c>
      <c r="I166" s="7">
        <f>2*F166</f>
        <v/>
      </c>
      <c r="J166" s="6" t="inlineStr">
        <is>
          <t>Report criteria, filters and exports</t>
        </is>
      </c>
      <c r="K166" s="6" t="inlineStr">
        <is>
          <t>No report designer or data warehouse extract.</t>
        </is>
      </c>
      <c r="L166" s="7" t="inlineStr"/>
    </row>
    <row r="167">
      <c r="A167" s="7" t="inlineStr">
        <is>
          <t>15.04</t>
        </is>
      </c>
      <c r="B167" s="6" t="inlineStr">
        <is>
          <t>Reporting, administration, security and go-live</t>
        </is>
      </c>
      <c r="C167" s="6" t="inlineStr">
        <is>
          <t>Role-based access, deny by default, checked on every API call</t>
        </is>
      </c>
      <c r="D167" s="7" t="inlineStr">
        <is>
          <t>Both</t>
        </is>
      </c>
      <c r="E167" s="7" t="inlineStr">
        <is>
          <t>NPC</t>
        </is>
      </c>
      <c r="F167" s="7" t="n">
        <v>3</v>
      </c>
      <c r="G167" s="12" t="n">
        <v>2</v>
      </c>
      <c r="H167" s="7">
        <f>F167*G167</f>
        <v/>
      </c>
      <c r="I167" s="7">
        <f>2*F167</f>
        <v/>
      </c>
      <c r="J167" s="6" t="inlineStr">
        <is>
          <t>User Management &gt; Role Permissions, User Access Matrix; role-access.test.js; access-control.test.js</t>
        </is>
      </c>
      <c r="K167" s="6" t="inlineStr"/>
      <c r="L167" s="7" t="inlineStr"/>
    </row>
    <row r="168">
      <c r="A168" s="7" t="inlineStr">
        <is>
          <t>15.05</t>
        </is>
      </c>
      <c r="B168" s="6" t="inlineStr">
        <is>
          <t>Reporting, administration, security and go-live</t>
        </is>
      </c>
      <c r="C168" s="6" t="inlineStr">
        <is>
          <t>Maker-checker, authority matrix, delegations, SoD and access reviews</t>
        </is>
      </c>
      <c r="D168" s="7" t="inlineStr">
        <is>
          <t>Both</t>
        </is>
      </c>
      <c r="E168" s="7" t="inlineStr">
        <is>
          <t>Ops</t>
        </is>
      </c>
      <c r="F168" s="7" t="n">
        <v>3</v>
      </c>
      <c r="G168" s="12" t="n">
        <v>2</v>
      </c>
      <c r="H168" s="7">
        <f>F168*G168</f>
        <v/>
      </c>
      <c r="I168" s="7">
        <f>2*F168</f>
        <v/>
      </c>
      <c r="J168" s="6" t="inlineStr">
        <is>
          <t>User Management &gt; Authority Matrix, Delegations, Segregation of Duties, Access Reviews; user-access.test.js</t>
        </is>
      </c>
      <c r="K168" s="6" t="inlineStr"/>
      <c r="L168" s="7" t="inlineStr"/>
    </row>
    <row r="169">
      <c r="A169" s="7" t="inlineStr">
        <is>
          <t>15.06</t>
        </is>
      </c>
      <c r="B169" s="6" t="inlineStr">
        <is>
          <t>Reporting, administration, security and go-live</t>
        </is>
      </c>
      <c r="C169" s="6" t="inlineStr">
        <is>
          <t>Password policy, lockout and two-step verification</t>
        </is>
      </c>
      <c r="D169" s="7" t="inlineStr">
        <is>
          <t>Both</t>
        </is>
      </c>
      <c r="E169" s="7" t="inlineStr">
        <is>
          <t>NPC</t>
        </is>
      </c>
      <c r="F169" s="7" t="n">
        <v>3</v>
      </c>
      <c r="G169" s="12" t="n">
        <v>2</v>
      </c>
      <c r="H169" s="7">
        <f>F169*G169</f>
        <v/>
      </c>
      <c r="I169" s="7">
        <f>2*F169</f>
        <v/>
      </c>
      <c r="J169" s="6" t="inlineStr">
        <is>
          <t>security.require_2fa_roles; security.test.js; hardening.test.js</t>
        </is>
      </c>
      <c r="K169" s="6" t="inlineStr"/>
      <c r="L169" s="7" t="inlineStr"/>
    </row>
    <row r="170">
      <c r="A170" s="7" t="inlineStr">
        <is>
          <t>15.07</t>
        </is>
      </c>
      <c r="B170" s="6" t="inlineStr">
        <is>
          <t>Reporting, administration, security and go-live</t>
        </is>
      </c>
      <c r="C170" s="6" t="inlineStr">
        <is>
          <t>Audit trail with before and after values, searchable by users</t>
        </is>
      </c>
      <c r="D170" s="7" t="inlineStr">
        <is>
          <t>Both</t>
        </is>
      </c>
      <c r="E170" s="7" t="inlineStr">
        <is>
          <t>NPC</t>
        </is>
      </c>
      <c r="F170" s="7" t="n">
        <v>3</v>
      </c>
      <c r="G170" s="11" t="n">
        <v>1</v>
      </c>
      <c r="H170" s="7">
        <f>F170*G170</f>
        <v/>
      </c>
      <c r="I170" s="7">
        <f>2*F170</f>
        <v/>
      </c>
      <c r="J170" s="6" t="inlineStr">
        <is>
          <t>Master &gt; Configuration &gt; Audit Trail; audit log written for create, update, approval, report run, sign-in</t>
        </is>
      </c>
      <c r="K170" s="6" t="inlineStr">
        <is>
          <t>Audit log delivered; the reworked Audit Trail screen is in development and counted as not delivered.</t>
        </is>
      </c>
      <c r="L170" s="7" t="inlineStr">
        <is>
          <t>Yes</t>
        </is>
      </c>
    </row>
    <row r="171">
      <c r="A171" s="7" t="inlineStr">
        <is>
          <t>15.08</t>
        </is>
      </c>
      <c r="B171" s="6" t="inlineStr">
        <is>
          <t>Reporting, administration, security and go-live</t>
        </is>
      </c>
      <c r="C171" s="6" t="inlineStr">
        <is>
          <t>Menu organised by role and task</t>
        </is>
      </c>
      <c r="D171" s="7" t="inlineStr">
        <is>
          <t>Both</t>
        </is>
      </c>
      <c r="E171" s="7" t="inlineStr">
        <is>
          <t>Ops</t>
        </is>
      </c>
      <c r="F171" s="7" t="n">
        <v>1</v>
      </c>
      <c r="G171" s="11" t="n">
        <v>1</v>
      </c>
      <c r="H171" s="7">
        <f>F171*G171</f>
        <v/>
      </c>
      <c r="I171" s="7">
        <f>2*F171</f>
        <v/>
      </c>
      <c r="J171" s="6" t="inlineStr">
        <is>
          <t>brokerverse/src/components/SideBar/list.js (173 menu screens)</t>
        </is>
      </c>
      <c r="K171" s="6" t="inlineStr">
        <is>
          <t>Menu redesign in development.</t>
        </is>
      </c>
      <c r="L171" s="7" t="inlineStr">
        <is>
          <t>Yes</t>
        </is>
      </c>
    </row>
    <row r="172">
      <c r="A172" s="7" t="inlineStr">
        <is>
          <t>15.09</t>
        </is>
      </c>
      <c r="B172" s="6" t="inlineStr">
        <is>
          <t>Reporting, administration, security and go-live</t>
        </is>
      </c>
      <c r="C172" s="6" t="inlineStr">
        <is>
          <t>My Work: one inbox of tasks and approvals per user</t>
        </is>
      </c>
      <c r="D172" s="7" t="inlineStr">
        <is>
          <t>Both</t>
        </is>
      </c>
      <c r="E172" s="7" t="inlineStr">
        <is>
          <t>Ops</t>
        </is>
      </c>
      <c r="F172" s="7" t="n">
        <v>2</v>
      </c>
      <c r="G172" s="11" t="n">
        <v>1</v>
      </c>
      <c r="H172" s="7">
        <f>F172*G172</f>
        <v/>
      </c>
      <c r="I172" s="7">
        <f>2*F172</f>
        <v/>
      </c>
      <c r="J172" s="6" t="inlineStr">
        <is>
          <t>In-app notifications and approval notifications; approval-notifications.test.js</t>
        </is>
      </c>
      <c r="K172" s="6" t="inlineStr">
        <is>
          <t>My Work inbox in development.</t>
        </is>
      </c>
      <c r="L172" s="7" t="inlineStr">
        <is>
          <t>Yes</t>
        </is>
      </c>
    </row>
    <row r="173">
      <c r="A173" s="7" t="inlineStr">
        <is>
          <t>15.10</t>
        </is>
      </c>
      <c r="B173" s="6" t="inlineStr">
        <is>
          <t>Reporting, administration, security and go-live</t>
        </is>
      </c>
      <c r="C173" s="6" t="inlineStr">
        <is>
          <t>Document numbering and configuration with approval and audit</t>
        </is>
      </c>
      <c r="D173" s="7" t="inlineStr">
        <is>
          <t>Both</t>
        </is>
      </c>
      <c r="E173" s="7" t="inlineStr">
        <is>
          <t>Ops</t>
        </is>
      </c>
      <c r="F173" s="7" t="n">
        <v>2</v>
      </c>
      <c r="G173" s="12" t="n">
        <v>2</v>
      </c>
      <c r="H173" s="7">
        <f>F173*G173</f>
        <v/>
      </c>
      <c r="I173" s="7">
        <f>2*F173</f>
        <v/>
      </c>
      <c r="J173" s="6" t="inlineStr">
        <is>
          <t>Master &gt; Document Numbering, Configuration, Configuration Approvals; numbering.test.js; configuration-controls.test.js</t>
        </is>
      </c>
      <c r="K173" s="6" t="inlineStr"/>
      <c r="L173" s="7" t="inlineStr"/>
    </row>
    <row r="174">
      <c r="A174" s="7" t="inlineStr">
        <is>
          <t>15.11</t>
        </is>
      </c>
      <c r="B174" s="6" t="inlineStr">
        <is>
          <t>Reporting, administration, security and go-live</t>
        </is>
      </c>
      <c r="C174" s="6" t="inlineStr">
        <is>
          <t>Branding, letterhead and e-signature on documents</t>
        </is>
      </c>
      <c r="D174" s="7" t="inlineStr">
        <is>
          <t>Both</t>
        </is>
      </c>
      <c r="E174" s="7" t="inlineStr">
        <is>
          <t>Ops</t>
        </is>
      </c>
      <c r="F174" s="7" t="n">
        <v>1</v>
      </c>
      <c r="G174" s="11" t="n">
        <v>1</v>
      </c>
      <c r="H174" s="7">
        <f>F174*G174</f>
        <v/>
      </c>
      <c r="I174" s="7">
        <f>2*F174</f>
        <v/>
      </c>
      <c r="J174" s="6" t="inlineStr">
        <is>
          <t>Letterhead from Company master; System Settings logo and theme</t>
        </is>
      </c>
      <c r="K174" s="6" t="inlineStr">
        <is>
          <t>Branding and e-signature in development.</t>
        </is>
      </c>
      <c r="L174" s="7" t="inlineStr">
        <is>
          <t>Yes</t>
        </is>
      </c>
    </row>
    <row r="175">
      <c r="A175" s="7" t="inlineStr">
        <is>
          <t>15.12</t>
        </is>
      </c>
      <c r="B175" s="6" t="inlineStr">
        <is>
          <t>Reporting, administration, security and go-live</t>
        </is>
      </c>
      <c r="C175" s="6" t="inlineStr">
        <is>
          <t>Philippine reference masters (PSGC geography, banks, IDs, salutations, IC insurer list)</t>
        </is>
      </c>
      <c r="D175" s="7" t="inlineStr">
        <is>
          <t>Both</t>
        </is>
      </c>
      <c r="E175" s="7" t="inlineStr">
        <is>
          <t>Ops</t>
        </is>
      </c>
      <c r="F175" s="7" t="n">
        <v>2</v>
      </c>
      <c r="G175" s="11" t="n">
        <v>1</v>
      </c>
      <c r="H175" s="7">
        <f>F175*G175</f>
        <v/>
      </c>
      <c r="I175" s="7">
        <f>2*F175</f>
        <v/>
      </c>
      <c r="J175" s="6" t="inlineStr">
        <is>
          <t>Seeds: Metro Manila and selected LGUs (seeds/10_masters.sql); KYC ID setting</t>
        </is>
      </c>
      <c r="K175" s="6" t="inlineStr">
        <is>
          <t>Full Philippine masters are in development.</t>
        </is>
      </c>
      <c r="L175" s="7" t="inlineStr">
        <is>
          <t>Yes</t>
        </is>
      </c>
    </row>
    <row r="176">
      <c r="A176" s="7" t="inlineStr">
        <is>
          <t>15.13</t>
        </is>
      </c>
      <c r="B176" s="6" t="inlineStr">
        <is>
          <t>Reporting, administration, security and go-live</t>
        </is>
      </c>
      <c r="C176" s="6" t="inlineStr">
        <is>
          <t>Go-live data load: masters, in-force book, open items, GL opening balances</t>
        </is>
      </c>
      <c r="D176" s="7" t="inlineStr">
        <is>
          <t>Both</t>
        </is>
      </c>
      <c r="E176" s="7" t="inlineStr">
        <is>
          <t>Ops</t>
        </is>
      </c>
      <c r="F176" s="7" t="n">
        <v>3</v>
      </c>
      <c r="G176" s="12" t="n">
        <v>2</v>
      </c>
      <c r="H176" s="7">
        <f>F176*G176</f>
        <v/>
      </c>
      <c r="I176" s="7">
        <f>2*F176</f>
        <v/>
      </c>
      <c r="J176" s="6" t="inlineStr">
        <is>
          <t>Master &gt; Go-Live Data Load; go-live.test.js; go-live-workbench.test.js; go-live-roundtrip.test.js</t>
        </is>
      </c>
      <c r="K176" s="6" t="inlineStr"/>
      <c r="L176" s="7" t="inlineStr"/>
    </row>
    <row r="177">
      <c r="A177" s="7" t="inlineStr">
        <is>
          <t>15.14</t>
        </is>
      </c>
      <c r="B177" s="6" t="inlineStr">
        <is>
          <t>Reporting, administration, security and go-live</t>
        </is>
      </c>
      <c r="C177" s="6" t="inlineStr">
        <is>
          <t>Migration rehearsal and reconciliation</t>
        </is>
      </c>
      <c r="D177" s="7" t="inlineStr">
        <is>
          <t>Both</t>
        </is>
      </c>
      <c r="E177" s="7" t="inlineStr">
        <is>
          <t>Ops</t>
        </is>
      </c>
      <c r="F177" s="7" t="n">
        <v>2</v>
      </c>
      <c r="G177" s="12" t="n">
        <v>2</v>
      </c>
      <c r="H177" s="7">
        <f>F177*G177</f>
        <v/>
      </c>
      <c r="I177" s="7">
        <f>2*F177</f>
        <v/>
      </c>
      <c r="J177" s="6" t="inlineStr">
        <is>
          <t>scripts/golive-rehearsal.js; docs/e2e/GOLIVE_REHEARSAL_RUN.md (51 checks passed)</t>
        </is>
      </c>
      <c r="K177" s="6" t="inlineStr"/>
      <c r="L177" s="7" t="inlineStr"/>
    </row>
    <row r="178">
      <c r="A178" s="7" t="inlineStr">
        <is>
          <t>15.15</t>
        </is>
      </c>
      <c r="B178" s="6" t="inlineStr">
        <is>
          <t>Reporting, administration, security and go-live</t>
        </is>
      </c>
      <c r="C178" s="6" t="inlineStr">
        <is>
          <t>E-mail outbox and in-app notifications</t>
        </is>
      </c>
      <c r="D178" s="7" t="inlineStr">
        <is>
          <t>Both</t>
        </is>
      </c>
      <c r="E178" s="7" t="inlineStr">
        <is>
          <t>Ops</t>
        </is>
      </c>
      <c r="F178" s="7" t="n">
        <v>2</v>
      </c>
      <c r="G178" s="12" t="n">
        <v>2</v>
      </c>
      <c r="H178" s="7">
        <f>F178*G178</f>
        <v/>
      </c>
      <c r="I178" s="7">
        <f>2*F178</f>
        <v/>
      </c>
      <c r="J178" s="6" t="inlineStr">
        <is>
          <t>Master &gt; Configuration &gt; E-mail Outbox; email-outbox.test.js</t>
        </is>
      </c>
      <c r="K178" s="6" t="inlineStr"/>
      <c r="L178" s="7" t="inlineStr"/>
    </row>
    <row r="179">
      <c r="A179" s="7" t="inlineStr">
        <is>
          <t>15.16</t>
        </is>
      </c>
      <c r="B179" s="6" t="inlineStr">
        <is>
          <t>Reporting, administration, security and go-live</t>
        </is>
      </c>
      <c r="C179" s="6" t="inlineStr">
        <is>
          <t>Hosting choice, backups and disaster recovery</t>
        </is>
      </c>
      <c r="D179" s="7" t="inlineStr">
        <is>
          <t>Both</t>
        </is>
      </c>
      <c r="E179" s="7" t="inlineStr">
        <is>
          <t>Ops</t>
        </is>
      </c>
      <c r="F179" s="7" t="n">
        <v>2</v>
      </c>
      <c r="G179" s="12" t="n">
        <v>2</v>
      </c>
      <c r="H179" s="7">
        <f>F179*G179</f>
        <v/>
      </c>
      <c r="I179" s="7">
        <f>2*F179</f>
        <v/>
      </c>
      <c r="J179" s="6" t="inlineStr">
        <is>
          <t>Architecture and BCDR documents; /api/health</t>
        </is>
      </c>
      <c r="K179" s="6" t="inlineStr">
        <is>
          <t>Recovery objectives are recommended values; no DR test yet.</t>
        </is>
      </c>
      <c r="L179" s="7" t="inlineStr"/>
    </row>
    <row r="180">
      <c r="A180" s="4" t="inlineStr"/>
      <c r="B180" s="4" t="inlineStr">
        <is>
          <t>Total</t>
        </is>
      </c>
      <c r="C180" s="4" t="inlineStr">
        <is>
          <t>Overall fit 81.5%</t>
        </is>
      </c>
      <c r="D180" s="4" t="inlineStr"/>
      <c r="E180" s="4" t="inlineStr"/>
      <c r="F180" s="4" t="inlineStr"/>
      <c r="G180" s="4" t="inlineStr"/>
      <c r="H180" s="14">
        <f>SUMIF(A2:A179,"*.*",H2:H179)</f>
        <v/>
      </c>
      <c r="I180" s="14">
        <f>SUMIF(A2:A179,"*.*",I2:I179)</f>
        <v/>
      </c>
      <c r="J180" s="4" t="inlineStr"/>
      <c r="K180" s="4" t="inlineStr"/>
      <c r="L180" s="4" t="inlineStr"/>
    </row>
  </sheetData>
  <autoFilter ref="A1:L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28" customWidth="1" min="3" max="3"/>
    <col width="44" customWidth="1" min="4" max="4"/>
    <col width="8" customWidth="1" min="5" max="5"/>
    <col width="8" customWidth="1" min="6" max="6"/>
    <col width="7" customWidth="1" min="7" max="7"/>
    <col width="8" customWidth="1" min="8" max="8"/>
    <col width="60" customWidth="1" min="9" max="9"/>
    <col width="14" customWidth="1" min="10" max="10"/>
    <col width="8" customWidth="1" min="11" max="11"/>
    <col width="12" customWidth="1" min="12" max="12"/>
  </cols>
  <sheetData>
    <row r="1" ht="30" customHeight="1">
      <c r="A1" s="3" t="inlineStr">
        <is>
          <t>Rank</t>
        </is>
      </c>
      <c r="B1" s="3" t="inlineStr">
        <is>
          <t>ID</t>
        </is>
      </c>
      <c r="C1" s="3" t="inlineStr">
        <is>
          <t>L1 process area</t>
        </is>
      </c>
      <c r="D1" s="3" t="inlineStr">
        <is>
          <t>L2 process</t>
        </is>
      </c>
      <c r="E1" s="3" t="inlineStr">
        <is>
          <t>Type</t>
        </is>
      </c>
      <c r="F1" s="3" t="inlineStr">
        <is>
          <t>Weight</t>
        </is>
      </c>
      <c r="G1" s="3" t="inlineStr">
        <is>
          <t>Score</t>
        </is>
      </c>
      <c r="H1" s="3" t="inlineStr">
        <is>
          <t>Impact</t>
        </is>
      </c>
      <c r="I1" s="3" t="inlineStr">
        <is>
          <t>Gap</t>
        </is>
      </c>
      <c r="J1" s="3" t="inlineStr">
        <is>
          <t>Fix type</t>
        </is>
      </c>
      <c r="K1" s="3" t="inlineStr">
        <is>
          <t>Effort</t>
        </is>
      </c>
      <c r="L1" s="3" t="inlineStr">
        <is>
          <t>In development</t>
        </is>
      </c>
    </row>
    <row r="2">
      <c r="A2" s="7" t="n">
        <v>1</v>
      </c>
      <c r="B2" s="7" t="inlineStr">
        <is>
          <t>1.05</t>
        </is>
      </c>
      <c r="C2" s="6" t="inlineStr">
        <is>
          <t>Client onboarding, KYC and AML</t>
        </is>
      </c>
      <c r="D2" s="6" t="inlineStr">
        <is>
          <t>Beneficial ownership of juridical clients</t>
        </is>
      </c>
      <c r="E2" s="7" t="inlineStr">
        <is>
          <t>AMLC</t>
        </is>
      </c>
      <c r="F2" s="7" t="n">
        <v>2</v>
      </c>
      <c r="G2" s="13" t="n">
        <v>0</v>
      </c>
      <c r="H2" s="7" t="n">
        <v>6</v>
      </c>
      <c r="I2" s="6" t="inlineStr">
        <is>
          <t>No beneficial owner capture.</t>
        </is>
      </c>
      <c r="J2" s="7" t="inlineStr">
        <is>
          <t>Code</t>
        </is>
      </c>
      <c r="K2" s="7" t="inlineStr">
        <is>
          <t>S</t>
        </is>
      </c>
      <c r="L2" s="7" t="inlineStr"/>
    </row>
    <row r="3">
      <c r="A3" s="7" t="n">
        <v>2</v>
      </c>
      <c r="B3" s="7" t="inlineStr">
        <is>
          <t>10.09</t>
        </is>
      </c>
      <c r="C3" s="6" t="inlineStr">
        <is>
          <t>Commission, referrers and incentives</t>
        </is>
      </c>
      <c r="D3" s="6" t="inlineStr">
        <is>
          <t>Licence check of agents and sub-agents before paying commission</t>
        </is>
      </c>
      <c r="E3" s="7" t="inlineStr">
        <is>
          <t>IC</t>
        </is>
      </c>
      <c r="F3" s="7" t="n">
        <v>2</v>
      </c>
      <c r="G3" s="13" t="n">
        <v>0</v>
      </c>
      <c r="H3" s="7" t="n">
        <v>6</v>
      </c>
      <c r="I3" s="6" t="inlineStr">
        <is>
          <t>Commission can be paid to a referrer without a valid IC licence where one is required.</t>
        </is>
      </c>
      <c r="J3" s="7" t="inlineStr">
        <is>
          <t>Code</t>
        </is>
      </c>
      <c r="K3" s="7" t="inlineStr">
        <is>
          <t>S</t>
        </is>
      </c>
      <c r="L3" s="7" t="inlineStr"/>
    </row>
    <row r="4">
      <c r="A4" s="7" t="n">
        <v>3</v>
      </c>
      <c r="B4" s="7" t="inlineStr">
        <is>
          <t>14.02</t>
        </is>
      </c>
      <c r="C4" s="6" t="inlineStr">
        <is>
          <t>Insurance Commission and Data Privacy compliance</t>
        </is>
      </c>
      <c r="D4" s="6" t="inlineStr">
        <is>
          <t>Licence renewal tracking of the firm and licensed individuals</t>
        </is>
      </c>
      <c r="E4" s="7" t="inlineStr">
        <is>
          <t>IC</t>
        </is>
      </c>
      <c r="F4" s="7" t="n">
        <v>2</v>
      </c>
      <c r="G4" s="13" t="n">
        <v>0</v>
      </c>
      <c r="H4" s="7" t="n">
        <v>6</v>
      </c>
      <c r="I4" s="6" t="inlineStr">
        <is>
          <t>No licence expiry calendar for the firm, its officers or solicitors.</t>
        </is>
      </c>
      <c r="J4" s="7" t="inlineStr">
        <is>
          <t>Code</t>
        </is>
      </c>
      <c r="K4" s="7" t="inlineStr">
        <is>
          <t>S</t>
        </is>
      </c>
      <c r="L4" s="7" t="inlineStr"/>
    </row>
    <row r="5">
      <c r="A5" s="7" t="n">
        <v>4</v>
      </c>
      <c r="B5" s="7" t="inlineStr">
        <is>
          <t>14.08</t>
        </is>
      </c>
      <c r="C5" s="6" t="inlineStr">
        <is>
          <t>Insurance Commission and Data Privacy compliance</t>
        </is>
      </c>
      <c r="D5" s="6" t="inlineStr">
        <is>
          <t>Complaints handling and financial consumer protection (RA 11765)</t>
        </is>
      </c>
      <c r="E5" s="7" t="inlineStr">
        <is>
          <t>IC</t>
        </is>
      </c>
      <c r="F5" s="7" t="n">
        <v>2</v>
      </c>
      <c r="G5" s="13" t="n">
        <v>0</v>
      </c>
      <c r="H5" s="7" t="n">
        <v>6</v>
      </c>
      <c r="I5" s="6" t="inlineStr">
        <is>
          <t>No complaints register or response time tracking.</t>
        </is>
      </c>
      <c r="J5" s="7" t="inlineStr">
        <is>
          <t>Code</t>
        </is>
      </c>
      <c r="K5" s="7" t="inlineStr">
        <is>
          <t>S</t>
        </is>
      </c>
      <c r="L5" s="7" t="inlineStr"/>
    </row>
    <row r="6">
      <c r="A6" s="7" t="n">
        <v>5</v>
      </c>
      <c r="B6" s="7" t="inlineStr">
        <is>
          <t>1.04</t>
        </is>
      </c>
      <c r="C6" s="6" t="inlineStr">
        <is>
          <t>Client onboarding, KYC and AML</t>
        </is>
      </c>
      <c r="D6" s="6" t="inlineStr">
        <is>
          <t>Risk-based customer due diligence rating and enhanced due diligence</t>
        </is>
      </c>
      <c r="E6" s="7" t="inlineStr">
        <is>
          <t>AMLC</t>
        </is>
      </c>
      <c r="F6" s="7" t="n">
        <v>2</v>
      </c>
      <c r="G6" s="13" t="n">
        <v>0</v>
      </c>
      <c r="H6" s="7" t="n">
        <v>6</v>
      </c>
      <c r="I6" s="6" t="inlineStr">
        <is>
          <t>No customer risk rating, EDD workflow or periodic KYC refresh.</t>
        </is>
      </c>
      <c r="J6" s="7" t="inlineStr">
        <is>
          <t>Code</t>
        </is>
      </c>
      <c r="K6" s="7" t="inlineStr">
        <is>
          <t>M</t>
        </is>
      </c>
      <c r="L6" s="7" t="inlineStr"/>
    </row>
    <row r="7">
      <c r="A7" s="7" t="n">
        <v>6</v>
      </c>
      <c r="B7" s="7" t="inlineStr">
        <is>
          <t>1.06</t>
        </is>
      </c>
      <c r="C7" s="6" t="inlineStr">
        <is>
          <t>Client onboarding, KYC and AML</t>
        </is>
      </c>
      <c r="D7" s="6" t="inlineStr">
        <is>
          <t>Sanctions, PEP and negative list screening</t>
        </is>
      </c>
      <c r="E7" s="7" t="inlineStr">
        <is>
          <t>AMLC</t>
        </is>
      </c>
      <c r="F7" s="7" t="n">
        <v>2</v>
      </c>
      <c r="G7" s="13" t="n">
        <v>0</v>
      </c>
      <c r="H7" s="7" t="n">
        <v>6</v>
      </c>
      <c r="I7" s="6" t="inlineStr">
        <is>
          <t>No screening at onboarding or at payment.</t>
        </is>
      </c>
      <c r="J7" s="7" t="inlineStr">
        <is>
          <t>Integration</t>
        </is>
      </c>
      <c r="K7" s="7" t="inlineStr">
        <is>
          <t>M</t>
        </is>
      </c>
      <c r="L7" s="7" t="inlineStr"/>
    </row>
    <row r="8">
      <c r="A8" s="7" t="n">
        <v>7</v>
      </c>
      <c r="B8" s="7" t="inlineStr">
        <is>
          <t>1.07</t>
        </is>
      </c>
      <c r="C8" s="6" t="inlineStr">
        <is>
          <t>Client onboarding, KYC and AML</t>
        </is>
      </c>
      <c r="D8" s="6" t="inlineStr">
        <is>
          <t>Covered and suspicious transaction monitoring and AMLC reporting</t>
        </is>
      </c>
      <c r="E8" s="7" t="inlineStr">
        <is>
          <t>AMLC</t>
        </is>
      </c>
      <c r="F8" s="7" t="n">
        <v>2</v>
      </c>
      <c r="G8" s="13" t="n">
        <v>0</v>
      </c>
      <c r="H8" s="7" t="n">
        <v>6</v>
      </c>
      <c r="I8" s="6" t="inlineStr">
        <is>
          <t>No threshold rules, alert queue or AMLC reporting file.</t>
        </is>
      </c>
      <c r="J8" s="7" t="inlineStr">
        <is>
          <t>Code</t>
        </is>
      </c>
      <c r="K8" s="7" t="inlineStr">
        <is>
          <t>M</t>
        </is>
      </c>
      <c r="L8" s="7" t="inlineStr"/>
    </row>
    <row r="9">
      <c r="A9" s="7" t="n">
        <v>8</v>
      </c>
      <c r="B9" s="7" t="inlineStr">
        <is>
          <t>14.12</t>
        </is>
      </c>
      <c r="C9" s="6" t="inlineStr">
        <is>
          <t>Insurance Commission and Data Privacy compliance</t>
        </is>
      </c>
      <c r="D9" s="6" t="inlineStr">
        <is>
          <t>Masking of personal data on screens and exports by role</t>
        </is>
      </c>
      <c r="E9" s="7" t="inlineStr">
        <is>
          <t>NPC</t>
        </is>
      </c>
      <c r="F9" s="7" t="n">
        <v>2</v>
      </c>
      <c r="G9" s="13" t="n">
        <v>0</v>
      </c>
      <c r="H9" s="7" t="n">
        <v>6</v>
      </c>
      <c r="I9" s="6" t="inlineStr">
        <is>
          <t>Personal identifiers shown in full to every role with read access.</t>
        </is>
      </c>
      <c r="J9" s="7" t="inlineStr">
        <is>
          <t>In development</t>
        </is>
      </c>
      <c r="K9" s="7" t="inlineStr">
        <is>
          <t>M</t>
        </is>
      </c>
      <c r="L9" s="7" t="inlineStr">
        <is>
          <t>Yes</t>
        </is>
      </c>
    </row>
    <row r="10">
      <c r="A10" s="7" t="n">
        <v>9</v>
      </c>
      <c r="B10" s="7" t="inlineStr">
        <is>
          <t>13.07</t>
        </is>
      </c>
      <c r="C10" s="6" t="inlineStr">
        <is>
          <t>Taxes and BIR compliance</t>
        </is>
      </c>
      <c r="D10" s="6" t="inlineStr">
        <is>
          <t>Monthly and quarterly EWT returns (0619-E, 1601-EQ) with QAP</t>
        </is>
      </c>
      <c r="E10" s="7" t="inlineStr">
        <is>
          <t>BIR</t>
        </is>
      </c>
      <c r="F10" s="7" t="n">
        <v>3</v>
      </c>
      <c r="G10" s="11" t="n">
        <v>1</v>
      </c>
      <c r="H10" s="7" t="n">
        <v>4.5</v>
      </c>
      <c r="I10" s="6" t="inlineStr">
        <is>
          <t>QAP is delivered; the return figures per ATC are not laid out as the 0619-E / 1601-EQ forms.</t>
        </is>
      </c>
      <c r="J10" s="7" t="inlineStr">
        <is>
          <t>Code</t>
        </is>
      </c>
      <c r="K10" s="7" t="inlineStr">
        <is>
          <t>S</t>
        </is>
      </c>
      <c r="L10" s="7" t="inlineStr"/>
    </row>
    <row r="11">
      <c r="A11" s="7" t="n">
        <v>10</v>
      </c>
      <c r="B11" s="7" t="inlineStr">
        <is>
          <t>15.07</t>
        </is>
      </c>
      <c r="C11" s="6" t="inlineStr">
        <is>
          <t>Reporting, administration, security and go-live</t>
        </is>
      </c>
      <c r="D11" s="6" t="inlineStr">
        <is>
          <t>Audit trail with before and after values, searchable by users</t>
        </is>
      </c>
      <c r="E11" s="7" t="inlineStr">
        <is>
          <t>NPC</t>
        </is>
      </c>
      <c r="F11" s="7" t="n">
        <v>3</v>
      </c>
      <c r="G11" s="11" t="n">
        <v>1</v>
      </c>
      <c r="H11" s="7" t="n">
        <v>4.5</v>
      </c>
      <c r="I11" s="6" t="inlineStr">
        <is>
          <t>Audit log delivered; the reworked Audit Trail screen is in development and counted as not delivered.</t>
        </is>
      </c>
      <c r="J11" s="7" t="inlineStr">
        <is>
          <t>In development</t>
        </is>
      </c>
      <c r="K11" s="7" t="inlineStr">
        <is>
          <t>S</t>
        </is>
      </c>
      <c r="L11" s="7" t="inlineStr">
        <is>
          <t>Yes</t>
        </is>
      </c>
    </row>
    <row r="12">
      <c r="A12" s="7" t="n">
        <v>11</v>
      </c>
      <c r="B12" s="7" t="inlineStr">
        <is>
          <t>13.10</t>
        </is>
      </c>
      <c r="C12" s="6" t="inlineStr">
        <is>
          <t>Taxes and BIR compliance</t>
        </is>
      </c>
      <c r="D12" s="6" t="inlineStr">
        <is>
          <t>Invoices under the EOPT Act and RR 7-2024 (invoice as primary document, required fields)</t>
        </is>
      </c>
      <c r="E12" s="7" t="inlineStr">
        <is>
          <t>BIR</t>
        </is>
      </c>
      <c r="F12" s="7" t="n">
        <v>3</v>
      </c>
      <c r="G12" s="11" t="n">
        <v>1</v>
      </c>
      <c r="H12" s="7" t="n">
        <v>4.5</v>
      </c>
      <c r="I12" s="6" t="inlineStr">
        <is>
          <t>Which document is the registered invoice and its printed fields are not fixed in the product; layout changes are outside OOTB.</t>
        </is>
      </c>
      <c r="J12" s="7" t="inlineStr">
        <is>
          <t>Code</t>
        </is>
      </c>
      <c r="K12" s="7" t="inlineStr">
        <is>
          <t>M</t>
        </is>
      </c>
      <c r="L12" s="7" t="inlineStr"/>
    </row>
    <row r="13">
      <c r="A13" s="7" t="n">
        <v>12</v>
      </c>
      <c r="B13" s="7" t="inlineStr">
        <is>
          <t>13.11</t>
        </is>
      </c>
      <c r="C13" s="6" t="inlineStr">
        <is>
          <t>Taxes and BIR compliance</t>
        </is>
      </c>
      <c r="D13" s="6" t="inlineStr">
        <is>
          <t>Computerized accounting system registration support (books, outputs, controls)</t>
        </is>
      </c>
      <c r="E13" s="7" t="inlineStr">
        <is>
          <t>BIR</t>
        </is>
      </c>
      <c r="F13" s="7" t="n">
        <v>3</v>
      </c>
      <c r="G13" s="11" t="n">
        <v>1</v>
      </c>
      <c r="H13" s="7" t="n">
        <v>4.5</v>
      </c>
      <c r="I13" s="6" t="inlineStr">
        <is>
          <t>No loose-leaf books print set or CAS output pack; registration is with the broker.</t>
        </is>
      </c>
      <c r="J13" s="7" t="inlineStr">
        <is>
          <t>Code</t>
        </is>
      </c>
      <c r="K13" s="7" t="inlineStr">
        <is>
          <t>M</t>
        </is>
      </c>
      <c r="L13" s="7" t="inlineStr"/>
    </row>
    <row r="14">
      <c r="A14" s="7" t="n">
        <v>13</v>
      </c>
      <c r="B14" s="7" t="inlineStr">
        <is>
          <t>14.04</t>
        </is>
      </c>
      <c r="C14" s="6" t="inlineStr">
        <is>
          <t>Insurance Commission and Data Privacy compliance</t>
        </is>
      </c>
      <c r="D14" s="6" t="inlineStr">
        <is>
          <t>IC annual statement and financial reports in the IC format</t>
        </is>
      </c>
      <c r="E14" s="7" t="inlineStr">
        <is>
          <t>IC</t>
        </is>
      </c>
      <c r="F14" s="7" t="n">
        <v>3</v>
      </c>
      <c r="G14" s="11" t="n">
        <v>1</v>
      </c>
      <c r="H14" s="7" t="n">
        <v>4.5</v>
      </c>
      <c r="I14" s="6" t="inlineStr">
        <is>
          <t>No IC-format report (checklist item 60).</t>
        </is>
      </c>
      <c r="J14" s="7" t="inlineStr">
        <is>
          <t>Code</t>
        </is>
      </c>
      <c r="K14" s="7" t="inlineStr">
        <is>
          <t>M</t>
        </is>
      </c>
      <c r="L14" s="7" t="inlineStr"/>
    </row>
    <row r="15">
      <c r="A15" s="7" t="n">
        <v>14</v>
      </c>
      <c r="B15" s="7" t="inlineStr">
        <is>
          <t>5.07</t>
        </is>
      </c>
      <c r="C15" s="6" t="inlineStr">
        <is>
          <t>Policy issuance, documents and motor (CTPL, LTO)</t>
        </is>
      </c>
      <c r="D15" s="6" t="inlineStr">
        <is>
          <t>CTPL certificate of cover authentication with the IC-accredited system and LTO</t>
        </is>
      </c>
      <c r="E15" s="7" t="inlineStr">
        <is>
          <t>IC</t>
        </is>
      </c>
      <c r="F15" s="7" t="n">
        <v>3</v>
      </c>
      <c r="G15" s="11" t="n">
        <v>1</v>
      </c>
      <c r="H15" s="7" t="n">
        <v>4.5</v>
      </c>
      <c r="I15" s="6" t="inlineStr">
        <is>
          <t>No integration with the authentication provider or LTO; done in the insurer or government portal.</t>
        </is>
      </c>
      <c r="J15" s="7" t="inlineStr">
        <is>
          <t>Integration</t>
        </is>
      </c>
      <c r="K15" s="7" t="inlineStr">
        <is>
          <t>L</t>
        </is>
      </c>
      <c r="L15" s="7" t="inlineStr"/>
    </row>
    <row r="16">
      <c r="A16" s="7" t="n">
        <v>15</v>
      </c>
      <c r="B16" s="7" t="inlineStr">
        <is>
          <t>4.07</t>
        </is>
      </c>
      <c r="C16" s="6" t="inlineStr">
        <is>
          <t>RFQ, placement, co-insurance and reinsurance</t>
        </is>
      </c>
      <c r="D16" s="6" t="inlineStr">
        <is>
          <t>Cover note or binder while the policy is pending</t>
        </is>
      </c>
      <c r="E16" s="7" t="inlineStr">
        <is>
          <t>Ops</t>
        </is>
      </c>
      <c r="F16" s="7" t="n">
        <v>2</v>
      </c>
      <c r="G16" s="13" t="n">
        <v>0</v>
      </c>
      <c r="H16" s="7" t="n">
        <v>4</v>
      </c>
      <c r="I16" s="6" t="inlineStr">
        <is>
          <t>No cover note document or temporary cover record.</t>
        </is>
      </c>
      <c r="J16" s="7" t="inlineStr">
        <is>
          <t>Code</t>
        </is>
      </c>
      <c r="K16" s="7" t="inlineStr">
        <is>
          <t>S</t>
        </is>
      </c>
      <c r="L16" s="7" t="inlineStr"/>
    </row>
    <row r="17">
      <c r="A17" s="7" t="n">
        <v>16</v>
      </c>
      <c r="B17" s="7" t="inlineStr">
        <is>
          <t>6.05</t>
        </is>
      </c>
      <c r="C17" s="6" t="inlineStr">
        <is>
          <t>Endorsements and cancellations</t>
        </is>
      </c>
      <c r="D17" s="6" t="inlineStr">
        <is>
          <t>Short-period rate scale when the insured cancels</t>
        </is>
      </c>
      <c r="E17" s="7" t="inlineStr">
        <is>
          <t>Ops</t>
        </is>
      </c>
      <c r="F17" s="7" t="n">
        <v>2</v>
      </c>
      <c r="G17" s="13" t="n">
        <v>0</v>
      </c>
      <c r="H17" s="7" t="n">
        <v>4</v>
      </c>
      <c r="I17" s="6" t="inlineStr">
        <is>
          <t>No short-period table or computation.</t>
        </is>
      </c>
      <c r="J17" s="7" t="inlineStr">
        <is>
          <t>Code</t>
        </is>
      </c>
      <c r="K17" s="7" t="inlineStr">
        <is>
          <t>S</t>
        </is>
      </c>
      <c r="L17" s="7" t="inlineStr"/>
    </row>
    <row r="18">
      <c r="A18" s="7" t="n">
        <v>17</v>
      </c>
      <c r="B18" s="7" t="inlineStr">
        <is>
          <t>8.12</t>
        </is>
      </c>
      <c r="C18" s="6" t="inlineStr">
        <is>
          <t>Billing, collection, credit control and receipts</t>
        </is>
      </c>
      <c r="D18" s="6" t="inlineStr">
        <is>
          <t>Post-dated cheque register and deposit on due date</t>
        </is>
      </c>
      <c r="E18" s="7" t="inlineStr">
        <is>
          <t>Ops</t>
        </is>
      </c>
      <c r="F18" s="7" t="n">
        <v>2</v>
      </c>
      <c r="G18" s="13" t="n">
        <v>0</v>
      </c>
      <c r="H18" s="7" t="n">
        <v>4</v>
      </c>
      <c r="I18" s="6" t="inlineStr">
        <is>
          <t>Post-dated cheques received from clients are not tracked until deposit.</t>
        </is>
      </c>
      <c r="J18" s="7" t="inlineStr">
        <is>
          <t>Code</t>
        </is>
      </c>
      <c r="K18" s="7" t="inlineStr">
        <is>
          <t>S</t>
        </is>
      </c>
      <c r="L18" s="7" t="inlineStr"/>
    </row>
    <row r="19">
      <c r="A19" s="7" t="n">
        <v>18</v>
      </c>
      <c r="B19" s="7" t="inlineStr">
        <is>
          <t>2.04</t>
        </is>
      </c>
      <c r="C19" s="6" t="inlineStr">
        <is>
          <t>Prospecting and sales pipeline</t>
        </is>
      </c>
      <c r="D19" s="6" t="inlineStr">
        <is>
          <t>Sales activities: calls, meetings, follow-up tasks and reminders</t>
        </is>
      </c>
      <c r="E19" s="7" t="inlineStr">
        <is>
          <t>Ops</t>
        </is>
      </c>
      <c r="F19" s="7" t="n">
        <v>2</v>
      </c>
      <c r="G19" s="13" t="n">
        <v>0</v>
      </c>
      <c r="H19" s="7" t="n">
        <v>4</v>
      </c>
      <c r="I19" s="6" t="inlineStr">
        <is>
          <t>Account executives cannot log activities or schedule follow-ups on a prospect.</t>
        </is>
      </c>
      <c r="J19" s="7" t="inlineStr">
        <is>
          <t>In development</t>
        </is>
      </c>
      <c r="K19" s="7" t="inlineStr">
        <is>
          <t>M</t>
        </is>
      </c>
      <c r="L19" s="7" t="inlineStr">
        <is>
          <t>Yes</t>
        </is>
      </c>
    </row>
    <row r="20">
      <c r="A20" s="7" t="n">
        <v>19</v>
      </c>
      <c r="B20" s="7" t="inlineStr">
        <is>
          <t>9.05</t>
        </is>
      </c>
      <c r="C20" s="6" t="inlineStr">
        <is>
          <t>Remittance, direct bill and insurer reconciliation</t>
        </is>
      </c>
      <c r="D20" s="6" t="inlineStr">
        <is>
          <t>Bank payment file (InstaPay, PESONet, bulk credit) for insurers and referrers</t>
        </is>
      </c>
      <c r="E20" s="7" t="inlineStr">
        <is>
          <t>Ops</t>
        </is>
      </c>
      <c r="F20" s="7" t="n">
        <v>2</v>
      </c>
      <c r="G20" s="13" t="n">
        <v>0</v>
      </c>
      <c r="H20" s="7" t="n">
        <v>4</v>
      </c>
      <c r="I20" s="6" t="inlineStr">
        <is>
          <t>No bank upload file; payments keyed in the bank portal.</t>
        </is>
      </c>
      <c r="J20" s="7" t="inlineStr">
        <is>
          <t>Integration</t>
        </is>
      </c>
      <c r="K20" s="7" t="inlineStr">
        <is>
          <t>M</t>
        </is>
      </c>
      <c r="L20" s="7" t="inlineStr"/>
    </row>
    <row r="21">
      <c r="A21" s="7" t="n">
        <v>20</v>
      </c>
      <c r="B21" s="7" t="inlineStr">
        <is>
          <t>1.02</t>
        </is>
      </c>
      <c r="C21" s="6" t="inlineStr">
        <is>
          <t>Client onboarding, KYC and AML</t>
        </is>
      </c>
      <c r="D21" s="6" t="inlineStr">
        <is>
          <t>Corporate client with TIN, registered name and authorised signatories</t>
        </is>
      </c>
      <c r="E21" s="7" t="inlineStr">
        <is>
          <t>AMLC</t>
        </is>
      </c>
      <c r="F21" s="7" t="n">
        <v>2</v>
      </c>
      <c r="G21" s="11" t="n">
        <v>1</v>
      </c>
      <c r="H21" s="7" t="n">
        <v>3</v>
      </c>
      <c r="I21" s="6" t="inlineStr">
        <is>
          <t>No structured authorised persons or board resolution record for juridical clients.</t>
        </is>
      </c>
      <c r="J21" s="7" t="inlineStr">
        <is>
          <t>Code</t>
        </is>
      </c>
      <c r="K21" s="7" t="inlineStr">
        <is>
          <t>S</t>
        </is>
      </c>
      <c r="L21" s="7" t="inlineStr"/>
    </row>
    <row r="22">
      <c r="A22" s="7" t="n">
        <v>21</v>
      </c>
      <c r="B22" s="7" t="inlineStr">
        <is>
          <t>13.08</t>
        </is>
      </c>
      <c r="C22" s="6" t="inlineStr">
        <is>
          <t>Taxes and BIR compliance</t>
        </is>
      </c>
      <c r="D22" s="6" t="inlineStr">
        <is>
          <t>Annual information return and alphalist (1604-E)</t>
        </is>
      </c>
      <c r="E22" s="7" t="inlineStr">
        <is>
          <t>BIR</t>
        </is>
      </c>
      <c r="F22" s="7" t="n">
        <v>2</v>
      </c>
      <c r="G22" s="11" t="n">
        <v>1</v>
      </c>
      <c r="H22" s="7" t="n">
        <v>3</v>
      </c>
      <c r="I22" s="6" t="inlineStr">
        <is>
          <t>No 1604-E alphalist layout.</t>
        </is>
      </c>
      <c r="J22" s="7" t="inlineStr">
        <is>
          <t>Code</t>
        </is>
      </c>
      <c r="K22" s="7" t="inlineStr">
        <is>
          <t>S</t>
        </is>
      </c>
      <c r="L22" s="7" t="inlineStr"/>
    </row>
    <row r="23">
      <c r="A23" s="7" t="n">
        <v>22</v>
      </c>
      <c r="B23" s="7" t="inlineStr">
        <is>
          <t>13.13</t>
        </is>
      </c>
      <c r="C23" s="6" t="inlineStr">
        <is>
          <t>Taxes and BIR compliance</t>
        </is>
      </c>
      <c r="D23" s="6" t="inlineStr">
        <is>
          <t>BIR validation files (DAT) for alphalists and SLSP</t>
        </is>
      </c>
      <c r="E23" s="7" t="inlineStr">
        <is>
          <t>BIR</t>
        </is>
      </c>
      <c r="F23" s="7" t="n">
        <v>2</v>
      </c>
      <c r="G23" s="11" t="n">
        <v>1</v>
      </c>
      <c r="H23" s="7" t="n">
        <v>3</v>
      </c>
      <c r="I23" s="6" t="inlineStr">
        <is>
          <t>Files are re-keyed or imported into the BIR tools; no DAT file.</t>
        </is>
      </c>
      <c r="J23" s="7" t="inlineStr">
        <is>
          <t>Code</t>
        </is>
      </c>
      <c r="K23" s="7" t="inlineStr">
        <is>
          <t>S</t>
        </is>
      </c>
      <c r="L23" s="7" t="inlineStr"/>
    </row>
    <row r="24">
      <c r="A24" s="7" t="n">
        <v>23</v>
      </c>
      <c r="B24" s="7" t="inlineStr">
        <is>
          <t>14.03</t>
        </is>
      </c>
      <c r="C24" s="6" t="inlineStr">
        <is>
          <t>Insurance Commission and Data Privacy compliance</t>
        </is>
      </c>
      <c r="D24" s="6" t="inlineStr">
        <is>
          <t>Fit and proper records of directors and officers</t>
        </is>
      </c>
      <c r="E24" s="7" t="inlineStr">
        <is>
          <t>IC</t>
        </is>
      </c>
      <c r="F24" s="7" t="n">
        <v>1</v>
      </c>
      <c r="G24" s="13" t="n">
        <v>0</v>
      </c>
      <c r="H24" s="7" t="n">
        <v>3</v>
      </c>
      <c r="I24" s="6" t="inlineStr">
        <is>
          <t>Kept outside the system.</t>
        </is>
      </c>
      <c r="J24" s="7" t="inlineStr">
        <is>
          <t>Procedure</t>
        </is>
      </c>
      <c r="K24" s="7" t="inlineStr">
        <is>
          <t>S</t>
        </is>
      </c>
      <c r="L24" s="7" t="inlineStr"/>
    </row>
    <row r="25">
      <c r="A25" s="7" t="n">
        <v>24</v>
      </c>
      <c r="B25" s="7" t="inlineStr">
        <is>
          <t>14.05</t>
        </is>
      </c>
      <c r="C25" s="6" t="inlineStr">
        <is>
          <t>Insurance Commission and Data Privacy compliance</t>
        </is>
      </c>
      <c r="D25" s="6" t="inlineStr">
        <is>
          <t>IC production and business reports (premium placed by insurer and line)</t>
        </is>
      </c>
      <c r="E25" s="7" t="inlineStr">
        <is>
          <t>IC</t>
        </is>
      </c>
      <c r="F25" s="7" t="n">
        <v>2</v>
      </c>
      <c r="G25" s="11" t="n">
        <v>1</v>
      </c>
      <c r="H25" s="7" t="n">
        <v>3</v>
      </c>
      <c r="I25" s="6" t="inlineStr">
        <is>
          <t>Figures available; IC layout not produced.</t>
        </is>
      </c>
      <c r="J25" s="7" t="inlineStr">
        <is>
          <t>Code</t>
        </is>
      </c>
      <c r="K25" s="7" t="inlineStr">
        <is>
          <t>S</t>
        </is>
      </c>
      <c r="L25" s="7" t="inlineStr"/>
    </row>
    <row r="26">
      <c r="A26" s="7" t="n">
        <v>25</v>
      </c>
      <c r="B26" s="7" t="inlineStr">
        <is>
          <t>14.11</t>
        </is>
      </c>
      <c r="C26" s="6" t="inlineStr">
        <is>
          <t>Insurance Commission and Data Privacy compliance</t>
        </is>
      </c>
      <c r="D26" s="6" t="inlineStr">
        <is>
          <t>Breach detection support and breach register</t>
        </is>
      </c>
      <c r="E26" s="7" t="inlineStr">
        <is>
          <t>NPC</t>
        </is>
      </c>
      <c r="F26" s="7" t="n">
        <v>2</v>
      </c>
      <c r="G26" s="11" t="n">
        <v>1</v>
      </c>
      <c r="H26" s="7" t="n">
        <v>3</v>
      </c>
      <c r="I26" s="6" t="inlineStr">
        <is>
          <t>No breach register or 72-hour notification tracker.</t>
        </is>
      </c>
      <c r="J26" s="7" t="inlineStr">
        <is>
          <t>Code</t>
        </is>
      </c>
      <c r="K26" s="7" t="inlineStr">
        <is>
          <t>S</t>
        </is>
      </c>
      <c r="L26" s="7" t="inlineStr"/>
    </row>
    <row r="27">
      <c r="A27" s="7" t="n">
        <v>26</v>
      </c>
      <c r="B27" s="7" t="inlineStr">
        <is>
          <t>4.08</t>
        </is>
      </c>
      <c r="C27" s="6" t="inlineStr">
        <is>
          <t>RFQ, placement, co-insurance and reinsurance</t>
        </is>
      </c>
      <c r="D27" s="6" t="inlineStr">
        <is>
          <t>Placement only with insurers authorised by the IC</t>
        </is>
      </c>
      <c r="E27" s="7" t="inlineStr">
        <is>
          <t>IC</t>
        </is>
      </c>
      <c r="F27" s="7" t="n">
        <v>2</v>
      </c>
      <c r="G27" s="11" t="n">
        <v>1</v>
      </c>
      <c r="H27" s="7" t="n">
        <v>3</v>
      </c>
      <c r="I27" s="6" t="inlineStr">
        <is>
          <t>No certificate of authority number or expiry check; IC non-life insurer list is in development.</t>
        </is>
      </c>
      <c r="J27" s="7" t="inlineStr">
        <is>
          <t>In development</t>
        </is>
      </c>
      <c r="K27" s="7" t="inlineStr">
        <is>
          <t>S</t>
        </is>
      </c>
      <c r="L27" s="7" t="inlineStr">
        <is>
          <t>Yes</t>
        </is>
      </c>
    </row>
    <row r="28">
      <c r="A28" s="7" t="n">
        <v>27</v>
      </c>
      <c r="B28" s="7" t="inlineStr">
        <is>
          <t>6.04</t>
        </is>
      </c>
      <c r="C28" s="6" t="inlineStr">
        <is>
          <t>Endorsements and cancellations</t>
        </is>
      </c>
      <c r="D28" s="6" t="inlineStr">
        <is>
          <t>Cancellation full, partial or pro-rata with return premium computed</t>
        </is>
      </c>
      <c r="E28" s="7" t="inlineStr">
        <is>
          <t>Ops</t>
        </is>
      </c>
      <c r="F28" s="7" t="n">
        <v>3</v>
      </c>
      <c r="G28" s="11" t="n">
        <v>1</v>
      </c>
      <c r="H28" s="7" t="n">
        <v>3</v>
      </c>
      <c r="I28" s="6" t="inlineStr">
        <is>
          <t>For regular policies the return premium of a cancellation is entered by the user, not computed from days left.</t>
        </is>
      </c>
      <c r="J28" s="7" t="inlineStr">
        <is>
          <t>Code</t>
        </is>
      </c>
      <c r="K28" s="7" t="inlineStr">
        <is>
          <t>S</t>
        </is>
      </c>
      <c r="L28" s="7" t="inlineStr"/>
    </row>
    <row r="29">
      <c r="A29" s="7" t="n">
        <v>28</v>
      </c>
      <c r="B29" s="7" t="inlineStr">
        <is>
          <t>1.01</t>
        </is>
      </c>
      <c r="C29" s="6" t="inlineStr">
        <is>
          <t>Client onboarding, KYC and AML</t>
        </is>
      </c>
      <c r="D29" s="6" t="inlineStr">
        <is>
          <t>Individual client record with Philippine address, mobile and TIN</t>
        </is>
      </c>
      <c r="E29" s="7" t="inlineStr">
        <is>
          <t>Ops</t>
        </is>
      </c>
      <c r="F29" s="7" t="n">
        <v>3</v>
      </c>
      <c r="G29" s="11" t="n">
        <v>1</v>
      </c>
      <c r="H29" s="7" t="n">
        <v>3</v>
      </c>
      <c r="I29" s="6" t="inlineStr">
        <is>
          <t>Client is created at first policy issue. Location masters are labelled State and hold Metro Manila and selected areas, not the full PSGC list (in development).</t>
        </is>
      </c>
      <c r="J29" s="7" t="inlineStr">
        <is>
          <t>In development</t>
        </is>
      </c>
      <c r="K29" s="7" t="inlineStr">
        <is>
          <t>M</t>
        </is>
      </c>
      <c r="L29" s="7" t="inlineStr">
        <is>
          <t>Yes</t>
        </is>
      </c>
    </row>
    <row r="30">
      <c r="A30" s="7" t="n">
        <v>29</v>
      </c>
      <c r="B30" s="7" t="inlineStr">
        <is>
          <t>13.12</t>
        </is>
      </c>
      <c r="C30" s="6" t="inlineStr">
        <is>
          <t>Taxes and BIR compliance</t>
        </is>
      </c>
      <c r="D30" s="6" t="inlineStr">
        <is>
          <t>Electronic invoicing and sales data transmission to BIR (EIS)</t>
        </is>
      </c>
      <c r="E30" s="7" t="inlineStr">
        <is>
          <t>BIR</t>
        </is>
      </c>
      <c r="F30" s="7" t="n">
        <v>1</v>
      </c>
      <c r="G30" s="13" t="n">
        <v>0</v>
      </c>
      <c r="H30" s="7" t="n">
        <v>3</v>
      </c>
      <c r="I30" s="6" t="inlineStr">
        <is>
          <t>No EIS connector (not yet mandatory for most brokers; to verify).</t>
        </is>
      </c>
      <c r="J30" s="7" t="inlineStr">
        <is>
          <t>Integration</t>
        </is>
      </c>
      <c r="K30" s="7" t="inlineStr">
        <is>
          <t>L</t>
        </is>
      </c>
      <c r="L30" s="7" t="inlineStr"/>
    </row>
    <row r="31">
      <c r="A31" s="7" t="n">
        <v>30</v>
      </c>
      <c r="B31" s="7" t="inlineStr">
        <is>
          <t>11.03</t>
        </is>
      </c>
      <c r="C31" s="6" t="inlineStr">
        <is>
          <t>Claims assistance</t>
        </is>
      </c>
      <c r="D31" s="6" t="inlineStr">
        <is>
          <t>Claim document checklist per line and missing document follow-up</t>
        </is>
      </c>
      <c r="E31" s="7" t="inlineStr">
        <is>
          <t>Ops</t>
        </is>
      </c>
      <c r="F31" s="7" t="n">
        <v>2</v>
      </c>
      <c r="G31" s="11" t="n">
        <v>1</v>
      </c>
      <c r="H31" s="7" t="n">
        <v>2</v>
      </c>
      <c r="I31" s="6" t="inlineStr">
        <is>
          <t>No required-document checklist or reminder to the claimant.</t>
        </is>
      </c>
      <c r="J31" s="7" t="inlineStr">
        <is>
          <t>Code</t>
        </is>
      </c>
      <c r="K31" s="7" t="inlineStr">
        <is>
          <t>S</t>
        </is>
      </c>
      <c r="L31" s="7" t="inlineStr"/>
    </row>
    <row r="32">
      <c r="A32" s="7" t="n">
        <v>31</v>
      </c>
      <c r="B32" s="7" t="inlineStr">
        <is>
          <t>11.06</t>
        </is>
      </c>
      <c r="C32" s="6" t="inlineStr">
        <is>
          <t>Claims assistance</t>
        </is>
      </c>
      <c r="D32" s="6" t="inlineStr">
        <is>
          <t>Claims paid through the broker: funds received and paid to claimant</t>
        </is>
      </c>
      <c r="E32" s="7" t="inlineStr">
        <is>
          <t>Ops</t>
        </is>
      </c>
      <c r="F32" s="7" t="n">
        <v>2</v>
      </c>
      <c r="G32" s="11" t="n">
        <v>1</v>
      </c>
      <c r="H32" s="7" t="n">
        <v>2</v>
      </c>
      <c r="I32" s="6" t="inlineStr">
        <is>
          <t>Panel is on the claim screens; Accounting menu not extended, so the System Administrator records it (known limitation).</t>
        </is>
      </c>
      <c r="J32" s="7" t="inlineStr">
        <is>
          <t>Code</t>
        </is>
      </c>
      <c r="K32" s="7" t="inlineStr">
        <is>
          <t>S</t>
        </is>
      </c>
      <c r="L32" s="7" t="inlineStr"/>
    </row>
    <row r="33">
      <c r="A33" s="7" t="n">
        <v>32</v>
      </c>
      <c r="B33" s="7" t="inlineStr">
        <is>
          <t>2.05</t>
        </is>
      </c>
      <c r="C33" s="6" t="inlineStr">
        <is>
          <t>Prospecting and sales pipeline</t>
        </is>
      </c>
      <c r="D33" s="6" t="inlineStr">
        <is>
          <t>Lead assignment to account executives and team visibility</t>
        </is>
      </c>
      <c r="E33" s="7" t="inlineStr">
        <is>
          <t>Ops</t>
        </is>
      </c>
      <c r="F33" s="7" t="n">
        <v>2</v>
      </c>
      <c r="G33" s="11" t="n">
        <v>1</v>
      </c>
      <c r="H33" s="7" t="n">
        <v>2</v>
      </c>
      <c r="I33" s="6" t="inlineStr">
        <is>
          <t>Owner scoping exists; no assignment rules, reassignment queue or team view.</t>
        </is>
      </c>
      <c r="J33" s="7" t="inlineStr">
        <is>
          <t>Code</t>
        </is>
      </c>
      <c r="K33" s="7" t="inlineStr">
        <is>
          <t>S</t>
        </is>
      </c>
      <c r="L33" s="7" t="inlineStr"/>
    </row>
    <row r="34">
      <c r="A34" s="7" t="n">
        <v>33</v>
      </c>
      <c r="B34" s="7" t="inlineStr">
        <is>
          <t>3.03</t>
        </is>
      </c>
      <c r="C34" s="6" t="inlineStr">
        <is>
          <t>Quotation and insurer comparison</t>
        </is>
      </c>
      <c r="D34" s="6" t="inlineStr">
        <is>
          <t>Client-facing comparison and recommendation report</t>
        </is>
      </c>
      <c r="E34" s="7" t="inlineStr">
        <is>
          <t>Ops</t>
        </is>
      </c>
      <c r="F34" s="7" t="n">
        <v>2</v>
      </c>
      <c r="G34" s="11" t="n">
        <v>1</v>
      </c>
      <c r="H34" s="7" t="n">
        <v>2</v>
      </c>
      <c r="I34" s="6" t="inlineStr">
        <is>
          <t>Printable comparison report for the client is in development.</t>
        </is>
      </c>
      <c r="J34" s="7" t="inlineStr">
        <is>
          <t>In development</t>
        </is>
      </c>
      <c r="K34" s="7" t="inlineStr">
        <is>
          <t>S</t>
        </is>
      </c>
      <c r="L34" s="7" t="inlineStr">
        <is>
          <t>Yes</t>
        </is>
      </c>
    </row>
    <row r="35">
      <c r="A35" s="7" t="n">
        <v>34</v>
      </c>
      <c r="B35" s="7" t="inlineStr">
        <is>
          <t>7.07</t>
        </is>
      </c>
      <c r="C35" s="6" t="inlineStr">
        <is>
          <t>Renewals and retention</t>
        </is>
      </c>
      <c r="D35" s="6" t="inlineStr">
        <is>
          <t>Renewal notices by SMS or messaging app</t>
        </is>
      </c>
      <c r="E35" s="7" t="inlineStr">
        <is>
          <t>Ops</t>
        </is>
      </c>
      <c r="F35" s="7" t="n">
        <v>1</v>
      </c>
      <c r="G35" s="13" t="n">
        <v>0</v>
      </c>
      <c r="H35" s="7" t="n">
        <v>2</v>
      </c>
      <c r="I35" s="6" t="inlineStr">
        <is>
          <t>No SMS or Viber gateway.</t>
        </is>
      </c>
      <c r="J35" s="7" t="inlineStr">
        <is>
          <t>Integration</t>
        </is>
      </c>
      <c r="K35" s="7" t="inlineStr">
        <is>
          <t>S</t>
        </is>
      </c>
      <c r="L35" s="7" t="inlineStr"/>
    </row>
    <row r="36">
      <c r="A36" s="7" t="n">
        <v>35</v>
      </c>
      <c r="B36" s="7" t="inlineStr">
        <is>
          <t>8.09</t>
        </is>
      </c>
      <c r="C36" s="6" t="inlineStr">
        <is>
          <t>Billing, collection, credit control and receipts</t>
        </is>
      </c>
      <c r="D36" s="6" t="inlineStr">
        <is>
          <t>Instalment billing with separate instalment invoices</t>
        </is>
      </c>
      <c r="E36" s="7" t="inlineStr">
        <is>
          <t>Ops</t>
        </is>
      </c>
      <c r="F36" s="7" t="n">
        <v>2</v>
      </c>
      <c r="G36" s="11" t="n">
        <v>1</v>
      </c>
      <c r="H36" s="7" t="n">
        <v>2</v>
      </c>
      <c r="I36" s="6" t="inlineStr">
        <is>
          <t>Plans split the follow-up of a bill without changing the ledger; no invoice per instalment.</t>
        </is>
      </c>
      <c r="J36" s="7" t="inlineStr">
        <is>
          <t>Code</t>
        </is>
      </c>
      <c r="K36" s="7" t="inlineStr">
        <is>
          <t>S</t>
        </is>
      </c>
      <c r="L36" s="7" t="inlineStr"/>
    </row>
    <row r="37">
      <c r="A37" s="7" t="n">
        <v>36</v>
      </c>
      <c r="B37" s="7" t="inlineStr">
        <is>
          <t>11.08</t>
        </is>
      </c>
      <c r="C37" s="6" t="inlineStr">
        <is>
          <t>Claims assistance</t>
        </is>
      </c>
      <c r="D37" s="6" t="inlineStr">
        <is>
          <t>Motor claims: repair shop, estimate and letter of authority</t>
        </is>
      </c>
      <c r="E37" s="7" t="inlineStr">
        <is>
          <t>Ops</t>
        </is>
      </c>
      <c r="F37" s="7" t="n">
        <v>2</v>
      </c>
      <c r="G37" s="11" t="n">
        <v>1</v>
      </c>
      <c r="H37" s="7" t="n">
        <v>2</v>
      </c>
      <c r="I37" s="6" t="inlineStr">
        <is>
          <t>No estimate approval or letter of authority workflow.</t>
        </is>
      </c>
      <c r="J37" s="7" t="inlineStr">
        <is>
          <t>Code</t>
        </is>
      </c>
      <c r="K37" s="7" t="inlineStr">
        <is>
          <t>M</t>
        </is>
      </c>
      <c r="L37" s="7" t="inlineStr"/>
    </row>
    <row r="38">
      <c r="A38" s="7" t="n">
        <v>37</v>
      </c>
      <c r="B38" s="7" t="inlineStr">
        <is>
          <t>12.10</t>
        </is>
      </c>
      <c r="C38" s="6" t="inlineStr">
        <is>
          <t>Accounting, general ledger, period end and audit</t>
        </is>
      </c>
      <c r="D38" s="6" t="inlineStr">
        <is>
          <t>Supplier invoices, input VAT, fixed assets and depreciation</t>
        </is>
      </c>
      <c r="E38" s="7" t="inlineStr">
        <is>
          <t>Ops</t>
        </is>
      </c>
      <c r="F38" s="7" t="n">
        <v>2</v>
      </c>
      <c r="G38" s="11" t="n">
        <v>1</v>
      </c>
      <c r="H38" s="7" t="n">
        <v>2</v>
      </c>
      <c r="I38" s="6" t="inlineStr">
        <is>
          <t>No supplier invoice register (accounts payable sub-ledger) or fixed asset register.</t>
        </is>
      </c>
      <c r="J38" s="7" t="inlineStr">
        <is>
          <t>Code</t>
        </is>
      </c>
      <c r="K38" s="7" t="inlineStr">
        <is>
          <t>M</t>
        </is>
      </c>
      <c r="L38" s="7" t="inlineStr"/>
    </row>
    <row r="39">
      <c r="A39" s="7" t="n">
        <v>38</v>
      </c>
      <c r="B39" s="7" t="inlineStr">
        <is>
          <t>15.09</t>
        </is>
      </c>
      <c r="C39" s="6" t="inlineStr">
        <is>
          <t>Reporting, administration, security and go-live</t>
        </is>
      </c>
      <c r="D39" s="6" t="inlineStr">
        <is>
          <t>My Work: one inbox of tasks and approvals per user</t>
        </is>
      </c>
      <c r="E39" s="7" t="inlineStr">
        <is>
          <t>Ops</t>
        </is>
      </c>
      <c r="F39" s="7" t="n">
        <v>2</v>
      </c>
      <c r="G39" s="11" t="n">
        <v>1</v>
      </c>
      <c r="H39" s="7" t="n">
        <v>2</v>
      </c>
      <c r="I39" s="6" t="inlineStr">
        <is>
          <t>My Work inbox in development.</t>
        </is>
      </c>
      <c r="J39" s="7" t="inlineStr">
        <is>
          <t>In development</t>
        </is>
      </c>
      <c r="K39" s="7" t="inlineStr">
        <is>
          <t>M</t>
        </is>
      </c>
      <c r="L39" s="7" t="inlineStr">
        <is>
          <t>Yes</t>
        </is>
      </c>
    </row>
    <row r="40">
      <c r="A40" s="7" t="n">
        <v>39</v>
      </c>
      <c r="B40" s="7" t="inlineStr">
        <is>
          <t>15.12</t>
        </is>
      </c>
      <c r="C40" s="6" t="inlineStr">
        <is>
          <t>Reporting, administration, security and go-live</t>
        </is>
      </c>
      <c r="D40" s="6" t="inlineStr">
        <is>
          <t>Philippine reference masters (PSGC geography, banks, IDs, salutations, IC insurer list)</t>
        </is>
      </c>
      <c r="E40" s="7" t="inlineStr">
        <is>
          <t>Ops</t>
        </is>
      </c>
      <c r="F40" s="7" t="n">
        <v>2</v>
      </c>
      <c r="G40" s="11" t="n">
        <v>1</v>
      </c>
      <c r="H40" s="7" t="n">
        <v>2</v>
      </c>
      <c r="I40" s="6" t="inlineStr">
        <is>
          <t>Full Philippine masters are in development.</t>
        </is>
      </c>
      <c r="J40" s="7" t="inlineStr">
        <is>
          <t>In development</t>
        </is>
      </c>
      <c r="K40" s="7" t="inlineStr">
        <is>
          <t>M</t>
        </is>
      </c>
      <c r="L40" s="7" t="inlineStr">
        <is>
          <t>Yes</t>
        </is>
      </c>
    </row>
    <row r="41">
      <c r="A41" s="7" t="n">
        <v>40</v>
      </c>
      <c r="B41" s="7" t="inlineStr">
        <is>
          <t>2.07</t>
        </is>
      </c>
      <c r="C41" s="6" t="inlineStr">
        <is>
          <t>Prospecting and sales pipeline</t>
        </is>
      </c>
      <c r="D41" s="6" t="inlineStr">
        <is>
          <t>Dealer, bank and affinity channel referrals (captive agency, motor dealer branches)</t>
        </is>
      </c>
      <c r="E41" s="7" t="inlineStr">
        <is>
          <t>Ops</t>
        </is>
      </c>
      <c r="F41" s="7" t="n">
        <v>2</v>
      </c>
      <c r="G41" s="11" t="n">
        <v>1</v>
      </c>
      <c r="H41" s="7" t="n">
        <v>2</v>
      </c>
      <c r="I41" s="6" t="inlineStr">
        <is>
          <t>No dealer or dealer-branch master, channel hierarchy or dealer production report.</t>
        </is>
      </c>
      <c r="J41" s="7" t="inlineStr">
        <is>
          <t>Code</t>
        </is>
      </c>
      <c r="K41" s="7" t="inlineStr">
        <is>
          <t>M</t>
        </is>
      </c>
      <c r="L41" s="7" t="inlineStr"/>
    </row>
    <row r="42">
      <c r="A42" s="7" t="n">
        <v>41</v>
      </c>
      <c r="B42" s="7" t="inlineStr">
        <is>
          <t>3.11</t>
        </is>
      </c>
      <c r="C42" s="6" t="inlineStr">
        <is>
          <t>Quotation and insurer comparison</t>
        </is>
      </c>
      <c r="D42" s="6" t="inlineStr">
        <is>
          <t>Product rules from the Product Configurator drive the quotation</t>
        </is>
      </c>
      <c r="E42" s="7" t="inlineStr">
        <is>
          <t>Ops</t>
        </is>
      </c>
      <c r="F42" s="7" t="n">
        <v>2</v>
      </c>
      <c r="G42" s="11" t="n">
        <v>1</v>
      </c>
      <c r="H42" s="7" t="n">
        <v>2</v>
      </c>
      <c r="I42" s="6" t="inlineStr">
        <is>
          <t>Only the motor tariff feeds quotations; coverage, acceptance and document rules are not yet connected (in development).</t>
        </is>
      </c>
      <c r="J42" s="7" t="inlineStr">
        <is>
          <t>In development</t>
        </is>
      </c>
      <c r="K42" s="7" t="inlineStr">
        <is>
          <t>M</t>
        </is>
      </c>
      <c r="L42" s="7" t="inlineStr">
        <is>
          <t>Yes</t>
        </is>
      </c>
    </row>
    <row r="43">
      <c r="A43" s="7" t="n">
        <v>42</v>
      </c>
      <c r="B43" s="7" t="inlineStr">
        <is>
          <t>5.08</t>
        </is>
      </c>
      <c r="C43" s="6" t="inlineStr">
        <is>
          <t>Policy issuance, documents and motor (CTPL, LTO)</t>
        </is>
      </c>
      <c r="D43" s="6" t="inlineStr">
        <is>
          <t>Brand-new vehicle programme: dealer sale, financing bank mortgagee clause, free first-year cover</t>
        </is>
      </c>
      <c r="E43" s="7" t="inlineStr">
        <is>
          <t>Ops</t>
        </is>
      </c>
      <c r="F43" s="7" t="n">
        <v>2</v>
      </c>
      <c r="G43" s="11" t="n">
        <v>1</v>
      </c>
      <c r="H43" s="7" t="n">
        <v>2</v>
      </c>
      <c r="I43" s="6" t="inlineStr">
        <is>
          <t>No dealer or financing-bank programme set-up, bulk dealer upload or bank endorsement letters.</t>
        </is>
      </c>
      <c r="J43" s="7" t="inlineStr">
        <is>
          <t>Code</t>
        </is>
      </c>
      <c r="K43" s="7" t="inlineStr">
        <is>
          <t>M</t>
        </is>
      </c>
      <c r="L43" s="7" t="inlineStr"/>
    </row>
    <row r="44">
      <c r="A44" s="7" t="n">
        <v>43</v>
      </c>
      <c r="B44" s="7" t="inlineStr">
        <is>
          <t>5.09</t>
        </is>
      </c>
      <c r="C44" s="6" t="inlineStr">
        <is>
          <t>Policy issuance, documents and motor (CTPL, LTO)</t>
        </is>
      </c>
      <c r="D44" s="6" t="inlineStr">
        <is>
          <t>Bulk issuance: fleet schedules and group policies</t>
        </is>
      </c>
      <c r="E44" s="7" t="inlineStr">
        <is>
          <t>Ops</t>
        </is>
      </c>
      <c r="F44" s="7" t="n">
        <v>2</v>
      </c>
      <c r="G44" s="11" t="n">
        <v>1</v>
      </c>
      <c r="H44" s="7" t="n">
        <v>2</v>
      </c>
      <c r="I44" s="6" t="inlineStr">
        <is>
          <t>No fleet schedule with per-vehicle premium inside one policy.</t>
        </is>
      </c>
      <c r="J44" s="7" t="inlineStr">
        <is>
          <t>Code</t>
        </is>
      </c>
      <c r="K44" s="7" t="inlineStr">
        <is>
          <t>M</t>
        </is>
      </c>
      <c r="L44" s="7" t="inlineStr"/>
    </row>
    <row r="45">
      <c r="A45" s="7" t="n">
        <v>44</v>
      </c>
      <c r="B45" s="7" t="inlineStr">
        <is>
          <t>5.12</t>
        </is>
      </c>
      <c r="C45" s="6" t="inlineStr">
        <is>
          <t>Policy issuance, documents and motor (CTPL, LTO)</t>
        </is>
      </c>
      <c r="D45" s="6" t="inlineStr">
        <is>
          <t>Marine open cover with certificates and declarations</t>
        </is>
      </c>
      <c r="E45" s="7" t="inlineStr">
        <is>
          <t>Ops</t>
        </is>
      </c>
      <c r="F45" s="7" t="n">
        <v>1</v>
      </c>
      <c r="G45" s="13" t="n">
        <v>0</v>
      </c>
      <c r="H45" s="7" t="n">
        <v>2</v>
      </c>
      <c r="I45" s="6" t="inlineStr">
        <is>
          <t>No open cover or declaration processing.</t>
        </is>
      </c>
      <c r="J45" s="7" t="inlineStr">
        <is>
          <t>Code</t>
        </is>
      </c>
      <c r="K45" s="7" t="inlineStr">
        <is>
          <t>M</t>
        </is>
      </c>
      <c r="L45" s="7" t="inlineStr"/>
    </row>
    <row r="46">
      <c r="A46" s="7" t="n">
        <v>45</v>
      </c>
      <c r="B46" s="7" t="inlineStr">
        <is>
          <t>9.09</t>
        </is>
      </c>
      <c r="C46" s="6" t="inlineStr">
        <is>
          <t>Remittance, direct bill and insurer reconciliation</t>
        </is>
      </c>
      <c r="D46" s="6" t="inlineStr">
        <is>
          <t>Insurer system integration (policy, premium, claims data by API)</t>
        </is>
      </c>
      <c r="E46" s="7" t="inlineStr">
        <is>
          <t>Ops</t>
        </is>
      </c>
      <c r="F46" s="7" t="n">
        <v>1</v>
      </c>
      <c r="G46" s="13" t="n">
        <v>0</v>
      </c>
      <c r="H46" s="7" t="n">
        <v>2</v>
      </c>
      <c r="I46" s="6" t="inlineStr">
        <is>
          <t>No insurer API connector.</t>
        </is>
      </c>
      <c r="J46" s="7" t="inlineStr">
        <is>
          <t>Integration</t>
        </is>
      </c>
      <c r="K46" s="7" t="inlineStr">
        <is>
          <t>L</t>
        </is>
      </c>
      <c r="L46" s="7" t="inlineStr"/>
    </row>
    <row r="47">
      <c r="A47" s="7" t="n">
        <v>46</v>
      </c>
      <c r="B47" s="7" t="inlineStr">
        <is>
          <t>13.04</t>
        </is>
      </c>
      <c r="C47" s="6" t="inlineStr">
        <is>
          <t>Taxes and BIR compliance</t>
        </is>
      </c>
      <c r="D47" s="6" t="inlineStr">
        <is>
          <t>Percentage tax for a non-VAT broker or agent (2551Q)</t>
        </is>
      </c>
      <c r="E47" s="7" t="inlineStr">
        <is>
          <t>BIR</t>
        </is>
      </c>
      <c r="F47" s="7" t="n">
        <v>1</v>
      </c>
      <c r="G47" s="11" t="n">
        <v>1</v>
      </c>
      <c r="H47" s="7" t="n">
        <v>1.5</v>
      </c>
      <c r="I47" s="6" t="inlineStr">
        <is>
          <t>No percentage tax working paper.</t>
        </is>
      </c>
      <c r="J47" s="7" t="inlineStr">
        <is>
          <t>Code</t>
        </is>
      </c>
      <c r="K47" s="7" t="inlineStr">
        <is>
          <t>S</t>
        </is>
      </c>
      <c r="L47" s="7" t="inlineStr"/>
    </row>
    <row r="48">
      <c r="A48" s="7" t="n">
        <v>47</v>
      </c>
      <c r="B48" s="7" t="inlineStr">
        <is>
          <t>14.13</t>
        </is>
      </c>
      <c r="C48" s="6" t="inlineStr">
        <is>
          <t>Insurance Commission and Data Privacy compliance</t>
        </is>
      </c>
      <c r="D48" s="6" t="inlineStr">
        <is>
          <t>Encryption of personal identifiers</t>
        </is>
      </c>
      <c r="E48" s="7" t="inlineStr">
        <is>
          <t>NPC</t>
        </is>
      </c>
      <c r="F48" s="7" t="n">
        <v>1</v>
      </c>
      <c r="G48" s="11" t="n">
        <v>1</v>
      </c>
      <c r="H48" s="7" t="n">
        <v>1.5</v>
      </c>
      <c r="I48" s="6" t="inlineStr">
        <is>
          <t>No field-level encryption of IDs and TIN.</t>
        </is>
      </c>
      <c r="J48" s="7" t="inlineStr">
        <is>
          <t>Code</t>
        </is>
      </c>
      <c r="K48" s="7" t="inlineStr">
        <is>
          <t>M</t>
        </is>
      </c>
      <c r="L48" s="7" t="inlineStr"/>
    </row>
    <row r="49">
      <c r="A49" s="7" t="n">
        <v>48</v>
      </c>
      <c r="B49" s="7" t="inlineStr">
        <is>
          <t>10.10</t>
        </is>
      </c>
      <c r="C49" s="6" t="inlineStr">
        <is>
          <t>Commission, referrers and incentives</t>
        </is>
      </c>
      <c r="D49" s="6" t="inlineStr">
        <is>
          <t>Overriding, profit and contingent commission from insurers</t>
        </is>
      </c>
      <c r="E49" s="7" t="inlineStr">
        <is>
          <t>Ops</t>
        </is>
      </c>
      <c r="F49" s="7" t="n">
        <v>1</v>
      </c>
      <c r="G49" s="11" t="n">
        <v>1</v>
      </c>
      <c r="H49" s="7" t="n">
        <v>1</v>
      </c>
      <c r="I49" s="6" t="inlineStr">
        <is>
          <t>No computation; booked by journal voucher.</t>
        </is>
      </c>
      <c r="J49" s="7" t="inlineStr">
        <is>
          <t>Procedure</t>
        </is>
      </c>
      <c r="K49" s="7" t="inlineStr">
        <is>
          <t>S</t>
        </is>
      </c>
      <c r="L49" s="7" t="inlineStr"/>
    </row>
    <row r="50">
      <c r="A50" s="7" t="n">
        <v>49</v>
      </c>
      <c r="B50" s="7" t="inlineStr">
        <is>
          <t>15.08</t>
        </is>
      </c>
      <c r="C50" s="6" t="inlineStr">
        <is>
          <t>Reporting, administration, security and go-live</t>
        </is>
      </c>
      <c r="D50" s="6" t="inlineStr">
        <is>
          <t>Menu organised by role and task</t>
        </is>
      </c>
      <c r="E50" s="7" t="inlineStr">
        <is>
          <t>Ops</t>
        </is>
      </c>
      <c r="F50" s="7" t="n">
        <v>1</v>
      </c>
      <c r="G50" s="11" t="n">
        <v>1</v>
      </c>
      <c r="H50" s="7" t="n">
        <v>1</v>
      </c>
      <c r="I50" s="6" t="inlineStr">
        <is>
          <t>Menu redesign in development.</t>
        </is>
      </c>
      <c r="J50" s="7" t="inlineStr">
        <is>
          <t>In development</t>
        </is>
      </c>
      <c r="K50" s="7" t="inlineStr">
        <is>
          <t>S</t>
        </is>
      </c>
      <c r="L50" s="7" t="inlineStr">
        <is>
          <t>Yes</t>
        </is>
      </c>
    </row>
    <row r="51">
      <c r="A51" s="7" t="n">
        <v>50</v>
      </c>
      <c r="B51" s="7" t="inlineStr">
        <is>
          <t>15.11</t>
        </is>
      </c>
      <c r="C51" s="6" t="inlineStr">
        <is>
          <t>Reporting, administration, security and go-live</t>
        </is>
      </c>
      <c r="D51" s="6" t="inlineStr">
        <is>
          <t>Branding, letterhead and e-signature on documents</t>
        </is>
      </c>
      <c r="E51" s="7" t="inlineStr">
        <is>
          <t>Ops</t>
        </is>
      </c>
      <c r="F51" s="7" t="n">
        <v>1</v>
      </c>
      <c r="G51" s="11" t="n">
        <v>1</v>
      </c>
      <c r="H51" s="7" t="n">
        <v>1</v>
      </c>
      <c r="I51" s="6" t="inlineStr">
        <is>
          <t>Branding and e-signature in development.</t>
        </is>
      </c>
      <c r="J51" s="7" t="inlineStr">
        <is>
          <t>In development</t>
        </is>
      </c>
      <c r="K51" s="7" t="inlineStr">
        <is>
          <t>S</t>
        </is>
      </c>
      <c r="L51" s="7" t="inlineStr">
        <is>
          <t>Yes</t>
        </is>
      </c>
    </row>
    <row r="52">
      <c r="A52" s="7" t="n">
        <v>51</v>
      </c>
      <c r="B52" s="7" t="inlineStr">
        <is>
          <t>3.10</t>
        </is>
      </c>
      <c r="C52" s="6" t="inlineStr">
        <is>
          <t>Quotation and insurer comparison</t>
        </is>
      </c>
      <c r="D52" s="6" t="inlineStr">
        <is>
          <t>Electronic signature of proposal and acceptance</t>
        </is>
      </c>
      <c r="E52" s="7" t="inlineStr">
        <is>
          <t>Ops</t>
        </is>
      </c>
      <c r="F52" s="7" t="n">
        <v>1</v>
      </c>
      <c r="G52" s="11" t="n">
        <v>1</v>
      </c>
      <c r="H52" s="7" t="n">
        <v>1</v>
      </c>
      <c r="I52" s="6" t="inlineStr">
        <is>
          <t>E-signature on documents is in development.</t>
        </is>
      </c>
      <c r="J52" s="7" t="inlineStr">
        <is>
          <t>In development</t>
        </is>
      </c>
      <c r="K52" s="7" t="inlineStr">
        <is>
          <t>S</t>
        </is>
      </c>
      <c r="L52" s="7" t="inlineStr">
        <is>
          <t>Yes</t>
        </is>
      </c>
    </row>
    <row r="53">
      <c r="A53" s="7" t="n">
        <v>52</v>
      </c>
      <c r="B53" s="7" t="inlineStr">
        <is>
          <t>15.03</t>
        </is>
      </c>
      <c r="C53" s="6" t="inlineStr">
        <is>
          <t>Reporting, administration, security and go-live</t>
        </is>
      </c>
      <c r="D53" s="6" t="inlineStr">
        <is>
          <t>Ad hoc reporting and BI extract</t>
        </is>
      </c>
      <c r="E53" s="7" t="inlineStr">
        <is>
          <t>Ops</t>
        </is>
      </c>
      <c r="F53" s="7" t="n">
        <v>1</v>
      </c>
      <c r="G53" s="11" t="n">
        <v>1</v>
      </c>
      <c r="H53" s="7" t="n">
        <v>1</v>
      </c>
      <c r="I53" s="6" t="inlineStr">
        <is>
          <t>No report designer or data warehouse extract.</t>
        </is>
      </c>
      <c r="J53" s="7" t="inlineStr">
        <is>
          <t>Code</t>
        </is>
      </c>
      <c r="K53" s="7" t="inlineStr">
        <is>
          <t>M</t>
        </is>
      </c>
      <c r="L53" s="7" t="inlineStr"/>
    </row>
    <row r="54">
      <c r="A54" s="7" t="n">
        <v>53</v>
      </c>
      <c r="B54" s="7" t="inlineStr">
        <is>
          <t>2.08</t>
        </is>
      </c>
      <c r="C54" s="6" t="inlineStr">
        <is>
          <t>Prospecting and sales pipeline</t>
        </is>
      </c>
      <c r="D54" s="6" t="inlineStr">
        <is>
          <t>Marketing campaigns to consenting clients</t>
        </is>
      </c>
      <c r="E54" s="7" t="inlineStr">
        <is>
          <t>Ops</t>
        </is>
      </c>
      <c r="F54" s="7" t="n">
        <v>1</v>
      </c>
      <c r="G54" s="11" t="n">
        <v>1</v>
      </c>
      <c r="H54" s="7" t="n">
        <v>1</v>
      </c>
      <c r="I54" s="6" t="inlineStr">
        <is>
          <t>No general campaign or mass mailing module.</t>
        </is>
      </c>
      <c r="J54" s="7" t="inlineStr">
        <is>
          <t>Code</t>
        </is>
      </c>
      <c r="K54" s="7" t="inlineStr">
        <is>
          <t>M</t>
        </is>
      </c>
      <c r="L54" s="7" t="inlineStr"/>
    </row>
    <row r="55">
      <c r="A55" s="7" t="n">
        <v>54</v>
      </c>
      <c r="B55" s="7" t="inlineStr">
        <is>
          <t>4.10</t>
        </is>
      </c>
      <c r="C55" s="6" t="inlineStr">
        <is>
          <t>RFQ, placement, co-insurance and reinsurance</t>
        </is>
      </c>
      <c r="D55" s="6" t="inlineStr">
        <is>
          <t>Facultative reinsurance placement (where the broker acts as reinsurance broker)</t>
        </is>
      </c>
      <c r="E55" s="7" t="inlineStr">
        <is>
          <t>Ops</t>
        </is>
      </c>
      <c r="F55" s="7" t="n">
        <v>1</v>
      </c>
      <c r="G55" s="11" t="n">
        <v>1</v>
      </c>
      <c r="H55" s="7" t="n">
        <v>1</v>
      </c>
      <c r="I55" s="6" t="inlineStr">
        <is>
          <t>The module records treaties and cessions from the cedant side; there is no facultative reinsurance slip workflow.</t>
        </is>
      </c>
      <c r="J55" s="7" t="inlineStr">
        <is>
          <t>Code</t>
        </is>
      </c>
      <c r="K55" s="7" t="inlineStr">
        <is>
          <t>M</t>
        </is>
      </c>
      <c r="L55" s="7" t="inlineStr"/>
    </row>
    <row r="57">
      <c r="A57" s="15" t="inlineStr">
        <is>
          <t>Impact = weight x (2 - score), x 1.5 for a regulatory item. Effort: S up to 2 weeks, M 2 to 6 weeks, L over 6 weeks of one team, design to test. Ties ranked by smaller effort.</t>
        </is>
      </c>
    </row>
  </sheetData>
  <autoFilter ref="A1:L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34" customWidth="1" min="4" max="4"/>
    <col width="40" customWidth="1" min="5" max="5"/>
    <col width="30" customWidth="1" min="6" max="6"/>
    <col width="26" customWidth="1" min="7" max="7"/>
    <col width="10" customWidth="1" min="8" max="8"/>
    <col width="34" customWidth="1" min="9" max="9"/>
    <col width="34" customWidth="1" min="10" max="10"/>
    <col width="28" customWidth="1" min="11" max="11"/>
    <col width="30" customWidth="1" min="12" max="12"/>
    <col width="11" customWidth="1" min="13" max="13"/>
    <col width="11" customWidth="1" min="14" max="14"/>
    <col width="9" customWidth="1" min="15" max="15"/>
    <col width="9" customWidth="1" min="16" max="16"/>
    <col width="13" customWidth="1" min="17" max="17"/>
    <col width="10" customWidth="1" min="18" max="18"/>
    <col width="12" customWidth="1" min="19" max="19"/>
    <col width="13" customWidth="1" min="20" max="20"/>
    <col width="50" customWidth="1" min="21" max="21"/>
  </cols>
  <sheetData>
    <row r="1" ht="30" customHeight="1">
      <c r="A1" s="3" t="inlineStr">
        <is>
          <t>Rank</t>
        </is>
      </c>
      <c r="B1" s="3" t="inlineStr">
        <is>
          <t>Country</t>
        </is>
      </c>
      <c r="C1" s="3" t="inlineStr">
        <is>
          <t>Insurance regulator</t>
        </is>
      </c>
      <c r="D1" s="3" t="inlineStr">
        <is>
          <t>Broker regime</t>
        </is>
      </c>
      <c r="E1" s="3" t="inlineStr">
        <is>
          <t>Tax on premium and commission</t>
        </is>
      </c>
      <c r="F1" s="3" t="inlineStr">
        <is>
          <t>E-invoicing</t>
        </is>
      </c>
      <c r="G1" s="3" t="inlineStr">
        <is>
          <t>Language and script</t>
        </is>
      </c>
      <c r="H1" s="3" t="inlineStr">
        <is>
          <t>Currency</t>
        </is>
      </c>
      <c r="I1" s="3" t="inlineStr">
        <is>
          <t>Data privacy and residency</t>
        </is>
      </c>
      <c r="J1" s="3" t="inlineStr">
        <is>
          <t>Motor compulsory scheme</t>
        </is>
      </c>
      <c r="K1" s="3" t="inlineStr">
        <is>
          <t>Accounting and tax reporting</t>
        </is>
      </c>
      <c r="L1" s="3" t="inlineStr">
        <is>
          <t>Typical broker practice</t>
        </is>
      </c>
      <c r="M1" s="3" t="inlineStr">
        <is>
          <t>Configuration %</t>
        </is>
      </c>
      <c r="N1" s="3" t="inlineStr">
        <is>
          <t>Localisation %</t>
        </is>
      </c>
      <c r="O1" s="3" t="inlineStr">
        <is>
          <t>Code %</t>
        </is>
      </c>
      <c r="P1" s="3" t="inlineStr">
        <is>
          <t>Language %</t>
        </is>
      </c>
      <c r="Q1" s="3" t="inlineStr">
        <is>
          <t>Overall change % (range)</t>
        </is>
      </c>
      <c r="R1" s="3" t="inlineStr">
        <is>
          <t>Midpoint %</t>
        </is>
      </c>
      <c r="S1" s="3" t="inlineStr">
        <is>
          <t>Person-weeks</t>
        </is>
      </c>
      <c r="T1" s="3" t="inlineStr">
        <is>
          <t>Calendar weeks (team of 5)</t>
        </is>
      </c>
      <c r="U1" s="3" t="inlineStr">
        <is>
          <t>Main changes</t>
        </is>
      </c>
    </row>
    <row r="2">
      <c r="A2" s="7" t="n">
        <v>1</v>
      </c>
      <c r="B2" s="6" t="inlineStr">
        <is>
          <t>Singapore</t>
        </is>
      </c>
      <c r="C2" s="6" t="inlineStr">
        <is>
          <t>Monetary Authority of Singapore (MAS)</t>
        </is>
      </c>
      <c r="D2" s="6" t="inlineStr">
        <is>
          <t>Insurance brokers registered with MAS under the Insurance Act; brokers keep insurance broking premium accounts for client money; professional indemnity and capital requirements</t>
        </is>
      </c>
      <c r="E2" s="6" t="inlineStr">
        <is>
          <t>GST 9% on general insurance premium and on brokerage (verify zero-rated marine and international); no stamp duty on policies; no withholding on resident commission</t>
        </is>
      </c>
      <c r="F2" s="6" t="inlineStr">
        <is>
          <t>InvoiceNow (Peppol) being phased in for GST-registered businesses from 2025 (to verify timing for brokers)</t>
        </is>
      </c>
      <c r="G2" s="6" t="inlineStr">
        <is>
          <t>English; no local language UI needed</t>
        </is>
      </c>
      <c r="H2" s="7" t="inlineStr">
        <is>
          <t>SGD</t>
        </is>
      </c>
      <c r="I2" s="6" t="inlineStr">
        <is>
          <t>PDPA 2012 (PDPC); Do Not Call registry for marketing; no data localisation (current AWS ap-southeast-1 hosting is in Singapore)</t>
        </is>
      </c>
      <c r="J2" s="6" t="inlineStr">
        <is>
          <t>Compulsory third-party cover under the Motor Vehicles (Third-Party Risks and Compensation) Act, priced freely by insurers; insurer files cover to LTA; no CTPL tariff</t>
        </is>
      </c>
      <c r="K2" s="6" t="inlineStr">
        <is>
          <t>SFRS; GST F5 return; Form C corporate tax; no BIR-type alphalists</t>
        </is>
      </c>
      <c r="L2" s="6" t="inlineStr">
        <is>
          <t>Large commercial and specialty brokers, regional hub, heavy use of co-insurance and Lloyd's; English documents</t>
        </is>
      </c>
      <c r="M2" s="7" t="n">
        <v>2.5</v>
      </c>
      <c r="N2" s="7" t="n">
        <v>6.1</v>
      </c>
      <c r="O2" s="7" t="n">
        <v>15.1</v>
      </c>
      <c r="P2" s="7" t="n">
        <v>0</v>
      </c>
      <c r="Q2" s="7" t="inlineStr">
        <is>
          <t>20 to 28%</t>
        </is>
      </c>
      <c r="R2" s="7" t="n">
        <v>24</v>
      </c>
      <c r="S2" s="7" t="inlineStr">
        <is>
          <t>60 to 84</t>
        </is>
      </c>
      <c r="T2" s="7" t="inlineStr">
        <is>
          <t>12 to 17</t>
        </is>
      </c>
      <c r="U2" s="6" t="inlineStr">
        <is>
          <t>Replace BIR tax layer with GST and GST F5 working paper; remove DST, LGT, FST and CTPL; MAS broker returns; InvoiceNow connector; postal codes and NRIC/UEN IDs</t>
        </is>
      </c>
    </row>
    <row r="3">
      <c r="A3" s="7" t="n">
        <v>2</v>
      </c>
      <c r="B3" s="6" t="inlineStr">
        <is>
          <t>Brunei Darussalam</t>
        </is>
      </c>
      <c r="C3" s="6" t="inlineStr">
        <is>
          <t>Brunei Darussalam Central Bank (BDCB)</t>
        </is>
      </c>
      <c r="D3" s="6" t="inlineStr">
        <is>
          <t>Insurance Order 2006 and Takaful Order 2008; brokers registered with BDCB; few brokers</t>
        </is>
      </c>
      <c r="E3" s="6" t="inlineStr">
        <is>
          <t>No VAT or GST; no personal income tax; corporate tax 18.5%; stamp duty on some instruments (to verify for policies)</t>
        </is>
      </c>
      <c r="F3" s="6" t="inlineStr">
        <is>
          <t>None known (to verify)</t>
        </is>
      </c>
      <c r="G3" s="6" t="inlineStr">
        <is>
          <t>Malay official, English widely used in business; Malay UI optional</t>
        </is>
      </c>
      <c r="H3" s="7" t="inlineStr">
        <is>
          <t>BND (pegged to SGD)</t>
        </is>
      </c>
      <c r="I3" s="6" t="inlineStr">
        <is>
          <t>Personal Data Protection Order 2025, transition period running (to verify dates)</t>
        </is>
      </c>
      <c r="J3" s="6" t="inlineStr">
        <is>
          <t>Compulsory third-party motor insurance; takaful operators significant</t>
        </is>
      </c>
      <c r="K3" s="6" t="inlineStr">
        <is>
          <t>IFRS; simple corporate tax filing</t>
        </is>
      </c>
      <c r="L3" s="6" t="inlineStr">
        <is>
          <t>Small market; takaful alongside conventional; English documents</t>
        </is>
      </c>
      <c r="M3" s="7" t="n">
        <v>2.8</v>
      </c>
      <c r="N3" s="7" t="n">
        <v>12.1</v>
      </c>
      <c r="O3" s="7" t="n">
        <v>6.7</v>
      </c>
      <c r="P3" s="7" t="n">
        <v>2</v>
      </c>
      <c r="Q3" s="7" t="inlineStr">
        <is>
          <t>19 to 29%</t>
        </is>
      </c>
      <c r="R3" s="7" t="n">
        <v>24</v>
      </c>
      <c r="S3" s="7" t="inlineStr">
        <is>
          <t>57 to 87</t>
        </is>
      </c>
      <c r="T3" s="7" t="inlineStr">
        <is>
          <t>11 to 17</t>
        </is>
      </c>
      <c r="U3" s="6" t="inlineStr">
        <is>
          <t>Remove PH tax layer (little to replace); takaful product variant; BDCB returns; PDPO alignment; small market</t>
        </is>
      </c>
    </row>
    <row r="4">
      <c r="A4" s="7" t="n">
        <v>3</v>
      </c>
      <c r="B4" s="6" t="inlineStr">
        <is>
          <t>Malaysia</t>
        </is>
      </c>
      <c r="C4" s="6" t="inlineStr">
        <is>
          <t>Bank Negara Malaysia (BNM)</t>
        </is>
      </c>
      <c r="D4" s="6" t="inlineStr">
        <is>
          <t>Insurance and takaful brokers approved under the Financial Services Act 2013 and Islamic Financial Services Act 2013; MIBA members</t>
        </is>
      </c>
      <c r="E4" s="6" t="inlineStr">
        <is>
          <t>Service tax on general insurance premium and brokerage (8% from March 2024, to verify for insurance); stamp duty RM10 per policy; withholding under s.107D on agent commission; CP58 statements to agents</t>
        </is>
      </c>
      <c r="F4" s="6" t="inlineStr">
        <is>
          <t>LHDN MyInvois e-invoicing mandatory in phases from August 2024 (API or portal); applies to brokers above the threshold</t>
        </is>
      </c>
      <c r="G4" s="6" t="inlineStr">
        <is>
          <t>Bahasa Malaysia official; English widely used; Malay UI optional</t>
        </is>
      </c>
      <c r="H4" s="7" t="inlineStr">
        <is>
          <t>MYR</t>
        </is>
      </c>
      <c r="I4" s="6" t="inlineStr">
        <is>
          <t>PDPA 2010 as amended in 2024 (DPO, breach notification, portability); cross-border transfer rules relaxed</t>
        </is>
      </c>
      <c r="J4" s="6" t="inlineStr">
        <is>
          <t>Compulsory motor third-party under the Road Transport Act 1987; motor and fire phased liberalisation; e-cover notes to JPJ through insurers; NCD</t>
        </is>
      </c>
      <c r="K4" s="6" t="inlineStr">
        <is>
          <t>MFRS; SST-02 return; Form C; CP58</t>
        </is>
      </c>
      <c r="L4" s="6" t="inlineStr">
        <is>
          <t>Conventional and takaful markets; panel and bancassurance; cash-before-cover practice for motor (to verify)</t>
        </is>
      </c>
      <c r="M4" s="7" t="n">
        <v>3.3</v>
      </c>
      <c r="N4" s="7" t="n">
        <v>8.6</v>
      </c>
      <c r="O4" s="7" t="n">
        <v>17.5</v>
      </c>
      <c r="P4" s="7" t="n">
        <v>3</v>
      </c>
      <c r="Q4" s="7" t="inlineStr">
        <is>
          <t>27 to 37%</t>
        </is>
      </c>
      <c r="R4" s="7" t="n">
        <v>32</v>
      </c>
      <c r="S4" s="7" t="inlineStr">
        <is>
          <t>81 to 111</t>
        </is>
      </c>
      <c r="T4" s="7" t="inlineStr">
        <is>
          <t>16 to 22</t>
        </is>
      </c>
      <c r="U4" s="6" t="inlineStr">
        <is>
          <t>SST and stamp duty rules; MyInvois API connector; takaful variant; s.107D and CP58; BNM returns; motor NCD and JPJ fields</t>
        </is>
      </c>
    </row>
    <row r="5">
      <c r="A5" s="7" t="n">
        <v>4</v>
      </c>
      <c r="B5" s="6" t="inlineStr">
        <is>
          <t>Thailand</t>
        </is>
      </c>
      <c r="C5" s="6" t="inlineStr">
        <is>
          <t>Office of Insurance Commission (OIC)</t>
        </is>
      </c>
      <c r="D5" s="6" t="inlineStr">
        <is>
          <t>Non-life insurance broker licences (individual and juristic) under the Non-Life Insurance Act B.E. 2535; OIC reporting by brokers</t>
        </is>
      </c>
      <c r="E5" s="6" t="inlineStr">
        <is>
          <t>VAT 7% on non-life premium and brokerage; stamp duty 1 baht per 250 baht of premium (0.4%); withholding 3% on service fees (PND 3, PND 53) with 50 Tawi certificates</t>
        </is>
      </c>
      <c r="F5" s="6" t="inlineStr">
        <is>
          <t>e-Tax Invoice and e-Receipt optional; tax invoices in Thai with Thai baht amounts</t>
        </is>
      </c>
      <c r="G5" s="6" t="inlineStr">
        <is>
          <t>Thai script required for staff UI and client documents; Buddhist Era dates common</t>
        </is>
      </c>
      <c r="H5" s="7" t="inlineStr">
        <is>
          <t>THB</t>
        </is>
      </c>
      <c r="I5" s="6" t="inlineStr">
        <is>
          <t>PDPA B.E. 2562 (2019), in force since June 2022; PDPC</t>
        </is>
      </c>
      <c r="J5" s="6" t="inlineStr">
        <is>
          <t>Compulsory motor insurance (Por Ror Bor) at an OIC tariff per vehicle type, similar to CTPL; voluntary classes 1, 2, 3, 2+ and 3+</t>
        </is>
      </c>
      <c r="K5" s="6" t="inlineStr">
        <is>
          <t>TFRS; PP 30 VAT return; PND 3, PND 53, PND 50</t>
        </is>
      </c>
      <c r="L5" s="6" t="inlineStr">
        <is>
          <t>Large motor book, dealer and bank channels, many broker-agents; Thai documents</t>
        </is>
      </c>
      <c r="M5" s="7" t="n">
        <v>3.9</v>
      </c>
      <c r="N5" s="7" t="n">
        <v>7</v>
      </c>
      <c r="O5" s="7" t="n">
        <v>20.1</v>
      </c>
      <c r="P5" s="7" t="n">
        <v>7</v>
      </c>
      <c r="Q5" s="7" t="inlineStr">
        <is>
          <t>33 to 43%</t>
        </is>
      </c>
      <c r="R5" s="7" t="n">
        <v>38</v>
      </c>
      <c r="S5" s="7" t="inlineStr">
        <is>
          <t>99 to 129</t>
        </is>
      </c>
      <c r="T5" s="7" t="inlineStr">
        <is>
          <t>20 to 26</t>
        </is>
      </c>
      <c r="U5" s="6" t="inlineStr">
        <is>
          <t>Thai UI (th.json 4,675 of 7,917 keys translated, not enabled) and Thai PDFs; Por Ror Bor tariff from the CTPL model; VAT 7% and stamp duty; 50 Tawi and PND forms; OIC reports</t>
        </is>
      </c>
    </row>
    <row r="6">
      <c r="A6" s="7" t="n">
        <v>5</v>
      </c>
      <c r="B6" s="6" t="inlineStr">
        <is>
          <t>Cambodia</t>
        </is>
      </c>
      <c r="C6" s="6" t="inlineStr">
        <is>
          <t>Insurance Regulator of Cambodia (IRC)</t>
        </is>
      </c>
      <c r="D6" s="6" t="inlineStr">
        <is>
          <t>Insurance brokers licensed under the Law on Insurance 2014 and IRC rules</t>
        </is>
      </c>
      <c r="E6" s="6" t="inlineStr">
        <is>
          <t>Tax on gross premium for insurers and VAT treatment of non-life premium to verify; withholding tax on service payments; dual USD and KHR use</t>
        </is>
      </c>
      <c r="F6" s="6" t="inlineStr">
        <is>
          <t>CamInvoice e-invoicing introduced by the General Department of Taxation from 2025, phased (to verify)</t>
        </is>
      </c>
      <c r="G6" s="6" t="inlineStr">
        <is>
          <t>Khmer script for documents and invoices; English used by international brokers</t>
        </is>
      </c>
      <c r="H6" s="7" t="inlineStr">
        <is>
          <t>USD and KHR</t>
        </is>
      </c>
      <c r="I6" s="6" t="inlineStr">
        <is>
          <t>No comprehensive personal data law in force yet (draft law, to verify)</t>
        </is>
      </c>
      <c r="J6" s="6" t="inlineStr">
        <is>
          <t>Compulsory third-party motor insurance introduced (to verify enforcement)</t>
        </is>
      </c>
      <c r="K6" s="6" t="inlineStr">
        <is>
          <t>CIFRS; tax returns in KHR</t>
        </is>
      </c>
      <c r="L6" s="6" t="inlineStr">
        <is>
          <t>Small, growing market; USD pricing; foreign-owned insurers and brokers</t>
        </is>
      </c>
      <c r="M6" s="7" t="n">
        <v>2.7</v>
      </c>
      <c r="N6" s="7" t="n">
        <v>9.699999999999999</v>
      </c>
      <c r="O6" s="7" t="n">
        <v>20.2</v>
      </c>
      <c r="P6" s="7" t="n">
        <v>10</v>
      </c>
      <c r="Q6" s="7" t="inlineStr">
        <is>
          <t>36 to 50%</t>
        </is>
      </c>
      <c r="R6" s="7" t="n">
        <v>43</v>
      </c>
      <c r="S6" s="7" t="inlineStr">
        <is>
          <t>108 to 150</t>
        </is>
      </c>
      <c r="T6" s="7" t="inlineStr">
        <is>
          <t>22 to 30</t>
        </is>
      </c>
      <c r="U6" s="6" t="inlineStr">
        <is>
          <t>Dual currency billing USD and KHR; Khmer documents and UI; tax rules replaced; e-invoicing connector; IRC reports</t>
        </is>
      </c>
    </row>
    <row r="7">
      <c r="A7" s="7" t="n">
        <v>6</v>
      </c>
      <c r="B7" s="6" t="inlineStr">
        <is>
          <t>Lao PDR</t>
        </is>
      </c>
      <c r="C7" s="6" t="inlineStr">
        <is>
          <t>Ministry of Finance (insurance supervision)</t>
        </is>
      </c>
      <c r="D7" s="6" t="inlineStr">
        <is>
          <t>Brokers allowed under the Law on Insurance; very few active (to verify)</t>
        </is>
      </c>
      <c r="E7" s="6" t="inlineStr">
        <is>
          <t>VAT 10%; withholding on services; to verify for insurance</t>
        </is>
      </c>
      <c r="F7" s="6" t="inlineStr">
        <is>
          <t>Tax e-invoice system being introduced (to verify)</t>
        </is>
      </c>
      <c r="G7" s="6" t="inlineStr">
        <is>
          <t>Lao script for documents and UI</t>
        </is>
      </c>
      <c r="H7" s="7" t="inlineStr">
        <is>
          <t>LAK (USD and THB also used)</t>
        </is>
      </c>
      <c r="I7" s="6" t="inlineStr">
        <is>
          <t>Law on Electronic Data Protection 2017</t>
        </is>
      </c>
      <c r="J7" s="6" t="inlineStr">
        <is>
          <t>Compulsory third-party motor insurance under the insurance law (enforcement to verify)</t>
        </is>
      </c>
      <c r="K7" s="6" t="inlineStr">
        <is>
          <t>Lao accounting standards</t>
        </is>
      </c>
      <c r="L7" s="6" t="inlineStr">
        <is>
          <t>Very small market; state-linked insurers</t>
        </is>
      </c>
      <c r="M7" s="7" t="n">
        <v>3</v>
      </c>
      <c r="N7" s="7" t="n">
        <v>10.1</v>
      </c>
      <c r="O7" s="7" t="n">
        <v>20.6</v>
      </c>
      <c r="P7" s="7" t="n">
        <v>10</v>
      </c>
      <c r="Q7" s="7" t="inlineStr">
        <is>
          <t>36 to 52%</t>
        </is>
      </c>
      <c r="R7" s="7" t="n">
        <v>44</v>
      </c>
      <c r="S7" s="7" t="inlineStr">
        <is>
          <t>108 to 156</t>
        </is>
      </c>
      <c r="T7" s="7" t="inlineStr">
        <is>
          <t>22 to 31</t>
        </is>
      </c>
      <c r="U7" s="6" t="inlineStr">
        <is>
          <t>Lao UI and documents; multi-currency billing; tax rules replaced; regulator reports; small market</t>
        </is>
      </c>
    </row>
    <row r="8">
      <c r="A8" s="7" t="n">
        <v>7</v>
      </c>
      <c r="B8" s="6" t="inlineStr">
        <is>
          <t>Indonesia</t>
        </is>
      </c>
      <c r="C8" s="6" t="inlineStr">
        <is>
          <t>Otoritas Jasa Keuangan (OJK)</t>
        </is>
      </c>
      <c r="D8" s="6" t="inlineStr">
        <is>
          <t>Insurance and reinsurance brokers licensed by OJK (broker POJK), sharia brokers; minimum equity and professional indemnity</t>
        </is>
      </c>
      <c r="E8" s="6" t="inlineStr">
        <is>
          <t>Insurance premium outside the VAT scope; VAT on brokerage (12% rate on a reduced base, effective 11%, to verify); stamp duty Rp10,000 on documents; withholding PPh 23 on services and PPh 21 on individual agents</t>
        </is>
      </c>
      <c r="F8" s="6" t="inlineStr">
        <is>
          <t>e-Faktur through Coretax (since January 2025) mandatory for VAT invoices; e-Bupot for withholding</t>
        </is>
      </c>
      <c r="G8" s="6" t="inlineStr">
        <is>
          <t>Bahasa Indonesia required for policies, invoices and UI</t>
        </is>
      </c>
      <c r="H8" s="7" t="inlineStr">
        <is>
          <t>IDR (no decimals in practice)</t>
        </is>
      </c>
      <c r="I8" s="6" t="inlineStr">
        <is>
          <t>Personal Data Protection Law 27/2022 in force October 2024; OJK and electronic system rules can require data centres in Indonesia (to verify)</t>
        </is>
      </c>
      <c r="J8" s="6" t="inlineStr">
        <is>
          <t>OJK reference rate bands for motor and property; Jasa Raharja accident fund collected with vehicle registration, outside brokers</t>
        </is>
      </c>
      <c r="K8" s="6" t="inlineStr">
        <is>
          <t>PSAK (SAK); Coretax; monthly withholding returns</t>
        </is>
      </c>
      <c r="L8" s="6" t="inlineStr">
        <is>
          <t>OJK tariff bands; standard wordings (PSAKBI); conventional and sharia; reinsurance brokers active</t>
        </is>
      </c>
      <c r="M8" s="7" t="n">
        <v>3</v>
      </c>
      <c r="N8" s="7" t="n">
        <v>8.1</v>
      </c>
      <c r="O8" s="7" t="n">
        <v>25.5</v>
      </c>
      <c r="P8" s="7" t="n">
        <v>9</v>
      </c>
      <c r="Q8" s="7" t="inlineStr">
        <is>
          <t>40 to 52%</t>
        </is>
      </c>
      <c r="R8" s="7" t="n">
        <v>46</v>
      </c>
      <c r="S8" s="7" t="inlineStr">
        <is>
          <t>120 to 156</t>
        </is>
      </c>
      <c r="T8" s="7" t="inlineStr">
        <is>
          <t>24 to 31</t>
        </is>
      </c>
      <c r="U8" s="6" t="inlineStr">
        <is>
          <t>Coretax e-Faktur and e-Bupot integration; OJK reports; Bahasa UI and documents; OJK rate bands in rating; sharia variant; hosting in Indonesia</t>
        </is>
      </c>
    </row>
    <row r="9">
      <c r="A9" s="7" t="n">
        <v>8</v>
      </c>
      <c r="B9" s="6" t="inlineStr">
        <is>
          <t>Vietnam</t>
        </is>
      </c>
      <c r="C9" s="6" t="inlineStr">
        <is>
          <t>Ministry of Finance (Insurance Supervisory Authority)</t>
        </is>
      </c>
      <c r="D9" s="6" t="inlineStr">
        <is>
          <t>Insurance brokers licensed under the Law on Insurance Business 2022 and Decree 46/2023</t>
        </is>
      </c>
      <c r="E9" s="6" t="inlineStr">
        <is>
          <t>VAT 10% on non-life premium and brokerage (some lines exempt); personal income tax withholding on agent commission</t>
        </is>
      </c>
      <c r="F9" s="6" t="inlineStr">
        <is>
          <t>E-invoices with tax authority codes mandatory since July 2022 (Decree 123/2020, Circular 78/2021)</t>
        </is>
      </c>
      <c r="G9" s="6" t="inlineStr">
        <is>
          <t>Vietnamese required for documents, invoices and UI</t>
        </is>
      </c>
      <c r="H9" s="7" t="inlineStr">
        <is>
          <t>VND (no decimals)</t>
        </is>
      </c>
      <c r="I9" s="6" t="inlineStr">
        <is>
          <t>Personal Data Protection Law effective 1 January 2026 and Decree 13/2023; cybersecurity data localisation for some data (to verify)</t>
        </is>
      </c>
      <c r="J9" s="6" t="inlineStr">
        <is>
          <t>Compulsory civil liability motor insurance at a Ministry of Finance tariff (Decree 67/2023), e-certificates</t>
        </is>
      </c>
      <c r="K9" s="6" t="inlineStr">
        <is>
          <t>Vietnamese Accounting Standards with a prescribed chart of accounts and books in Vietnamese and VND</t>
        </is>
      </c>
      <c r="L9" s="6" t="inlineStr">
        <is>
          <t>Bancassurance-led market; brokers mainly serve corporate and FDI clients</t>
        </is>
      </c>
      <c r="M9" s="7" t="n">
        <v>3.3</v>
      </c>
      <c r="N9" s="7" t="n">
        <v>8</v>
      </c>
      <c r="O9" s="7" t="n">
        <v>28.3</v>
      </c>
      <c r="P9" s="7" t="n">
        <v>10</v>
      </c>
      <c r="Q9" s="7" t="inlineStr">
        <is>
          <t>44 to 56%</t>
        </is>
      </c>
      <c r="R9" s="7" t="n">
        <v>50</v>
      </c>
      <c r="S9" s="7" t="inlineStr">
        <is>
          <t>132 to 168</t>
        </is>
      </c>
      <c r="T9" s="7" t="inlineStr">
        <is>
          <t>26 to 34</t>
        </is>
      </c>
      <c r="U9" s="6" t="inlineStr">
        <is>
          <t>E-invoice connector with tax authority code; VAS chart of accounts and statutory books; Vietnamese UI and documents; MoF motor tariff; MoF reports</t>
        </is>
      </c>
    </row>
    <row r="10">
      <c r="A10" s="7" t="n">
        <v>9</v>
      </c>
      <c r="B10" s="6" t="inlineStr">
        <is>
          <t>Myanmar</t>
        </is>
      </c>
      <c r="C10" s="6" t="inlineStr">
        <is>
          <t>Financial Regulatory Department and Insurance Business Supervisory Board (Ministry of Planning and Finance)</t>
        </is>
      </c>
      <c r="D10" s="6" t="inlineStr">
        <is>
          <t>Insurance Law 2019 provides for intermediaries; broker licensing practice to verify</t>
        </is>
      </c>
      <c r="E10" s="6" t="inlineStr">
        <is>
          <t>Commercial tax rules and treatment of insurance to verify</t>
        </is>
      </c>
      <c r="F10" s="6" t="inlineStr">
        <is>
          <t>None known</t>
        </is>
      </c>
      <c r="G10" s="6" t="inlineStr">
        <is>
          <t>Burmese (Myanmar Unicode) for documents and UI</t>
        </is>
      </c>
      <c r="H10" s="7" t="inlineStr">
        <is>
          <t>MMK</t>
        </is>
      </c>
      <c r="I10" s="6" t="inlineStr">
        <is>
          <t>No comprehensive data protection law; Electronic Transactions Law provisions</t>
        </is>
      </c>
      <c r="J10" s="6" t="inlineStr">
        <is>
          <t>Compulsory third-party motor insurance through the state insurer</t>
        </is>
      </c>
      <c r="K10" s="6" t="inlineStr">
        <is>
          <t>MFRS (Myanmar)</t>
        </is>
      </c>
      <c r="L10" s="6" t="inlineStr">
        <is>
          <t>Political and sanctions risk since 2021; foreign participation constrained</t>
        </is>
      </c>
      <c r="M10" s="7" t="n">
        <v>3.4</v>
      </c>
      <c r="N10" s="7" t="n">
        <v>9</v>
      </c>
      <c r="O10" s="7" t="n">
        <v>24.5</v>
      </c>
      <c r="P10" s="7" t="n">
        <v>12</v>
      </c>
      <c r="Q10" s="7" t="inlineStr">
        <is>
          <t>41 to 57%</t>
        </is>
      </c>
      <c r="R10" s="7" t="n">
        <v>49</v>
      </c>
      <c r="S10" s="7" t="inlineStr">
        <is>
          <t>123 to 171</t>
        </is>
      </c>
      <c r="T10" s="7" t="inlineStr">
        <is>
          <t>25 to 34</t>
        </is>
      </c>
      <c r="U10" s="6" t="inlineStr">
        <is>
          <t>Not recommended at present; sanctions screening, Burmese UI, regulatory model to verify</t>
        </is>
      </c>
    </row>
    <row r="12">
      <c r="B12" s="15" t="inlineStr">
        <is>
          <t>Timor-Leste joined ASEAN in October 2025. Not scored: a very small insurance market supervised by the Banco Central de Timor-Leste, USD currency, Tetum and Portuguese. Treat as Lao PDR or higher if a prospect appears (to verify with a local partner).</t>
        </is>
      </c>
    </row>
    <row r="13">
      <c r="B13" s="15" t="inlineStr">
        <is>
          <t>Country facts come from general knowledge of each regime and are marked "to verify" where uncertain. Confirm with local counsel or a partner before any commitment.</t>
        </is>
      </c>
    </row>
    <row r="14">
      <c r="B14" s="15" t="inlineStr">
        <is>
          <t>Layer % = points of change on the whole product, from the ASEAN Heat Map sheet (L1 change x L1 weight). Language is added on top. Range = midpoint +/- uncertainty band.</t>
        </is>
      </c>
    </row>
    <row r="15">
      <c r="B15" s="15" t="inlineStr">
        <is>
          <t>Effort = 3 person-weeks per point of change (indicative), calendar weeks with a team of 5. Excludes the first client implementation.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3" t="inlineStr">
        <is>
          <t>L1 process area</t>
        </is>
      </c>
      <c r="B1" s="3" t="inlineStr">
        <is>
          <t>L1 weight</t>
        </is>
      </c>
      <c r="C1" s="3" t="inlineStr">
        <is>
          <t>Singapore</t>
        </is>
      </c>
      <c r="D1" s="3" t="inlineStr">
        <is>
          <t>Brunei Darussalam</t>
        </is>
      </c>
      <c r="E1" s="3" t="inlineStr">
        <is>
          <t>Malaysia</t>
        </is>
      </c>
      <c r="F1" s="3" t="inlineStr">
        <is>
          <t>Thailand</t>
        </is>
      </c>
      <c r="G1" s="3" t="inlineStr">
        <is>
          <t>Cambodia</t>
        </is>
      </c>
      <c r="H1" s="3" t="inlineStr">
        <is>
          <t>Lao PDR</t>
        </is>
      </c>
      <c r="I1" s="3" t="inlineStr">
        <is>
          <t>Indonesia</t>
        </is>
      </c>
      <c r="J1" s="3" t="inlineStr">
        <is>
          <t>Vietnam</t>
        </is>
      </c>
      <c r="K1" s="3" t="inlineStr">
        <is>
          <t>Myanmar</t>
        </is>
      </c>
    </row>
    <row r="2">
      <c r="A2" s="6" t="inlineStr">
        <is>
          <t>1. Client onboarding, KYC and AML</t>
        </is>
      </c>
      <c r="B2" s="7" t="n">
        <v>22</v>
      </c>
      <c r="C2" s="11" t="inlineStr">
        <is>
          <t>20% L</t>
        </is>
      </c>
      <c r="D2" s="11" t="inlineStr">
        <is>
          <t>25% L</t>
        </is>
      </c>
      <c r="E2" s="11" t="inlineStr">
        <is>
          <t>30% L</t>
        </is>
      </c>
      <c r="F2" s="11" t="inlineStr">
        <is>
          <t>30% L</t>
        </is>
      </c>
      <c r="G2" s="11" t="inlineStr">
        <is>
          <t>30% L</t>
        </is>
      </c>
      <c r="H2" s="11" t="inlineStr">
        <is>
          <t>30% L</t>
        </is>
      </c>
      <c r="I2" s="11" t="inlineStr">
        <is>
          <t>35% L</t>
        </is>
      </c>
      <c r="J2" s="11" t="inlineStr">
        <is>
          <t>35% L</t>
        </is>
      </c>
      <c r="K2" s="16" t="inlineStr">
        <is>
          <t>40% X</t>
        </is>
      </c>
    </row>
    <row r="3">
      <c r="A3" s="6" t="inlineStr">
        <is>
          <t>2. Prospecting and sales pipeline</t>
        </is>
      </c>
      <c r="B3" s="7" t="n">
        <v>14</v>
      </c>
      <c r="C3" s="12" t="inlineStr">
        <is>
          <t>5% C</t>
        </is>
      </c>
      <c r="D3" s="12" t="inlineStr">
        <is>
          <t>5% C</t>
        </is>
      </c>
      <c r="E3" s="12" t="inlineStr">
        <is>
          <t>5% C</t>
        </is>
      </c>
      <c r="F3" s="12" t="inlineStr">
        <is>
          <t>10% L</t>
        </is>
      </c>
      <c r="G3" s="12" t="inlineStr">
        <is>
          <t>10% L</t>
        </is>
      </c>
      <c r="H3" s="12" t="inlineStr">
        <is>
          <t>10% L</t>
        </is>
      </c>
      <c r="I3" s="12" t="inlineStr">
        <is>
          <t>10% L</t>
        </is>
      </c>
      <c r="J3" s="12" t="inlineStr">
        <is>
          <t>10% L</t>
        </is>
      </c>
      <c r="K3" s="12" t="inlineStr">
        <is>
          <t>10% L</t>
        </is>
      </c>
    </row>
    <row r="4">
      <c r="A4" s="6" t="inlineStr">
        <is>
          <t>3. Quotation and insurer comparison</t>
        </is>
      </c>
      <c r="B4" s="7" t="n">
        <v>24</v>
      </c>
      <c r="C4" s="11" t="inlineStr">
        <is>
          <t>30% L</t>
        </is>
      </c>
      <c r="D4" s="11" t="inlineStr">
        <is>
          <t>35% L</t>
        </is>
      </c>
      <c r="E4" s="16" t="inlineStr">
        <is>
          <t>40% L</t>
        </is>
      </c>
      <c r="F4" s="16" t="inlineStr">
        <is>
          <t>45% X</t>
        </is>
      </c>
      <c r="G4" s="16" t="inlineStr">
        <is>
          <t>45% X</t>
        </is>
      </c>
      <c r="H4" s="16" t="inlineStr">
        <is>
          <t>45% X</t>
        </is>
      </c>
      <c r="I4" s="16" t="inlineStr">
        <is>
          <t>50% X</t>
        </is>
      </c>
      <c r="J4" s="16" t="inlineStr">
        <is>
          <t>50% X</t>
        </is>
      </c>
      <c r="K4" s="16" t="inlineStr">
        <is>
          <t>50% X</t>
        </is>
      </c>
    </row>
    <row r="5">
      <c r="A5" s="6" t="inlineStr">
        <is>
          <t>4. RFQ, placement, co-insurance and reinsurance</t>
        </is>
      </c>
      <c r="B5" s="7" t="n">
        <v>24</v>
      </c>
      <c r="C5" s="12" t="inlineStr">
        <is>
          <t>5% C</t>
        </is>
      </c>
      <c r="D5" s="12" t="inlineStr">
        <is>
          <t>10% C</t>
        </is>
      </c>
      <c r="E5" s="12" t="inlineStr">
        <is>
          <t>10% C</t>
        </is>
      </c>
      <c r="F5" s="12" t="inlineStr">
        <is>
          <t>10% C</t>
        </is>
      </c>
      <c r="G5" s="12" t="inlineStr">
        <is>
          <t>10% C</t>
        </is>
      </c>
      <c r="H5" s="12" t="inlineStr">
        <is>
          <t>15% C</t>
        </is>
      </c>
      <c r="I5" s="12" t="inlineStr">
        <is>
          <t>15% C</t>
        </is>
      </c>
      <c r="J5" s="12" t="inlineStr">
        <is>
          <t>15% C</t>
        </is>
      </c>
      <c r="K5" s="11" t="inlineStr">
        <is>
          <t>20% C</t>
        </is>
      </c>
    </row>
    <row r="6">
      <c r="A6" s="6" t="inlineStr">
        <is>
          <t>5. Policy issuance, documents and motor (CTPL, LTO)</t>
        </is>
      </c>
      <c r="B6" s="7" t="n">
        <v>29</v>
      </c>
      <c r="C6" s="11" t="inlineStr">
        <is>
          <t>35% X</t>
        </is>
      </c>
      <c r="D6" s="11" t="inlineStr">
        <is>
          <t>35% X</t>
        </is>
      </c>
      <c r="E6" s="16" t="inlineStr">
        <is>
          <t>40% X</t>
        </is>
      </c>
      <c r="F6" s="16" t="inlineStr">
        <is>
          <t>40% X</t>
        </is>
      </c>
      <c r="G6" s="16" t="inlineStr">
        <is>
          <t>45% X</t>
        </is>
      </c>
      <c r="H6" s="16" t="inlineStr">
        <is>
          <t>45% X</t>
        </is>
      </c>
      <c r="I6" s="16" t="inlineStr">
        <is>
          <t>45% X</t>
        </is>
      </c>
      <c r="J6" s="16" t="inlineStr">
        <is>
          <t>50% X</t>
        </is>
      </c>
      <c r="K6" s="16" t="inlineStr">
        <is>
          <t>50% X</t>
        </is>
      </c>
    </row>
    <row r="7">
      <c r="A7" s="6" t="inlineStr">
        <is>
          <t>6. Endorsements and cancellations</t>
        </is>
      </c>
      <c r="B7" s="7" t="n">
        <v>19</v>
      </c>
      <c r="C7" s="12" t="inlineStr">
        <is>
          <t>10% C</t>
        </is>
      </c>
      <c r="D7" s="12" t="inlineStr">
        <is>
          <t>10% C</t>
        </is>
      </c>
      <c r="E7" s="12" t="inlineStr">
        <is>
          <t>10% C</t>
        </is>
      </c>
      <c r="F7" s="12" t="inlineStr">
        <is>
          <t>15% C</t>
        </is>
      </c>
      <c r="G7" s="12" t="inlineStr">
        <is>
          <t>15% C</t>
        </is>
      </c>
      <c r="H7" s="12" t="inlineStr">
        <is>
          <t>15% C</t>
        </is>
      </c>
      <c r="I7" s="12" t="inlineStr">
        <is>
          <t>15% C</t>
        </is>
      </c>
      <c r="J7" s="11" t="inlineStr">
        <is>
          <t>20% C</t>
        </is>
      </c>
      <c r="K7" s="12" t="inlineStr">
        <is>
          <t>15% C</t>
        </is>
      </c>
    </row>
    <row r="8">
      <c r="A8" s="6" t="inlineStr">
        <is>
          <t>7. Renewals and retention</t>
        </is>
      </c>
      <c r="B8" s="7" t="n">
        <v>13</v>
      </c>
      <c r="C8" s="12" t="inlineStr">
        <is>
          <t>5% C</t>
        </is>
      </c>
      <c r="D8" s="12" t="inlineStr">
        <is>
          <t>5% C</t>
        </is>
      </c>
      <c r="E8" s="12" t="inlineStr">
        <is>
          <t>10% C</t>
        </is>
      </c>
      <c r="F8" s="12" t="inlineStr">
        <is>
          <t>10% C</t>
        </is>
      </c>
      <c r="G8" s="12" t="inlineStr">
        <is>
          <t>10% C</t>
        </is>
      </c>
      <c r="H8" s="12" t="inlineStr">
        <is>
          <t>10% C</t>
        </is>
      </c>
      <c r="I8" s="12" t="inlineStr">
        <is>
          <t>10% C</t>
        </is>
      </c>
      <c r="J8" s="12" t="inlineStr">
        <is>
          <t>10% C</t>
        </is>
      </c>
      <c r="K8" s="12" t="inlineStr">
        <is>
          <t>10% C</t>
        </is>
      </c>
    </row>
    <row r="9">
      <c r="A9" s="6" t="inlineStr">
        <is>
          <t>8. Billing, collection, credit control and receipts</t>
        </is>
      </c>
      <c r="B9" s="7" t="n">
        <v>29</v>
      </c>
      <c r="C9" s="11" t="inlineStr">
        <is>
          <t>25% X</t>
        </is>
      </c>
      <c r="D9" s="12" t="inlineStr">
        <is>
          <t>15% L</t>
        </is>
      </c>
      <c r="E9" s="16" t="inlineStr">
        <is>
          <t>45% X</t>
        </is>
      </c>
      <c r="F9" s="16" t="inlineStr">
        <is>
          <t>40% X</t>
        </is>
      </c>
      <c r="G9" s="16" t="inlineStr">
        <is>
          <t>45% X</t>
        </is>
      </c>
      <c r="H9" s="16" t="inlineStr">
        <is>
          <t>45% X</t>
        </is>
      </c>
      <c r="I9" s="16" t="inlineStr">
        <is>
          <t>50% X</t>
        </is>
      </c>
      <c r="J9" s="13" t="inlineStr">
        <is>
          <t>60% X</t>
        </is>
      </c>
      <c r="K9" s="16" t="inlineStr">
        <is>
          <t>45% X</t>
        </is>
      </c>
    </row>
    <row r="10">
      <c r="A10" s="6" t="inlineStr">
        <is>
          <t>9. Remittance, direct bill and insurer reconciliation</t>
        </is>
      </c>
      <c r="B10" s="7" t="n">
        <v>20</v>
      </c>
      <c r="C10" s="12" t="inlineStr">
        <is>
          <t>15% L</t>
        </is>
      </c>
      <c r="D10" s="12" t="inlineStr">
        <is>
          <t>15% L</t>
        </is>
      </c>
      <c r="E10" s="11" t="inlineStr">
        <is>
          <t>20% L</t>
        </is>
      </c>
      <c r="F10" s="11" t="inlineStr">
        <is>
          <t>20% L</t>
        </is>
      </c>
      <c r="G10" s="11" t="inlineStr">
        <is>
          <t>20% L</t>
        </is>
      </c>
      <c r="H10" s="11" t="inlineStr">
        <is>
          <t>20% L</t>
        </is>
      </c>
      <c r="I10" s="11" t="inlineStr">
        <is>
          <t>25% L</t>
        </is>
      </c>
      <c r="J10" s="11" t="inlineStr">
        <is>
          <t>25% L</t>
        </is>
      </c>
      <c r="K10" s="11" t="inlineStr">
        <is>
          <t>25% L</t>
        </is>
      </c>
    </row>
    <row r="11">
      <c r="A11" s="6" t="inlineStr">
        <is>
          <t>10. Commission, referrers and incentives</t>
        </is>
      </c>
      <c r="B11" s="7" t="n">
        <v>22</v>
      </c>
      <c r="C11" s="12" t="inlineStr">
        <is>
          <t>15% L</t>
        </is>
      </c>
      <c r="D11" s="12" t="inlineStr">
        <is>
          <t>15% L</t>
        </is>
      </c>
      <c r="E11" s="11" t="inlineStr">
        <is>
          <t>25% L</t>
        </is>
      </c>
      <c r="F11" s="11" t="inlineStr">
        <is>
          <t>30% L</t>
        </is>
      </c>
      <c r="G11" s="11" t="inlineStr">
        <is>
          <t>30% L</t>
        </is>
      </c>
      <c r="H11" s="11" t="inlineStr">
        <is>
          <t>30% L</t>
        </is>
      </c>
      <c r="I11" s="11" t="inlineStr">
        <is>
          <t>35% X</t>
        </is>
      </c>
      <c r="J11" s="11" t="inlineStr">
        <is>
          <t>35% L</t>
        </is>
      </c>
      <c r="K11" s="11" t="inlineStr">
        <is>
          <t>30% L</t>
        </is>
      </c>
    </row>
    <row r="12">
      <c r="A12" s="6" t="inlineStr">
        <is>
          <t>11. Claims assistance</t>
        </is>
      </c>
      <c r="B12" s="7" t="n">
        <v>21</v>
      </c>
      <c r="C12" s="12" t="inlineStr">
        <is>
          <t>5% C</t>
        </is>
      </c>
      <c r="D12" s="12" t="inlineStr">
        <is>
          <t>5% C</t>
        </is>
      </c>
      <c r="E12" s="12" t="inlineStr">
        <is>
          <t>10% C</t>
        </is>
      </c>
      <c r="F12" s="12" t="inlineStr">
        <is>
          <t>10% C</t>
        </is>
      </c>
      <c r="G12" s="12" t="inlineStr">
        <is>
          <t>15% C</t>
        </is>
      </c>
      <c r="H12" s="12" t="inlineStr">
        <is>
          <t>15% C</t>
        </is>
      </c>
      <c r="I12" s="12" t="inlineStr">
        <is>
          <t>15% C</t>
        </is>
      </c>
      <c r="J12" s="12" t="inlineStr">
        <is>
          <t>15% C</t>
        </is>
      </c>
      <c r="K12" s="12" t="inlineStr">
        <is>
          <t>15% C</t>
        </is>
      </c>
    </row>
    <row r="13">
      <c r="A13" s="6" t="inlineStr">
        <is>
          <t>12. Accounting, general ledger, period end and audit</t>
        </is>
      </c>
      <c r="B13" s="7" t="n">
        <v>27</v>
      </c>
      <c r="C13" s="12" t="inlineStr">
        <is>
          <t>15% L</t>
        </is>
      </c>
      <c r="D13" s="12" t="inlineStr">
        <is>
          <t>15% L</t>
        </is>
      </c>
      <c r="E13" s="11" t="inlineStr">
        <is>
          <t>20% L</t>
        </is>
      </c>
      <c r="F13" s="11" t="inlineStr">
        <is>
          <t>25% L</t>
        </is>
      </c>
      <c r="G13" s="11" t="inlineStr">
        <is>
          <t>35% L</t>
        </is>
      </c>
      <c r="H13" s="16" t="inlineStr">
        <is>
          <t>40% L</t>
        </is>
      </c>
      <c r="I13" s="11" t="inlineStr">
        <is>
          <t>30% L</t>
        </is>
      </c>
      <c r="J13" s="16" t="inlineStr">
        <is>
          <t>50% X</t>
        </is>
      </c>
      <c r="K13" s="16" t="inlineStr">
        <is>
          <t>40% L</t>
        </is>
      </c>
    </row>
    <row r="14">
      <c r="A14" s="6" t="inlineStr">
        <is>
          <t>13. Taxes and BIR compliance</t>
        </is>
      </c>
      <c r="B14" s="7" t="n">
        <v>33</v>
      </c>
      <c r="C14" s="13" t="inlineStr">
        <is>
          <t>70% X</t>
        </is>
      </c>
      <c r="D14" s="16" t="inlineStr">
        <is>
          <t>45% L</t>
        </is>
      </c>
      <c r="E14" s="13" t="inlineStr">
        <is>
          <t>70% X</t>
        </is>
      </c>
      <c r="F14" s="13" t="inlineStr">
        <is>
          <t>70% X</t>
        </is>
      </c>
      <c r="G14" s="13" t="inlineStr">
        <is>
          <t>70% X</t>
        </is>
      </c>
      <c r="H14" s="13" t="inlineStr">
        <is>
          <t>70% X</t>
        </is>
      </c>
      <c r="I14" s="13" t="inlineStr">
        <is>
          <t>80% X</t>
        </is>
      </c>
      <c r="J14" s="13" t="inlineStr">
        <is>
          <t>80% X</t>
        </is>
      </c>
      <c r="K14" s="13" t="inlineStr">
        <is>
          <t>70% X</t>
        </is>
      </c>
    </row>
    <row r="15">
      <c r="A15" s="6" t="inlineStr">
        <is>
          <t>14. Insurance Commission and Data Privacy compliance</t>
        </is>
      </c>
      <c r="B15" s="7" t="n">
        <v>28</v>
      </c>
      <c r="C15" s="16" t="inlineStr">
        <is>
          <t>50% X</t>
        </is>
      </c>
      <c r="D15" s="16" t="inlineStr">
        <is>
          <t>50% X</t>
        </is>
      </c>
      <c r="E15" s="16" t="inlineStr">
        <is>
          <t>55% X</t>
        </is>
      </c>
      <c r="F15" s="16" t="inlineStr">
        <is>
          <t>55% X</t>
        </is>
      </c>
      <c r="G15" s="16" t="inlineStr">
        <is>
          <t>45% X</t>
        </is>
      </c>
      <c r="H15" s="16" t="inlineStr">
        <is>
          <t>50% X</t>
        </is>
      </c>
      <c r="I15" s="13" t="inlineStr">
        <is>
          <t>65% X</t>
        </is>
      </c>
      <c r="J15" s="13" t="inlineStr">
        <is>
          <t>65% X</t>
        </is>
      </c>
      <c r="K15" s="13" t="inlineStr">
        <is>
          <t>60% X</t>
        </is>
      </c>
    </row>
    <row r="16">
      <c r="A16" s="6" t="inlineStr">
        <is>
          <t>15. Reporting, administration, security and go-live</t>
        </is>
      </c>
      <c r="B16" s="7" t="n">
        <v>35</v>
      </c>
      <c r="C16" s="12" t="inlineStr">
        <is>
          <t>10% C</t>
        </is>
      </c>
      <c r="D16" s="12" t="inlineStr">
        <is>
          <t>10% C</t>
        </is>
      </c>
      <c r="E16" s="12" t="inlineStr">
        <is>
          <t>10% C</t>
        </is>
      </c>
      <c r="F16" s="12" t="inlineStr">
        <is>
          <t>15% C</t>
        </is>
      </c>
      <c r="G16" s="11" t="inlineStr">
        <is>
          <t>20% L</t>
        </is>
      </c>
      <c r="H16" s="11" t="inlineStr">
        <is>
          <t>20% L</t>
        </is>
      </c>
      <c r="I16" s="11" t="inlineStr">
        <is>
          <t>20% L</t>
        </is>
      </c>
      <c r="J16" s="11" t="inlineStr">
        <is>
          <t>20% L</t>
        </is>
      </c>
      <c r="K16" s="11" t="inlineStr">
        <is>
          <t>25% L</t>
        </is>
      </c>
    </row>
    <row r="17">
      <c r="A17" s="6" t="inlineStr">
        <is>
          <t>Language layer (points added)</t>
        </is>
      </c>
      <c r="B17" s="7" t="inlineStr"/>
      <c r="C17" s="7" t="n">
        <v>0</v>
      </c>
      <c r="D17" s="7" t="n">
        <v>2</v>
      </c>
      <c r="E17" s="7" t="n">
        <v>3</v>
      </c>
      <c r="F17" s="7" t="n">
        <v>7</v>
      </c>
      <c r="G17" s="7" t="n">
        <v>10</v>
      </c>
      <c r="H17" s="7" t="n">
        <v>10</v>
      </c>
      <c r="I17" s="7" t="n">
        <v>9</v>
      </c>
      <c r="J17" s="7" t="n">
        <v>10</v>
      </c>
      <c r="K17" s="7" t="n">
        <v>12</v>
      </c>
    </row>
    <row r="18">
      <c r="A18" s="4" t="inlineStr">
        <is>
          <t>Overall change % (midpoint)</t>
        </is>
      </c>
      <c r="B18" s="14" t="inlineStr"/>
      <c r="C18" s="14" t="n">
        <v>24</v>
      </c>
      <c r="D18" s="14" t="n">
        <v>24</v>
      </c>
      <c r="E18" s="14" t="n">
        <v>32</v>
      </c>
      <c r="F18" s="14" t="n">
        <v>38</v>
      </c>
      <c r="G18" s="14" t="n">
        <v>43</v>
      </c>
      <c r="H18" s="14" t="n">
        <v>44</v>
      </c>
      <c r="I18" s="14" t="n">
        <v>46</v>
      </c>
      <c r="J18" s="14" t="n">
        <v>50</v>
      </c>
      <c r="K18" s="14" t="n">
        <v>49</v>
      </c>
    </row>
    <row r="20">
      <c r="A20" s="15" t="inlineStr">
        <is>
          <t>Cell = share of the L1 area that changes, and the main layer: C configuration, L localisation of masters, tax rules and forms, X code (regulatory reports, e-invoicing and other integrations).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30" customHeight="1">
      <c r="A1" s="3" t="inlineStr">
        <is>
          <t>Topic</t>
        </is>
      </c>
      <c r="B1" s="3" t="inlineStr">
        <is>
          <t>Method or source</t>
        </is>
      </c>
    </row>
    <row r="2">
      <c r="A2" s="4" t="inlineStr">
        <is>
          <t>Question</t>
        </is>
      </c>
      <c r="B2" s="6" t="inlineStr">
        <is>
          <t>How far BrokerVerse fits the practice of a Philippine non-life broker (and a captive agency) today, where it is strongest, what to improve, and how much change other ASEAN countries need.</t>
        </is>
      </c>
    </row>
    <row r="3">
      <c r="A3" s="4" t="inlineStr">
        <is>
          <t>Baseline</t>
        </is>
      </c>
      <c r="B3" s="6" t="inlineStr">
        <is>
          <t>Code on branch brokerverse-platform as of 04 October 2026. Work in development (menu, audit trail screen, Philippine masters: Province instead of State, PSGC geography, PH banks, IDs and salutations, IC non-life insurer list; My Work; Product Configurator connections; branding and e-signature; masking; comparison report) is counted as not delivered.</t>
        </is>
      </c>
    </row>
    <row r="4">
      <c r="A4" s="4" t="inlineStr">
        <is>
          <t>Catalogue</t>
        </is>
      </c>
      <c r="B4" s="6" t="inlineStr">
        <is>
          <t>163 L2 processes in 15 L1 areas, written from Philippine broking practice: Insurance Code (RA 10607) and IC rules, NIRC and EOPT Act (RA 11976) with RR 7-2024, Data Privacy Act (RA 10173) and NPC rules, AMLA (RA 9160 as amended), Financial Consumer Protection Act (RA 11765), LTO and CTPL practice.</t>
        </is>
      </c>
    </row>
    <row r="5">
      <c r="A5" s="4" t="inlineStr">
        <is>
          <t>Weight</t>
        </is>
      </c>
      <c r="B5" s="6" t="inlineStr">
        <is>
          <t>3 = core to daily operation or a legal obligation with penalties; 2 = important; 1 = useful or occasional.</t>
        </is>
      </c>
    </row>
    <row r="6">
      <c r="A6" s="4" t="inlineStr">
        <is>
          <t>Score</t>
        </is>
      </c>
      <c r="B6" s="6" t="inlineStr">
        <is>
          <t>2 = supported out of the box end to end and evidenced by a screen and a test or the UAT run; 1 = partly supported, needs a workaround, a procedure or configuration not yet present; 0 = not supported. Screens that do not complete the process get no credit.</t>
        </is>
      </c>
    </row>
    <row r="7">
      <c r="A7" s="4" t="inlineStr">
        <is>
          <t>Fit %</t>
        </is>
      </c>
      <c r="B7" s="6" t="inlineStr">
        <is>
          <t>Sum of weight x score divided by the sum of weight x 2, per L1 and overall. Regulatory fit uses the L2 typed IC, BIR, NPC or AMLC; operational fit uses the L2 typed Ops.</t>
        </is>
      </c>
    </row>
    <row r="8">
      <c r="A8" s="4" t="inlineStr">
        <is>
          <t>Gap ranking</t>
        </is>
      </c>
      <c r="B8" s="6" t="inlineStr">
        <is>
          <t>Impact = weight x (2 - score), times 1.5 for a regulatory item; ties ranked by smaller effort. Effort S up to 2 weeks, M 2 to 6 weeks, L over 6 weeks for one team.</t>
        </is>
      </c>
    </row>
    <row r="9">
      <c r="A9" s="4" t="inlineStr">
        <is>
          <t>ASEAN method</t>
        </is>
      </c>
      <c r="B9" s="6" t="inlineStr">
        <is>
          <t>For each country and L1 area: share of the area that changes and its main layer (configuration, localisation, code). Weighted by the L1 weight of the Philippine catalogue. A language layer is added for UI and documents. Ranges reflect uncertainty; facts marked "to verify" are to be confirmed with local counsel or a partner.</t>
        </is>
      </c>
    </row>
    <row r="10">
      <c r="A10" s="4" t="inlineStr">
        <is>
          <t>Accelerators found in the code</t>
        </is>
      </c>
      <c r="B10" s="6" t="inlineStr">
        <is>
          <t>i18n framework and language picker (brokerverse/src/i18n.js, utility/languages.js); th.json with 4,675 of 7,917 keys in Thai, withdrawn from the pickers; base currency and dated exchange rates (migration 0235); premium tax engine with rule kinds vat, premium_tax, dst, fst, lgt and other (percent, per unit, flat; lines, regimes, dates) in modules/premium-charges; posting rules and account determination; Master &gt; Configuration settings; document numbering; address API country &gt; province &gt; city &gt; district with postal code lookup; payment gateway providers; bank and insurer statement formats; Singapore hosting region.</t>
        </is>
      </c>
    </row>
    <row r="11">
      <c r="A11" s="4" t="inlineStr">
        <is>
          <t>Inhibitors found in the code</t>
        </is>
      </c>
      <c r="B11" s="6" t="inlineStr">
        <is>
          <t>BIR reports and Form 2307 layout are Philippine-specific (modules/reports/periodEndQueries.js); motor quotation built around CTPL and the IC vehicle classes; KYC ID defaults; Asia/Manila business time zone in 9 backend files; PHP defaults in document templates; premium tax kinds named after Philippine taxes; LGU tax master.</t>
        </is>
      </c>
    </row>
    <row r="12">
      <c r="A12" s="4" t="inlineStr">
        <is>
          <t>Sources in the repository</t>
        </is>
      </c>
      <c r="B12" s="6" t="inlineStr">
        <is>
          <t>backend/src/modules (46 modules); backend/src/db/migrations; backend/test (79 test files); backend/scripts/uat-scenario.js and docs/e2e/UAT_SCENARIO_RUN.md (371 steps passed); docs/e2e/GOLIVE_REHEARSAL_RUN.md (51 checks passed); brokerverse/src/components/SideBar/list.js; brokerverse/src/locales; docs/package/source/ph-regulatory-compliance-matrix.md, product-functionality.md, test-summary.md, user-manual.md.</t>
        </is>
      </c>
    </row>
    <row r="13">
      <c r="A13" s="4" t="inlineStr">
        <is>
          <t>Limits</t>
        </is>
      </c>
      <c r="B13" s="6" t="inlineStr">
        <is>
          <t>This is a product assessment, not legal or tax advice. Country facts are general knowledge as of the assessment date and must be verified. Effort figures are indicative bands for planning, not quotations.</t>
        </is>
      </c>
    </row>
    <row r="14">
      <c r="A14" s="4" t="inlineStr">
        <is>
          <t>Rebuild</t>
        </is>
      </c>
      <c r="B14" s="6" t="inlineStr">
        <is>
          <t>cd docs/package/tools &amp;&amp; python3 build_fit_assessment_xlsx.py (the catalogue and estimates are in that script).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2026-10-04T06:24:21Z</dcterms:created>
  <dcterms:modified xmlns:dcterms="http://purl.org/dc/terms/" xmlns:xsi="http://www.w3.org/2001/XMLSchema-instance" xsi:type="dcterms:W3CDTF">2026-10-04T06:24:21Z</dcterms:modified>
</cp:coreProperties>
</file>