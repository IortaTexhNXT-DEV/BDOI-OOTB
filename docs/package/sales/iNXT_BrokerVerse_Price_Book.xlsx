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Quick Quote" sheetId="2" state="visible" r:id="rId2"/>
    <sheet xmlns:r="http://schemas.openxmlformats.org/officeDocument/2006/relationships" name="Pre-set Packages" sheetId="3" state="visible" r:id="rId3"/>
    <sheet xmlns:r="http://schemas.openxmlformats.org/officeDocument/2006/relationships" name="Negotiation" sheetId="4" state="visible" r:id="rId4"/>
    <sheet xmlns:r="http://schemas.openxmlformats.org/officeDocument/2006/relationships" name="Validity and Terms" sheetId="5" state="visible" r:id="rId5"/>
    <sheet xmlns:r="http://schemas.openxmlformats.org/officeDocument/2006/relationships" name="Price Basis" sheetId="6" state="visible" r:id="rId6"/>
  </sheets>
  <definedNames>
    <definedName name="FX">'Price Basis'!$B$6</definedName>
    <definedName name="FX_Date">'Price Basis'!$B$7</definedName>
    <definedName name="VAT">'Price Basis'!$B$8</definedName>
    <definedName name="AMC_Rate">'Price Basis'!$B$9</definedName>
    <definedName name="Esc">'Price Basis'!$B$10</definedName>
    <definedName name="AMC_Start">'Price Basis'!$B$11</definedName>
    <definedName name="Onboard_Pct">'Price Basis'!$B$12</definedName>
    <definedName name="Infra_Esc">'Price Basis'!$B$13</definedName>
    <definedName name="Days_per_LOB">'Price Basis'!$B$14</definedName>
    <definedName name="Round_To">'Price Basis'!$B$15</definedName>
    <definedName name="Validity">'Price Basis'!$B$16</definedName>
    <definedName name="Blended">'Price Basis'!$B$17</definedName>
    <definedName name="Rate_BA">'Price Basis'!$B$18</definedName>
    <definedName name="Rate_Dev">'Price Basis'!$B$19</definedName>
    <definedName name="Rate_QA">'Price Basis'!$B$20</definedName>
    <definedName name="Rate_PM">'Price Basis'!$B$21</definedName>
    <definedName name="Rate_Trainer">'Price Basis'!$B$22</definedName>
    <definedName name="Rate_Onsite">'Price Basis'!$B$23</definedName>
    <definedName name="TierName">'Price Basis'!$A$27:$A$30</definedName>
    <definedName name="TierFrom">'Price Basis'!$B$27:$B$30</definedName>
    <definedName name="TierTo">'Price Basis'!$C$27:$C$30</definedName>
    <definedName name="PerpRate">'Price Basis'!$D$27:$D$30</definedName>
    <definedName name="SubRate">'Price Basis'!$E$27:$E$30</definedName>
    <definedName name="MinBill">'Price Basis'!$F$27:$F$30</definedName>
    <definedName name="BaseDays">'Price Basis'!$G$27:$G$30</definedName>
    <definedName name="LOBIncl">'Price Basis'!$H$27:$H$30</definedName>
    <definedName name="TrainDays">'Price Basis'!$I$27:$I$30</definedName>
    <definedName name="RefUsers">'Price Basis'!$J$27:$J$30</definedName>
    <definedName name="Sup24">'Price Basis'!$K$27:$K$30</definedName>
    <definedName name="Duration">'Price Basis'!$L$27:$L$30</definedName>
    <definedName name="Host_Hdr">'Price Basis'!$B$34:$E$34</definedName>
    <definedName name="Host_Tbl">'Price Basis'!$B$35:$E$38</definedName>
    <definedName name="Env_Setup">'Price Basis'!$B$43</definedName>
    <definedName name="Env_Month">'Price Basis'!$B$44</definedName>
    <definedName name="Mig_Source">'Price Basis'!$B$45</definedName>
    <definedName name="Mig_Day">'Price Basis'!$B$46</definedName>
    <definedName name="Int_Std">'Price Basis'!$B$47</definedName>
    <definedName name="Int_Cx">'Price Basis'!$B$48</definedName>
    <definedName name="LOB_After">'Price Basis'!$B$49</definedName>
    <definedName name="Report_Item">'Price Basis'!$B$50</definedName>
    <definedName name="Disc_AM">Negotiation!$B$6</definedName>
    <definedName name="Disc_SH">Negotiation!$C$6</definedName>
    <definedName name="Disc_CEO">Negotiation!$D$6</definedName>
    <definedName name="Floor_SW">Negotiation!$E$6</definedName>
    <definedName name="Floor_Svc">Negotiation!$E$8</definedName>
    <definedName name="Host_AM">Negotiation!$B$10</definedName>
    <definedName name="Host_SH">Negotiation!$C$10</definedName>
    <definedName name="Host_CEO">Negotiation!$D$10</definedName>
    <definedName name="Floor_Host">Negotiation!$E$10</definedName>
    <definedName name="_xlnm.Print_Area" localSheetId="1">'Quick Quote'!$A$1:$H$97</definedName>
  </definedNames>
  <calcPr calcId="124519" fullCalcOnLoad="1"/>
</workbook>
</file>

<file path=xl/styles.xml><?xml version="1.0" encoding="utf-8"?>
<styleSheet xmlns="http://schemas.openxmlformats.org/spreadsheetml/2006/main">
  <numFmts count="3">
    <numFmt numFmtId="164" formatCode="dd mmm yyyy"/>
    <numFmt numFmtId="165" formatCode="0.0%"/>
    <numFmt numFmtId="166" formatCode="dd mmmm yyyy"/>
  </numFmts>
  <fonts count="8">
    <font>
      <name val="Calibri"/>
      <family val="2"/>
      <color theme="1"/>
      <sz val="11"/>
      <scheme val="minor"/>
    </font>
    <font>
      <name val="Calibri"/>
      <b val="1"/>
      <color rgb="000F4761"/>
      <sz val="14"/>
    </font>
    <font>
      <name val="Calibri"/>
      <i val="1"/>
      <color rgb="00595959"/>
    </font>
    <font>
      <name val="Calibri"/>
      <b val="1"/>
      <color rgb="00FFFFFF"/>
    </font>
    <font>
      <name val="Calibri"/>
      <b val="1"/>
    </font>
    <font>
      <name val="Calibri"/>
      <b val="1"/>
      <color rgb="000F4761"/>
      <sz val="12"/>
    </font>
    <font>
      <name val="Calibri"/>
      <color rgb="001F3FBF"/>
    </font>
    <font>
      <name val="Calibri"/>
      <b val="1"/>
      <color rgb="00C00000"/>
    </font>
  </fonts>
  <fills count="8">
    <fill>
      <patternFill/>
    </fill>
    <fill>
      <patternFill patternType="gray125"/>
    </fill>
    <fill>
      <patternFill patternType="solid">
        <fgColor rgb="000F4761"/>
      </patternFill>
    </fill>
    <fill>
      <patternFill patternType="solid">
        <fgColor rgb="00D9E2F3"/>
      </patternFill>
    </fill>
    <fill>
      <patternFill patternType="solid">
        <fgColor rgb="00FFF2CC"/>
      </patternFill>
    </fill>
    <fill>
      <patternFill patternType="solid">
        <fgColor rgb="00FCE4D6"/>
      </patternFill>
    </fill>
    <fill>
      <patternFill patternType="solid">
        <fgColor rgb="00E2EFDA"/>
      </patternFill>
    </fill>
    <fill>
      <patternFill patternType="solid">
        <fgColor rgb="00843C0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5" fillId="3" borderId="0" pivotButton="0" quotePrefix="0" xfId="0"/>
    <xf numFmtId="0" fontId="0" fillId="3" borderId="0" pivotButton="0" quotePrefix="0" xfId="0"/>
    <xf numFmtId="0" fontId="0" fillId="0" borderId="4" pivotButton="0" quotePrefix="0" xfId="0"/>
    <xf numFmtId="0" fontId="0" fillId="0" borderId="5" pivotButton="0" quotePrefix="0" xfId="0"/>
    <xf numFmtId="0" fontId="0" fillId="0" borderId="1" pivotButton="0" quotePrefix="0" xfId="0"/>
    <xf numFmtId="0" fontId="6" fillId="4" borderId="1" pivotButton="0" quotePrefix="0" xfId="0"/>
    <xf numFmtId="164" fontId="6" fillId="4" borderId="1" pivotButton="0" quotePrefix="0" xfId="0"/>
    <xf numFmtId="1" fontId="6" fillId="4" borderId="1" pivotButton="0" quotePrefix="0" xfId="0"/>
    <xf numFmtId="165" fontId="6" fillId="4" borderId="1" pivotButton="0" quotePrefix="0" xfId="0"/>
    <xf numFmtId="0" fontId="0" fillId="5" borderId="1" pivotButton="0" quotePrefix="0" xfId="0"/>
    <xf numFmtId="0" fontId="4" fillId="0" borderId="1" pivotButton="0" quotePrefix="0" xfId="0"/>
    <xf numFmtId="1" fontId="0" fillId="6" borderId="1" pivotButton="0" quotePrefix="0" xfId="0"/>
    <xf numFmtId="3" fontId="0" fillId="6" borderId="1" pivotButton="0" quotePrefix="0" xfId="0"/>
    <xf numFmtId="3" fontId="0" fillId="0" borderId="1" pivotButton="0" quotePrefix="0" xfId="0"/>
    <xf numFmtId="3" fontId="4" fillId="6" borderId="1" pivotButton="0" quotePrefix="0" xfId="0"/>
    <xf numFmtId="0" fontId="7" fillId="5" borderId="1" pivotButton="0" quotePrefix="0" xfId="0"/>
    <xf numFmtId="164" fontId="0" fillId="6" borderId="1" pivotButton="0" quotePrefix="0" xfId="0"/>
    <xf numFmtId="0" fontId="2" fillId="0" borderId="0" applyAlignment="1" pivotButton="0" quotePrefix="0" xfId="0">
      <alignment vertical="top" wrapText="1"/>
    </xf>
    <xf numFmtId="1" fontId="0" fillId="0" borderId="1" pivotButton="0" quotePrefix="0" xfId="0"/>
    <xf numFmtId="0" fontId="3" fillId="7" borderId="1" applyAlignment="1" pivotButton="0" quotePrefix="0" xfId="0">
      <alignment vertical="center" wrapText="1"/>
    </xf>
    <xf numFmtId="3" fontId="0" fillId="5" borderId="1" pivotButton="0" quotePrefix="0" xfId="0"/>
    <xf numFmtId="9" fontId="0" fillId="0" borderId="1" pivotButton="0" quotePrefix="0" xfId="0"/>
    <xf numFmtId="9" fontId="0" fillId="5" borderId="1" pivotButton="0" quotePrefix="0" xfId="0"/>
    <xf numFmtId="9" fontId="6" fillId="4" borderId="1" pivotButton="0" quotePrefix="0" xfId="0"/>
    <xf numFmtId="9" fontId="0" fillId="6" borderId="1" pivotButton="0" quotePrefix="0" xfId="0"/>
    <xf numFmtId="0" fontId="7" fillId="0" borderId="0" applyAlignment="1" pivotButton="0" quotePrefix="0" xfId="0">
      <alignment vertical="top" wrapText="1"/>
    </xf>
    <xf numFmtId="0" fontId="0" fillId="0" borderId="0" applyAlignment="1" pivotButton="0" quotePrefix="0" xfId="0">
      <alignment vertical="top" wrapText="1"/>
    </xf>
    <xf numFmtId="166" fontId="0" fillId="6" borderId="1" pivotButton="0" quotePrefix="0" xfId="0"/>
    <xf numFmtId="2" fontId="6" fillId="4" borderId="1" pivotButton="0" quotePrefix="0" xfId="0"/>
    <xf numFmtId="3"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2"/>
  <sheetViews>
    <sheetView workbookViewId="0">
      <selection activeCell="A1" sqref="A1"/>
    </sheetView>
  </sheetViews>
  <sheetFormatPr baseColWidth="8" defaultRowHeight="15"/>
  <cols>
    <col width="24" customWidth="1" min="1" max="1"/>
    <col width="120" customWidth="1" min="2" max="2"/>
  </cols>
  <sheetData>
    <row r="1">
      <c r="A1" s="1" t="inlineStr">
        <is>
          <t>iNXT BrokerVerse OOTB: price book</t>
        </is>
      </c>
    </row>
    <row r="2">
      <c r="A2" s="2" t="inlineStr">
        <is>
          <t>iorta TechNXT Corp. Prepared 03 October 2026. INTERNAL: contains discount limits and floor prices. Do not send this workbook to a client.</t>
        </is>
      </c>
    </row>
    <row r="4">
      <c r="A4" s="3" t="inlineStr">
        <is>
          <t>Topic</t>
        </is>
      </c>
      <c r="B4" s="3" t="inlineStr">
        <is>
          <t>Notes</t>
        </is>
      </c>
    </row>
    <row r="5" ht="45" customHeight="1">
      <c r="A5" s="4" t="inlineStr">
        <is>
          <t>Purpose</t>
        </is>
      </c>
      <c r="B5" s="5" t="inlineStr">
        <is>
          <t>Pre-set commercials for presentations and first quotations of iNXT BrokerVerse OOTB (the out-of-the-box, as-is version) to Philippine non-life insurance brokers. The presenter picks the size, licence model, hosting, term and options and the client sees the price on the spot.</t>
        </is>
      </c>
    </row>
    <row r="6" ht="60" customHeight="1">
      <c r="A6" s="4" t="inlineStr">
        <is>
          <t>Source of prices</t>
        </is>
      </c>
      <c r="B6" s="5" t="inlineStr">
        <is>
          <t>Every price point comes from the recommended price points of the pricing workbook BrokerVerse_Commercials_and_Pricing.xlsx (Inputs, Infrastructure and Optional Services sheets), copied to the Price Basis sheet when this book was built. If the pricing workbook changes, rebuild this book with docs/package/tools/build_price_book.py. Do not type new prices here.</t>
        </is>
      </c>
    </row>
    <row r="7" ht="45" customHeight="1">
      <c r="A7" s="4" t="inlineStr">
        <is>
          <t>Sheets</t>
        </is>
      </c>
      <c r="B7" s="5" t="inlineStr">
        <is>
          <t>Quick Quote: interactive quotation. Pre-set Packages: four ready packages per tier at list price and at the approved floor. Negotiation: approval matrix, floors and give/get levers (internal). Validity and Terms: validity, taxes and payment terms to read out with any quotation. Price Basis: the price points and drivers.</t>
        </is>
      </c>
    </row>
    <row r="8" ht="135" customHeight="1">
      <c r="A8" s="4" t="inlineStr">
        <is>
          <t>How to use Quick Quote</t>
        </is>
      </c>
      <c r="B8" s="5" t="inlineStr">
        <is>
          <t>1. Choose "Tier reference" and pick a tier, or choose "Custom" and type the user count and the number of lines of business.
2. Pick the licence model, hosting, contract term and optional services (yellow cells).
3. Leave the discount cells at 0% in front of the client. Any discount needs the approval shown in the result (Negotiation sheet).
4. Read the results and the payment schedule. The comparison block shows the other licence model with the same choices.
5. Recalculate (F9) if your spreadsheet tool does not recalculate on open.</t>
        </is>
      </c>
    </row>
    <row r="9" ht="45" customHeight="1">
      <c r="A9" s="4" t="inlineStr">
        <is>
          <t>What to show the client</t>
        </is>
      </c>
      <c r="B9" s="5" t="inlineStr">
        <is>
          <t>Quick Quote at list price, the client columns of Pre-set Packages (list price only) and Validity and Terms. Never show the floor columns or the Negotiation sheet. The client-facing rate card is iNXT_BrokerVerse_Commercial_Proposal_Rate_Card.pdf.</t>
        </is>
      </c>
    </row>
    <row r="10" ht="30" customHeight="1">
      <c r="A10" s="4" t="inlineStr">
        <is>
          <t>Prices and taxes</t>
        </is>
      </c>
      <c r="B10" s="5" t="inlineStr">
        <is>
          <t>All prices are in PHP and exclude 12% VAT. USD figures are for reference only at the exchange rate on Price Basis. Withholding tax deducted by the client does not reduce the invoice price; the client issues BIR Form 2307.</t>
        </is>
      </c>
    </row>
    <row r="11" ht="60" customHeight="1">
      <c r="A11" s="4" t="inlineStr">
        <is>
          <t>Year convention</t>
        </is>
      </c>
      <c r="B11" s="5" t="inlineStr">
        <is>
          <t>Years are contract years counted from go-live, as in the pricing workbook. Implementation and the perpetual licence fall in Year 1. Subscription, hosting and 24x7 support are priced for 12 months in each year; AMC starts in the AMC start year (default Year 2, after a 12-month warranty). Recurring prices increase 5% at each anniversary; hosting follows the infrastructure change rate (default 0%).</t>
        </is>
      </c>
    </row>
    <row r="12" ht="30" customHeight="1">
      <c r="A12" s="4" t="inlineStr">
        <is>
          <t>Colour key</t>
        </is>
      </c>
      <c r="B12" s="5" t="inlineStr">
        <is>
          <t>Yellow cell with blue text: input. Green: result. Light orange: internal only (discounts, floors). Navy header: column titles.</t>
        </is>
      </c>
    </row>
  </sheetData>
  <pageMargins left="0.4" right="0.4" top="1" bottom="1" header="0.5" footer="0.5"/>
  <pageSetup orientation="landscape" paperSize="9" fitToHeight="0" fitToWidth="1"/>
  <headerFooter>
    <oddHeader/>
    <oddFooter>&amp;CiNXT BrokerVerse OOTB price book, iorta TechNXT Corp. INTERNAL.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147"/>
  <sheetViews>
    <sheetView workbookViewId="0">
      <pane ySplit="3" topLeftCell="A4" activePane="bottomLeft" state="frozen"/>
      <selection pane="bottomLeft" activeCell="A1" sqref="A1"/>
    </sheetView>
  </sheetViews>
  <sheetFormatPr baseColWidth="8" defaultRowHeight="15"/>
  <cols>
    <col width="52" customWidth="1" min="1" max="1"/>
    <col width="22"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Quick Quote</t>
        </is>
      </c>
    </row>
    <row r="2">
      <c r="A2" s="2" t="inlineStr">
        <is>
          <t>Pick the options in the yellow cells. PHP, exclusive of 12% VAT unless stated. Valid 90 days from the quotation date.</t>
        </is>
      </c>
    </row>
    <row r="4">
      <c r="A4" s="6" t="inlineStr">
        <is>
          <t>Choices</t>
        </is>
      </c>
      <c r="B4" s="7" t="n"/>
      <c r="C4" s="7" t="n"/>
      <c r="D4" s="7" t="n"/>
      <c r="E4" s="7" t="n"/>
      <c r="F4" s="7" t="n"/>
      <c r="G4" s="7" t="n"/>
      <c r="H4" s="7" t="n"/>
    </row>
    <row r="5">
      <c r="A5" s="3" t="inlineStr">
        <is>
          <t>Choice</t>
        </is>
      </c>
      <c r="B5" s="3" t="inlineStr">
        <is>
          <t>Value</t>
        </is>
      </c>
      <c r="C5" s="3" t="inlineStr">
        <is>
          <t>Notes</t>
        </is>
      </c>
      <c r="D5" s="8" t="n"/>
      <c r="E5" s="8" t="n"/>
      <c r="F5" s="8" t="n"/>
      <c r="G5" s="8" t="n"/>
      <c r="H5" s="9" t="n"/>
    </row>
    <row r="6">
      <c r="A6" s="10" t="inlineStr">
        <is>
          <t>Client name</t>
        </is>
      </c>
      <c r="B6" s="11" t="inlineStr">
        <is>
          <t>[Client name]</t>
        </is>
      </c>
      <c r="C6" s="10" t="inlineStr">
        <is>
          <t>Shown on the quotation.</t>
        </is>
      </c>
      <c r="D6" s="8" t="n"/>
      <c r="E6" s="8" t="n"/>
      <c r="F6" s="8" t="n"/>
      <c r="G6" s="8" t="n"/>
      <c r="H6" s="9" t="n"/>
    </row>
    <row r="7">
      <c r="A7" s="10" t="inlineStr">
        <is>
          <t>Quotation date</t>
        </is>
      </c>
      <c r="B7" s="12">
        <f>DATE(2026,10,3)</f>
        <v/>
      </c>
      <c r="C7" s="10" t="inlineStr">
        <is>
          <t>Valid until the date shown in the results.</t>
        </is>
      </c>
      <c r="D7" s="8" t="n"/>
      <c r="E7" s="8" t="n"/>
      <c r="F7" s="8" t="n"/>
      <c r="G7" s="8" t="n"/>
      <c r="H7" s="9" t="n"/>
    </row>
    <row r="8">
      <c r="A8" s="10" t="inlineStr">
        <is>
          <t>Sizing method</t>
        </is>
      </c>
      <c r="B8" s="11" t="inlineStr">
        <is>
          <t>Tier reference</t>
        </is>
      </c>
      <c r="C8" s="10" t="inlineStr">
        <is>
          <t>"Tier reference" uses the reference users and lines of business of the tier. "Custom" uses the two cells below.</t>
        </is>
      </c>
      <c r="D8" s="8" t="n"/>
      <c r="E8" s="8" t="n"/>
      <c r="F8" s="8" t="n"/>
      <c r="G8" s="8" t="n"/>
      <c r="H8" s="9" t="n"/>
    </row>
    <row r="9">
      <c r="A9" s="10" t="inlineStr">
        <is>
          <t>Tier (when sizing by tier reference)</t>
        </is>
      </c>
      <c r="B9" s="11" t="inlineStr">
        <is>
          <t>Medium</t>
        </is>
      </c>
      <c r="C9" s="10" t="inlineStr">
        <is>
          <t>Small 1 to 25 users, Medium 26 to 100, Large 101 to 300, Enterprise above 300.</t>
        </is>
      </c>
      <c r="D9" s="8" t="n"/>
      <c r="E9" s="8" t="n"/>
      <c r="F9" s="8" t="n"/>
      <c r="G9" s="8" t="n"/>
      <c r="H9" s="9" t="n"/>
    </row>
    <row r="10">
      <c r="A10" s="10" t="inlineStr">
        <is>
          <t>Named users (when Custom)</t>
        </is>
      </c>
      <c r="B10" s="13" t="n">
        <v>40</v>
      </c>
      <c r="C10" s="10" t="inlineStr">
        <is>
          <t>A user is a named person with a sign-in.</t>
        </is>
      </c>
      <c r="D10" s="8" t="n"/>
      <c r="E10" s="8" t="n"/>
      <c r="F10" s="8" t="n"/>
      <c r="G10" s="8" t="n"/>
      <c r="H10" s="9" t="n"/>
    </row>
    <row r="11">
      <c r="A11" s="10" t="inlineStr">
        <is>
          <t>Lines of business to configure (when Custom)</t>
        </is>
      </c>
      <c r="B11" s="13" t="n">
        <v>6</v>
      </c>
      <c r="C11" s="10" t="inlineStr">
        <is>
          <t>Motor, fire, marine, casualty, engineering, bonds and so on.</t>
        </is>
      </c>
      <c r="D11" s="8" t="n"/>
      <c r="E11" s="8" t="n"/>
      <c r="F11" s="8" t="n"/>
      <c r="G11" s="8" t="n"/>
      <c r="H11" s="9" t="n"/>
    </row>
    <row r="12">
      <c r="A12" s="10" t="inlineStr">
        <is>
          <t>Licence model</t>
        </is>
      </c>
      <c r="B12" s="11" t="inlineStr">
        <is>
          <t>Subscription</t>
        </is>
      </c>
      <c r="C12" s="10" t="inlineStr">
        <is>
          <t>Perpetual (one-time licence plus AMC) or Subscription (monthly).</t>
        </is>
      </c>
      <c r="D12" s="8" t="n"/>
      <c r="E12" s="8" t="n"/>
      <c r="F12" s="8" t="n"/>
      <c r="G12" s="8" t="n"/>
      <c r="H12" s="9" t="n"/>
    </row>
    <row r="13">
      <c r="A13" s="10" t="inlineStr">
        <is>
          <t>Hosting</t>
        </is>
      </c>
      <c r="B13" s="11" t="inlineStr">
        <is>
          <t>AWS</t>
        </is>
      </c>
      <c r="C13" s="10" t="inlineStr">
        <is>
          <t>Self-hosted, AWS, Azure or Local partner.</t>
        </is>
      </c>
      <c r="D13" s="8" t="n"/>
      <c r="E13" s="8" t="n"/>
      <c r="F13" s="8" t="n"/>
      <c r="G13" s="8" t="n"/>
      <c r="H13" s="9" t="n"/>
    </row>
    <row r="14">
      <c r="A14" s="10" t="inlineStr">
        <is>
          <t>Contract term (years)</t>
        </is>
      </c>
      <c r="B14" s="13" t="n">
        <v>3</v>
      </c>
      <c r="C14" s="10" t="inlineStr">
        <is>
          <t>1, 3 or 5 years. The minimum subscription term is 12 months.</t>
        </is>
      </c>
      <c r="D14" s="8" t="n"/>
      <c r="E14" s="8" t="n"/>
      <c r="F14" s="8" t="n"/>
      <c r="G14" s="8" t="n"/>
      <c r="H14" s="9" t="n"/>
    </row>
    <row r="15">
      <c r="A15" s="10" t="inlineStr">
        <is>
          <t>24x7 Severity 1 support</t>
        </is>
      </c>
      <c r="B15" s="11" t="inlineStr">
        <is>
          <t>No</t>
        </is>
      </c>
      <c r="C15" s="10" t="inlineStr">
        <is>
          <t>Standard support is 08:00 to 18:00 PHT, Monday to Friday.</t>
        </is>
      </c>
      <c r="D15" s="8" t="n"/>
      <c r="E15" s="8" t="n"/>
      <c r="F15" s="8" t="n"/>
      <c r="G15" s="8" t="n"/>
      <c r="H15" s="9" t="n"/>
    </row>
    <row r="16">
      <c r="A16" s="10" t="inlineStr">
        <is>
          <t>Extra training days</t>
        </is>
      </c>
      <c r="B16" s="13" t="n">
        <v>0</v>
      </c>
      <c r="C16" s="10" t="inlineStr">
        <is>
          <t>Beyond the days included for the tier.</t>
        </is>
      </c>
      <c r="D16" s="8" t="n"/>
      <c r="E16" s="8" t="n"/>
      <c r="F16" s="8" t="n"/>
      <c r="G16" s="8" t="n"/>
      <c r="H16" s="9" t="n"/>
    </row>
    <row r="17">
      <c r="A17" s="10" t="inlineStr">
        <is>
          <t>Legacy data sources to migrate</t>
        </is>
      </c>
      <c r="B17" s="13" t="n">
        <v>0</v>
      </c>
      <c r="C17" s="10" t="inlineStr">
        <is>
          <t>Beyond the standard upload templates.</t>
        </is>
      </c>
      <c r="D17" s="8" t="n"/>
      <c r="E17" s="8" t="n"/>
      <c r="F17" s="8" t="n"/>
      <c r="G17" s="8" t="n"/>
      <c r="H17" s="9" t="n"/>
    </row>
    <row r="18">
      <c r="A18" s="10" t="inlineStr">
        <is>
          <t>Additional standard integrations</t>
        </is>
      </c>
      <c r="B18" s="13" t="n">
        <v>0</v>
      </c>
      <c r="C18" s="10" t="inlineStr">
        <is>
          <t>One documented API or file exchange, one direction.</t>
        </is>
      </c>
      <c r="D18" s="8" t="n"/>
      <c r="E18" s="8" t="n"/>
      <c r="F18" s="8" t="n"/>
      <c r="G18" s="8" t="n"/>
      <c r="H18" s="9" t="n"/>
    </row>
    <row r="19">
      <c r="A19" s="10" t="inlineStr">
        <is>
          <t>Additional complex integrations</t>
        </is>
      </c>
      <c r="B19" s="13" t="n">
        <v>0</v>
      </c>
      <c r="C19" s="10" t="inlineStr">
        <is>
          <t>Two-way, no API, or batch with reconciliation.</t>
        </is>
      </c>
      <c r="D19" s="8" t="n"/>
      <c r="E19" s="8" t="n"/>
      <c r="F19" s="8" t="n"/>
      <c r="G19" s="8" t="n"/>
      <c r="H19" s="9" t="n"/>
    </row>
    <row r="20">
      <c r="A20" s="10" t="inlineStr">
        <is>
          <t>Additional environments (training or second UAT)</t>
        </is>
      </c>
      <c r="B20" s="13" t="n">
        <v>0</v>
      </c>
      <c r="C20" s="10" t="inlineStr">
        <is>
          <t>Set-up fee, plus a monthly fee when iorta TechNXT hosts.</t>
        </is>
      </c>
      <c r="D20" s="8" t="n"/>
      <c r="E20" s="8" t="n"/>
      <c r="F20" s="8" t="n"/>
      <c r="G20" s="8" t="n"/>
      <c r="H20" s="9" t="n"/>
    </row>
    <row r="21">
      <c r="A21" s="10" t="inlineStr">
        <is>
          <t>On-site consultant days (Metro Manila)</t>
        </is>
      </c>
      <c r="B21" s="13" t="n">
        <v>0</v>
      </c>
      <c r="C21" s="10" t="inlineStr">
        <is>
          <t>Remote delivery is the default.</t>
        </is>
      </c>
      <c r="D21" s="8" t="n"/>
      <c r="E21" s="8" t="n"/>
      <c r="F21" s="8" t="n"/>
      <c r="G21" s="8" t="n"/>
      <c r="H21" s="9" t="n"/>
    </row>
    <row r="22">
      <c r="A22" s="10" t="inlineStr">
        <is>
          <t>Discount on licence or subscription</t>
        </is>
      </c>
      <c r="B22" s="14" t="n">
        <v>0</v>
      </c>
      <c r="C22" s="15" t="inlineStr">
        <is>
          <t>INTERNAL. Leave at 0% in front of the client. Approval per the Negotiation sheet.</t>
        </is>
      </c>
      <c r="D22" s="8" t="n"/>
      <c r="E22" s="8" t="n"/>
      <c r="F22" s="8" t="n"/>
      <c r="G22" s="8" t="n"/>
      <c r="H22" s="9" t="n"/>
    </row>
    <row r="23">
      <c r="A23" s="10" t="inlineStr">
        <is>
          <t>Discount on implementation, services and 24x7 support</t>
        </is>
      </c>
      <c r="B23" s="14" t="n">
        <v>0</v>
      </c>
      <c r="C23" s="15" t="inlineStr">
        <is>
          <t>INTERNAL. As above.</t>
        </is>
      </c>
      <c r="D23" s="8" t="n"/>
      <c r="E23" s="8" t="n"/>
      <c r="F23" s="8" t="n"/>
      <c r="G23" s="8" t="n"/>
      <c r="H23" s="9" t="n"/>
    </row>
    <row r="24">
      <c r="A24" s="10" t="inlineStr">
        <is>
          <t>Discount on hosting</t>
        </is>
      </c>
      <c r="B24" s="14" t="n">
        <v>0</v>
      </c>
      <c r="C24" s="15" t="inlineStr">
        <is>
          <t>INTERNAL. As above.</t>
        </is>
      </c>
      <c r="D24" s="8" t="n"/>
      <c r="E24" s="8" t="n"/>
      <c r="F24" s="8" t="n"/>
      <c r="G24" s="8" t="n"/>
      <c r="H24" s="9" t="n"/>
    </row>
    <row r="25">
      <c r="A25" s="16" t="inlineStr">
        <is>
          <t>Named users used</t>
        </is>
      </c>
      <c r="B25" s="17">
        <f>IF($B$8="Custom",$B$10,INDEX(RefUsers,MATCH($B$9,TierName,0)))</f>
        <v/>
      </c>
    </row>
    <row r="26">
      <c r="A26" s="16" t="inlineStr">
        <is>
          <t>Lines of business used</t>
        </is>
      </c>
      <c r="B26" s="17">
        <f>IF($B$8="Custom",$B$11,INDEX(LOBIncl,MATCH($B$9,TierName,0)))</f>
        <v/>
      </c>
    </row>
    <row r="28">
      <c r="A28" s="6" t="inlineStr">
        <is>
          <t>Results</t>
        </is>
      </c>
      <c r="B28" s="7" t="n"/>
      <c r="C28" s="7" t="n"/>
      <c r="D28" s="7" t="n"/>
      <c r="E28" s="7" t="n"/>
      <c r="F28" s="7" t="n"/>
      <c r="G28" s="7" t="n"/>
      <c r="H28" s="7" t="n"/>
    </row>
    <row r="29">
      <c r="A29" s="3" t="inlineStr">
        <is>
          <t>Item</t>
        </is>
      </c>
      <c r="B29" s="3" t="inlineStr">
        <is>
          <t>PHP excl. VAT</t>
        </is>
      </c>
      <c r="C29" s="3" t="inlineStr">
        <is>
          <t>PHP incl. VAT</t>
        </is>
      </c>
      <c r="D29" s="3" t="inlineStr">
        <is>
          <t>USD reference</t>
        </is>
      </c>
      <c r="E29" s="3" t="inlineStr">
        <is>
          <t>Notes</t>
        </is>
      </c>
      <c r="F29" s="8" t="n"/>
      <c r="G29" s="8" t="n"/>
      <c r="H29" s="9" t="n"/>
    </row>
    <row r="30">
      <c r="A30" s="10" t="inlineStr">
        <is>
          <t>Tier</t>
        </is>
      </c>
      <c r="B30" s="10">
        <f>B101</f>
        <v/>
      </c>
      <c r="E30" s="10">
        <f>"Implementation about "&amp;INDEX(Duration,B100)&amp;"; "&amp;B118&amp;" training days included"</f>
        <v/>
      </c>
      <c r="F30" s="8" t="n"/>
      <c r="G30" s="8" t="n"/>
      <c r="H30" s="9" t="n"/>
    </row>
    <row r="31">
      <c r="A31" s="10" t="inlineStr">
        <is>
          <t>One-time implementation fee (subscription: onboarding fee)</t>
        </is>
      </c>
      <c r="B31" s="18">
        <f>B105</f>
        <v/>
      </c>
      <c r="C31" s="19">
        <f>B31*(1+VAT)</f>
        <v/>
      </c>
      <c r="D31" s="19">
        <f>B31/FX</f>
        <v/>
      </c>
      <c r="E31" s="10">
        <f>B103&amp;" man-days at the blended rate; "&amp;$B$26&amp;" lines of business"</f>
        <v/>
      </c>
      <c r="F31" s="8" t="n"/>
      <c r="G31" s="8" t="n"/>
      <c r="H31" s="9" t="n"/>
    </row>
    <row r="32">
      <c r="A32" s="10" t="inlineStr">
        <is>
          <t>Perpetual licence fee (one-time, on go-live)</t>
        </is>
      </c>
      <c r="B32" s="18">
        <f>B107</f>
        <v/>
      </c>
      <c r="C32" s="19">
        <f>B32*(1+VAT)</f>
        <v/>
      </c>
      <c r="D32" s="19">
        <f>B32/FX</f>
        <v/>
      </c>
      <c r="E32" s="10">
        <f>IF($B$12="Perpetual",TEXT(B110,"#,##0")&amp;" per user on average, graduated slabs","Not applicable to subscription")</f>
        <v/>
      </c>
      <c r="F32" s="8" t="n"/>
      <c r="G32" s="8" t="n"/>
      <c r="H32" s="9" t="n"/>
    </row>
    <row r="33">
      <c r="A33" s="10" t="inlineStr">
        <is>
          <t>Subscription per month, Year 1</t>
        </is>
      </c>
      <c r="B33" s="18">
        <f>B109</f>
        <v/>
      </c>
      <c r="C33" s="19">
        <f>B33*(1+VAT)</f>
        <v/>
      </c>
      <c r="D33" s="19">
        <f>B33/FX</f>
        <v/>
      </c>
      <c r="E33" s="10">
        <f>IF($B$12="Subscription",B102&amp;" billable users, "&amp;TEXT(B110,"#,##0")&amp;" per user per month on average","Not applicable to perpetual")</f>
        <v/>
      </c>
      <c r="F33" s="8" t="n"/>
      <c r="G33" s="8" t="n"/>
      <c r="H33" s="9" t="n"/>
    </row>
    <row r="34">
      <c r="A34" s="10" t="inlineStr">
        <is>
          <t>AMC per year, first AMC year</t>
        </is>
      </c>
      <c r="B34" s="18">
        <f>CHOOSE(MIN(AMC_Start,5),B119,B120,B121,B122,B123)</f>
        <v/>
      </c>
      <c r="C34" s="19">
        <f>B34*(1+VAT)</f>
        <v/>
      </c>
      <c r="D34" s="19">
        <f>B34/FX</f>
        <v/>
      </c>
      <c r="E34" s="10">
        <f>IF($B$12="Perpetual","22% of the licence fee from Year "&amp;AMC_Start&amp;", then +5% a year","Not applicable: support is in the subscription")</f>
        <v/>
      </c>
      <c r="F34" s="8" t="n"/>
      <c r="G34" s="8" t="n"/>
      <c r="H34" s="9" t="n"/>
    </row>
    <row r="35">
      <c r="A35" s="10" t="inlineStr">
        <is>
          <t>Hosting per month</t>
        </is>
      </c>
      <c r="B35" s="18">
        <f>B112+B113</f>
        <v/>
      </c>
      <c r="C35" s="19">
        <f>B35*(1+VAT)</f>
        <v/>
      </c>
      <c r="D35" s="19">
        <f>B35/FX</f>
        <v/>
      </c>
      <c r="E35" s="10">
        <f>$B$13&amp;IF($B$20&gt;0,", including "&amp;$B$20&amp;" additional environment(s)","")</f>
        <v/>
      </c>
      <c r="F35" s="8" t="n"/>
      <c r="G35" s="8" t="n"/>
      <c r="H35" s="9" t="n"/>
    </row>
    <row r="36">
      <c r="A36" s="10" t="inlineStr">
        <is>
          <t>One-time optional services</t>
        </is>
      </c>
      <c r="B36" s="18">
        <f>B116</f>
        <v/>
      </c>
      <c r="C36" s="19">
        <f>B36*(1+VAT)</f>
        <v/>
      </c>
      <c r="D36" s="19">
        <f>B36/FX</f>
        <v/>
      </c>
      <c r="E36" s="10" t="inlineStr">
        <is>
          <t>Training, migration, integrations, environment set-up, on-site days chosen above.</t>
        </is>
      </c>
      <c r="F36" s="8" t="n"/>
      <c r="G36" s="8" t="n"/>
      <c r="H36" s="9" t="n"/>
    </row>
    <row r="37">
      <c r="A37" s="10" t="inlineStr">
        <is>
          <t>24x7 Severity 1 support per year, Year 1</t>
        </is>
      </c>
      <c r="B37" s="18">
        <f>B134</f>
        <v/>
      </c>
      <c r="C37" s="19">
        <f>B37*(1+VAT)</f>
        <v/>
      </c>
      <c r="D37" s="19">
        <f>B37/FX</f>
        <v/>
      </c>
      <c r="E37" s="10" t="inlineStr">
        <is>
          <t>Optional; +5% a year.</t>
        </is>
      </c>
      <c r="F37" s="8" t="n"/>
      <c r="G37" s="8" t="n"/>
      <c r="H37" s="9" t="n"/>
    </row>
    <row r="38">
      <c r="A38" s="16" t="inlineStr">
        <is>
          <t>Year 1 total</t>
        </is>
      </c>
      <c r="B38" s="20">
        <f>B139</f>
        <v/>
      </c>
      <c r="C38" s="19">
        <f>B38*(1+VAT)</f>
        <v/>
      </c>
      <c r="D38" s="19">
        <f>B38/FX</f>
        <v/>
      </c>
      <c r="E38" s="10" t="inlineStr">
        <is>
          <t>Everything payable in the first contract year.</t>
        </is>
      </c>
      <c r="F38" s="8" t="n"/>
      <c r="G38" s="8" t="n"/>
      <c r="H38" s="9" t="n"/>
    </row>
    <row r="39">
      <c r="A39" s="10" t="inlineStr">
        <is>
          <t>Total for the contract term</t>
        </is>
      </c>
      <c r="B39" s="20">
        <f>B144</f>
        <v/>
      </c>
      <c r="C39" s="19">
        <f>B39*(1+VAT)</f>
        <v/>
      </c>
      <c r="D39" s="19">
        <f>B39/FX</f>
        <v/>
      </c>
      <c r="E39" s="10">
        <f>"Contract term of "&amp;$B$14&amp;" year(s)"</f>
        <v/>
      </c>
      <c r="F39" s="8" t="n"/>
      <c r="G39" s="8" t="n"/>
      <c r="H39" s="9" t="n"/>
    </row>
    <row r="40">
      <c r="A40" s="16" t="inlineStr">
        <is>
          <t>5-year total cost</t>
        </is>
      </c>
      <c r="B40" s="20">
        <f>B145</f>
        <v/>
      </c>
      <c r="C40" s="19">
        <f>B40*(1+VAT)</f>
        <v/>
      </c>
      <c r="D40" s="19">
        <f>B40/FX</f>
        <v/>
      </c>
      <c r="E40" s="10" t="inlineStr">
        <is>
          <t>Assumes renewal to Year 5 at the escalated prices.</t>
        </is>
      </c>
      <c r="F40" s="8" t="n"/>
      <c r="G40" s="8" t="n"/>
      <c r="H40" s="9" t="n"/>
    </row>
    <row r="41">
      <c r="A41" s="10" t="inlineStr">
        <is>
          <t>Discount included in the 5-year total</t>
        </is>
      </c>
      <c r="B41" s="18">
        <f>C145-B145</f>
        <v/>
      </c>
      <c r="C41" s="19">
        <f>B41*(1+VAT)</f>
        <v/>
      </c>
      <c r="D41" s="19">
        <f>B41/FX</f>
        <v/>
      </c>
      <c r="E41" s="15" t="inlineStr">
        <is>
          <t>INTERNAL. 0 at list price.</t>
        </is>
      </c>
      <c r="F41" s="8" t="n"/>
      <c r="G41" s="8" t="n"/>
      <c r="H41" s="9" t="n"/>
    </row>
    <row r="42">
      <c r="A42" s="16" t="inlineStr">
        <is>
          <t>Approval needed for the discounts entered</t>
        </is>
      </c>
      <c r="B42" s="21">
        <f>CHOOSE(MAX(IF($B$22&lt;=0,0,IF($B$22&lt;=Disc_AM,1,IF($B$22&lt;=Disc_SH,2,IF($B$22&lt;=Disc_CEO,3,4)))),IF($B$23&lt;=0,0,IF($B$23&lt;=Disc_AM,1,IF($B$23&lt;=Disc_SH,2,IF($B$23&lt;=Disc_CEO,3,4)))),IF($B$24&lt;=0,0,IF($B$24&lt;=Host_AM,1,IF($B$24&lt;=Host_SH,2,IF($B$24&lt;=Host_CEO,3,4)))))+1,"None: list price","Account manager","Sales head","CEO","Not allowed: below the floor")</f>
        <v/>
      </c>
      <c r="C42" s="8" t="n"/>
      <c r="D42" s="9" t="n"/>
      <c r="E42" s="15" t="inlineStr">
        <is>
          <t>INTERNAL. Limits on the Negotiation sheet.</t>
        </is>
      </c>
      <c r="F42" s="8" t="n"/>
      <c r="G42" s="8" t="n"/>
      <c r="H42" s="9" t="n"/>
    </row>
    <row r="43">
      <c r="A43" s="16" t="inlineStr">
        <is>
          <t>Valid until</t>
        </is>
      </c>
      <c r="B43" s="22">
        <f>$B$7+Validity</f>
        <v/>
      </c>
    </row>
    <row r="45">
      <c r="A45" s="6" t="inlineStr">
        <is>
          <t>Year by year (PHP, excl. VAT)</t>
        </is>
      </c>
      <c r="B45" s="7" t="n"/>
      <c r="C45" s="7" t="n"/>
      <c r="D45" s="7" t="n"/>
      <c r="E45" s="7" t="n"/>
      <c r="F45" s="7" t="n"/>
      <c r="G45" s="7" t="n"/>
      <c r="H45" s="7" t="n"/>
    </row>
    <row r="46">
      <c r="A46" s="3" t="inlineStr">
        <is>
          <t>Item</t>
        </is>
      </c>
      <c r="B46" s="3" t="inlineStr">
        <is>
          <t>Year 1</t>
        </is>
      </c>
      <c r="C46" s="3" t="inlineStr">
        <is>
          <t>Year 2</t>
        </is>
      </c>
      <c r="D46" s="3" t="inlineStr">
        <is>
          <t>Year 3</t>
        </is>
      </c>
      <c r="E46" s="3" t="inlineStr">
        <is>
          <t>Year 4</t>
        </is>
      </c>
      <c r="F46" s="3" t="inlineStr">
        <is>
          <t>Year 5</t>
        </is>
      </c>
      <c r="G46" s="3" t="inlineStr">
        <is>
          <t>5-year total</t>
        </is>
      </c>
    </row>
    <row r="47">
      <c r="A47" s="10" t="inlineStr">
        <is>
          <t>Implementation or onboarding, licence and one-time services</t>
        </is>
      </c>
      <c r="B47" s="19">
        <f>B105+B107+B116</f>
        <v/>
      </c>
      <c r="C47" s="19">
        <f>0</f>
        <v/>
      </c>
      <c r="D47" s="19">
        <f>0</f>
        <v/>
      </c>
      <c r="E47" s="19">
        <f>0</f>
        <v/>
      </c>
      <c r="F47" s="19">
        <f>0</f>
        <v/>
      </c>
      <c r="G47" s="20">
        <f>SUM(B47:F47)</f>
        <v/>
      </c>
    </row>
    <row r="48">
      <c r="A48" s="10" t="inlineStr">
        <is>
          <t>AMC</t>
        </is>
      </c>
      <c r="B48" s="19">
        <f>B119</f>
        <v/>
      </c>
      <c r="C48" s="19">
        <f>B120</f>
        <v/>
      </c>
      <c r="D48" s="19">
        <f>B121</f>
        <v/>
      </c>
      <c r="E48" s="19">
        <f>B122</f>
        <v/>
      </c>
      <c r="F48" s="19">
        <f>B123</f>
        <v/>
      </c>
      <c r="G48" s="20">
        <f>SUM(B48:F48)</f>
        <v/>
      </c>
    </row>
    <row r="49">
      <c r="A49" s="10" t="inlineStr">
        <is>
          <t>Subscription</t>
        </is>
      </c>
      <c r="B49" s="19">
        <f>B124</f>
        <v/>
      </c>
      <c r="C49" s="19">
        <f>B125</f>
        <v/>
      </c>
      <c r="D49" s="19">
        <f>B126</f>
        <v/>
      </c>
      <c r="E49" s="19">
        <f>B127</f>
        <v/>
      </c>
      <c r="F49" s="19">
        <f>B128</f>
        <v/>
      </c>
      <c r="G49" s="20">
        <f>SUM(B49:F49)</f>
        <v/>
      </c>
    </row>
    <row r="50">
      <c r="A50" s="10" t="inlineStr">
        <is>
          <t>Hosting and additional environments</t>
        </is>
      </c>
      <c r="B50" s="19">
        <f>B129</f>
        <v/>
      </c>
      <c r="C50" s="19">
        <f>B130</f>
        <v/>
      </c>
      <c r="D50" s="19">
        <f>B131</f>
        <v/>
      </c>
      <c r="E50" s="19">
        <f>B132</f>
        <v/>
      </c>
      <c r="F50" s="19">
        <f>B133</f>
        <v/>
      </c>
      <c r="G50" s="20">
        <f>SUM(B50:F50)</f>
        <v/>
      </c>
    </row>
    <row r="51">
      <c r="A51" s="10" t="inlineStr">
        <is>
          <t>24x7 Severity 1 support</t>
        </is>
      </c>
      <c r="B51" s="19">
        <f>B134</f>
        <v/>
      </c>
      <c r="C51" s="19">
        <f>B135</f>
        <v/>
      </c>
      <c r="D51" s="19">
        <f>B136</f>
        <v/>
      </c>
      <c r="E51" s="19">
        <f>B137</f>
        <v/>
      </c>
      <c r="F51" s="19">
        <f>B138</f>
        <v/>
      </c>
      <c r="G51" s="20">
        <f>SUM(B51:F51)</f>
        <v/>
      </c>
    </row>
    <row r="52">
      <c r="A52" s="16" t="inlineStr">
        <is>
          <t>Total excl. VAT</t>
        </is>
      </c>
      <c r="B52" s="18">
        <f>B139</f>
        <v/>
      </c>
      <c r="C52" s="18">
        <f>B140</f>
        <v/>
      </c>
      <c r="D52" s="18">
        <f>B141</f>
        <v/>
      </c>
      <c r="E52" s="18">
        <f>B142</f>
        <v/>
      </c>
      <c r="F52" s="18">
        <f>B143</f>
        <v/>
      </c>
      <c r="G52" s="20">
        <f>SUM(B52:F52)</f>
        <v/>
      </c>
    </row>
    <row r="53">
      <c r="A53" s="10" t="inlineStr">
        <is>
          <t>VAT 12%</t>
        </is>
      </c>
      <c r="B53" s="19">
        <f>B52*VAT</f>
        <v/>
      </c>
      <c r="C53" s="19">
        <f>C52*VAT</f>
        <v/>
      </c>
      <c r="D53" s="19">
        <f>D52*VAT</f>
        <v/>
      </c>
      <c r="E53" s="19">
        <f>E52*VAT</f>
        <v/>
      </c>
      <c r="F53" s="19">
        <f>F52*VAT</f>
        <v/>
      </c>
      <c r="G53" s="20">
        <f>SUM(B53:F53)</f>
        <v/>
      </c>
    </row>
    <row r="54">
      <c r="A54" s="16" t="inlineStr">
        <is>
          <t>Total incl. VAT</t>
        </is>
      </c>
      <c r="B54" s="18">
        <f>B52+B53</f>
        <v/>
      </c>
      <c r="C54" s="18">
        <f>C52+C53</f>
        <v/>
      </c>
      <c r="D54" s="18">
        <f>D52+D53</f>
        <v/>
      </c>
      <c r="E54" s="18">
        <f>E52+E53</f>
        <v/>
      </c>
      <c r="F54" s="18">
        <f>F52+F53</f>
        <v/>
      </c>
      <c r="G54" s="20">
        <f>SUM(B54:F54)</f>
        <v/>
      </c>
    </row>
    <row r="56">
      <c r="A56" s="6" t="inlineStr">
        <is>
          <t>Payment schedule (PHP)</t>
        </is>
      </c>
      <c r="B56" s="7" t="n"/>
      <c r="C56" s="7" t="n"/>
      <c r="D56" s="7" t="n"/>
      <c r="E56" s="7" t="n"/>
      <c r="F56" s="7" t="n"/>
      <c r="G56" s="7" t="n"/>
      <c r="H56" s="7" t="n"/>
    </row>
    <row r="57">
      <c r="A57" s="3" t="inlineStr">
        <is>
          <t>Milestone or period</t>
        </is>
      </c>
      <c r="B57" s="3" t="inlineStr">
        <is>
          <t>Amount excl. VAT</t>
        </is>
      </c>
      <c r="C57" s="3" t="inlineStr">
        <is>
          <t>VAT</t>
        </is>
      </c>
      <c r="D57" s="3" t="inlineStr">
        <is>
          <t>Amount incl. VAT</t>
        </is>
      </c>
      <c r="E57" s="3" t="inlineStr">
        <is>
          <t>When</t>
        </is>
      </c>
      <c r="F57" s="8" t="n"/>
      <c r="G57" s="8" t="n"/>
      <c r="H57" s="9" t="n"/>
    </row>
    <row r="58">
      <c r="A58" s="10" t="inlineStr">
        <is>
          <t>Implementation or onboarding: 40% on signing</t>
        </is>
      </c>
      <c r="B58" s="19">
        <f>B105*0.4</f>
        <v/>
      </c>
      <c r="C58" s="19">
        <f>B58*VAT</f>
        <v/>
      </c>
      <c r="D58" s="18">
        <f>B58+C58</f>
        <v/>
      </c>
      <c r="E58" s="10" t="inlineStr">
        <is>
          <t>On signing of the Order Form</t>
        </is>
      </c>
      <c r="F58" s="8" t="n"/>
      <c r="G58" s="8" t="n"/>
      <c r="H58" s="9" t="n"/>
    </row>
    <row r="59">
      <c r="A59" s="10" t="inlineStr">
        <is>
          <t>Implementation or onboarding: 40% on UAT sign-off</t>
        </is>
      </c>
      <c r="B59" s="19">
        <f>B105*0.4</f>
        <v/>
      </c>
      <c r="C59" s="19">
        <f>B59*VAT</f>
        <v/>
      </c>
      <c r="D59" s="18">
        <f>B59+C59</f>
        <v/>
      </c>
      <c r="E59" s="10" t="inlineStr">
        <is>
          <t>On written UAT sign-off</t>
        </is>
      </c>
      <c r="F59" s="8" t="n"/>
      <c r="G59" s="8" t="n"/>
      <c r="H59" s="9" t="n"/>
    </row>
    <row r="60">
      <c r="A60" s="10" t="inlineStr">
        <is>
          <t>Implementation or onboarding: 20% on go-live</t>
        </is>
      </c>
      <c r="B60" s="19">
        <f>B105*0.2</f>
        <v/>
      </c>
      <c r="C60" s="19">
        <f>B60*VAT</f>
        <v/>
      </c>
      <c r="D60" s="18">
        <f>B60+C60</f>
        <v/>
      </c>
      <c r="E60" s="10" t="inlineStr">
        <is>
          <t>On go-live</t>
        </is>
      </c>
      <c r="F60" s="8" t="n"/>
      <c r="G60" s="8" t="n"/>
      <c r="H60" s="9" t="n"/>
    </row>
    <row r="61">
      <c r="A61" s="10" t="inlineStr">
        <is>
          <t>Perpetual licence fee: 100% on go-live</t>
        </is>
      </c>
      <c r="B61" s="19">
        <f>B107</f>
        <v/>
      </c>
      <c r="C61" s="19">
        <f>B61*VAT</f>
        <v/>
      </c>
      <c r="D61" s="18">
        <f>B61+C61</f>
        <v/>
      </c>
      <c r="E61" s="10" t="inlineStr">
        <is>
          <t>On go-live (perpetual model only)</t>
        </is>
      </c>
      <c r="F61" s="8" t="n"/>
      <c r="G61" s="8" t="n"/>
      <c r="H61" s="9" t="n"/>
    </row>
    <row r="62">
      <c r="A62" s="10" t="inlineStr">
        <is>
          <t>One-time optional services</t>
        </is>
      </c>
      <c r="B62" s="19">
        <f>B116</f>
        <v/>
      </c>
      <c r="C62" s="19">
        <f>B62*VAT</f>
        <v/>
      </c>
      <c r="D62" s="18">
        <f>B62+C62</f>
        <v/>
      </c>
      <c r="E62" s="10" t="inlineStr">
        <is>
          <t>On delivery, or as quoted for fixed-price items</t>
        </is>
      </c>
      <c r="F62" s="8" t="n"/>
      <c r="G62" s="8" t="n"/>
      <c r="H62" s="9" t="n"/>
    </row>
    <row r="63">
      <c r="A63" s="10" t="inlineStr">
        <is>
          <t>Subscription, per month (Year 1 rate)</t>
        </is>
      </c>
      <c r="B63" s="19">
        <f>B109</f>
        <v/>
      </c>
      <c r="C63" s="19">
        <f>B63*VAT</f>
        <v/>
      </c>
      <c r="D63" s="18">
        <f>B63+C63</f>
        <v/>
      </c>
      <c r="E63" s="10" t="inlineStr">
        <is>
          <t>Monthly in advance from go-live; +5% at each anniversary</t>
        </is>
      </c>
      <c r="F63" s="8" t="n"/>
      <c r="G63" s="8" t="n"/>
      <c r="H63" s="9" t="n"/>
    </row>
    <row r="64">
      <c r="A64" s="10" t="inlineStr">
        <is>
          <t>Hosting and environments, per month</t>
        </is>
      </c>
      <c r="B64" s="19">
        <f>B112+B113</f>
        <v/>
      </c>
      <c r="C64" s="19">
        <f>B64*VAT</f>
        <v/>
      </c>
      <c r="D64" s="18">
        <f>B64+C64</f>
        <v/>
      </c>
      <c r="E64" s="10" t="inlineStr">
        <is>
          <t>Monthly in advance from environment handover</t>
        </is>
      </c>
      <c r="F64" s="8" t="n"/>
      <c r="G64" s="8" t="n"/>
      <c r="H64" s="9" t="n"/>
    </row>
    <row r="65">
      <c r="A65" s="10" t="inlineStr">
        <is>
          <t>AMC, per year (first AMC year)</t>
        </is>
      </c>
      <c r="B65" s="19">
        <f>CHOOSE(MIN(AMC_Start,5),B119,B120,B121,B122,B123)</f>
        <v/>
      </c>
      <c r="C65" s="19">
        <f>B65*VAT</f>
        <v/>
      </c>
      <c r="D65" s="18">
        <f>B65+C65</f>
        <v/>
      </c>
      <c r="E65" s="10">
        <f>"Yearly in advance from Year "&amp;AMC_Start&amp;"; +5% a year"</f>
        <v/>
      </c>
      <c r="F65" s="8" t="n"/>
      <c r="G65" s="8" t="n"/>
      <c r="H65" s="9" t="n"/>
    </row>
    <row r="66">
      <c r="A66" s="10" t="inlineStr">
        <is>
          <t>24x7 Severity 1 support, per year (Year 1)</t>
        </is>
      </c>
      <c r="B66" s="19">
        <f>B134</f>
        <v/>
      </c>
      <c r="C66" s="19">
        <f>B66*VAT</f>
        <v/>
      </c>
      <c r="D66" s="18">
        <f>B66+C66</f>
        <v/>
      </c>
      <c r="E66" s="10" t="inlineStr">
        <is>
          <t>Yearly in advance; +5% a year</t>
        </is>
      </c>
      <c r="F66" s="8" t="n"/>
      <c r="G66" s="8" t="n"/>
      <c r="H66" s="9" t="n"/>
    </row>
    <row r="67" ht="30" customHeight="1">
      <c r="A67" s="23" t="inlineStr">
        <is>
          <t>Invoices are payable within 30 days. Clients that are withholding agents deduct creditable withholding tax as their status and the payment type require and issue BIR Form 2307; withholding does not reduce the invoice price.</t>
        </is>
      </c>
    </row>
    <row r="69">
      <c r="A69" s="6" t="inlineStr">
        <is>
          <t>Comparison: the same choices under each licence model (PHP, excl. VAT)</t>
        </is>
      </c>
      <c r="B69" s="7" t="n"/>
      <c r="C69" s="7" t="n"/>
      <c r="D69" s="7" t="n"/>
      <c r="E69" s="7" t="n"/>
      <c r="F69" s="7" t="n"/>
      <c r="G69" s="7" t="n"/>
      <c r="H69" s="7" t="n"/>
    </row>
    <row r="70">
      <c r="A70" s="3" t="inlineStr">
        <is>
          <t>Item</t>
        </is>
      </c>
      <c r="B70" s="3" t="inlineStr">
        <is>
          <t>Perpetual</t>
        </is>
      </c>
      <c r="C70" s="3" t="inlineStr">
        <is>
          <t>Subscription</t>
        </is>
      </c>
      <c r="D70" s="3" t="inlineStr">
        <is>
          <t>Difference (subscription less perpetual)</t>
        </is>
      </c>
    </row>
    <row r="71">
      <c r="A71" s="10" t="inlineStr">
        <is>
          <t>One-time fees in Year 1 (implementation, licence, services)</t>
        </is>
      </c>
      <c r="B71" s="19">
        <f>D105+D107+D116</f>
        <v/>
      </c>
      <c r="C71" s="19">
        <f>E105+E107+E116</f>
        <v/>
      </c>
      <c r="D71" s="19">
        <f>C71-B71</f>
        <v/>
      </c>
    </row>
    <row r="72">
      <c r="A72" s="10" t="inlineStr">
        <is>
          <t>Year 1 total</t>
        </is>
      </c>
      <c r="B72" s="18">
        <f>D139</f>
        <v/>
      </c>
      <c r="C72" s="18">
        <f>E139</f>
        <v/>
      </c>
      <c r="D72" s="19">
        <f>C72-B72</f>
        <v/>
      </c>
    </row>
    <row r="73">
      <c r="A73" s="16" t="inlineStr">
        <is>
          <t>5-year total cost</t>
        </is>
      </c>
      <c r="B73" s="18">
        <f>D145</f>
        <v/>
      </c>
      <c r="C73" s="18">
        <f>E145</f>
        <v/>
      </c>
      <c r="D73" s="19">
        <f>C73-B73</f>
        <v/>
      </c>
    </row>
    <row r="74">
      <c r="A74" s="10" t="inlineStr">
        <is>
          <t>Year in which subscription costs more in total than perpetual</t>
        </is>
      </c>
      <c r="B74" s="10">
        <f>IF((E139)&gt;(D139),"Year 1",IF((E139+E140)&gt;(D139+D140),"Year 2",IF((E139+E140+E141)&gt;(D139+D140+D141),"Year 3",IF((E139+E140+E141+E142)&gt;(D139+D140+D141+D142),"Year 4",IF((E139+E140+E141+E142+E143)&gt;(D139+D140+D141+D142+D143),"Year 5","After Year 5")))))</f>
        <v/>
      </c>
    </row>
    <row r="98">
      <c r="A98" s="6" t="inlineStr">
        <is>
          <t>Calculation detail (do not edit)</t>
        </is>
      </c>
      <c r="B98" s="7" t="n"/>
      <c r="C98" s="7" t="n"/>
      <c r="D98" s="7" t="n"/>
      <c r="E98" s="7" t="n"/>
      <c r="F98" s="7" t="n"/>
      <c r="G98" s="7" t="n"/>
      <c r="H98" s="7" t="n"/>
    </row>
    <row r="99">
      <c r="A99" s="3" t="inlineStr">
        <is>
          <t>Line</t>
        </is>
      </c>
      <c r="B99" s="3" t="inlineStr">
        <is>
          <t>Selected, quoted</t>
        </is>
      </c>
      <c r="C99" s="3" t="inlineStr">
        <is>
          <t>Selected, at list</t>
        </is>
      </c>
      <c r="D99" s="3" t="inlineStr">
        <is>
          <t>Perpetual, quoted</t>
        </is>
      </c>
      <c r="E99" s="3" t="inlineStr">
        <is>
          <t>Subscription, quoted</t>
        </is>
      </c>
    </row>
    <row r="100">
      <c r="A100" s="10" t="inlineStr">
        <is>
          <t>Tier index</t>
        </is>
      </c>
      <c r="B100" s="24">
        <f>MATCH($B$25,TierFrom,1)</f>
        <v/>
      </c>
      <c r="C100" s="24">
        <f>MATCH($B$25,TierFrom,1)</f>
        <v/>
      </c>
      <c r="D100" s="24">
        <f>MATCH($B$25,TierFrom,1)</f>
        <v/>
      </c>
      <c r="E100" s="24">
        <f>MATCH($B$25,TierFrom,1)</f>
        <v/>
      </c>
    </row>
    <row r="101">
      <c r="A101" s="10" t="inlineStr">
        <is>
          <t>Tier</t>
        </is>
      </c>
      <c r="B101" s="10">
        <f>INDEX(TierName,B100)</f>
        <v/>
      </c>
      <c r="C101" s="10">
        <f>INDEX(TierName,C100)</f>
        <v/>
      </c>
      <c r="D101" s="10">
        <f>INDEX(TierName,D100)</f>
        <v/>
      </c>
      <c r="E101" s="10">
        <f>INDEX(TierName,E100)</f>
        <v/>
      </c>
    </row>
    <row r="102">
      <c r="A102" s="10" t="inlineStr">
        <is>
          <t>Billable users (subscription minimum applies)</t>
        </is>
      </c>
      <c r="B102" s="24">
        <f>IF($B$12="Subscription",MAX($B$25,INDEX(MinBill,B100)),$B$25)</f>
        <v/>
      </c>
      <c r="C102" s="24">
        <f>IF($B$12="Subscription",MAX($B$25,INDEX(MinBill,C100)),$B$25)</f>
        <v/>
      </c>
      <c r="D102" s="24">
        <f>IF("Perpetual"="Subscription",MAX($B$25,INDEX(MinBill,D100)),$B$25)</f>
        <v/>
      </c>
      <c r="E102" s="24">
        <f>IF("Subscription"="Subscription",MAX($B$25,INDEX(MinBill,E100)),$B$25)</f>
        <v/>
      </c>
    </row>
    <row r="103">
      <c r="A103" s="10" t="inlineStr">
        <is>
          <t>Implementation man-days</t>
        </is>
      </c>
      <c r="B103" s="24">
        <f>INDEX(BaseDays,B100)+MAX(0,$B$26-INDEX(LOBIncl,B100))*Days_per_LOB</f>
        <v/>
      </c>
      <c r="C103" s="24">
        <f>INDEX(BaseDays,C100)+MAX(0,$B$26-INDEX(LOBIncl,C100))*Days_per_LOB</f>
        <v/>
      </c>
      <c r="D103" s="24">
        <f>INDEX(BaseDays,D100)+MAX(0,$B$26-INDEX(LOBIncl,D100))*Days_per_LOB</f>
        <v/>
      </c>
      <c r="E103" s="24">
        <f>INDEX(BaseDays,E100)+MAX(0,$B$26-INDEX(LOBIncl,E100))*Days_per_LOB</f>
        <v/>
      </c>
    </row>
    <row r="104">
      <c r="A104" s="10" t="inlineStr">
        <is>
          <t>Implementation or onboarding fee, list</t>
        </is>
      </c>
      <c r="B104" s="19">
        <f>ROUND(B103*Blended/Round_To,0)*Round_To*IF($B$12="Subscription",Onboard_Pct,1)</f>
        <v/>
      </c>
      <c r="C104" s="19">
        <f>ROUND(C103*Blended/Round_To,0)*Round_To*IF($B$12="Subscription",Onboard_Pct,1)</f>
        <v/>
      </c>
      <c r="D104" s="19">
        <f>ROUND(D103*Blended/Round_To,0)*Round_To*IF("Perpetual"="Subscription",Onboard_Pct,1)</f>
        <v/>
      </c>
      <c r="E104" s="19">
        <f>ROUND(E103*Blended/Round_To,0)*Round_To*IF("Subscription"="Subscription",Onboard_Pct,1)</f>
        <v/>
      </c>
    </row>
    <row r="105">
      <c r="A105" s="10" t="inlineStr">
        <is>
          <t>Implementation or onboarding fee, quoted</t>
        </is>
      </c>
      <c r="B105" s="19">
        <f>B104*(1-$B$23)</f>
        <v/>
      </c>
      <c r="C105" s="19">
        <f>C104*(1-0)</f>
        <v/>
      </c>
      <c r="D105" s="19">
        <f>D104*(1-$B$23)</f>
        <v/>
      </c>
      <c r="E105" s="19">
        <f>E104*(1-$B$23)</f>
        <v/>
      </c>
    </row>
    <row r="106">
      <c r="A106" s="10" t="inlineStr">
        <is>
          <t>Perpetual licence fee, list (one-time)</t>
        </is>
      </c>
      <c r="B106" s="19">
        <f>IF($B$12="Perpetual",MAX(0,MIN($B$25,'Price Basis'!$C$27)-'Price Basis'!$B$27+1)*'Price Basis'!$D$27+MAX(0,MIN($B$25,'Price Basis'!$C$28)-'Price Basis'!$B$28+1)*'Price Basis'!$D$28+MAX(0,MIN($B$25,'Price Basis'!$C$29)-'Price Basis'!$B$29+1)*'Price Basis'!$D$29+MAX(0,MIN($B$25,'Price Basis'!$C$30)-'Price Basis'!$B$30+1)*'Price Basis'!$D$30,0)</f>
        <v/>
      </c>
      <c r="C106" s="19">
        <f>IF($B$12="Perpetual",MAX(0,MIN($B$25,'Price Basis'!$C$27)-'Price Basis'!$B$27+1)*'Price Basis'!$D$27+MAX(0,MIN($B$25,'Price Basis'!$C$28)-'Price Basis'!$B$28+1)*'Price Basis'!$D$28+MAX(0,MIN($B$25,'Price Basis'!$C$29)-'Price Basis'!$B$29+1)*'Price Basis'!$D$29+MAX(0,MIN($B$25,'Price Basis'!$C$30)-'Price Basis'!$B$30+1)*'Price Basis'!$D$30,0)</f>
        <v/>
      </c>
      <c r="D106" s="19">
        <f>IF("Perpetual"="Perpetual",MAX(0,MIN($B$25,'Price Basis'!$C$27)-'Price Basis'!$B$27+1)*'Price Basis'!$D$27+MAX(0,MIN($B$25,'Price Basis'!$C$28)-'Price Basis'!$B$28+1)*'Price Basis'!$D$28+MAX(0,MIN($B$25,'Price Basis'!$C$29)-'Price Basis'!$B$29+1)*'Price Basis'!$D$29+MAX(0,MIN($B$25,'Price Basis'!$C$30)-'Price Basis'!$B$30+1)*'Price Basis'!$D$30,0)</f>
        <v/>
      </c>
      <c r="E106" s="19">
        <f>IF("Subscription"="Perpetual",MAX(0,MIN($B$25,'Price Basis'!$C$27)-'Price Basis'!$B$27+1)*'Price Basis'!$D$27+MAX(0,MIN($B$25,'Price Basis'!$C$28)-'Price Basis'!$B$28+1)*'Price Basis'!$D$28+MAX(0,MIN($B$25,'Price Basis'!$C$29)-'Price Basis'!$B$29+1)*'Price Basis'!$D$29+MAX(0,MIN($B$25,'Price Basis'!$C$30)-'Price Basis'!$B$30+1)*'Price Basis'!$D$30,0)</f>
        <v/>
      </c>
    </row>
    <row r="107">
      <c r="A107" s="10" t="inlineStr">
        <is>
          <t>Perpetual licence fee, quoted (one-time)</t>
        </is>
      </c>
      <c r="B107" s="19">
        <f>B106*(1-$B$22)</f>
        <v/>
      </c>
      <c r="C107" s="19">
        <f>C106*(1-0)</f>
        <v/>
      </c>
      <c r="D107" s="19">
        <f>D106*(1-$B$22)</f>
        <v/>
      </c>
      <c r="E107" s="19">
        <f>E106*(1-$B$22)</f>
        <v/>
      </c>
    </row>
    <row r="108">
      <c r="A108" s="10" t="inlineStr">
        <is>
          <t>Subscription per month, Year 1, list</t>
        </is>
      </c>
      <c r="B108" s="19">
        <f>IF($B$12="Subscription",MAX(0,MIN(B102,'Price Basis'!$C$27)-'Price Basis'!$B$27+1)*'Price Basis'!$E$27+MAX(0,MIN(B102,'Price Basis'!$C$28)-'Price Basis'!$B$28+1)*'Price Basis'!$E$28+MAX(0,MIN(B102,'Price Basis'!$C$29)-'Price Basis'!$B$29+1)*'Price Basis'!$E$29+MAX(0,MIN(B102,'Price Basis'!$C$30)-'Price Basis'!$B$30+1)*'Price Basis'!$E$30,0)</f>
        <v/>
      </c>
      <c r="C108" s="19">
        <f>IF($B$12="Subscription",MAX(0,MIN(C102,'Price Basis'!$C$27)-'Price Basis'!$B$27+1)*'Price Basis'!$E$27+MAX(0,MIN(C102,'Price Basis'!$C$28)-'Price Basis'!$B$28+1)*'Price Basis'!$E$28+MAX(0,MIN(C102,'Price Basis'!$C$29)-'Price Basis'!$B$29+1)*'Price Basis'!$E$29+MAX(0,MIN(C102,'Price Basis'!$C$30)-'Price Basis'!$B$30+1)*'Price Basis'!$E$30,0)</f>
        <v/>
      </c>
      <c r="D108" s="19">
        <f>IF("Perpetual"="Subscription",MAX(0,MIN(D102,'Price Basis'!$C$27)-'Price Basis'!$B$27+1)*'Price Basis'!$E$27+MAX(0,MIN(D102,'Price Basis'!$C$28)-'Price Basis'!$B$28+1)*'Price Basis'!$E$28+MAX(0,MIN(D102,'Price Basis'!$C$29)-'Price Basis'!$B$29+1)*'Price Basis'!$E$29+MAX(0,MIN(D102,'Price Basis'!$C$30)-'Price Basis'!$B$30+1)*'Price Basis'!$E$30,0)</f>
        <v/>
      </c>
      <c r="E108" s="19">
        <f>IF("Subscription"="Subscription",MAX(0,MIN(E102,'Price Basis'!$C$27)-'Price Basis'!$B$27+1)*'Price Basis'!$E$27+MAX(0,MIN(E102,'Price Basis'!$C$28)-'Price Basis'!$B$28+1)*'Price Basis'!$E$28+MAX(0,MIN(E102,'Price Basis'!$C$29)-'Price Basis'!$B$29+1)*'Price Basis'!$E$29+MAX(0,MIN(E102,'Price Basis'!$C$30)-'Price Basis'!$B$30+1)*'Price Basis'!$E$30,0)</f>
        <v/>
      </c>
    </row>
    <row r="109">
      <c r="A109" s="10" t="inlineStr">
        <is>
          <t>Subscription per month, Year 1, quoted</t>
        </is>
      </c>
      <c r="B109" s="19">
        <f>B108*(1-$B$22)</f>
        <v/>
      </c>
      <c r="C109" s="19">
        <f>C108*(1-0)</f>
        <v/>
      </c>
      <c r="D109" s="19">
        <f>D108*(1-$B$22)</f>
        <v/>
      </c>
      <c r="E109" s="19">
        <f>E108*(1-$B$22)</f>
        <v/>
      </c>
    </row>
    <row r="110">
      <c r="A110" s="10" t="inlineStr">
        <is>
          <t>Effective price per user (licence one-time, or subscription per month)</t>
        </is>
      </c>
      <c r="B110" s="19">
        <f>IF($B$12="Perpetual",B107/$B$25,B109/B102)</f>
        <v/>
      </c>
      <c r="C110" s="19">
        <f>IF($B$12="Perpetual",C107/$B$25,C109/C102)</f>
        <v/>
      </c>
      <c r="D110" s="19">
        <f>IF("Perpetual"="Perpetual",D107/$B$25,D109/D102)</f>
        <v/>
      </c>
      <c r="E110" s="19">
        <f>IF("Subscription"="Perpetual",E107/$B$25,E109/E102)</f>
        <v/>
      </c>
    </row>
    <row r="111">
      <c r="A111" s="10" t="inlineStr">
        <is>
          <t>Hosting per month, list</t>
        </is>
      </c>
      <c r="B111" s="19">
        <f>INDEX(Host_Tbl,B100,MATCH($B$13,Host_Hdr,0))</f>
        <v/>
      </c>
      <c r="C111" s="19">
        <f>INDEX(Host_Tbl,C100,MATCH($B$13,Host_Hdr,0))</f>
        <v/>
      </c>
      <c r="D111" s="19">
        <f>INDEX(Host_Tbl,D100,MATCH($B$13,Host_Hdr,0))</f>
        <v/>
      </c>
      <c r="E111" s="19">
        <f>INDEX(Host_Tbl,E100,MATCH($B$13,Host_Hdr,0))</f>
        <v/>
      </c>
    </row>
    <row r="112">
      <c r="A112" s="10" t="inlineStr">
        <is>
          <t>Hosting per month, quoted</t>
        </is>
      </c>
      <c r="B112" s="19">
        <f>B111*(1-$B$24)</f>
        <v/>
      </c>
      <c r="C112" s="19">
        <f>C111*(1-0)</f>
        <v/>
      </c>
      <c r="D112" s="19">
        <f>D111*(1-$B$24)</f>
        <v/>
      </c>
      <c r="E112" s="19">
        <f>E111*(1-$B$24)</f>
        <v/>
      </c>
    </row>
    <row r="113">
      <c r="A113" s="10" t="inlineStr">
        <is>
          <t>Additional hosted environments per month</t>
        </is>
      </c>
      <c r="B113" s="19">
        <f>IF($B$13="Self-hosted",0,$B$20*Env_Month)</f>
        <v/>
      </c>
      <c r="C113" s="19">
        <f>IF($B$13="Self-hosted",0,$B$20*Env_Month)</f>
        <v/>
      </c>
      <c r="D113" s="19">
        <f>IF($B$13="Self-hosted",0,$B$20*Env_Month)</f>
        <v/>
      </c>
      <c r="E113" s="19">
        <f>IF($B$13="Self-hosted",0,$B$20*Env_Month)</f>
        <v/>
      </c>
    </row>
    <row r="114">
      <c r="A114" s="10" t="inlineStr">
        <is>
          <t>Monthly recurring at go-live (subscription, hosting, environments)</t>
        </is>
      </c>
      <c r="B114" s="19">
        <f>B109+B112+B113</f>
        <v/>
      </c>
      <c r="C114" s="19">
        <f>C109+C112+C113</f>
        <v/>
      </c>
      <c r="D114" s="19">
        <f>D109+D112+D113</f>
        <v/>
      </c>
      <c r="E114" s="19">
        <f>E109+E112+E113</f>
        <v/>
      </c>
    </row>
    <row r="115">
      <c r="A115" s="10" t="inlineStr">
        <is>
          <t>One-time optional services, list</t>
        </is>
      </c>
      <c r="B115" s="19">
        <f>$B$16*Rate_Trainer+$B$17*Mig_Source+$B$18*Int_Std+$B$19*Int_Cx+$B$20*Env_Setup+$B$21*Rate_Onsite</f>
        <v/>
      </c>
      <c r="C115" s="19">
        <f>$B$16*Rate_Trainer+$B$17*Mig_Source+$B$18*Int_Std+$B$19*Int_Cx+$B$20*Env_Setup+$B$21*Rate_Onsite</f>
        <v/>
      </c>
      <c r="D115" s="19">
        <f>$B$16*Rate_Trainer+$B$17*Mig_Source+$B$18*Int_Std+$B$19*Int_Cx+$B$20*Env_Setup+$B$21*Rate_Onsite</f>
        <v/>
      </c>
      <c r="E115" s="19">
        <f>$B$16*Rate_Trainer+$B$17*Mig_Source+$B$18*Int_Std+$B$19*Int_Cx+$B$20*Env_Setup+$B$21*Rate_Onsite</f>
        <v/>
      </c>
    </row>
    <row r="116">
      <c r="A116" s="10" t="inlineStr">
        <is>
          <t>One-time optional services, quoted</t>
        </is>
      </c>
      <c r="B116" s="19">
        <f>B115*(1-$B$23)</f>
        <v/>
      </c>
      <c r="C116" s="19">
        <f>C115*(1-0)</f>
        <v/>
      </c>
      <c r="D116" s="19">
        <f>D115*(1-$B$23)</f>
        <v/>
      </c>
      <c r="E116" s="19">
        <f>E115*(1-$B$23)</f>
        <v/>
      </c>
    </row>
    <row r="117">
      <c r="A117" s="10" t="inlineStr">
        <is>
          <t>24x7 Severity 1 support per year, Year 1, list</t>
        </is>
      </c>
      <c r="B117" s="19">
        <f>IF($B$15="Yes",INDEX(Sup24,B100),0)</f>
        <v/>
      </c>
      <c r="C117" s="19">
        <f>IF($B$15="Yes",INDEX(Sup24,C100),0)</f>
        <v/>
      </c>
      <c r="D117" s="19">
        <f>IF($B$15="Yes",INDEX(Sup24,D100),0)</f>
        <v/>
      </c>
      <c r="E117" s="19">
        <f>IF($B$15="Yes",INDEX(Sup24,E100),0)</f>
        <v/>
      </c>
    </row>
    <row r="118">
      <c r="A118" s="10" t="inlineStr">
        <is>
          <t>Training days included</t>
        </is>
      </c>
      <c r="B118" s="24">
        <f>INDEX(TrainDays,B100)</f>
        <v/>
      </c>
      <c r="C118" s="24">
        <f>INDEX(TrainDays,C100)</f>
        <v/>
      </c>
      <c r="D118" s="24">
        <f>INDEX(TrainDays,D100)</f>
        <v/>
      </c>
      <c r="E118" s="24">
        <f>INDEX(TrainDays,E100)</f>
        <v/>
      </c>
    </row>
    <row r="119">
      <c r="A119" s="10" t="inlineStr">
        <is>
          <t>AMC Year 1</t>
        </is>
      </c>
      <c r="B119" s="19">
        <f>IF(AND($B$12="Perpetual",1&gt;=AMC_Start),B107*AMC_Rate*(1+Esc)^(1-AMC_Start),0)</f>
        <v/>
      </c>
      <c r="C119" s="19">
        <f>IF(AND($B$12="Perpetual",1&gt;=AMC_Start),C107*AMC_Rate*(1+Esc)^(1-AMC_Start),0)</f>
        <v/>
      </c>
      <c r="D119" s="19">
        <f>IF(AND("Perpetual"="Perpetual",1&gt;=AMC_Start),D107*AMC_Rate*(1+Esc)^(1-AMC_Start),0)</f>
        <v/>
      </c>
      <c r="E119" s="19">
        <f>IF(AND("Subscription"="Perpetual",1&gt;=AMC_Start),E107*AMC_Rate*(1+Esc)^(1-AMC_Start),0)</f>
        <v/>
      </c>
    </row>
    <row r="120">
      <c r="A120" s="10" t="inlineStr">
        <is>
          <t>AMC Year 2</t>
        </is>
      </c>
      <c r="B120" s="19">
        <f>IF(AND($B$12="Perpetual",2&gt;=AMC_Start),B107*AMC_Rate*(1+Esc)^(2-AMC_Start),0)</f>
        <v/>
      </c>
      <c r="C120" s="19">
        <f>IF(AND($B$12="Perpetual",2&gt;=AMC_Start),C107*AMC_Rate*(1+Esc)^(2-AMC_Start),0)</f>
        <v/>
      </c>
      <c r="D120" s="19">
        <f>IF(AND("Perpetual"="Perpetual",2&gt;=AMC_Start),D107*AMC_Rate*(1+Esc)^(2-AMC_Start),0)</f>
        <v/>
      </c>
      <c r="E120" s="19">
        <f>IF(AND("Subscription"="Perpetual",2&gt;=AMC_Start),E107*AMC_Rate*(1+Esc)^(2-AMC_Start),0)</f>
        <v/>
      </c>
    </row>
    <row r="121">
      <c r="A121" s="10" t="inlineStr">
        <is>
          <t>AMC Year 3</t>
        </is>
      </c>
      <c r="B121" s="19">
        <f>IF(AND($B$12="Perpetual",3&gt;=AMC_Start),B107*AMC_Rate*(1+Esc)^(3-AMC_Start),0)</f>
        <v/>
      </c>
      <c r="C121" s="19">
        <f>IF(AND($B$12="Perpetual",3&gt;=AMC_Start),C107*AMC_Rate*(1+Esc)^(3-AMC_Start),0)</f>
        <v/>
      </c>
      <c r="D121" s="19">
        <f>IF(AND("Perpetual"="Perpetual",3&gt;=AMC_Start),D107*AMC_Rate*(1+Esc)^(3-AMC_Start),0)</f>
        <v/>
      </c>
      <c r="E121" s="19">
        <f>IF(AND("Subscription"="Perpetual",3&gt;=AMC_Start),E107*AMC_Rate*(1+Esc)^(3-AMC_Start),0)</f>
        <v/>
      </c>
    </row>
    <row r="122">
      <c r="A122" s="10" t="inlineStr">
        <is>
          <t>AMC Year 4</t>
        </is>
      </c>
      <c r="B122" s="19">
        <f>IF(AND($B$12="Perpetual",4&gt;=AMC_Start),B107*AMC_Rate*(1+Esc)^(4-AMC_Start),0)</f>
        <v/>
      </c>
      <c r="C122" s="19">
        <f>IF(AND($B$12="Perpetual",4&gt;=AMC_Start),C107*AMC_Rate*(1+Esc)^(4-AMC_Start),0)</f>
        <v/>
      </c>
      <c r="D122" s="19">
        <f>IF(AND("Perpetual"="Perpetual",4&gt;=AMC_Start),D107*AMC_Rate*(1+Esc)^(4-AMC_Start),0)</f>
        <v/>
      </c>
      <c r="E122" s="19">
        <f>IF(AND("Subscription"="Perpetual",4&gt;=AMC_Start),E107*AMC_Rate*(1+Esc)^(4-AMC_Start),0)</f>
        <v/>
      </c>
    </row>
    <row r="123">
      <c r="A123" s="10" t="inlineStr">
        <is>
          <t>AMC Year 5</t>
        </is>
      </c>
      <c r="B123" s="19">
        <f>IF(AND($B$12="Perpetual",5&gt;=AMC_Start),B107*AMC_Rate*(1+Esc)^(5-AMC_Start),0)</f>
        <v/>
      </c>
      <c r="C123" s="19">
        <f>IF(AND($B$12="Perpetual",5&gt;=AMC_Start),C107*AMC_Rate*(1+Esc)^(5-AMC_Start),0)</f>
        <v/>
      </c>
      <c r="D123" s="19">
        <f>IF(AND("Perpetual"="Perpetual",5&gt;=AMC_Start),D107*AMC_Rate*(1+Esc)^(5-AMC_Start),0)</f>
        <v/>
      </c>
      <c r="E123" s="19">
        <f>IF(AND("Subscription"="Perpetual",5&gt;=AMC_Start),E107*AMC_Rate*(1+Esc)^(5-AMC_Start),0)</f>
        <v/>
      </c>
    </row>
    <row r="124">
      <c r="A124" s="10" t="inlineStr">
        <is>
          <t>Subscription fees Year 1</t>
        </is>
      </c>
      <c r="B124" s="19">
        <f>B109*12*(1+Esc)^(1-1)</f>
        <v/>
      </c>
      <c r="C124" s="19">
        <f>C109*12*(1+Esc)^(1-1)</f>
        <v/>
      </c>
      <c r="D124" s="19">
        <f>D109*12*(1+Esc)^(1-1)</f>
        <v/>
      </c>
      <c r="E124" s="19">
        <f>E109*12*(1+Esc)^(1-1)</f>
        <v/>
      </c>
    </row>
    <row r="125">
      <c r="A125" s="10" t="inlineStr">
        <is>
          <t>Subscription fees Year 2</t>
        </is>
      </c>
      <c r="B125" s="19">
        <f>B109*12*(1+Esc)^(2-1)</f>
        <v/>
      </c>
      <c r="C125" s="19">
        <f>C109*12*(1+Esc)^(2-1)</f>
        <v/>
      </c>
      <c r="D125" s="19">
        <f>D109*12*(1+Esc)^(2-1)</f>
        <v/>
      </c>
      <c r="E125" s="19">
        <f>E109*12*(1+Esc)^(2-1)</f>
        <v/>
      </c>
    </row>
    <row r="126">
      <c r="A126" s="10" t="inlineStr">
        <is>
          <t>Subscription fees Year 3</t>
        </is>
      </c>
      <c r="B126" s="19">
        <f>B109*12*(1+Esc)^(3-1)</f>
        <v/>
      </c>
      <c r="C126" s="19">
        <f>C109*12*(1+Esc)^(3-1)</f>
        <v/>
      </c>
      <c r="D126" s="19">
        <f>D109*12*(1+Esc)^(3-1)</f>
        <v/>
      </c>
      <c r="E126" s="19">
        <f>E109*12*(1+Esc)^(3-1)</f>
        <v/>
      </c>
    </row>
    <row r="127">
      <c r="A127" s="10" t="inlineStr">
        <is>
          <t>Subscription fees Year 4</t>
        </is>
      </c>
      <c r="B127" s="19">
        <f>B109*12*(1+Esc)^(4-1)</f>
        <v/>
      </c>
      <c r="C127" s="19">
        <f>C109*12*(1+Esc)^(4-1)</f>
        <v/>
      </c>
      <c r="D127" s="19">
        <f>D109*12*(1+Esc)^(4-1)</f>
        <v/>
      </c>
      <c r="E127" s="19">
        <f>E109*12*(1+Esc)^(4-1)</f>
        <v/>
      </c>
    </row>
    <row r="128">
      <c r="A128" s="10" t="inlineStr">
        <is>
          <t>Subscription fees Year 5</t>
        </is>
      </c>
      <c r="B128" s="19">
        <f>B109*12*(1+Esc)^(5-1)</f>
        <v/>
      </c>
      <c r="C128" s="19">
        <f>C109*12*(1+Esc)^(5-1)</f>
        <v/>
      </c>
      <c r="D128" s="19">
        <f>D109*12*(1+Esc)^(5-1)</f>
        <v/>
      </c>
      <c r="E128" s="19">
        <f>E109*12*(1+Esc)^(5-1)</f>
        <v/>
      </c>
    </row>
    <row r="129">
      <c r="A129" s="10" t="inlineStr">
        <is>
          <t>Hosting and environments Year 1</t>
        </is>
      </c>
      <c r="B129" s="19">
        <f>B112*12*(1+Infra_Esc)^(1-1)+B113*12*(1+Esc)^(1-1)</f>
        <v/>
      </c>
      <c r="C129" s="19">
        <f>C112*12*(1+Infra_Esc)^(1-1)+C113*12*(1+Esc)^(1-1)</f>
        <v/>
      </c>
      <c r="D129" s="19">
        <f>D112*12*(1+Infra_Esc)^(1-1)+D113*12*(1+Esc)^(1-1)</f>
        <v/>
      </c>
      <c r="E129" s="19">
        <f>E112*12*(1+Infra_Esc)^(1-1)+E113*12*(1+Esc)^(1-1)</f>
        <v/>
      </c>
    </row>
    <row r="130">
      <c r="A130" s="10" t="inlineStr">
        <is>
          <t>Hosting and environments Year 2</t>
        </is>
      </c>
      <c r="B130" s="19">
        <f>B112*12*(1+Infra_Esc)^(2-1)+B113*12*(1+Esc)^(2-1)</f>
        <v/>
      </c>
      <c r="C130" s="19">
        <f>C112*12*(1+Infra_Esc)^(2-1)+C113*12*(1+Esc)^(2-1)</f>
        <v/>
      </c>
      <c r="D130" s="19">
        <f>D112*12*(1+Infra_Esc)^(2-1)+D113*12*(1+Esc)^(2-1)</f>
        <v/>
      </c>
      <c r="E130" s="19">
        <f>E112*12*(1+Infra_Esc)^(2-1)+E113*12*(1+Esc)^(2-1)</f>
        <v/>
      </c>
    </row>
    <row r="131">
      <c r="A131" s="10" t="inlineStr">
        <is>
          <t>Hosting and environments Year 3</t>
        </is>
      </c>
      <c r="B131" s="19">
        <f>B112*12*(1+Infra_Esc)^(3-1)+B113*12*(1+Esc)^(3-1)</f>
        <v/>
      </c>
      <c r="C131" s="19">
        <f>C112*12*(1+Infra_Esc)^(3-1)+C113*12*(1+Esc)^(3-1)</f>
        <v/>
      </c>
      <c r="D131" s="19">
        <f>D112*12*(1+Infra_Esc)^(3-1)+D113*12*(1+Esc)^(3-1)</f>
        <v/>
      </c>
      <c r="E131" s="19">
        <f>E112*12*(1+Infra_Esc)^(3-1)+E113*12*(1+Esc)^(3-1)</f>
        <v/>
      </c>
    </row>
    <row r="132">
      <c r="A132" s="10" t="inlineStr">
        <is>
          <t>Hosting and environments Year 4</t>
        </is>
      </c>
      <c r="B132" s="19">
        <f>B112*12*(1+Infra_Esc)^(4-1)+B113*12*(1+Esc)^(4-1)</f>
        <v/>
      </c>
      <c r="C132" s="19">
        <f>C112*12*(1+Infra_Esc)^(4-1)+C113*12*(1+Esc)^(4-1)</f>
        <v/>
      </c>
      <c r="D132" s="19">
        <f>D112*12*(1+Infra_Esc)^(4-1)+D113*12*(1+Esc)^(4-1)</f>
        <v/>
      </c>
      <c r="E132" s="19">
        <f>E112*12*(1+Infra_Esc)^(4-1)+E113*12*(1+Esc)^(4-1)</f>
        <v/>
      </c>
    </row>
    <row r="133">
      <c r="A133" s="10" t="inlineStr">
        <is>
          <t>Hosting and environments Year 5</t>
        </is>
      </c>
      <c r="B133" s="19">
        <f>B112*12*(1+Infra_Esc)^(5-1)+B113*12*(1+Esc)^(5-1)</f>
        <v/>
      </c>
      <c r="C133" s="19">
        <f>C112*12*(1+Infra_Esc)^(5-1)+C113*12*(1+Esc)^(5-1)</f>
        <v/>
      </c>
      <c r="D133" s="19">
        <f>D112*12*(1+Infra_Esc)^(5-1)+D113*12*(1+Esc)^(5-1)</f>
        <v/>
      </c>
      <c r="E133" s="19">
        <f>E112*12*(1+Infra_Esc)^(5-1)+E113*12*(1+Esc)^(5-1)</f>
        <v/>
      </c>
    </row>
    <row r="134">
      <c r="A134" s="10" t="inlineStr">
        <is>
          <t>24x7 support Year 1</t>
        </is>
      </c>
      <c r="B134" s="19">
        <f>B117*(1-$B$23)*(1+Esc)^(1-1)</f>
        <v/>
      </c>
      <c r="C134" s="19">
        <f>C117*(1-0)*(1+Esc)^(1-1)</f>
        <v/>
      </c>
      <c r="D134" s="19">
        <f>D117*(1-$B$23)*(1+Esc)^(1-1)</f>
        <v/>
      </c>
      <c r="E134" s="19">
        <f>E117*(1-$B$23)*(1+Esc)^(1-1)</f>
        <v/>
      </c>
    </row>
    <row r="135">
      <c r="A135" s="10" t="inlineStr">
        <is>
          <t>24x7 support Year 2</t>
        </is>
      </c>
      <c r="B135" s="19">
        <f>B117*(1-$B$23)*(1+Esc)^(2-1)</f>
        <v/>
      </c>
      <c r="C135" s="19">
        <f>C117*(1-0)*(1+Esc)^(2-1)</f>
        <v/>
      </c>
      <c r="D135" s="19">
        <f>D117*(1-$B$23)*(1+Esc)^(2-1)</f>
        <v/>
      </c>
      <c r="E135" s="19">
        <f>E117*(1-$B$23)*(1+Esc)^(2-1)</f>
        <v/>
      </c>
    </row>
    <row r="136">
      <c r="A136" s="10" t="inlineStr">
        <is>
          <t>24x7 support Year 3</t>
        </is>
      </c>
      <c r="B136" s="19">
        <f>B117*(1-$B$23)*(1+Esc)^(3-1)</f>
        <v/>
      </c>
      <c r="C136" s="19">
        <f>C117*(1-0)*(1+Esc)^(3-1)</f>
        <v/>
      </c>
      <c r="D136" s="19">
        <f>D117*(1-$B$23)*(1+Esc)^(3-1)</f>
        <v/>
      </c>
      <c r="E136" s="19">
        <f>E117*(1-$B$23)*(1+Esc)^(3-1)</f>
        <v/>
      </c>
    </row>
    <row r="137">
      <c r="A137" s="10" t="inlineStr">
        <is>
          <t>24x7 support Year 4</t>
        </is>
      </c>
      <c r="B137" s="19">
        <f>B117*(1-$B$23)*(1+Esc)^(4-1)</f>
        <v/>
      </c>
      <c r="C137" s="19">
        <f>C117*(1-0)*(1+Esc)^(4-1)</f>
        <v/>
      </c>
      <c r="D137" s="19">
        <f>D117*(1-$B$23)*(1+Esc)^(4-1)</f>
        <v/>
      </c>
      <c r="E137" s="19">
        <f>E117*(1-$B$23)*(1+Esc)^(4-1)</f>
        <v/>
      </c>
    </row>
    <row r="138">
      <c r="A138" s="10" t="inlineStr">
        <is>
          <t>24x7 support Year 5</t>
        </is>
      </c>
      <c r="B138" s="19">
        <f>B117*(1-$B$23)*(1+Esc)^(5-1)</f>
        <v/>
      </c>
      <c r="C138" s="19">
        <f>C117*(1-0)*(1+Esc)^(5-1)</f>
        <v/>
      </c>
      <c r="D138" s="19">
        <f>D117*(1-$B$23)*(1+Esc)^(5-1)</f>
        <v/>
      </c>
      <c r="E138" s="19">
        <f>E117*(1-$B$23)*(1+Esc)^(5-1)</f>
        <v/>
      </c>
    </row>
    <row r="139">
      <c r="A139" s="10" t="inlineStr">
        <is>
          <t>Total Year 1, excl. VAT</t>
        </is>
      </c>
      <c r="B139" s="20">
        <f>B105+B107+B116+B119+B124+B129+B134</f>
        <v/>
      </c>
      <c r="C139" s="20">
        <f>C105+C107+C116+C119+C124+C129+C134</f>
        <v/>
      </c>
      <c r="D139" s="20">
        <f>D105+D107+D116+D119+D124+D129+D134</f>
        <v/>
      </c>
      <c r="E139" s="20">
        <f>E105+E107+E116+E119+E124+E129+E134</f>
        <v/>
      </c>
    </row>
    <row r="140">
      <c r="A140" s="10" t="inlineStr">
        <is>
          <t>Total Year 2, excl. VAT</t>
        </is>
      </c>
      <c r="B140" s="19">
        <f>B120+B125+B130+B135</f>
        <v/>
      </c>
      <c r="C140" s="19">
        <f>C120+C125+C130+C135</f>
        <v/>
      </c>
      <c r="D140" s="19">
        <f>D120+D125+D130+D135</f>
        <v/>
      </c>
      <c r="E140" s="19">
        <f>E120+E125+E130+E135</f>
        <v/>
      </c>
    </row>
    <row r="141">
      <c r="A141" s="10" t="inlineStr">
        <is>
          <t>Total Year 3, excl. VAT</t>
        </is>
      </c>
      <c r="B141" s="19">
        <f>B121+B126+B131+B136</f>
        <v/>
      </c>
      <c r="C141" s="19">
        <f>C121+C126+C131+C136</f>
        <v/>
      </c>
      <c r="D141" s="19">
        <f>D121+D126+D131+D136</f>
        <v/>
      </c>
      <c r="E141" s="19">
        <f>E121+E126+E131+E136</f>
        <v/>
      </c>
    </row>
    <row r="142">
      <c r="A142" s="10" t="inlineStr">
        <is>
          <t>Total Year 4, excl. VAT</t>
        </is>
      </c>
      <c r="B142" s="19">
        <f>B122+B127+B132+B137</f>
        <v/>
      </c>
      <c r="C142" s="19">
        <f>C122+C127+C132+C137</f>
        <v/>
      </c>
      <c r="D142" s="19">
        <f>D122+D127+D132+D137</f>
        <v/>
      </c>
      <c r="E142" s="19">
        <f>E122+E127+E132+E137</f>
        <v/>
      </c>
    </row>
    <row r="143">
      <c r="A143" s="10" t="inlineStr">
        <is>
          <t>Total Year 5, excl. VAT</t>
        </is>
      </c>
      <c r="B143" s="19">
        <f>B123+B128+B133+B138</f>
        <v/>
      </c>
      <c r="C143" s="19">
        <f>C123+C128+C133+C138</f>
        <v/>
      </c>
      <c r="D143" s="19">
        <f>D123+D128+D133+D138</f>
        <v/>
      </c>
      <c r="E143" s="19">
        <f>E123+E128+E133+E138</f>
        <v/>
      </c>
    </row>
    <row r="144">
      <c r="A144" s="10" t="inlineStr">
        <is>
          <t>Total for the contract term, excl. VAT</t>
        </is>
      </c>
      <c r="B144" s="20">
        <f>IF($B$14&gt;=1,B139,0)+IF($B$14&gt;=2,B140,0)+IF($B$14&gt;=3,B141,0)+IF($B$14&gt;=4,B142,0)+IF($B$14&gt;=5,B143,0)</f>
        <v/>
      </c>
      <c r="C144" s="20">
        <f>IF($B$14&gt;=1,C139,0)+IF($B$14&gt;=2,C140,0)+IF($B$14&gt;=3,C141,0)+IF($B$14&gt;=4,C142,0)+IF($B$14&gt;=5,C143,0)</f>
        <v/>
      </c>
      <c r="D144" s="20">
        <f>IF($B$14&gt;=1,D139,0)+IF($B$14&gt;=2,D140,0)+IF($B$14&gt;=3,D141,0)+IF($B$14&gt;=4,D142,0)+IF($B$14&gt;=5,D143,0)</f>
        <v/>
      </c>
      <c r="E144" s="20">
        <f>IF($B$14&gt;=1,E139,0)+IF($B$14&gt;=2,E140,0)+IF($B$14&gt;=3,E141,0)+IF($B$14&gt;=4,E142,0)+IF($B$14&gt;=5,E143,0)</f>
        <v/>
      </c>
    </row>
    <row r="145">
      <c r="A145" s="10" t="inlineStr">
        <is>
          <t>5-year total cost, excl. VAT</t>
        </is>
      </c>
      <c r="B145" s="20">
        <f>B139+B140+B141+B142+B143</f>
        <v/>
      </c>
      <c r="C145" s="20">
        <f>C139+C140+C141+C142+C143</f>
        <v/>
      </c>
      <c r="D145" s="20">
        <f>D139+D140+D141+D142+D143</f>
        <v/>
      </c>
      <c r="E145" s="20">
        <f>E139+E140+E141+E142+E143</f>
        <v/>
      </c>
    </row>
    <row r="146">
      <c r="A146" s="10" t="inlineStr">
        <is>
          <t>5-year total cost, incl. VAT</t>
        </is>
      </c>
      <c r="B146" s="19">
        <f>B145*(1+VAT)</f>
        <v/>
      </c>
      <c r="C146" s="19">
        <f>C145*(1+VAT)</f>
        <v/>
      </c>
      <c r="D146" s="19">
        <f>D145*(1+VAT)</f>
        <v/>
      </c>
      <c r="E146" s="19">
        <f>E145*(1+VAT)</f>
        <v/>
      </c>
    </row>
    <row r="147">
      <c r="A147" s="10" t="inlineStr">
        <is>
          <t>5-year total cost, USD reference</t>
        </is>
      </c>
      <c r="B147" s="19">
        <f>B145/FX</f>
        <v/>
      </c>
      <c r="C147" s="19">
        <f>C145/FX</f>
        <v/>
      </c>
      <c r="D147" s="19">
        <f>D145/FX</f>
        <v/>
      </c>
      <c r="E147" s="19">
        <f>E145/FX</f>
        <v/>
      </c>
    </row>
  </sheetData>
  <mergeCells count="46">
    <mergeCell ref="B42:D42"/>
    <mergeCell ref="A67:H67"/>
    <mergeCell ref="C10:H10"/>
    <mergeCell ref="C16:H16"/>
    <mergeCell ref="E61:H61"/>
    <mergeCell ref="C22:H22"/>
    <mergeCell ref="E57:H57"/>
    <mergeCell ref="C9:H9"/>
    <mergeCell ref="E41:H41"/>
    <mergeCell ref="C12:H12"/>
    <mergeCell ref="E32:H32"/>
    <mergeCell ref="C21:H21"/>
    <mergeCell ref="E37:H37"/>
    <mergeCell ref="E66:H66"/>
    <mergeCell ref="C11:H11"/>
    <mergeCell ref="E58:H58"/>
    <mergeCell ref="C23:H23"/>
    <mergeCell ref="C8:H8"/>
    <mergeCell ref="E62:H62"/>
    <mergeCell ref="C17:H17"/>
    <mergeCell ref="E33:H33"/>
    <mergeCell ref="C7:H7"/>
    <mergeCell ref="E42:H42"/>
    <mergeCell ref="C19:H19"/>
    <mergeCell ref="E39:H39"/>
    <mergeCell ref="E64:H64"/>
    <mergeCell ref="C13:H13"/>
    <mergeCell ref="E35:H35"/>
    <mergeCell ref="E38:H38"/>
    <mergeCell ref="E29:H29"/>
    <mergeCell ref="C18:H18"/>
    <mergeCell ref="E63:H63"/>
    <mergeCell ref="C15:H15"/>
    <mergeCell ref="C6:H6"/>
    <mergeCell ref="C24:H24"/>
    <mergeCell ref="E40:H40"/>
    <mergeCell ref="E60:H60"/>
    <mergeCell ref="E31:H31"/>
    <mergeCell ref="C14:H14"/>
    <mergeCell ref="E65:H65"/>
    <mergeCell ref="C5:H5"/>
    <mergeCell ref="E34:H34"/>
    <mergeCell ref="E30:H30"/>
    <mergeCell ref="E59:H59"/>
    <mergeCell ref="C20:H20"/>
    <mergeCell ref="E36:H36"/>
  </mergeCells>
  <dataValidations count="17">
    <dataValidation sqref="B8" showDropDown="0" showInputMessage="0" showErrorMessage="0" allowBlank="0" type="list">
      <formula1>"Tier reference,Custom"</formula1>
    </dataValidation>
    <dataValidation sqref="B9" showDropDown="0" showInputMessage="0" showErrorMessage="0" allowBlank="0" type="list">
      <formula1>"Small,Medium,Large,Enterprise"</formula1>
    </dataValidation>
    <dataValidation sqref="B12" showDropDown="0" showInputMessage="0" showErrorMessage="0" allowBlank="0" type="list">
      <formula1>"Perpetual,Subscription"</formula1>
    </dataValidation>
    <dataValidation sqref="B13" showDropDown="0" showInputMessage="0" showErrorMessage="0" allowBlank="0" type="list">
      <formula1>"Self-hosted,AWS,Azure,Local partner"</formula1>
    </dataValidation>
    <dataValidation sqref="B14" showDropDown="0" showInputMessage="0" showErrorMessage="0" allowBlank="0" type="list">
      <formula1>"1,3,5"</formula1>
    </dataValidation>
    <dataValidation sqref="B15" showDropDown="0" showInputMessage="0" showErrorMessage="0" allowBlank="0" type="list">
      <formula1>"Yes,No"</formula1>
    </dataValidation>
    <dataValidation sqref="B10" showDropDown="0" showInputMessage="0" showErrorMessage="0" allowBlank="0" type="whole" operator="between">
      <formula1>1</formula1>
      <formula2>100000</formula2>
    </dataValidation>
    <dataValidation sqref="B11" showDropDown="0" showInputMessage="0" showErrorMessage="0" allowBlank="0" type="whole" operator="between">
      <formula1>0</formula1>
      <formula2>100000</formula2>
    </dataValidation>
    <dataValidation sqref="B16" showDropDown="0" showInputMessage="0" showErrorMessage="0" allowBlank="0" type="whole" operator="between">
      <formula1>0</formula1>
      <formula2>100000</formula2>
    </dataValidation>
    <dataValidation sqref="B17" showDropDown="0" showInputMessage="0" showErrorMessage="0" allowBlank="0" type="whole" operator="between">
      <formula1>0</formula1>
      <formula2>100000</formula2>
    </dataValidation>
    <dataValidation sqref="B18" showDropDown="0" showInputMessage="0" showErrorMessage="0" allowBlank="0" type="whole" operator="between">
      <formula1>0</formula1>
      <formula2>100000</formula2>
    </dataValidation>
    <dataValidation sqref="B19" showDropDown="0" showInputMessage="0" showErrorMessage="0" allowBlank="0" type="whole" operator="between">
      <formula1>0</formula1>
      <formula2>100000</formula2>
    </dataValidation>
    <dataValidation sqref="B20" showDropDown="0" showInputMessage="0" showErrorMessage="0" allowBlank="0" type="whole" operator="between">
      <formula1>0</formula1>
      <formula2>100000</formula2>
    </dataValidation>
    <dataValidation sqref="B21" showDropDown="0" showInputMessage="0" showErrorMessage="0" allowBlank="0" type="whole" operator="between">
      <formula1>0</formula1>
      <formula2>100000</formula2>
    </dataValidation>
    <dataValidation sqref="B22" showDropDown="0" showInputMessage="0" showErrorMessage="0" allowBlank="0" type="decimal" operator="between">
      <formula1>0</formula1>
      <formula2>0.5</formula2>
    </dataValidation>
    <dataValidation sqref="B23" showDropDown="0" showInputMessage="0" showErrorMessage="0" allowBlank="0" type="decimal" operator="between">
      <formula1>0</formula1>
      <formula2>0.5</formula2>
    </dataValidation>
    <dataValidation sqref="B24" showDropDown="0" showInputMessage="0" showErrorMessage="0" allowBlank="0" type="decimal" operator="between">
      <formula1>0</formula1>
      <formula2>0.5</formula2>
    </dataValidation>
  </dataValidations>
  <pageMargins left="0.4" right="0.4" top="1" bottom="1" header="0.5" footer="0.5"/>
  <pageSetup orientation="landscape" paperSize="9" fitToHeight="0" fitToWidth="1"/>
  <headerFooter>
    <oddHeader/>
    <oddFooter>&amp;CiNXT BrokerVerse OOTB quotation, iorta TechNXT Corp.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29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Pre-set packages: four per tier, at list and at the approved floor</t>
        </is>
      </c>
    </row>
    <row r="2">
      <c r="A2" s="2" t="inlineStr">
        <is>
          <t>Reference users and lines of business of each tier. PHP, exclusive of VAT. List columns may be shown to the client; floor columns are INTERNAL.</t>
        </is>
      </c>
    </row>
    <row r="4">
      <c r="A4" s="6" t="inlineStr">
        <is>
          <t>Summary</t>
        </is>
      </c>
      <c r="B4" s="7" t="n"/>
      <c r="C4" s="7" t="n"/>
      <c r="D4" s="7" t="n"/>
      <c r="E4" s="7" t="n"/>
      <c r="F4" s="7" t="n"/>
      <c r="G4" s="7" t="n"/>
      <c r="H4" s="7" t="n"/>
      <c r="I4" s="7" t="n"/>
    </row>
    <row r="5" ht="45" customHeight="1">
      <c r="A5" s="3" t="inlineStr">
        <is>
          <t>Tier and package</t>
        </is>
      </c>
      <c r="B5" s="3" t="inlineStr">
        <is>
          <t>One-time fees, list</t>
        </is>
      </c>
      <c r="C5" s="25" t="inlineStr">
        <is>
          <t>One-time fees, floor</t>
        </is>
      </c>
      <c r="D5" s="3" t="inlineStr">
        <is>
          <t>Monthly fees at go-live, list</t>
        </is>
      </c>
      <c r="E5" s="25" t="inlineStr">
        <is>
          <t>Monthly fees, floor</t>
        </is>
      </c>
      <c r="F5" s="3" t="inlineStr">
        <is>
          <t>Year 1 total, list</t>
        </is>
      </c>
      <c r="G5" s="25" t="inlineStr">
        <is>
          <t>Year 1 total, floor</t>
        </is>
      </c>
      <c r="H5" s="3" t="inlineStr">
        <is>
          <t>5-year total, list</t>
        </is>
      </c>
      <c r="I5" s="25" t="inlineStr">
        <is>
          <t>5-year total, floor</t>
        </is>
      </c>
    </row>
    <row r="6">
      <c r="A6" s="16" t="inlineStr">
        <is>
          <t>Small: Essentials (subscription, Self-hosted)</t>
        </is>
      </c>
      <c r="B6" s="19">
        <f>B47+B49+B58</f>
        <v/>
      </c>
      <c r="C6" s="26">
        <f>C47+C49+C58</f>
        <v/>
      </c>
      <c r="D6" s="19">
        <f>B56</f>
        <v/>
      </c>
      <c r="E6" s="26">
        <f>C56</f>
        <v/>
      </c>
      <c r="F6" s="18">
        <f>B81</f>
        <v/>
      </c>
      <c r="G6" s="26">
        <f>C81</f>
        <v/>
      </c>
      <c r="H6" s="18">
        <f>B87</f>
        <v/>
      </c>
      <c r="I6" s="26">
        <f>C87</f>
        <v/>
      </c>
    </row>
    <row r="7">
      <c r="A7" s="10" t="inlineStr">
        <is>
          <t>Small: Standard (subscription, AWS)</t>
        </is>
      </c>
      <c r="B7" s="19">
        <f>D47+D49+D58</f>
        <v/>
      </c>
      <c r="C7" s="26">
        <f>E47+E49+E58</f>
        <v/>
      </c>
      <c r="D7" s="19">
        <f>D56</f>
        <v/>
      </c>
      <c r="E7" s="26">
        <f>E56</f>
        <v/>
      </c>
      <c r="F7" s="18">
        <f>D81</f>
        <v/>
      </c>
      <c r="G7" s="26">
        <f>E81</f>
        <v/>
      </c>
      <c r="H7" s="18">
        <f>D87</f>
        <v/>
      </c>
      <c r="I7" s="26">
        <f>E87</f>
        <v/>
      </c>
    </row>
    <row r="8">
      <c r="A8" s="10" t="inlineStr">
        <is>
          <t>Small: Ownership (perpetual, AWS)</t>
        </is>
      </c>
      <c r="B8" s="19">
        <f>F47+F49+F58</f>
        <v/>
      </c>
      <c r="C8" s="26">
        <f>G47+G49+G58</f>
        <v/>
      </c>
      <c r="D8" s="19">
        <f>F56</f>
        <v/>
      </c>
      <c r="E8" s="26">
        <f>G56</f>
        <v/>
      </c>
      <c r="F8" s="18">
        <f>F81</f>
        <v/>
      </c>
      <c r="G8" s="26">
        <f>G81</f>
        <v/>
      </c>
      <c r="H8" s="18">
        <f>F87</f>
        <v/>
      </c>
      <c r="I8" s="26">
        <f>G87</f>
        <v/>
      </c>
    </row>
    <row r="9">
      <c r="A9" s="10" t="inlineStr">
        <is>
          <t>Small: Ownership Plus (perpetual, Local partner)</t>
        </is>
      </c>
      <c r="B9" s="19">
        <f>H47+H49+H58</f>
        <v/>
      </c>
      <c r="C9" s="26">
        <f>I47+I49+I58</f>
        <v/>
      </c>
      <c r="D9" s="19">
        <f>H56</f>
        <v/>
      </c>
      <c r="E9" s="26">
        <f>I56</f>
        <v/>
      </c>
      <c r="F9" s="18">
        <f>H81</f>
        <v/>
      </c>
      <c r="G9" s="26">
        <f>I81</f>
        <v/>
      </c>
      <c r="H9" s="18">
        <f>H87</f>
        <v/>
      </c>
      <c r="I9" s="26">
        <f>I87</f>
        <v/>
      </c>
    </row>
    <row r="10">
      <c r="A10" s="16" t="inlineStr">
        <is>
          <t>Medium: Essentials (subscription, Self-hosted)</t>
        </is>
      </c>
      <c r="B10" s="19">
        <f>B115+B117+B126</f>
        <v/>
      </c>
      <c r="C10" s="26">
        <f>C115+C117+C126</f>
        <v/>
      </c>
      <c r="D10" s="19">
        <f>B124</f>
        <v/>
      </c>
      <c r="E10" s="26">
        <f>C124</f>
        <v/>
      </c>
      <c r="F10" s="18">
        <f>B149</f>
        <v/>
      </c>
      <c r="G10" s="26">
        <f>C149</f>
        <v/>
      </c>
      <c r="H10" s="18">
        <f>B155</f>
        <v/>
      </c>
      <c r="I10" s="26">
        <f>C155</f>
        <v/>
      </c>
    </row>
    <row r="11">
      <c r="A11" s="10" t="inlineStr">
        <is>
          <t>Medium: Standard (subscription, AWS)</t>
        </is>
      </c>
      <c r="B11" s="19">
        <f>D115+D117+D126</f>
        <v/>
      </c>
      <c r="C11" s="26">
        <f>E115+E117+E126</f>
        <v/>
      </c>
      <c r="D11" s="19">
        <f>D124</f>
        <v/>
      </c>
      <c r="E11" s="26">
        <f>E124</f>
        <v/>
      </c>
      <c r="F11" s="18">
        <f>D149</f>
        <v/>
      </c>
      <c r="G11" s="26">
        <f>E149</f>
        <v/>
      </c>
      <c r="H11" s="18">
        <f>D155</f>
        <v/>
      </c>
      <c r="I11" s="26">
        <f>E155</f>
        <v/>
      </c>
    </row>
    <row r="12">
      <c r="A12" s="10" t="inlineStr">
        <is>
          <t>Medium: Ownership (perpetual, AWS)</t>
        </is>
      </c>
      <c r="B12" s="19">
        <f>F115+F117+F126</f>
        <v/>
      </c>
      <c r="C12" s="26">
        <f>G115+G117+G126</f>
        <v/>
      </c>
      <c r="D12" s="19">
        <f>F124</f>
        <v/>
      </c>
      <c r="E12" s="26">
        <f>G124</f>
        <v/>
      </c>
      <c r="F12" s="18">
        <f>F149</f>
        <v/>
      </c>
      <c r="G12" s="26">
        <f>G149</f>
        <v/>
      </c>
      <c r="H12" s="18">
        <f>F155</f>
        <v/>
      </c>
      <c r="I12" s="26">
        <f>G155</f>
        <v/>
      </c>
    </row>
    <row r="13">
      <c r="A13" s="10" t="inlineStr">
        <is>
          <t>Medium: Ownership Plus (perpetual, Local partner)</t>
        </is>
      </c>
      <c r="B13" s="19">
        <f>H115+H117+H126</f>
        <v/>
      </c>
      <c r="C13" s="26">
        <f>I115+I117+I126</f>
        <v/>
      </c>
      <c r="D13" s="19">
        <f>H124</f>
        <v/>
      </c>
      <c r="E13" s="26">
        <f>I124</f>
        <v/>
      </c>
      <c r="F13" s="18">
        <f>H149</f>
        <v/>
      </c>
      <c r="G13" s="26">
        <f>I149</f>
        <v/>
      </c>
      <c r="H13" s="18">
        <f>H155</f>
        <v/>
      </c>
      <c r="I13" s="26">
        <f>I155</f>
        <v/>
      </c>
    </row>
    <row r="14">
      <c r="A14" s="16" t="inlineStr">
        <is>
          <t>Large: Essentials (subscription, Self-hosted)</t>
        </is>
      </c>
      <c r="B14" s="19">
        <f>B183+B185+B194</f>
        <v/>
      </c>
      <c r="C14" s="26">
        <f>C183+C185+C194</f>
        <v/>
      </c>
      <c r="D14" s="19">
        <f>B192</f>
        <v/>
      </c>
      <c r="E14" s="26">
        <f>C192</f>
        <v/>
      </c>
      <c r="F14" s="18">
        <f>B217</f>
        <v/>
      </c>
      <c r="G14" s="26">
        <f>C217</f>
        <v/>
      </c>
      <c r="H14" s="18">
        <f>B223</f>
        <v/>
      </c>
      <c r="I14" s="26">
        <f>C223</f>
        <v/>
      </c>
    </row>
    <row r="15">
      <c r="A15" s="10" t="inlineStr">
        <is>
          <t>Large: Standard (subscription, AWS)</t>
        </is>
      </c>
      <c r="B15" s="19">
        <f>D183+D185+D194</f>
        <v/>
      </c>
      <c r="C15" s="26">
        <f>E183+E185+E194</f>
        <v/>
      </c>
      <c r="D15" s="19">
        <f>D192</f>
        <v/>
      </c>
      <c r="E15" s="26">
        <f>E192</f>
        <v/>
      </c>
      <c r="F15" s="18">
        <f>D217</f>
        <v/>
      </c>
      <c r="G15" s="26">
        <f>E217</f>
        <v/>
      </c>
      <c r="H15" s="18">
        <f>D223</f>
        <v/>
      </c>
      <c r="I15" s="26">
        <f>E223</f>
        <v/>
      </c>
    </row>
    <row r="16">
      <c r="A16" s="10" t="inlineStr">
        <is>
          <t>Large: Ownership (perpetual, AWS)</t>
        </is>
      </c>
      <c r="B16" s="19">
        <f>F183+F185+F194</f>
        <v/>
      </c>
      <c r="C16" s="26">
        <f>G183+G185+G194</f>
        <v/>
      </c>
      <c r="D16" s="19">
        <f>F192</f>
        <v/>
      </c>
      <c r="E16" s="26">
        <f>G192</f>
        <v/>
      </c>
      <c r="F16" s="18">
        <f>F217</f>
        <v/>
      </c>
      <c r="G16" s="26">
        <f>G217</f>
        <v/>
      </c>
      <c r="H16" s="18">
        <f>F223</f>
        <v/>
      </c>
      <c r="I16" s="26">
        <f>G223</f>
        <v/>
      </c>
    </row>
    <row r="17">
      <c r="A17" s="10" t="inlineStr">
        <is>
          <t>Large: Ownership Plus (perpetual, Local partner)</t>
        </is>
      </c>
      <c r="B17" s="19">
        <f>H183+H185+H194</f>
        <v/>
      </c>
      <c r="C17" s="26">
        <f>I183+I185+I194</f>
        <v/>
      </c>
      <c r="D17" s="19">
        <f>H192</f>
        <v/>
      </c>
      <c r="E17" s="26">
        <f>I192</f>
        <v/>
      </c>
      <c r="F17" s="18">
        <f>H217</f>
        <v/>
      </c>
      <c r="G17" s="26">
        <f>I217</f>
        <v/>
      </c>
      <c r="H17" s="18">
        <f>H223</f>
        <v/>
      </c>
      <c r="I17" s="26">
        <f>I223</f>
        <v/>
      </c>
    </row>
    <row r="18">
      <c r="A18" s="16" t="inlineStr">
        <is>
          <t>Enterprise: Essentials (subscription, Self-hosted)</t>
        </is>
      </c>
      <c r="B18" s="19">
        <f>B251+B253+B262</f>
        <v/>
      </c>
      <c r="C18" s="26">
        <f>C251+C253+C262</f>
        <v/>
      </c>
      <c r="D18" s="19">
        <f>B260</f>
        <v/>
      </c>
      <c r="E18" s="26">
        <f>C260</f>
        <v/>
      </c>
      <c r="F18" s="18">
        <f>B285</f>
        <v/>
      </c>
      <c r="G18" s="26">
        <f>C285</f>
        <v/>
      </c>
      <c r="H18" s="18">
        <f>B291</f>
        <v/>
      </c>
      <c r="I18" s="26">
        <f>C291</f>
        <v/>
      </c>
    </row>
    <row r="19">
      <c r="A19" s="10" t="inlineStr">
        <is>
          <t>Enterprise: Standard (subscription, AWS)</t>
        </is>
      </c>
      <c r="B19" s="19">
        <f>D251+D253+D262</f>
        <v/>
      </c>
      <c r="C19" s="26">
        <f>E251+E253+E262</f>
        <v/>
      </c>
      <c r="D19" s="19">
        <f>D260</f>
        <v/>
      </c>
      <c r="E19" s="26">
        <f>E260</f>
        <v/>
      </c>
      <c r="F19" s="18">
        <f>D285</f>
        <v/>
      </c>
      <c r="G19" s="26">
        <f>E285</f>
        <v/>
      </c>
      <c r="H19" s="18">
        <f>D291</f>
        <v/>
      </c>
      <c r="I19" s="26">
        <f>E291</f>
        <v/>
      </c>
    </row>
    <row r="20">
      <c r="A20" s="10" t="inlineStr">
        <is>
          <t>Enterprise: Ownership (perpetual, AWS)</t>
        </is>
      </c>
      <c r="B20" s="19">
        <f>F251+F253+F262</f>
        <v/>
      </c>
      <c r="C20" s="26">
        <f>G251+G253+G262</f>
        <v/>
      </c>
      <c r="D20" s="19">
        <f>F260</f>
        <v/>
      </c>
      <c r="E20" s="26">
        <f>G260</f>
        <v/>
      </c>
      <c r="F20" s="18">
        <f>F285</f>
        <v/>
      </c>
      <c r="G20" s="26">
        <f>G285</f>
        <v/>
      </c>
      <c r="H20" s="18">
        <f>F291</f>
        <v/>
      </c>
      <c r="I20" s="26">
        <f>G291</f>
        <v/>
      </c>
    </row>
    <row r="21">
      <c r="A21" s="10" t="inlineStr">
        <is>
          <t>Enterprise: Ownership Plus (perpetual, Local partner)</t>
        </is>
      </c>
      <c r="B21" s="19">
        <f>H251+H253+H262</f>
        <v/>
      </c>
      <c r="C21" s="26">
        <f>I251+I253+I262</f>
        <v/>
      </c>
      <c r="D21" s="19">
        <f>H260</f>
        <v/>
      </c>
      <c r="E21" s="26">
        <f>I260</f>
        <v/>
      </c>
      <c r="F21" s="18">
        <f>H285</f>
        <v/>
      </c>
      <c r="G21" s="26">
        <f>I285</f>
        <v/>
      </c>
      <c r="H21" s="18">
        <f>H291</f>
        <v/>
      </c>
      <c r="I21" s="26">
        <f>I291</f>
        <v/>
      </c>
    </row>
    <row r="22" ht="30" customHeight="1">
      <c r="A22" s="23" t="inlineStr">
        <is>
          <t>One-time fees: implementation or onboarding, perpetual licence and one-time services. Monthly fees: subscription, hosting and additional environments. AMC (perpetual) and 24x7 support are yearly and are in the Year 1 and 5-year totals. Floor = CEO limit on every component.</t>
        </is>
      </c>
    </row>
    <row r="24">
      <c r="A24" s="6" t="inlineStr">
        <is>
          <t>Small tier: 15 users, 5 lines of business</t>
        </is>
      </c>
      <c r="B24" s="7" t="n"/>
      <c r="C24" s="7" t="n"/>
      <c r="D24" s="7" t="n"/>
      <c r="E24" s="7" t="n"/>
      <c r="F24" s="7" t="n"/>
      <c r="G24" s="7" t="n"/>
      <c r="H24" s="7" t="n"/>
      <c r="I24" s="7" t="n"/>
    </row>
    <row r="25" ht="32" customHeight="1">
      <c r="A25" s="3" t="inlineStr">
        <is>
          <t>Line</t>
        </is>
      </c>
      <c r="B25" s="3" t="inlineStr">
        <is>
          <t>Essentials, list</t>
        </is>
      </c>
      <c r="C25" s="25" t="inlineStr">
        <is>
          <t>Essentials, floor</t>
        </is>
      </c>
      <c r="D25" s="3" t="inlineStr">
        <is>
          <t>Standard, list</t>
        </is>
      </c>
      <c r="E25" s="25" t="inlineStr">
        <is>
          <t>Standard, floor</t>
        </is>
      </c>
      <c r="F25" s="3" t="inlineStr">
        <is>
          <t>Ownership, list</t>
        </is>
      </c>
      <c r="G25" s="25" t="inlineStr">
        <is>
          <t>Ownership, floor</t>
        </is>
      </c>
      <c r="H25" s="3" t="inlineStr">
        <is>
          <t>Ownership Plus, list</t>
        </is>
      </c>
      <c r="I25" s="25" t="inlineStr">
        <is>
          <t>Ownership Plus, floor</t>
        </is>
      </c>
    </row>
    <row r="26" ht="62" customHeight="1">
      <c r="A26" s="16" t="inlineStr">
        <is>
          <t>What it is</t>
        </is>
      </c>
      <c r="B26" s="5" t="inlineStr">
        <is>
          <t>Subscription; the client hosts; standard support; 3-year term.</t>
        </is>
      </c>
      <c r="C26" s="9" t="n"/>
      <c r="D26" s="5" t="inlineStr">
        <is>
          <t>Subscription hosted by iorta TechNXT on AWS (Singapore); 3-year term.</t>
        </is>
      </c>
      <c r="E26" s="9" t="n"/>
      <c r="F26" s="5" t="inlineStr">
        <is>
          <t>Perpetual licence with AMC, hosted on AWS (Singapore); 5-year view.</t>
        </is>
      </c>
      <c r="G26" s="9" t="n"/>
      <c r="H26" s="5" t="inlineStr">
        <is>
          <t>Perpetual with AMC, hosted in the Philippines, 24x7 Severity 1 support, 2 extra training days, 1 legacy source migrated.</t>
        </is>
      </c>
      <c r="I26" s="9" t="n"/>
    </row>
    <row r="27">
      <c r="A27" s="10" t="inlineStr">
        <is>
          <t>Named users</t>
        </is>
      </c>
      <c r="B27" s="24">
        <f>'Price Basis'!J27</f>
        <v/>
      </c>
      <c r="C27" s="24">
        <f>'Price Basis'!J27</f>
        <v/>
      </c>
      <c r="D27" s="24">
        <f>'Price Basis'!J27</f>
        <v/>
      </c>
      <c r="E27" s="24">
        <f>'Price Basis'!J27</f>
        <v/>
      </c>
      <c r="F27" s="24">
        <f>'Price Basis'!J27</f>
        <v/>
      </c>
      <c r="G27" s="24">
        <f>'Price Basis'!J27</f>
        <v/>
      </c>
      <c r="H27" s="24">
        <f>'Price Basis'!J27</f>
        <v/>
      </c>
      <c r="I27" s="24">
        <f>'Price Basis'!J27</f>
        <v/>
      </c>
    </row>
    <row r="28">
      <c r="A28" s="10" t="inlineStr">
        <is>
          <t>Lines of business</t>
        </is>
      </c>
      <c r="B28" s="24">
        <f>'Price Basis'!H27</f>
        <v/>
      </c>
      <c r="C28" s="24">
        <f>'Price Basis'!H27</f>
        <v/>
      </c>
      <c r="D28" s="24">
        <f>'Price Basis'!H27</f>
        <v/>
      </c>
      <c r="E28" s="24">
        <f>'Price Basis'!H27</f>
        <v/>
      </c>
      <c r="F28" s="24">
        <f>'Price Basis'!H27</f>
        <v/>
      </c>
      <c r="G28" s="24">
        <f>'Price Basis'!H27</f>
        <v/>
      </c>
      <c r="H28" s="24">
        <f>'Price Basis'!H27</f>
        <v/>
      </c>
      <c r="I28" s="24">
        <f>'Price Basis'!H27</f>
        <v/>
      </c>
    </row>
    <row r="29">
      <c r="A29" s="10" t="inlineStr">
        <is>
          <t>Licence model</t>
        </is>
      </c>
      <c r="B29" s="10" t="inlineStr">
        <is>
          <t>Subscription</t>
        </is>
      </c>
      <c r="C29" s="10" t="inlineStr">
        <is>
          <t>Subscription</t>
        </is>
      </c>
      <c r="D29" s="10" t="inlineStr">
        <is>
          <t>Subscription</t>
        </is>
      </c>
      <c r="E29" s="10" t="inlineStr">
        <is>
          <t>Subscription</t>
        </is>
      </c>
      <c r="F29" s="10" t="inlineStr">
        <is>
          <t>Perpetual</t>
        </is>
      </c>
      <c r="G29" s="10" t="inlineStr">
        <is>
          <t>Perpetual</t>
        </is>
      </c>
      <c r="H29" s="10" t="inlineStr">
        <is>
          <t>Perpetual</t>
        </is>
      </c>
      <c r="I29" s="10" t="inlineStr">
        <is>
          <t>Perpetual</t>
        </is>
      </c>
    </row>
    <row r="30">
      <c r="A30" s="10" t="inlineStr">
        <is>
          <t>Hosting</t>
        </is>
      </c>
      <c r="B30" s="10" t="inlineStr">
        <is>
          <t>Self-hosted</t>
        </is>
      </c>
      <c r="C30" s="10" t="inlineStr">
        <is>
          <t>Self-hosted</t>
        </is>
      </c>
      <c r="D30" s="10" t="inlineStr">
        <is>
          <t>AWS</t>
        </is>
      </c>
      <c r="E30" s="10" t="inlineStr">
        <is>
          <t>AWS</t>
        </is>
      </c>
      <c r="F30" s="10" t="inlineStr">
        <is>
          <t>AWS</t>
        </is>
      </c>
      <c r="G30" s="10" t="inlineStr">
        <is>
          <t>AWS</t>
        </is>
      </c>
      <c r="H30" s="10" t="inlineStr">
        <is>
          <t>Local partner</t>
        </is>
      </c>
      <c r="I30" s="10" t="inlineStr">
        <is>
          <t>Local partner</t>
        </is>
      </c>
    </row>
    <row r="31">
      <c r="A31" s="10" t="inlineStr">
        <is>
          <t>24x7 Severity 1 support</t>
        </is>
      </c>
      <c r="B31" s="10" t="inlineStr">
        <is>
          <t>No</t>
        </is>
      </c>
      <c r="C31" s="10" t="inlineStr">
        <is>
          <t>No</t>
        </is>
      </c>
      <c r="D31" s="10" t="inlineStr">
        <is>
          <t>No</t>
        </is>
      </c>
      <c r="E31" s="10" t="inlineStr">
        <is>
          <t>No</t>
        </is>
      </c>
      <c r="F31" s="10" t="inlineStr">
        <is>
          <t>No</t>
        </is>
      </c>
      <c r="G31" s="10" t="inlineStr">
        <is>
          <t>No</t>
        </is>
      </c>
      <c r="H31" s="10" t="inlineStr">
        <is>
          <t>Yes</t>
        </is>
      </c>
      <c r="I31" s="10" t="inlineStr">
        <is>
          <t>Yes</t>
        </is>
      </c>
    </row>
    <row r="32">
      <c r="A32" s="10" t="inlineStr">
        <is>
          <t>Extra training days</t>
        </is>
      </c>
      <c r="B32" s="24" t="n">
        <v>0</v>
      </c>
      <c r="C32" s="24" t="n">
        <v>0</v>
      </c>
      <c r="D32" s="24" t="n">
        <v>0</v>
      </c>
      <c r="E32" s="24" t="n">
        <v>0</v>
      </c>
      <c r="F32" s="24" t="n">
        <v>0</v>
      </c>
      <c r="G32" s="24" t="n">
        <v>0</v>
      </c>
      <c r="H32" s="24" t="n">
        <v>2</v>
      </c>
      <c r="I32" s="24" t="n">
        <v>2</v>
      </c>
    </row>
    <row r="33">
      <c r="A33" s="10" t="inlineStr">
        <is>
          <t>Legacy data sources migrated</t>
        </is>
      </c>
      <c r="B33" s="24" t="n">
        <v>0</v>
      </c>
      <c r="C33" s="24" t="n">
        <v>0</v>
      </c>
      <c r="D33" s="24" t="n">
        <v>0</v>
      </c>
      <c r="E33" s="24" t="n">
        <v>0</v>
      </c>
      <c r="F33" s="24" t="n">
        <v>0</v>
      </c>
      <c r="G33" s="24" t="n">
        <v>0</v>
      </c>
      <c r="H33" s="24" t="n">
        <v>1</v>
      </c>
      <c r="I33" s="24" t="n">
        <v>1</v>
      </c>
    </row>
    <row r="34">
      <c r="A34" s="10" t="inlineStr">
        <is>
          <t>Additional standard integrations</t>
        </is>
      </c>
      <c r="B34" s="24" t="n">
        <v>0</v>
      </c>
      <c r="C34" s="24" t="n">
        <v>0</v>
      </c>
      <c r="D34" s="24" t="n">
        <v>0</v>
      </c>
      <c r="E34" s="24" t="n">
        <v>0</v>
      </c>
      <c r="F34" s="24" t="n">
        <v>0</v>
      </c>
      <c r="G34" s="24" t="n">
        <v>0</v>
      </c>
      <c r="H34" s="24" t="n">
        <v>0</v>
      </c>
      <c r="I34" s="24" t="n">
        <v>0</v>
      </c>
    </row>
    <row r="35">
      <c r="A35" s="10" t="inlineStr">
        <is>
          <t>Additional complex integrations</t>
        </is>
      </c>
      <c r="B35" s="24" t="n">
        <v>0</v>
      </c>
      <c r="C35" s="24" t="n">
        <v>0</v>
      </c>
      <c r="D35" s="24" t="n">
        <v>0</v>
      </c>
      <c r="E35" s="24" t="n">
        <v>0</v>
      </c>
      <c r="F35" s="24" t="n">
        <v>0</v>
      </c>
      <c r="G35" s="24" t="n">
        <v>0</v>
      </c>
      <c r="H35" s="24" t="n">
        <v>0</v>
      </c>
      <c r="I35" s="24" t="n">
        <v>0</v>
      </c>
    </row>
    <row r="36">
      <c r="A36" s="10" t="inlineStr">
        <is>
          <t>Additional environments</t>
        </is>
      </c>
      <c r="B36" s="24" t="n">
        <v>0</v>
      </c>
      <c r="C36" s="24" t="n">
        <v>0</v>
      </c>
      <c r="D36" s="24" t="n">
        <v>0</v>
      </c>
      <c r="E36" s="24" t="n">
        <v>0</v>
      </c>
      <c r="F36" s="24" t="n">
        <v>0</v>
      </c>
      <c r="G36" s="24" t="n">
        <v>0</v>
      </c>
      <c r="H36" s="24" t="n">
        <v>0</v>
      </c>
      <c r="I36" s="24" t="n">
        <v>0</v>
      </c>
    </row>
    <row r="37">
      <c r="A37" s="10" t="inlineStr">
        <is>
          <t>On-site days</t>
        </is>
      </c>
      <c r="B37" s="24" t="n">
        <v>0</v>
      </c>
      <c r="C37" s="24" t="n">
        <v>0</v>
      </c>
      <c r="D37" s="24" t="n">
        <v>0</v>
      </c>
      <c r="E37" s="24" t="n">
        <v>0</v>
      </c>
      <c r="F37" s="24" t="n">
        <v>0</v>
      </c>
      <c r="G37" s="24" t="n">
        <v>0</v>
      </c>
      <c r="H37" s="24" t="n">
        <v>0</v>
      </c>
      <c r="I37" s="24" t="n">
        <v>0</v>
      </c>
    </row>
    <row r="38">
      <c r="A38" s="10" t="inlineStr">
        <is>
          <t>Contract term (years)</t>
        </is>
      </c>
      <c r="B38" s="24" t="n">
        <v>3</v>
      </c>
      <c r="C38" s="24" t="n">
        <v>3</v>
      </c>
      <c r="D38" s="24" t="n">
        <v>3</v>
      </c>
      <c r="E38" s="24" t="n">
        <v>3</v>
      </c>
      <c r="F38" s="24" t="n">
        <v>5</v>
      </c>
      <c r="G38" s="24" t="n">
        <v>5</v>
      </c>
      <c r="H38" s="24" t="n">
        <v>5</v>
      </c>
      <c r="I38" s="24" t="n">
        <v>5</v>
      </c>
    </row>
    <row r="39">
      <c r="A39" s="10" t="inlineStr">
        <is>
          <t>Discount on licence or subscription</t>
        </is>
      </c>
      <c r="B39" s="27" t="n">
        <v>0</v>
      </c>
      <c r="C39" s="28">
        <f>Floor_SW</f>
        <v/>
      </c>
      <c r="D39" s="27" t="n">
        <v>0</v>
      </c>
      <c r="E39" s="28">
        <f>Floor_SW</f>
        <v/>
      </c>
      <c r="F39" s="27" t="n">
        <v>0</v>
      </c>
      <c r="G39" s="28">
        <f>Floor_SW</f>
        <v/>
      </c>
      <c r="H39" s="27" t="n">
        <v>0</v>
      </c>
      <c r="I39" s="28">
        <f>Floor_SW</f>
        <v/>
      </c>
    </row>
    <row r="40">
      <c r="A40" s="10" t="inlineStr">
        <is>
          <t>Discount on implementation and services</t>
        </is>
      </c>
      <c r="B40" s="27" t="n">
        <v>0</v>
      </c>
      <c r="C40" s="28">
        <f>Floor_Svc</f>
        <v/>
      </c>
      <c r="D40" s="27" t="n">
        <v>0</v>
      </c>
      <c r="E40" s="28">
        <f>Floor_Svc</f>
        <v/>
      </c>
      <c r="F40" s="27" t="n">
        <v>0</v>
      </c>
      <c r="G40" s="28">
        <f>Floor_Svc</f>
        <v/>
      </c>
      <c r="H40" s="27" t="n">
        <v>0</v>
      </c>
      <c r="I40" s="28">
        <f>Floor_Svc</f>
        <v/>
      </c>
    </row>
    <row r="41">
      <c r="A41" s="10" t="inlineStr">
        <is>
          <t>Discount on hosting</t>
        </is>
      </c>
      <c r="B41" s="27" t="n">
        <v>0</v>
      </c>
      <c r="C41" s="28">
        <f>Floor_Host</f>
        <v/>
      </c>
      <c r="D41" s="27" t="n">
        <v>0</v>
      </c>
      <c r="E41" s="28">
        <f>Floor_Host</f>
        <v/>
      </c>
      <c r="F41" s="27" t="n">
        <v>0</v>
      </c>
      <c r="G41" s="28">
        <f>Floor_Host</f>
        <v/>
      </c>
      <c r="H41" s="27" t="n">
        <v>0</v>
      </c>
      <c r="I41" s="28">
        <f>Floor_Host</f>
        <v/>
      </c>
    </row>
    <row r="42">
      <c r="A42" s="10" t="inlineStr">
        <is>
          <t>Tier index</t>
        </is>
      </c>
      <c r="B42" s="24">
        <f>MATCH($B$27,TierFrom,1)</f>
        <v/>
      </c>
      <c r="C42" s="24">
        <f>MATCH($C$27,TierFrom,1)</f>
        <v/>
      </c>
      <c r="D42" s="24">
        <f>MATCH($D$27,TierFrom,1)</f>
        <v/>
      </c>
      <c r="E42" s="24">
        <f>MATCH($E$27,TierFrom,1)</f>
        <v/>
      </c>
      <c r="F42" s="24">
        <f>MATCH($F$27,TierFrom,1)</f>
        <v/>
      </c>
      <c r="G42" s="24">
        <f>MATCH($G$27,TierFrom,1)</f>
        <v/>
      </c>
      <c r="H42" s="24">
        <f>MATCH($H$27,TierFrom,1)</f>
        <v/>
      </c>
      <c r="I42" s="24">
        <f>MATCH($I$27,TierFrom,1)</f>
        <v/>
      </c>
    </row>
    <row r="43">
      <c r="A43" s="10" t="inlineStr">
        <is>
          <t>Tier</t>
        </is>
      </c>
      <c r="B43" s="10">
        <f>INDEX(TierName,B42)</f>
        <v/>
      </c>
      <c r="C43" s="10">
        <f>INDEX(TierName,C42)</f>
        <v/>
      </c>
      <c r="D43" s="10">
        <f>INDEX(TierName,D42)</f>
        <v/>
      </c>
      <c r="E43" s="10">
        <f>INDEX(TierName,E42)</f>
        <v/>
      </c>
      <c r="F43" s="10">
        <f>INDEX(TierName,F42)</f>
        <v/>
      </c>
      <c r="G43" s="10">
        <f>INDEX(TierName,G42)</f>
        <v/>
      </c>
      <c r="H43" s="10">
        <f>INDEX(TierName,H42)</f>
        <v/>
      </c>
      <c r="I43" s="10">
        <f>INDEX(TierName,I42)</f>
        <v/>
      </c>
    </row>
    <row r="44">
      <c r="A44" s="10" t="inlineStr">
        <is>
          <t>Billable users (subscription minimum applies)</t>
        </is>
      </c>
      <c r="B44" s="24">
        <f>IF($B$29="Subscription",MAX($B$27,INDEX(MinBill,B42)),$B$27)</f>
        <v/>
      </c>
      <c r="C44" s="24">
        <f>IF($C$29="Subscription",MAX($C$27,INDEX(MinBill,C42)),$C$27)</f>
        <v/>
      </c>
      <c r="D44" s="24">
        <f>IF($D$29="Subscription",MAX($D$27,INDEX(MinBill,D42)),$D$27)</f>
        <v/>
      </c>
      <c r="E44" s="24">
        <f>IF($E$29="Subscription",MAX($E$27,INDEX(MinBill,E42)),$E$27)</f>
        <v/>
      </c>
      <c r="F44" s="24">
        <f>IF($F$29="Subscription",MAX($F$27,INDEX(MinBill,F42)),$F$27)</f>
        <v/>
      </c>
      <c r="G44" s="24">
        <f>IF($G$29="Subscription",MAX($G$27,INDEX(MinBill,G42)),$G$27)</f>
        <v/>
      </c>
      <c r="H44" s="24">
        <f>IF($H$29="Subscription",MAX($H$27,INDEX(MinBill,H42)),$H$27)</f>
        <v/>
      </c>
      <c r="I44" s="24">
        <f>IF($I$29="Subscription",MAX($I$27,INDEX(MinBill,I42)),$I$27)</f>
        <v/>
      </c>
    </row>
    <row r="45">
      <c r="A45" s="10" t="inlineStr">
        <is>
          <t>Implementation man-days</t>
        </is>
      </c>
      <c r="B45" s="24">
        <f>INDEX(BaseDays,B42)+MAX(0,$B$28-INDEX(LOBIncl,B42))*Days_per_LOB</f>
        <v/>
      </c>
      <c r="C45" s="24">
        <f>INDEX(BaseDays,C42)+MAX(0,$C$28-INDEX(LOBIncl,C42))*Days_per_LOB</f>
        <v/>
      </c>
      <c r="D45" s="24">
        <f>INDEX(BaseDays,D42)+MAX(0,$D$28-INDEX(LOBIncl,D42))*Days_per_LOB</f>
        <v/>
      </c>
      <c r="E45" s="24">
        <f>INDEX(BaseDays,E42)+MAX(0,$E$28-INDEX(LOBIncl,E42))*Days_per_LOB</f>
        <v/>
      </c>
      <c r="F45" s="24">
        <f>INDEX(BaseDays,F42)+MAX(0,$F$28-INDEX(LOBIncl,F42))*Days_per_LOB</f>
        <v/>
      </c>
      <c r="G45" s="24">
        <f>INDEX(BaseDays,G42)+MAX(0,$G$28-INDEX(LOBIncl,G42))*Days_per_LOB</f>
        <v/>
      </c>
      <c r="H45" s="24">
        <f>INDEX(BaseDays,H42)+MAX(0,$H$28-INDEX(LOBIncl,H42))*Days_per_LOB</f>
        <v/>
      </c>
      <c r="I45" s="24">
        <f>INDEX(BaseDays,I42)+MAX(0,$I$28-INDEX(LOBIncl,I42))*Days_per_LOB</f>
        <v/>
      </c>
    </row>
    <row r="46">
      <c r="A46" s="10" t="inlineStr">
        <is>
          <t>Implementation or onboarding fee, list</t>
        </is>
      </c>
      <c r="B46" s="19">
        <f>ROUND(B45*Blended/Round_To,0)*Round_To*IF($B$29="Subscription",Onboard_Pct,1)</f>
        <v/>
      </c>
      <c r="C46" s="19">
        <f>ROUND(C45*Blended/Round_To,0)*Round_To*IF($C$29="Subscription",Onboard_Pct,1)</f>
        <v/>
      </c>
      <c r="D46" s="19">
        <f>ROUND(D45*Blended/Round_To,0)*Round_To*IF($D$29="Subscription",Onboard_Pct,1)</f>
        <v/>
      </c>
      <c r="E46" s="19">
        <f>ROUND(E45*Blended/Round_To,0)*Round_To*IF($E$29="Subscription",Onboard_Pct,1)</f>
        <v/>
      </c>
      <c r="F46" s="19">
        <f>ROUND(F45*Blended/Round_To,0)*Round_To*IF($F$29="Subscription",Onboard_Pct,1)</f>
        <v/>
      </c>
      <c r="G46" s="19">
        <f>ROUND(G45*Blended/Round_To,0)*Round_To*IF($G$29="Subscription",Onboard_Pct,1)</f>
        <v/>
      </c>
      <c r="H46" s="19">
        <f>ROUND(H45*Blended/Round_To,0)*Round_To*IF($H$29="Subscription",Onboard_Pct,1)</f>
        <v/>
      </c>
      <c r="I46" s="19">
        <f>ROUND(I45*Blended/Round_To,0)*Round_To*IF($I$29="Subscription",Onboard_Pct,1)</f>
        <v/>
      </c>
    </row>
    <row r="47">
      <c r="A47" s="10" t="inlineStr">
        <is>
          <t>Implementation or onboarding fee, quoted</t>
        </is>
      </c>
      <c r="B47" s="19">
        <f>B46*(1-$B$40)</f>
        <v/>
      </c>
      <c r="C47" s="19">
        <f>C46*(1-$C$40)</f>
        <v/>
      </c>
      <c r="D47" s="19">
        <f>D46*(1-$D$40)</f>
        <v/>
      </c>
      <c r="E47" s="19">
        <f>E46*(1-$E$40)</f>
        <v/>
      </c>
      <c r="F47" s="19">
        <f>F46*(1-$F$40)</f>
        <v/>
      </c>
      <c r="G47" s="19">
        <f>G46*(1-$G$40)</f>
        <v/>
      </c>
      <c r="H47" s="19">
        <f>H46*(1-$H$40)</f>
        <v/>
      </c>
      <c r="I47" s="19">
        <f>I46*(1-$I$40)</f>
        <v/>
      </c>
    </row>
    <row r="48">
      <c r="A48" s="10" t="inlineStr">
        <is>
          <t>Perpetual licence fee, list (one-time)</t>
        </is>
      </c>
      <c r="B48" s="19">
        <f>IF($B$29="Perpetual",MAX(0,MIN($B$27,'Price Basis'!$C$27)-'Price Basis'!$B$27+1)*'Price Basis'!$D$27+MAX(0,MIN($B$27,'Price Basis'!$C$28)-'Price Basis'!$B$28+1)*'Price Basis'!$D$28+MAX(0,MIN($B$27,'Price Basis'!$C$29)-'Price Basis'!$B$29+1)*'Price Basis'!$D$29+MAX(0,MIN($B$27,'Price Basis'!$C$30)-'Price Basis'!$B$30+1)*'Price Basis'!$D$30,0)</f>
        <v/>
      </c>
      <c r="C48" s="19">
        <f>IF($C$29="Perpetual",MAX(0,MIN($C$27,'Price Basis'!$C$27)-'Price Basis'!$B$27+1)*'Price Basis'!$D$27+MAX(0,MIN($C$27,'Price Basis'!$C$28)-'Price Basis'!$B$28+1)*'Price Basis'!$D$28+MAX(0,MIN($C$27,'Price Basis'!$C$29)-'Price Basis'!$B$29+1)*'Price Basis'!$D$29+MAX(0,MIN($C$27,'Price Basis'!$C$30)-'Price Basis'!$B$30+1)*'Price Basis'!$D$30,0)</f>
        <v/>
      </c>
      <c r="D48" s="19">
        <f>IF($D$29="Perpetual",MAX(0,MIN($D$27,'Price Basis'!$C$27)-'Price Basis'!$B$27+1)*'Price Basis'!$D$27+MAX(0,MIN($D$27,'Price Basis'!$C$28)-'Price Basis'!$B$28+1)*'Price Basis'!$D$28+MAX(0,MIN($D$27,'Price Basis'!$C$29)-'Price Basis'!$B$29+1)*'Price Basis'!$D$29+MAX(0,MIN($D$27,'Price Basis'!$C$30)-'Price Basis'!$B$30+1)*'Price Basis'!$D$30,0)</f>
        <v/>
      </c>
      <c r="E48" s="19">
        <f>IF($E$29="Perpetual",MAX(0,MIN($E$27,'Price Basis'!$C$27)-'Price Basis'!$B$27+1)*'Price Basis'!$D$27+MAX(0,MIN($E$27,'Price Basis'!$C$28)-'Price Basis'!$B$28+1)*'Price Basis'!$D$28+MAX(0,MIN($E$27,'Price Basis'!$C$29)-'Price Basis'!$B$29+1)*'Price Basis'!$D$29+MAX(0,MIN($E$27,'Price Basis'!$C$30)-'Price Basis'!$B$30+1)*'Price Basis'!$D$30,0)</f>
        <v/>
      </c>
      <c r="F48" s="19">
        <f>IF($F$29="Perpetual",MAX(0,MIN($F$27,'Price Basis'!$C$27)-'Price Basis'!$B$27+1)*'Price Basis'!$D$27+MAX(0,MIN($F$27,'Price Basis'!$C$28)-'Price Basis'!$B$28+1)*'Price Basis'!$D$28+MAX(0,MIN($F$27,'Price Basis'!$C$29)-'Price Basis'!$B$29+1)*'Price Basis'!$D$29+MAX(0,MIN($F$27,'Price Basis'!$C$30)-'Price Basis'!$B$30+1)*'Price Basis'!$D$30,0)</f>
        <v/>
      </c>
      <c r="G48" s="19">
        <f>IF($G$29="Perpetual",MAX(0,MIN($G$27,'Price Basis'!$C$27)-'Price Basis'!$B$27+1)*'Price Basis'!$D$27+MAX(0,MIN($G$27,'Price Basis'!$C$28)-'Price Basis'!$B$28+1)*'Price Basis'!$D$28+MAX(0,MIN($G$27,'Price Basis'!$C$29)-'Price Basis'!$B$29+1)*'Price Basis'!$D$29+MAX(0,MIN($G$27,'Price Basis'!$C$30)-'Price Basis'!$B$30+1)*'Price Basis'!$D$30,0)</f>
        <v/>
      </c>
      <c r="H48" s="19">
        <f>IF($H$29="Perpetual",MAX(0,MIN($H$27,'Price Basis'!$C$27)-'Price Basis'!$B$27+1)*'Price Basis'!$D$27+MAX(0,MIN($H$27,'Price Basis'!$C$28)-'Price Basis'!$B$28+1)*'Price Basis'!$D$28+MAX(0,MIN($H$27,'Price Basis'!$C$29)-'Price Basis'!$B$29+1)*'Price Basis'!$D$29+MAX(0,MIN($H$27,'Price Basis'!$C$30)-'Price Basis'!$B$30+1)*'Price Basis'!$D$30,0)</f>
        <v/>
      </c>
      <c r="I48" s="19">
        <f>IF($I$29="Perpetual",MAX(0,MIN($I$27,'Price Basis'!$C$27)-'Price Basis'!$B$27+1)*'Price Basis'!$D$27+MAX(0,MIN($I$27,'Price Basis'!$C$28)-'Price Basis'!$B$28+1)*'Price Basis'!$D$28+MAX(0,MIN($I$27,'Price Basis'!$C$29)-'Price Basis'!$B$29+1)*'Price Basis'!$D$29+MAX(0,MIN($I$27,'Price Basis'!$C$30)-'Price Basis'!$B$30+1)*'Price Basis'!$D$30,0)</f>
        <v/>
      </c>
    </row>
    <row r="49">
      <c r="A49" s="10" t="inlineStr">
        <is>
          <t>Perpetual licence fee, quoted (one-time)</t>
        </is>
      </c>
      <c r="B49" s="19">
        <f>B48*(1-$B$39)</f>
        <v/>
      </c>
      <c r="C49" s="19">
        <f>C48*(1-$C$39)</f>
        <v/>
      </c>
      <c r="D49" s="19">
        <f>D48*(1-$D$39)</f>
        <v/>
      </c>
      <c r="E49" s="19">
        <f>E48*(1-$E$39)</f>
        <v/>
      </c>
      <c r="F49" s="19">
        <f>F48*(1-$F$39)</f>
        <v/>
      </c>
      <c r="G49" s="19">
        <f>G48*(1-$G$39)</f>
        <v/>
      </c>
      <c r="H49" s="19">
        <f>H48*(1-$H$39)</f>
        <v/>
      </c>
      <c r="I49" s="19">
        <f>I48*(1-$I$39)</f>
        <v/>
      </c>
    </row>
    <row r="50">
      <c r="A50" s="10" t="inlineStr">
        <is>
          <t>Subscription per month, Year 1, list</t>
        </is>
      </c>
      <c r="B50" s="19">
        <f>IF($B$29="Subscription",MAX(0,MIN(B44,'Price Basis'!$C$27)-'Price Basis'!$B$27+1)*'Price Basis'!$E$27+MAX(0,MIN(B44,'Price Basis'!$C$28)-'Price Basis'!$B$28+1)*'Price Basis'!$E$28+MAX(0,MIN(B44,'Price Basis'!$C$29)-'Price Basis'!$B$29+1)*'Price Basis'!$E$29+MAX(0,MIN(B44,'Price Basis'!$C$30)-'Price Basis'!$B$30+1)*'Price Basis'!$E$30,0)</f>
        <v/>
      </c>
      <c r="C50" s="19">
        <f>IF($C$29="Subscription",MAX(0,MIN(C44,'Price Basis'!$C$27)-'Price Basis'!$B$27+1)*'Price Basis'!$E$27+MAX(0,MIN(C44,'Price Basis'!$C$28)-'Price Basis'!$B$28+1)*'Price Basis'!$E$28+MAX(0,MIN(C44,'Price Basis'!$C$29)-'Price Basis'!$B$29+1)*'Price Basis'!$E$29+MAX(0,MIN(C44,'Price Basis'!$C$30)-'Price Basis'!$B$30+1)*'Price Basis'!$E$30,0)</f>
        <v/>
      </c>
      <c r="D50" s="19">
        <f>IF($D$29="Subscription",MAX(0,MIN(D44,'Price Basis'!$C$27)-'Price Basis'!$B$27+1)*'Price Basis'!$E$27+MAX(0,MIN(D44,'Price Basis'!$C$28)-'Price Basis'!$B$28+1)*'Price Basis'!$E$28+MAX(0,MIN(D44,'Price Basis'!$C$29)-'Price Basis'!$B$29+1)*'Price Basis'!$E$29+MAX(0,MIN(D44,'Price Basis'!$C$30)-'Price Basis'!$B$30+1)*'Price Basis'!$E$30,0)</f>
        <v/>
      </c>
      <c r="E50" s="19">
        <f>IF($E$29="Subscription",MAX(0,MIN(E44,'Price Basis'!$C$27)-'Price Basis'!$B$27+1)*'Price Basis'!$E$27+MAX(0,MIN(E44,'Price Basis'!$C$28)-'Price Basis'!$B$28+1)*'Price Basis'!$E$28+MAX(0,MIN(E44,'Price Basis'!$C$29)-'Price Basis'!$B$29+1)*'Price Basis'!$E$29+MAX(0,MIN(E44,'Price Basis'!$C$30)-'Price Basis'!$B$30+1)*'Price Basis'!$E$30,0)</f>
        <v/>
      </c>
      <c r="F50" s="19">
        <f>IF($F$29="Subscription",MAX(0,MIN(F44,'Price Basis'!$C$27)-'Price Basis'!$B$27+1)*'Price Basis'!$E$27+MAX(0,MIN(F44,'Price Basis'!$C$28)-'Price Basis'!$B$28+1)*'Price Basis'!$E$28+MAX(0,MIN(F44,'Price Basis'!$C$29)-'Price Basis'!$B$29+1)*'Price Basis'!$E$29+MAX(0,MIN(F44,'Price Basis'!$C$30)-'Price Basis'!$B$30+1)*'Price Basis'!$E$30,0)</f>
        <v/>
      </c>
      <c r="G50" s="19">
        <f>IF($G$29="Subscription",MAX(0,MIN(G44,'Price Basis'!$C$27)-'Price Basis'!$B$27+1)*'Price Basis'!$E$27+MAX(0,MIN(G44,'Price Basis'!$C$28)-'Price Basis'!$B$28+1)*'Price Basis'!$E$28+MAX(0,MIN(G44,'Price Basis'!$C$29)-'Price Basis'!$B$29+1)*'Price Basis'!$E$29+MAX(0,MIN(G44,'Price Basis'!$C$30)-'Price Basis'!$B$30+1)*'Price Basis'!$E$30,0)</f>
        <v/>
      </c>
      <c r="H50" s="19">
        <f>IF($H$29="Subscription",MAX(0,MIN(H44,'Price Basis'!$C$27)-'Price Basis'!$B$27+1)*'Price Basis'!$E$27+MAX(0,MIN(H44,'Price Basis'!$C$28)-'Price Basis'!$B$28+1)*'Price Basis'!$E$28+MAX(0,MIN(H44,'Price Basis'!$C$29)-'Price Basis'!$B$29+1)*'Price Basis'!$E$29+MAX(0,MIN(H44,'Price Basis'!$C$30)-'Price Basis'!$B$30+1)*'Price Basis'!$E$30,0)</f>
        <v/>
      </c>
      <c r="I50" s="19">
        <f>IF($I$29="Subscription",MAX(0,MIN(I44,'Price Basis'!$C$27)-'Price Basis'!$B$27+1)*'Price Basis'!$E$27+MAX(0,MIN(I44,'Price Basis'!$C$28)-'Price Basis'!$B$28+1)*'Price Basis'!$E$28+MAX(0,MIN(I44,'Price Basis'!$C$29)-'Price Basis'!$B$29+1)*'Price Basis'!$E$29+MAX(0,MIN(I44,'Price Basis'!$C$30)-'Price Basis'!$B$30+1)*'Price Basis'!$E$30,0)</f>
        <v/>
      </c>
    </row>
    <row r="51">
      <c r="A51" s="10" t="inlineStr">
        <is>
          <t>Subscription per month, Year 1, quoted</t>
        </is>
      </c>
      <c r="B51" s="19">
        <f>B50*(1-$B$39)</f>
        <v/>
      </c>
      <c r="C51" s="19">
        <f>C50*(1-$C$39)</f>
        <v/>
      </c>
      <c r="D51" s="19">
        <f>D50*(1-$D$39)</f>
        <v/>
      </c>
      <c r="E51" s="19">
        <f>E50*(1-$E$39)</f>
        <v/>
      </c>
      <c r="F51" s="19">
        <f>F50*(1-$F$39)</f>
        <v/>
      </c>
      <c r="G51" s="19">
        <f>G50*(1-$G$39)</f>
        <v/>
      </c>
      <c r="H51" s="19">
        <f>H50*(1-$H$39)</f>
        <v/>
      </c>
      <c r="I51" s="19">
        <f>I50*(1-$I$39)</f>
        <v/>
      </c>
    </row>
    <row r="52">
      <c r="A52" s="10" t="inlineStr">
        <is>
          <t>Effective price per user (licence one-time, or subscription per month)</t>
        </is>
      </c>
      <c r="B52" s="19">
        <f>IF($B$29="Perpetual",B49/$B$27,B51/B44)</f>
        <v/>
      </c>
      <c r="C52" s="19">
        <f>IF($C$29="Perpetual",C49/$C$27,C51/C44)</f>
        <v/>
      </c>
      <c r="D52" s="19">
        <f>IF($D$29="Perpetual",D49/$D$27,D51/D44)</f>
        <v/>
      </c>
      <c r="E52" s="19">
        <f>IF($E$29="Perpetual",E49/$E$27,E51/E44)</f>
        <v/>
      </c>
      <c r="F52" s="19">
        <f>IF($F$29="Perpetual",F49/$F$27,F51/F44)</f>
        <v/>
      </c>
      <c r="G52" s="19">
        <f>IF($G$29="Perpetual",G49/$G$27,G51/G44)</f>
        <v/>
      </c>
      <c r="H52" s="19">
        <f>IF($H$29="Perpetual",H49/$H$27,H51/H44)</f>
        <v/>
      </c>
      <c r="I52" s="19">
        <f>IF($I$29="Perpetual",I49/$I$27,I51/I44)</f>
        <v/>
      </c>
    </row>
    <row r="53">
      <c r="A53" s="10" t="inlineStr">
        <is>
          <t>Hosting per month, list</t>
        </is>
      </c>
      <c r="B53" s="19">
        <f>INDEX(Host_Tbl,B42,MATCH($B$30,Host_Hdr,0))</f>
        <v/>
      </c>
      <c r="C53" s="19">
        <f>INDEX(Host_Tbl,C42,MATCH($C$30,Host_Hdr,0))</f>
        <v/>
      </c>
      <c r="D53" s="19">
        <f>INDEX(Host_Tbl,D42,MATCH($D$30,Host_Hdr,0))</f>
        <v/>
      </c>
      <c r="E53" s="19">
        <f>INDEX(Host_Tbl,E42,MATCH($E$30,Host_Hdr,0))</f>
        <v/>
      </c>
      <c r="F53" s="19">
        <f>INDEX(Host_Tbl,F42,MATCH($F$30,Host_Hdr,0))</f>
        <v/>
      </c>
      <c r="G53" s="19">
        <f>INDEX(Host_Tbl,G42,MATCH($G$30,Host_Hdr,0))</f>
        <v/>
      </c>
      <c r="H53" s="19">
        <f>INDEX(Host_Tbl,H42,MATCH($H$30,Host_Hdr,0))</f>
        <v/>
      </c>
      <c r="I53" s="19">
        <f>INDEX(Host_Tbl,I42,MATCH($I$30,Host_Hdr,0))</f>
        <v/>
      </c>
    </row>
    <row r="54">
      <c r="A54" s="10" t="inlineStr">
        <is>
          <t>Hosting per month, quoted</t>
        </is>
      </c>
      <c r="B54" s="19">
        <f>B53*(1-$B$41)</f>
        <v/>
      </c>
      <c r="C54" s="19">
        <f>C53*(1-$C$41)</f>
        <v/>
      </c>
      <c r="D54" s="19">
        <f>D53*(1-$D$41)</f>
        <v/>
      </c>
      <c r="E54" s="19">
        <f>E53*(1-$E$41)</f>
        <v/>
      </c>
      <c r="F54" s="19">
        <f>F53*(1-$F$41)</f>
        <v/>
      </c>
      <c r="G54" s="19">
        <f>G53*(1-$G$41)</f>
        <v/>
      </c>
      <c r="H54" s="19">
        <f>H53*(1-$H$41)</f>
        <v/>
      </c>
      <c r="I54" s="19">
        <f>I53*(1-$I$41)</f>
        <v/>
      </c>
    </row>
    <row r="55">
      <c r="A55" s="10" t="inlineStr">
        <is>
          <t>Additional hosted environments per month</t>
        </is>
      </c>
      <c r="B55" s="19">
        <f>IF($B$30="Self-hosted",0,$B$36*Env_Month)</f>
        <v/>
      </c>
      <c r="C55" s="19">
        <f>IF($C$30="Self-hosted",0,$C$36*Env_Month)</f>
        <v/>
      </c>
      <c r="D55" s="19">
        <f>IF($D$30="Self-hosted",0,$D$36*Env_Month)</f>
        <v/>
      </c>
      <c r="E55" s="19">
        <f>IF($E$30="Self-hosted",0,$E$36*Env_Month)</f>
        <v/>
      </c>
      <c r="F55" s="19">
        <f>IF($F$30="Self-hosted",0,$F$36*Env_Month)</f>
        <v/>
      </c>
      <c r="G55" s="19">
        <f>IF($G$30="Self-hosted",0,$G$36*Env_Month)</f>
        <v/>
      </c>
      <c r="H55" s="19">
        <f>IF($H$30="Self-hosted",0,$H$36*Env_Month)</f>
        <v/>
      </c>
      <c r="I55" s="19">
        <f>IF($I$30="Self-hosted",0,$I$36*Env_Month)</f>
        <v/>
      </c>
    </row>
    <row r="56">
      <c r="A56" s="10" t="inlineStr">
        <is>
          <t>Monthly recurring at go-live (subscription, hosting, environments)</t>
        </is>
      </c>
      <c r="B56" s="19">
        <f>B51+B54+B55</f>
        <v/>
      </c>
      <c r="C56" s="19">
        <f>C51+C54+C55</f>
        <v/>
      </c>
      <c r="D56" s="19">
        <f>D51+D54+D55</f>
        <v/>
      </c>
      <c r="E56" s="19">
        <f>E51+E54+E55</f>
        <v/>
      </c>
      <c r="F56" s="19">
        <f>F51+F54+F55</f>
        <v/>
      </c>
      <c r="G56" s="19">
        <f>G51+G54+G55</f>
        <v/>
      </c>
      <c r="H56" s="19">
        <f>H51+H54+H55</f>
        <v/>
      </c>
      <c r="I56" s="19">
        <f>I51+I54+I55</f>
        <v/>
      </c>
    </row>
    <row r="57">
      <c r="A57" s="10" t="inlineStr">
        <is>
          <t>One-time optional services, list</t>
        </is>
      </c>
      <c r="B57" s="19">
        <f>$B$32*Rate_Trainer+$B$33*Mig_Source+$B$34*Int_Std+$B$35*Int_Cx+$B$36*Env_Setup+$B$37*Rate_Onsite</f>
        <v/>
      </c>
      <c r="C57" s="19">
        <f>$C$32*Rate_Trainer+$C$33*Mig_Source+$C$34*Int_Std+$C$35*Int_Cx+$C$36*Env_Setup+$C$37*Rate_Onsite</f>
        <v/>
      </c>
      <c r="D57" s="19">
        <f>$D$32*Rate_Trainer+$D$33*Mig_Source+$D$34*Int_Std+$D$35*Int_Cx+$D$36*Env_Setup+$D$37*Rate_Onsite</f>
        <v/>
      </c>
      <c r="E57" s="19">
        <f>$E$32*Rate_Trainer+$E$33*Mig_Source+$E$34*Int_Std+$E$35*Int_Cx+$E$36*Env_Setup+$E$37*Rate_Onsite</f>
        <v/>
      </c>
      <c r="F57" s="19">
        <f>$F$32*Rate_Trainer+$F$33*Mig_Source+$F$34*Int_Std+$F$35*Int_Cx+$F$36*Env_Setup+$F$37*Rate_Onsite</f>
        <v/>
      </c>
      <c r="G57" s="19">
        <f>$G$32*Rate_Trainer+$G$33*Mig_Source+$G$34*Int_Std+$G$35*Int_Cx+$G$36*Env_Setup+$G$37*Rate_Onsite</f>
        <v/>
      </c>
      <c r="H57" s="19">
        <f>$H$32*Rate_Trainer+$H$33*Mig_Source+$H$34*Int_Std+$H$35*Int_Cx+$H$36*Env_Setup+$H$37*Rate_Onsite</f>
        <v/>
      </c>
      <c r="I57" s="19">
        <f>$I$32*Rate_Trainer+$I$33*Mig_Source+$I$34*Int_Std+$I$35*Int_Cx+$I$36*Env_Setup+$I$37*Rate_Onsite</f>
        <v/>
      </c>
    </row>
    <row r="58">
      <c r="A58" s="10" t="inlineStr">
        <is>
          <t>One-time optional services, quoted</t>
        </is>
      </c>
      <c r="B58" s="19">
        <f>B57*(1-$B$40)</f>
        <v/>
      </c>
      <c r="C58" s="19">
        <f>C57*(1-$C$40)</f>
        <v/>
      </c>
      <c r="D58" s="19">
        <f>D57*(1-$D$40)</f>
        <v/>
      </c>
      <c r="E58" s="19">
        <f>E57*(1-$E$40)</f>
        <v/>
      </c>
      <c r="F58" s="19">
        <f>F57*(1-$F$40)</f>
        <v/>
      </c>
      <c r="G58" s="19">
        <f>G57*(1-$G$40)</f>
        <v/>
      </c>
      <c r="H58" s="19">
        <f>H57*(1-$H$40)</f>
        <v/>
      </c>
      <c r="I58" s="19">
        <f>I57*(1-$I$40)</f>
        <v/>
      </c>
    </row>
    <row r="59">
      <c r="A59" s="10" t="inlineStr">
        <is>
          <t>24x7 Severity 1 support per year, Year 1, list</t>
        </is>
      </c>
      <c r="B59" s="19">
        <f>IF($B$31="Yes",INDEX(Sup24,B42),0)</f>
        <v/>
      </c>
      <c r="C59" s="19">
        <f>IF($C$31="Yes",INDEX(Sup24,C42),0)</f>
        <v/>
      </c>
      <c r="D59" s="19">
        <f>IF($D$31="Yes",INDEX(Sup24,D42),0)</f>
        <v/>
      </c>
      <c r="E59" s="19">
        <f>IF($E$31="Yes",INDEX(Sup24,E42),0)</f>
        <v/>
      </c>
      <c r="F59" s="19">
        <f>IF($F$31="Yes",INDEX(Sup24,F42),0)</f>
        <v/>
      </c>
      <c r="G59" s="19">
        <f>IF($G$31="Yes",INDEX(Sup24,G42),0)</f>
        <v/>
      </c>
      <c r="H59" s="19">
        <f>IF($H$31="Yes",INDEX(Sup24,H42),0)</f>
        <v/>
      </c>
      <c r="I59" s="19">
        <f>IF($I$31="Yes",INDEX(Sup24,I42),0)</f>
        <v/>
      </c>
    </row>
    <row r="60">
      <c r="A60" s="10" t="inlineStr">
        <is>
          <t>Training days included</t>
        </is>
      </c>
      <c r="B60" s="24">
        <f>INDEX(TrainDays,B42)</f>
        <v/>
      </c>
      <c r="C60" s="24">
        <f>INDEX(TrainDays,C42)</f>
        <v/>
      </c>
      <c r="D60" s="24">
        <f>INDEX(TrainDays,D42)</f>
        <v/>
      </c>
      <c r="E60" s="24">
        <f>INDEX(TrainDays,E42)</f>
        <v/>
      </c>
      <c r="F60" s="24">
        <f>INDEX(TrainDays,F42)</f>
        <v/>
      </c>
      <c r="G60" s="24">
        <f>INDEX(TrainDays,G42)</f>
        <v/>
      </c>
      <c r="H60" s="24">
        <f>INDEX(TrainDays,H42)</f>
        <v/>
      </c>
      <c r="I60" s="24">
        <f>INDEX(TrainDays,I42)</f>
        <v/>
      </c>
    </row>
    <row r="61">
      <c r="A61" s="10" t="inlineStr">
        <is>
          <t>AMC Year 1</t>
        </is>
      </c>
      <c r="B61" s="19">
        <f>IF(AND($B$29="Perpetual",1&gt;=AMC_Start),B49*AMC_Rate*(1+Esc)^(1-AMC_Start),0)</f>
        <v/>
      </c>
      <c r="C61" s="19">
        <f>IF(AND($C$29="Perpetual",1&gt;=AMC_Start),C49*AMC_Rate*(1+Esc)^(1-AMC_Start),0)</f>
        <v/>
      </c>
      <c r="D61" s="19">
        <f>IF(AND($D$29="Perpetual",1&gt;=AMC_Start),D49*AMC_Rate*(1+Esc)^(1-AMC_Start),0)</f>
        <v/>
      </c>
      <c r="E61" s="19">
        <f>IF(AND($E$29="Perpetual",1&gt;=AMC_Start),E49*AMC_Rate*(1+Esc)^(1-AMC_Start),0)</f>
        <v/>
      </c>
      <c r="F61" s="19">
        <f>IF(AND($F$29="Perpetual",1&gt;=AMC_Start),F49*AMC_Rate*(1+Esc)^(1-AMC_Start),0)</f>
        <v/>
      </c>
      <c r="G61" s="19">
        <f>IF(AND($G$29="Perpetual",1&gt;=AMC_Start),G49*AMC_Rate*(1+Esc)^(1-AMC_Start),0)</f>
        <v/>
      </c>
      <c r="H61" s="19">
        <f>IF(AND($H$29="Perpetual",1&gt;=AMC_Start),H49*AMC_Rate*(1+Esc)^(1-AMC_Start),0)</f>
        <v/>
      </c>
      <c r="I61" s="19">
        <f>IF(AND($I$29="Perpetual",1&gt;=AMC_Start),I49*AMC_Rate*(1+Esc)^(1-AMC_Start),0)</f>
        <v/>
      </c>
    </row>
    <row r="62">
      <c r="A62" s="10" t="inlineStr">
        <is>
          <t>AMC Year 2</t>
        </is>
      </c>
      <c r="B62" s="19">
        <f>IF(AND($B$29="Perpetual",2&gt;=AMC_Start),B49*AMC_Rate*(1+Esc)^(2-AMC_Start),0)</f>
        <v/>
      </c>
      <c r="C62" s="19">
        <f>IF(AND($C$29="Perpetual",2&gt;=AMC_Start),C49*AMC_Rate*(1+Esc)^(2-AMC_Start),0)</f>
        <v/>
      </c>
      <c r="D62" s="19">
        <f>IF(AND($D$29="Perpetual",2&gt;=AMC_Start),D49*AMC_Rate*(1+Esc)^(2-AMC_Start),0)</f>
        <v/>
      </c>
      <c r="E62" s="19">
        <f>IF(AND($E$29="Perpetual",2&gt;=AMC_Start),E49*AMC_Rate*(1+Esc)^(2-AMC_Start),0)</f>
        <v/>
      </c>
      <c r="F62" s="19">
        <f>IF(AND($F$29="Perpetual",2&gt;=AMC_Start),F49*AMC_Rate*(1+Esc)^(2-AMC_Start),0)</f>
        <v/>
      </c>
      <c r="G62" s="19">
        <f>IF(AND($G$29="Perpetual",2&gt;=AMC_Start),G49*AMC_Rate*(1+Esc)^(2-AMC_Start),0)</f>
        <v/>
      </c>
      <c r="H62" s="19">
        <f>IF(AND($H$29="Perpetual",2&gt;=AMC_Start),H49*AMC_Rate*(1+Esc)^(2-AMC_Start),0)</f>
        <v/>
      </c>
      <c r="I62" s="19">
        <f>IF(AND($I$29="Perpetual",2&gt;=AMC_Start),I49*AMC_Rate*(1+Esc)^(2-AMC_Start),0)</f>
        <v/>
      </c>
    </row>
    <row r="63">
      <c r="A63" s="10" t="inlineStr">
        <is>
          <t>AMC Year 3</t>
        </is>
      </c>
      <c r="B63" s="19">
        <f>IF(AND($B$29="Perpetual",3&gt;=AMC_Start),B49*AMC_Rate*(1+Esc)^(3-AMC_Start),0)</f>
        <v/>
      </c>
      <c r="C63" s="19">
        <f>IF(AND($C$29="Perpetual",3&gt;=AMC_Start),C49*AMC_Rate*(1+Esc)^(3-AMC_Start),0)</f>
        <v/>
      </c>
      <c r="D63" s="19">
        <f>IF(AND($D$29="Perpetual",3&gt;=AMC_Start),D49*AMC_Rate*(1+Esc)^(3-AMC_Start),0)</f>
        <v/>
      </c>
      <c r="E63" s="19">
        <f>IF(AND($E$29="Perpetual",3&gt;=AMC_Start),E49*AMC_Rate*(1+Esc)^(3-AMC_Start),0)</f>
        <v/>
      </c>
      <c r="F63" s="19">
        <f>IF(AND($F$29="Perpetual",3&gt;=AMC_Start),F49*AMC_Rate*(1+Esc)^(3-AMC_Start),0)</f>
        <v/>
      </c>
      <c r="G63" s="19">
        <f>IF(AND($G$29="Perpetual",3&gt;=AMC_Start),G49*AMC_Rate*(1+Esc)^(3-AMC_Start),0)</f>
        <v/>
      </c>
      <c r="H63" s="19">
        <f>IF(AND($H$29="Perpetual",3&gt;=AMC_Start),H49*AMC_Rate*(1+Esc)^(3-AMC_Start),0)</f>
        <v/>
      </c>
      <c r="I63" s="19">
        <f>IF(AND($I$29="Perpetual",3&gt;=AMC_Start),I49*AMC_Rate*(1+Esc)^(3-AMC_Start),0)</f>
        <v/>
      </c>
    </row>
    <row r="64">
      <c r="A64" s="10" t="inlineStr">
        <is>
          <t>AMC Year 4</t>
        </is>
      </c>
      <c r="B64" s="19">
        <f>IF(AND($B$29="Perpetual",4&gt;=AMC_Start),B49*AMC_Rate*(1+Esc)^(4-AMC_Start),0)</f>
        <v/>
      </c>
      <c r="C64" s="19">
        <f>IF(AND($C$29="Perpetual",4&gt;=AMC_Start),C49*AMC_Rate*(1+Esc)^(4-AMC_Start),0)</f>
        <v/>
      </c>
      <c r="D64" s="19">
        <f>IF(AND($D$29="Perpetual",4&gt;=AMC_Start),D49*AMC_Rate*(1+Esc)^(4-AMC_Start),0)</f>
        <v/>
      </c>
      <c r="E64" s="19">
        <f>IF(AND($E$29="Perpetual",4&gt;=AMC_Start),E49*AMC_Rate*(1+Esc)^(4-AMC_Start),0)</f>
        <v/>
      </c>
      <c r="F64" s="19">
        <f>IF(AND($F$29="Perpetual",4&gt;=AMC_Start),F49*AMC_Rate*(1+Esc)^(4-AMC_Start),0)</f>
        <v/>
      </c>
      <c r="G64" s="19">
        <f>IF(AND($G$29="Perpetual",4&gt;=AMC_Start),G49*AMC_Rate*(1+Esc)^(4-AMC_Start),0)</f>
        <v/>
      </c>
      <c r="H64" s="19">
        <f>IF(AND($H$29="Perpetual",4&gt;=AMC_Start),H49*AMC_Rate*(1+Esc)^(4-AMC_Start),0)</f>
        <v/>
      </c>
      <c r="I64" s="19">
        <f>IF(AND($I$29="Perpetual",4&gt;=AMC_Start),I49*AMC_Rate*(1+Esc)^(4-AMC_Start),0)</f>
        <v/>
      </c>
    </row>
    <row r="65">
      <c r="A65" s="10" t="inlineStr">
        <is>
          <t>AMC Year 5</t>
        </is>
      </c>
      <c r="B65" s="19">
        <f>IF(AND($B$29="Perpetual",5&gt;=AMC_Start),B49*AMC_Rate*(1+Esc)^(5-AMC_Start),0)</f>
        <v/>
      </c>
      <c r="C65" s="19">
        <f>IF(AND($C$29="Perpetual",5&gt;=AMC_Start),C49*AMC_Rate*(1+Esc)^(5-AMC_Start),0)</f>
        <v/>
      </c>
      <c r="D65" s="19">
        <f>IF(AND($D$29="Perpetual",5&gt;=AMC_Start),D49*AMC_Rate*(1+Esc)^(5-AMC_Start),0)</f>
        <v/>
      </c>
      <c r="E65" s="19">
        <f>IF(AND($E$29="Perpetual",5&gt;=AMC_Start),E49*AMC_Rate*(1+Esc)^(5-AMC_Start),0)</f>
        <v/>
      </c>
      <c r="F65" s="19">
        <f>IF(AND($F$29="Perpetual",5&gt;=AMC_Start),F49*AMC_Rate*(1+Esc)^(5-AMC_Start),0)</f>
        <v/>
      </c>
      <c r="G65" s="19">
        <f>IF(AND($G$29="Perpetual",5&gt;=AMC_Start),G49*AMC_Rate*(1+Esc)^(5-AMC_Start),0)</f>
        <v/>
      </c>
      <c r="H65" s="19">
        <f>IF(AND($H$29="Perpetual",5&gt;=AMC_Start),H49*AMC_Rate*(1+Esc)^(5-AMC_Start),0)</f>
        <v/>
      </c>
      <c r="I65" s="19">
        <f>IF(AND($I$29="Perpetual",5&gt;=AMC_Start),I49*AMC_Rate*(1+Esc)^(5-AMC_Start),0)</f>
        <v/>
      </c>
    </row>
    <row r="66">
      <c r="A66" s="10" t="inlineStr">
        <is>
          <t>Subscription fees Year 1</t>
        </is>
      </c>
      <c r="B66" s="19">
        <f>B51*12*(1+Esc)^(1-1)</f>
        <v/>
      </c>
      <c r="C66" s="19">
        <f>C51*12*(1+Esc)^(1-1)</f>
        <v/>
      </c>
      <c r="D66" s="19">
        <f>D51*12*(1+Esc)^(1-1)</f>
        <v/>
      </c>
      <c r="E66" s="19">
        <f>E51*12*(1+Esc)^(1-1)</f>
        <v/>
      </c>
      <c r="F66" s="19">
        <f>F51*12*(1+Esc)^(1-1)</f>
        <v/>
      </c>
      <c r="G66" s="19">
        <f>G51*12*(1+Esc)^(1-1)</f>
        <v/>
      </c>
      <c r="H66" s="19">
        <f>H51*12*(1+Esc)^(1-1)</f>
        <v/>
      </c>
      <c r="I66" s="19">
        <f>I51*12*(1+Esc)^(1-1)</f>
        <v/>
      </c>
    </row>
    <row r="67">
      <c r="A67" s="10" t="inlineStr">
        <is>
          <t>Subscription fees Year 2</t>
        </is>
      </c>
      <c r="B67" s="19">
        <f>B51*12*(1+Esc)^(2-1)</f>
        <v/>
      </c>
      <c r="C67" s="19">
        <f>C51*12*(1+Esc)^(2-1)</f>
        <v/>
      </c>
      <c r="D67" s="19">
        <f>D51*12*(1+Esc)^(2-1)</f>
        <v/>
      </c>
      <c r="E67" s="19">
        <f>E51*12*(1+Esc)^(2-1)</f>
        <v/>
      </c>
      <c r="F67" s="19">
        <f>F51*12*(1+Esc)^(2-1)</f>
        <v/>
      </c>
      <c r="G67" s="19">
        <f>G51*12*(1+Esc)^(2-1)</f>
        <v/>
      </c>
      <c r="H67" s="19">
        <f>H51*12*(1+Esc)^(2-1)</f>
        <v/>
      </c>
      <c r="I67" s="19">
        <f>I51*12*(1+Esc)^(2-1)</f>
        <v/>
      </c>
    </row>
    <row r="68">
      <c r="A68" s="10" t="inlineStr">
        <is>
          <t>Subscription fees Year 3</t>
        </is>
      </c>
      <c r="B68" s="19">
        <f>B51*12*(1+Esc)^(3-1)</f>
        <v/>
      </c>
      <c r="C68" s="19">
        <f>C51*12*(1+Esc)^(3-1)</f>
        <v/>
      </c>
      <c r="D68" s="19">
        <f>D51*12*(1+Esc)^(3-1)</f>
        <v/>
      </c>
      <c r="E68" s="19">
        <f>E51*12*(1+Esc)^(3-1)</f>
        <v/>
      </c>
      <c r="F68" s="19">
        <f>F51*12*(1+Esc)^(3-1)</f>
        <v/>
      </c>
      <c r="G68" s="19">
        <f>G51*12*(1+Esc)^(3-1)</f>
        <v/>
      </c>
      <c r="H68" s="19">
        <f>H51*12*(1+Esc)^(3-1)</f>
        <v/>
      </c>
      <c r="I68" s="19">
        <f>I51*12*(1+Esc)^(3-1)</f>
        <v/>
      </c>
    </row>
    <row r="69">
      <c r="A69" s="10" t="inlineStr">
        <is>
          <t>Subscription fees Year 4</t>
        </is>
      </c>
      <c r="B69" s="19">
        <f>B51*12*(1+Esc)^(4-1)</f>
        <v/>
      </c>
      <c r="C69" s="19">
        <f>C51*12*(1+Esc)^(4-1)</f>
        <v/>
      </c>
      <c r="D69" s="19">
        <f>D51*12*(1+Esc)^(4-1)</f>
        <v/>
      </c>
      <c r="E69" s="19">
        <f>E51*12*(1+Esc)^(4-1)</f>
        <v/>
      </c>
      <c r="F69" s="19">
        <f>F51*12*(1+Esc)^(4-1)</f>
        <v/>
      </c>
      <c r="G69" s="19">
        <f>G51*12*(1+Esc)^(4-1)</f>
        <v/>
      </c>
      <c r="H69" s="19">
        <f>H51*12*(1+Esc)^(4-1)</f>
        <v/>
      </c>
      <c r="I69" s="19">
        <f>I51*12*(1+Esc)^(4-1)</f>
        <v/>
      </c>
    </row>
    <row r="70">
      <c r="A70" s="10" t="inlineStr">
        <is>
          <t>Subscription fees Year 5</t>
        </is>
      </c>
      <c r="B70" s="19">
        <f>B51*12*(1+Esc)^(5-1)</f>
        <v/>
      </c>
      <c r="C70" s="19">
        <f>C51*12*(1+Esc)^(5-1)</f>
        <v/>
      </c>
      <c r="D70" s="19">
        <f>D51*12*(1+Esc)^(5-1)</f>
        <v/>
      </c>
      <c r="E70" s="19">
        <f>E51*12*(1+Esc)^(5-1)</f>
        <v/>
      </c>
      <c r="F70" s="19">
        <f>F51*12*(1+Esc)^(5-1)</f>
        <v/>
      </c>
      <c r="G70" s="19">
        <f>G51*12*(1+Esc)^(5-1)</f>
        <v/>
      </c>
      <c r="H70" s="19">
        <f>H51*12*(1+Esc)^(5-1)</f>
        <v/>
      </c>
      <c r="I70" s="19">
        <f>I51*12*(1+Esc)^(5-1)</f>
        <v/>
      </c>
    </row>
    <row r="71">
      <c r="A71" s="10" t="inlineStr">
        <is>
          <t>Hosting and environments Year 1</t>
        </is>
      </c>
      <c r="B71" s="19">
        <f>B54*12*(1+Infra_Esc)^(1-1)+B55*12*(1+Esc)^(1-1)</f>
        <v/>
      </c>
      <c r="C71" s="19">
        <f>C54*12*(1+Infra_Esc)^(1-1)+C55*12*(1+Esc)^(1-1)</f>
        <v/>
      </c>
      <c r="D71" s="19">
        <f>D54*12*(1+Infra_Esc)^(1-1)+D55*12*(1+Esc)^(1-1)</f>
        <v/>
      </c>
      <c r="E71" s="19">
        <f>E54*12*(1+Infra_Esc)^(1-1)+E55*12*(1+Esc)^(1-1)</f>
        <v/>
      </c>
      <c r="F71" s="19">
        <f>F54*12*(1+Infra_Esc)^(1-1)+F55*12*(1+Esc)^(1-1)</f>
        <v/>
      </c>
      <c r="G71" s="19">
        <f>G54*12*(1+Infra_Esc)^(1-1)+G55*12*(1+Esc)^(1-1)</f>
        <v/>
      </c>
      <c r="H71" s="19">
        <f>H54*12*(1+Infra_Esc)^(1-1)+H55*12*(1+Esc)^(1-1)</f>
        <v/>
      </c>
      <c r="I71" s="19">
        <f>I54*12*(1+Infra_Esc)^(1-1)+I55*12*(1+Esc)^(1-1)</f>
        <v/>
      </c>
    </row>
    <row r="72">
      <c r="A72" s="10" t="inlineStr">
        <is>
          <t>Hosting and environments Year 2</t>
        </is>
      </c>
      <c r="B72" s="19">
        <f>B54*12*(1+Infra_Esc)^(2-1)+B55*12*(1+Esc)^(2-1)</f>
        <v/>
      </c>
      <c r="C72" s="19">
        <f>C54*12*(1+Infra_Esc)^(2-1)+C55*12*(1+Esc)^(2-1)</f>
        <v/>
      </c>
      <c r="D72" s="19">
        <f>D54*12*(1+Infra_Esc)^(2-1)+D55*12*(1+Esc)^(2-1)</f>
        <v/>
      </c>
      <c r="E72" s="19">
        <f>E54*12*(1+Infra_Esc)^(2-1)+E55*12*(1+Esc)^(2-1)</f>
        <v/>
      </c>
      <c r="F72" s="19">
        <f>F54*12*(1+Infra_Esc)^(2-1)+F55*12*(1+Esc)^(2-1)</f>
        <v/>
      </c>
      <c r="G72" s="19">
        <f>G54*12*(1+Infra_Esc)^(2-1)+G55*12*(1+Esc)^(2-1)</f>
        <v/>
      </c>
      <c r="H72" s="19">
        <f>H54*12*(1+Infra_Esc)^(2-1)+H55*12*(1+Esc)^(2-1)</f>
        <v/>
      </c>
      <c r="I72" s="19">
        <f>I54*12*(1+Infra_Esc)^(2-1)+I55*12*(1+Esc)^(2-1)</f>
        <v/>
      </c>
    </row>
    <row r="73">
      <c r="A73" s="10" t="inlineStr">
        <is>
          <t>Hosting and environments Year 3</t>
        </is>
      </c>
      <c r="B73" s="19">
        <f>B54*12*(1+Infra_Esc)^(3-1)+B55*12*(1+Esc)^(3-1)</f>
        <v/>
      </c>
      <c r="C73" s="19">
        <f>C54*12*(1+Infra_Esc)^(3-1)+C55*12*(1+Esc)^(3-1)</f>
        <v/>
      </c>
      <c r="D73" s="19">
        <f>D54*12*(1+Infra_Esc)^(3-1)+D55*12*(1+Esc)^(3-1)</f>
        <v/>
      </c>
      <c r="E73" s="19">
        <f>E54*12*(1+Infra_Esc)^(3-1)+E55*12*(1+Esc)^(3-1)</f>
        <v/>
      </c>
      <c r="F73" s="19">
        <f>F54*12*(1+Infra_Esc)^(3-1)+F55*12*(1+Esc)^(3-1)</f>
        <v/>
      </c>
      <c r="G73" s="19">
        <f>G54*12*(1+Infra_Esc)^(3-1)+G55*12*(1+Esc)^(3-1)</f>
        <v/>
      </c>
      <c r="H73" s="19">
        <f>H54*12*(1+Infra_Esc)^(3-1)+H55*12*(1+Esc)^(3-1)</f>
        <v/>
      </c>
      <c r="I73" s="19">
        <f>I54*12*(1+Infra_Esc)^(3-1)+I55*12*(1+Esc)^(3-1)</f>
        <v/>
      </c>
    </row>
    <row r="74">
      <c r="A74" s="10" t="inlineStr">
        <is>
          <t>Hosting and environments Year 4</t>
        </is>
      </c>
      <c r="B74" s="19">
        <f>B54*12*(1+Infra_Esc)^(4-1)+B55*12*(1+Esc)^(4-1)</f>
        <v/>
      </c>
      <c r="C74" s="19">
        <f>C54*12*(1+Infra_Esc)^(4-1)+C55*12*(1+Esc)^(4-1)</f>
        <v/>
      </c>
      <c r="D74" s="19">
        <f>D54*12*(1+Infra_Esc)^(4-1)+D55*12*(1+Esc)^(4-1)</f>
        <v/>
      </c>
      <c r="E74" s="19">
        <f>E54*12*(1+Infra_Esc)^(4-1)+E55*12*(1+Esc)^(4-1)</f>
        <v/>
      </c>
      <c r="F74" s="19">
        <f>F54*12*(1+Infra_Esc)^(4-1)+F55*12*(1+Esc)^(4-1)</f>
        <v/>
      </c>
      <c r="G74" s="19">
        <f>G54*12*(1+Infra_Esc)^(4-1)+G55*12*(1+Esc)^(4-1)</f>
        <v/>
      </c>
      <c r="H74" s="19">
        <f>H54*12*(1+Infra_Esc)^(4-1)+H55*12*(1+Esc)^(4-1)</f>
        <v/>
      </c>
      <c r="I74" s="19">
        <f>I54*12*(1+Infra_Esc)^(4-1)+I55*12*(1+Esc)^(4-1)</f>
        <v/>
      </c>
    </row>
    <row r="75">
      <c r="A75" s="10" t="inlineStr">
        <is>
          <t>Hosting and environments Year 5</t>
        </is>
      </c>
      <c r="B75" s="19">
        <f>B54*12*(1+Infra_Esc)^(5-1)+B55*12*(1+Esc)^(5-1)</f>
        <v/>
      </c>
      <c r="C75" s="19">
        <f>C54*12*(1+Infra_Esc)^(5-1)+C55*12*(1+Esc)^(5-1)</f>
        <v/>
      </c>
      <c r="D75" s="19">
        <f>D54*12*(1+Infra_Esc)^(5-1)+D55*12*(1+Esc)^(5-1)</f>
        <v/>
      </c>
      <c r="E75" s="19">
        <f>E54*12*(1+Infra_Esc)^(5-1)+E55*12*(1+Esc)^(5-1)</f>
        <v/>
      </c>
      <c r="F75" s="19">
        <f>F54*12*(1+Infra_Esc)^(5-1)+F55*12*(1+Esc)^(5-1)</f>
        <v/>
      </c>
      <c r="G75" s="19">
        <f>G54*12*(1+Infra_Esc)^(5-1)+G55*12*(1+Esc)^(5-1)</f>
        <v/>
      </c>
      <c r="H75" s="19">
        <f>H54*12*(1+Infra_Esc)^(5-1)+H55*12*(1+Esc)^(5-1)</f>
        <v/>
      </c>
      <c r="I75" s="19">
        <f>I54*12*(1+Infra_Esc)^(5-1)+I55*12*(1+Esc)^(5-1)</f>
        <v/>
      </c>
    </row>
    <row r="76">
      <c r="A76" s="10" t="inlineStr">
        <is>
          <t>24x7 support Year 1</t>
        </is>
      </c>
      <c r="B76" s="19">
        <f>B59*(1-$B$40)*(1+Esc)^(1-1)</f>
        <v/>
      </c>
      <c r="C76" s="19">
        <f>C59*(1-$C$40)*(1+Esc)^(1-1)</f>
        <v/>
      </c>
      <c r="D76" s="19">
        <f>D59*(1-$D$40)*(1+Esc)^(1-1)</f>
        <v/>
      </c>
      <c r="E76" s="19">
        <f>E59*(1-$E$40)*(1+Esc)^(1-1)</f>
        <v/>
      </c>
      <c r="F76" s="19">
        <f>F59*(1-$F$40)*(1+Esc)^(1-1)</f>
        <v/>
      </c>
      <c r="G76" s="19">
        <f>G59*(1-$G$40)*(1+Esc)^(1-1)</f>
        <v/>
      </c>
      <c r="H76" s="19">
        <f>H59*(1-$H$40)*(1+Esc)^(1-1)</f>
        <v/>
      </c>
      <c r="I76" s="19">
        <f>I59*(1-$I$40)*(1+Esc)^(1-1)</f>
        <v/>
      </c>
    </row>
    <row r="77">
      <c r="A77" s="10" t="inlineStr">
        <is>
          <t>24x7 support Year 2</t>
        </is>
      </c>
      <c r="B77" s="19">
        <f>B59*(1-$B$40)*(1+Esc)^(2-1)</f>
        <v/>
      </c>
      <c r="C77" s="19">
        <f>C59*(1-$C$40)*(1+Esc)^(2-1)</f>
        <v/>
      </c>
      <c r="D77" s="19">
        <f>D59*(1-$D$40)*(1+Esc)^(2-1)</f>
        <v/>
      </c>
      <c r="E77" s="19">
        <f>E59*(1-$E$40)*(1+Esc)^(2-1)</f>
        <v/>
      </c>
      <c r="F77" s="19">
        <f>F59*(1-$F$40)*(1+Esc)^(2-1)</f>
        <v/>
      </c>
      <c r="G77" s="19">
        <f>G59*(1-$G$40)*(1+Esc)^(2-1)</f>
        <v/>
      </c>
      <c r="H77" s="19">
        <f>H59*(1-$H$40)*(1+Esc)^(2-1)</f>
        <v/>
      </c>
      <c r="I77" s="19">
        <f>I59*(1-$I$40)*(1+Esc)^(2-1)</f>
        <v/>
      </c>
    </row>
    <row r="78">
      <c r="A78" s="10" t="inlineStr">
        <is>
          <t>24x7 support Year 3</t>
        </is>
      </c>
      <c r="B78" s="19">
        <f>B59*(1-$B$40)*(1+Esc)^(3-1)</f>
        <v/>
      </c>
      <c r="C78" s="19">
        <f>C59*(1-$C$40)*(1+Esc)^(3-1)</f>
        <v/>
      </c>
      <c r="D78" s="19">
        <f>D59*(1-$D$40)*(1+Esc)^(3-1)</f>
        <v/>
      </c>
      <c r="E78" s="19">
        <f>E59*(1-$E$40)*(1+Esc)^(3-1)</f>
        <v/>
      </c>
      <c r="F78" s="19">
        <f>F59*(1-$F$40)*(1+Esc)^(3-1)</f>
        <v/>
      </c>
      <c r="G78" s="19">
        <f>G59*(1-$G$40)*(1+Esc)^(3-1)</f>
        <v/>
      </c>
      <c r="H78" s="19">
        <f>H59*(1-$H$40)*(1+Esc)^(3-1)</f>
        <v/>
      </c>
      <c r="I78" s="19">
        <f>I59*(1-$I$40)*(1+Esc)^(3-1)</f>
        <v/>
      </c>
    </row>
    <row r="79">
      <c r="A79" s="10" t="inlineStr">
        <is>
          <t>24x7 support Year 4</t>
        </is>
      </c>
      <c r="B79" s="19">
        <f>B59*(1-$B$40)*(1+Esc)^(4-1)</f>
        <v/>
      </c>
      <c r="C79" s="19">
        <f>C59*(1-$C$40)*(1+Esc)^(4-1)</f>
        <v/>
      </c>
      <c r="D79" s="19">
        <f>D59*(1-$D$40)*(1+Esc)^(4-1)</f>
        <v/>
      </c>
      <c r="E79" s="19">
        <f>E59*(1-$E$40)*(1+Esc)^(4-1)</f>
        <v/>
      </c>
      <c r="F79" s="19">
        <f>F59*(1-$F$40)*(1+Esc)^(4-1)</f>
        <v/>
      </c>
      <c r="G79" s="19">
        <f>G59*(1-$G$40)*(1+Esc)^(4-1)</f>
        <v/>
      </c>
      <c r="H79" s="19">
        <f>H59*(1-$H$40)*(1+Esc)^(4-1)</f>
        <v/>
      </c>
      <c r="I79" s="19">
        <f>I59*(1-$I$40)*(1+Esc)^(4-1)</f>
        <v/>
      </c>
    </row>
    <row r="80">
      <c r="A80" s="10" t="inlineStr">
        <is>
          <t>24x7 support Year 5</t>
        </is>
      </c>
      <c r="B80" s="19">
        <f>B59*(1-$B$40)*(1+Esc)^(5-1)</f>
        <v/>
      </c>
      <c r="C80" s="19">
        <f>C59*(1-$C$40)*(1+Esc)^(5-1)</f>
        <v/>
      </c>
      <c r="D80" s="19">
        <f>D59*(1-$D$40)*(1+Esc)^(5-1)</f>
        <v/>
      </c>
      <c r="E80" s="19">
        <f>E59*(1-$E$40)*(1+Esc)^(5-1)</f>
        <v/>
      </c>
      <c r="F80" s="19">
        <f>F59*(1-$F$40)*(1+Esc)^(5-1)</f>
        <v/>
      </c>
      <c r="G80" s="19">
        <f>G59*(1-$G$40)*(1+Esc)^(5-1)</f>
        <v/>
      </c>
      <c r="H80" s="19">
        <f>H59*(1-$H$40)*(1+Esc)^(5-1)</f>
        <v/>
      </c>
      <c r="I80" s="19">
        <f>I59*(1-$I$40)*(1+Esc)^(5-1)</f>
        <v/>
      </c>
    </row>
    <row r="81">
      <c r="A81" s="10" t="inlineStr">
        <is>
          <t>Total Year 1, excl. VAT</t>
        </is>
      </c>
      <c r="B81" s="20">
        <f>B47+B49+B58+B61+B66+B71+B76</f>
        <v/>
      </c>
      <c r="C81" s="20">
        <f>C47+C49+C58+C61+C66+C71+C76</f>
        <v/>
      </c>
      <c r="D81" s="20">
        <f>D47+D49+D58+D61+D66+D71+D76</f>
        <v/>
      </c>
      <c r="E81" s="20">
        <f>E47+E49+E58+E61+E66+E71+E76</f>
        <v/>
      </c>
      <c r="F81" s="20">
        <f>F47+F49+F58+F61+F66+F71+F76</f>
        <v/>
      </c>
      <c r="G81" s="20">
        <f>G47+G49+G58+G61+G66+G71+G76</f>
        <v/>
      </c>
      <c r="H81" s="20">
        <f>H47+H49+H58+H61+H66+H71+H76</f>
        <v/>
      </c>
      <c r="I81" s="20">
        <f>I47+I49+I58+I61+I66+I71+I76</f>
        <v/>
      </c>
    </row>
    <row r="82">
      <c r="A82" s="10" t="inlineStr">
        <is>
          <t>Total Year 2, excl. VAT</t>
        </is>
      </c>
      <c r="B82" s="19">
        <f>B62+B67+B72+B77</f>
        <v/>
      </c>
      <c r="C82" s="19">
        <f>C62+C67+C72+C77</f>
        <v/>
      </c>
      <c r="D82" s="19">
        <f>D62+D67+D72+D77</f>
        <v/>
      </c>
      <c r="E82" s="19">
        <f>E62+E67+E72+E77</f>
        <v/>
      </c>
      <c r="F82" s="19">
        <f>F62+F67+F72+F77</f>
        <v/>
      </c>
      <c r="G82" s="19">
        <f>G62+G67+G72+G77</f>
        <v/>
      </c>
      <c r="H82" s="19">
        <f>H62+H67+H72+H77</f>
        <v/>
      </c>
      <c r="I82" s="19">
        <f>I62+I67+I72+I77</f>
        <v/>
      </c>
    </row>
    <row r="83">
      <c r="A83" s="10" t="inlineStr">
        <is>
          <t>Total Year 3, excl. VAT</t>
        </is>
      </c>
      <c r="B83" s="19">
        <f>B63+B68+B73+B78</f>
        <v/>
      </c>
      <c r="C83" s="19">
        <f>C63+C68+C73+C78</f>
        <v/>
      </c>
      <c r="D83" s="19">
        <f>D63+D68+D73+D78</f>
        <v/>
      </c>
      <c r="E83" s="19">
        <f>E63+E68+E73+E78</f>
        <v/>
      </c>
      <c r="F83" s="19">
        <f>F63+F68+F73+F78</f>
        <v/>
      </c>
      <c r="G83" s="19">
        <f>G63+G68+G73+G78</f>
        <v/>
      </c>
      <c r="H83" s="19">
        <f>H63+H68+H73+H78</f>
        <v/>
      </c>
      <c r="I83" s="19">
        <f>I63+I68+I73+I78</f>
        <v/>
      </c>
    </row>
    <row r="84">
      <c r="A84" s="10" t="inlineStr">
        <is>
          <t>Total Year 4, excl. VAT</t>
        </is>
      </c>
      <c r="B84" s="19">
        <f>B64+B69+B74+B79</f>
        <v/>
      </c>
      <c r="C84" s="19">
        <f>C64+C69+C74+C79</f>
        <v/>
      </c>
      <c r="D84" s="19">
        <f>D64+D69+D74+D79</f>
        <v/>
      </c>
      <c r="E84" s="19">
        <f>E64+E69+E74+E79</f>
        <v/>
      </c>
      <c r="F84" s="19">
        <f>F64+F69+F74+F79</f>
        <v/>
      </c>
      <c r="G84" s="19">
        <f>G64+G69+G74+G79</f>
        <v/>
      </c>
      <c r="H84" s="19">
        <f>H64+H69+H74+H79</f>
        <v/>
      </c>
      <c r="I84" s="19">
        <f>I64+I69+I74+I79</f>
        <v/>
      </c>
    </row>
    <row r="85">
      <c r="A85" s="10" t="inlineStr">
        <is>
          <t>Total Year 5, excl. VAT</t>
        </is>
      </c>
      <c r="B85" s="19">
        <f>B65+B70+B75+B80</f>
        <v/>
      </c>
      <c r="C85" s="19">
        <f>C65+C70+C75+C80</f>
        <v/>
      </c>
      <c r="D85" s="19">
        <f>D65+D70+D75+D80</f>
        <v/>
      </c>
      <c r="E85" s="19">
        <f>E65+E70+E75+E80</f>
        <v/>
      </c>
      <c r="F85" s="19">
        <f>F65+F70+F75+F80</f>
        <v/>
      </c>
      <c r="G85" s="19">
        <f>G65+G70+G75+G80</f>
        <v/>
      </c>
      <c r="H85" s="19">
        <f>H65+H70+H75+H80</f>
        <v/>
      </c>
      <c r="I85" s="19">
        <f>I65+I70+I75+I80</f>
        <v/>
      </c>
    </row>
    <row r="86">
      <c r="A86" s="10" t="inlineStr">
        <is>
          <t>Total for the contract term, excl. VAT</t>
        </is>
      </c>
      <c r="B86" s="20">
        <f>IF($B$38&gt;=1,B81,0)+IF($B$38&gt;=2,B82,0)+IF($B$38&gt;=3,B83,0)+IF($B$38&gt;=4,B84,0)+IF($B$38&gt;=5,B85,0)</f>
        <v/>
      </c>
      <c r="C86" s="20">
        <f>IF($C$38&gt;=1,C81,0)+IF($C$38&gt;=2,C82,0)+IF($C$38&gt;=3,C83,0)+IF($C$38&gt;=4,C84,0)+IF($C$38&gt;=5,C85,0)</f>
        <v/>
      </c>
      <c r="D86" s="20">
        <f>IF($D$38&gt;=1,D81,0)+IF($D$38&gt;=2,D82,0)+IF($D$38&gt;=3,D83,0)+IF($D$38&gt;=4,D84,0)+IF($D$38&gt;=5,D85,0)</f>
        <v/>
      </c>
      <c r="E86" s="20">
        <f>IF($E$38&gt;=1,E81,0)+IF($E$38&gt;=2,E82,0)+IF($E$38&gt;=3,E83,0)+IF($E$38&gt;=4,E84,0)+IF($E$38&gt;=5,E85,0)</f>
        <v/>
      </c>
      <c r="F86" s="20">
        <f>IF($F$38&gt;=1,F81,0)+IF($F$38&gt;=2,F82,0)+IF($F$38&gt;=3,F83,0)+IF($F$38&gt;=4,F84,0)+IF($F$38&gt;=5,F85,0)</f>
        <v/>
      </c>
      <c r="G86" s="20">
        <f>IF($G$38&gt;=1,G81,0)+IF($G$38&gt;=2,G82,0)+IF($G$38&gt;=3,G83,0)+IF($G$38&gt;=4,G84,0)+IF($G$38&gt;=5,G85,0)</f>
        <v/>
      </c>
      <c r="H86" s="20">
        <f>IF($H$38&gt;=1,H81,0)+IF($H$38&gt;=2,H82,0)+IF($H$38&gt;=3,H83,0)+IF($H$38&gt;=4,H84,0)+IF($H$38&gt;=5,H85,0)</f>
        <v/>
      </c>
      <c r="I86" s="20">
        <f>IF($I$38&gt;=1,I81,0)+IF($I$38&gt;=2,I82,0)+IF($I$38&gt;=3,I83,0)+IF($I$38&gt;=4,I84,0)+IF($I$38&gt;=5,I85,0)</f>
        <v/>
      </c>
    </row>
    <row r="87">
      <c r="A87" s="10" t="inlineStr">
        <is>
          <t>5-year total cost, excl. VAT</t>
        </is>
      </c>
      <c r="B87" s="20">
        <f>B81+B82+B83+B84+B85</f>
        <v/>
      </c>
      <c r="C87" s="20">
        <f>C81+C82+C83+C84+C85</f>
        <v/>
      </c>
      <c r="D87" s="20">
        <f>D81+D82+D83+D84+D85</f>
        <v/>
      </c>
      <c r="E87" s="20">
        <f>E81+E82+E83+E84+E85</f>
        <v/>
      </c>
      <c r="F87" s="20">
        <f>F81+F82+F83+F84+F85</f>
        <v/>
      </c>
      <c r="G87" s="20">
        <f>G81+G82+G83+G84+G85</f>
        <v/>
      </c>
      <c r="H87" s="20">
        <f>H81+H82+H83+H84+H85</f>
        <v/>
      </c>
      <c r="I87" s="20">
        <f>I81+I82+I83+I84+I85</f>
        <v/>
      </c>
    </row>
    <row r="88">
      <c r="A88" s="10" t="inlineStr">
        <is>
          <t>5-year total cost, incl. VAT</t>
        </is>
      </c>
      <c r="B88" s="19">
        <f>B87*(1+VAT)</f>
        <v/>
      </c>
      <c r="C88" s="19">
        <f>C87*(1+VAT)</f>
        <v/>
      </c>
      <c r="D88" s="19">
        <f>D87*(1+VAT)</f>
        <v/>
      </c>
      <c r="E88" s="19">
        <f>E87*(1+VAT)</f>
        <v/>
      </c>
      <c r="F88" s="19">
        <f>F87*(1+VAT)</f>
        <v/>
      </c>
      <c r="G88" s="19">
        <f>G87*(1+VAT)</f>
        <v/>
      </c>
      <c r="H88" s="19">
        <f>H87*(1+VAT)</f>
        <v/>
      </c>
      <c r="I88" s="19">
        <f>I87*(1+VAT)</f>
        <v/>
      </c>
    </row>
    <row r="89">
      <c r="A89" s="10" t="inlineStr">
        <is>
          <t>5-year total cost, USD reference</t>
        </is>
      </c>
      <c r="B89" s="19">
        <f>B87/FX</f>
        <v/>
      </c>
      <c r="C89" s="19">
        <f>C87/FX</f>
        <v/>
      </c>
      <c r="D89" s="19">
        <f>D87/FX</f>
        <v/>
      </c>
      <c r="E89" s="19">
        <f>E87/FX</f>
        <v/>
      </c>
      <c r="F89" s="19">
        <f>F87/FX</f>
        <v/>
      </c>
      <c r="G89" s="19">
        <f>G87/FX</f>
        <v/>
      </c>
      <c r="H89" s="19">
        <f>H87/FX</f>
        <v/>
      </c>
      <c r="I89" s="19">
        <f>I87/FX</f>
        <v/>
      </c>
    </row>
    <row r="92">
      <c r="A92" s="6" t="inlineStr">
        <is>
          <t>Medium tier: 60 users, 8 lines of business</t>
        </is>
      </c>
      <c r="B92" s="7" t="n"/>
      <c r="C92" s="7" t="n"/>
      <c r="D92" s="7" t="n"/>
      <c r="E92" s="7" t="n"/>
      <c r="F92" s="7" t="n"/>
      <c r="G92" s="7" t="n"/>
      <c r="H92" s="7" t="n"/>
      <c r="I92" s="7" t="n"/>
    </row>
    <row r="93" ht="32" customHeight="1">
      <c r="A93" s="3" t="inlineStr">
        <is>
          <t>Line</t>
        </is>
      </c>
      <c r="B93" s="3" t="inlineStr">
        <is>
          <t>Essentials, list</t>
        </is>
      </c>
      <c r="C93" s="25" t="inlineStr">
        <is>
          <t>Essentials, floor</t>
        </is>
      </c>
      <c r="D93" s="3" t="inlineStr">
        <is>
          <t>Standard, list</t>
        </is>
      </c>
      <c r="E93" s="25" t="inlineStr">
        <is>
          <t>Standard, floor</t>
        </is>
      </c>
      <c r="F93" s="3" t="inlineStr">
        <is>
          <t>Ownership, list</t>
        </is>
      </c>
      <c r="G93" s="25" t="inlineStr">
        <is>
          <t>Ownership, floor</t>
        </is>
      </c>
      <c r="H93" s="3" t="inlineStr">
        <is>
          <t>Ownership Plus, list</t>
        </is>
      </c>
      <c r="I93" s="25" t="inlineStr">
        <is>
          <t>Ownership Plus, floor</t>
        </is>
      </c>
    </row>
    <row r="94" ht="62" customHeight="1">
      <c r="A94" s="16" t="inlineStr">
        <is>
          <t>What it is</t>
        </is>
      </c>
      <c r="B94" s="5" t="inlineStr">
        <is>
          <t>Subscription; the client hosts; standard support; 3-year term.</t>
        </is>
      </c>
      <c r="C94" s="9" t="n"/>
      <c r="D94" s="5" t="inlineStr">
        <is>
          <t>Subscription hosted by iorta TechNXT on AWS (Singapore); 3-year term.</t>
        </is>
      </c>
      <c r="E94" s="9" t="n"/>
      <c r="F94" s="5" t="inlineStr">
        <is>
          <t>Perpetual licence with AMC, hosted on AWS (Singapore); 5-year view.</t>
        </is>
      </c>
      <c r="G94" s="9" t="n"/>
      <c r="H94" s="5" t="inlineStr">
        <is>
          <t>Perpetual with AMC, hosted in the Philippines, 24x7 Severity 1 support, 2 extra training days, 1 legacy source migrated.</t>
        </is>
      </c>
      <c r="I94" s="9" t="n"/>
    </row>
    <row r="95">
      <c r="A95" s="10" t="inlineStr">
        <is>
          <t>Named users</t>
        </is>
      </c>
      <c r="B95" s="24">
        <f>'Price Basis'!J28</f>
        <v/>
      </c>
      <c r="C95" s="24">
        <f>'Price Basis'!J28</f>
        <v/>
      </c>
      <c r="D95" s="24">
        <f>'Price Basis'!J28</f>
        <v/>
      </c>
      <c r="E95" s="24">
        <f>'Price Basis'!J28</f>
        <v/>
      </c>
      <c r="F95" s="24">
        <f>'Price Basis'!J28</f>
        <v/>
      </c>
      <c r="G95" s="24">
        <f>'Price Basis'!J28</f>
        <v/>
      </c>
      <c r="H95" s="24">
        <f>'Price Basis'!J28</f>
        <v/>
      </c>
      <c r="I95" s="24">
        <f>'Price Basis'!J28</f>
        <v/>
      </c>
    </row>
    <row r="96">
      <c r="A96" s="10" t="inlineStr">
        <is>
          <t>Lines of business</t>
        </is>
      </c>
      <c r="B96" s="24">
        <f>'Price Basis'!H28</f>
        <v/>
      </c>
      <c r="C96" s="24">
        <f>'Price Basis'!H28</f>
        <v/>
      </c>
      <c r="D96" s="24">
        <f>'Price Basis'!H28</f>
        <v/>
      </c>
      <c r="E96" s="24">
        <f>'Price Basis'!H28</f>
        <v/>
      </c>
      <c r="F96" s="24">
        <f>'Price Basis'!H28</f>
        <v/>
      </c>
      <c r="G96" s="24">
        <f>'Price Basis'!H28</f>
        <v/>
      </c>
      <c r="H96" s="24">
        <f>'Price Basis'!H28</f>
        <v/>
      </c>
      <c r="I96" s="24">
        <f>'Price Basis'!H28</f>
        <v/>
      </c>
    </row>
    <row r="97">
      <c r="A97" s="10" t="inlineStr">
        <is>
          <t>Licence model</t>
        </is>
      </c>
      <c r="B97" s="10" t="inlineStr">
        <is>
          <t>Subscription</t>
        </is>
      </c>
      <c r="C97" s="10" t="inlineStr">
        <is>
          <t>Subscription</t>
        </is>
      </c>
      <c r="D97" s="10" t="inlineStr">
        <is>
          <t>Subscription</t>
        </is>
      </c>
      <c r="E97" s="10" t="inlineStr">
        <is>
          <t>Subscription</t>
        </is>
      </c>
      <c r="F97" s="10" t="inlineStr">
        <is>
          <t>Perpetual</t>
        </is>
      </c>
      <c r="G97" s="10" t="inlineStr">
        <is>
          <t>Perpetual</t>
        </is>
      </c>
      <c r="H97" s="10" t="inlineStr">
        <is>
          <t>Perpetual</t>
        </is>
      </c>
      <c r="I97" s="10" t="inlineStr">
        <is>
          <t>Perpetual</t>
        </is>
      </c>
    </row>
    <row r="98">
      <c r="A98" s="10" t="inlineStr">
        <is>
          <t>Hosting</t>
        </is>
      </c>
      <c r="B98" s="10" t="inlineStr">
        <is>
          <t>Self-hosted</t>
        </is>
      </c>
      <c r="C98" s="10" t="inlineStr">
        <is>
          <t>Self-hosted</t>
        </is>
      </c>
      <c r="D98" s="10" t="inlineStr">
        <is>
          <t>AWS</t>
        </is>
      </c>
      <c r="E98" s="10" t="inlineStr">
        <is>
          <t>AWS</t>
        </is>
      </c>
      <c r="F98" s="10" t="inlineStr">
        <is>
          <t>AWS</t>
        </is>
      </c>
      <c r="G98" s="10" t="inlineStr">
        <is>
          <t>AWS</t>
        </is>
      </c>
      <c r="H98" s="10" t="inlineStr">
        <is>
          <t>Local partner</t>
        </is>
      </c>
      <c r="I98" s="10" t="inlineStr">
        <is>
          <t>Local partner</t>
        </is>
      </c>
    </row>
    <row r="99">
      <c r="A99" s="10" t="inlineStr">
        <is>
          <t>24x7 Severity 1 support</t>
        </is>
      </c>
      <c r="B99" s="10" t="inlineStr">
        <is>
          <t>No</t>
        </is>
      </c>
      <c r="C99" s="10" t="inlineStr">
        <is>
          <t>No</t>
        </is>
      </c>
      <c r="D99" s="10" t="inlineStr">
        <is>
          <t>No</t>
        </is>
      </c>
      <c r="E99" s="10" t="inlineStr">
        <is>
          <t>No</t>
        </is>
      </c>
      <c r="F99" s="10" t="inlineStr">
        <is>
          <t>No</t>
        </is>
      </c>
      <c r="G99" s="10" t="inlineStr">
        <is>
          <t>No</t>
        </is>
      </c>
      <c r="H99" s="10" t="inlineStr">
        <is>
          <t>Yes</t>
        </is>
      </c>
      <c r="I99" s="10" t="inlineStr">
        <is>
          <t>Yes</t>
        </is>
      </c>
    </row>
    <row r="100">
      <c r="A100" s="10" t="inlineStr">
        <is>
          <t>Extra training days</t>
        </is>
      </c>
      <c r="B100" s="24" t="n">
        <v>0</v>
      </c>
      <c r="C100" s="24" t="n">
        <v>0</v>
      </c>
      <c r="D100" s="24" t="n">
        <v>0</v>
      </c>
      <c r="E100" s="24" t="n">
        <v>0</v>
      </c>
      <c r="F100" s="24" t="n">
        <v>0</v>
      </c>
      <c r="G100" s="24" t="n">
        <v>0</v>
      </c>
      <c r="H100" s="24" t="n">
        <v>2</v>
      </c>
      <c r="I100" s="24" t="n">
        <v>2</v>
      </c>
    </row>
    <row r="101">
      <c r="A101" s="10" t="inlineStr">
        <is>
          <t>Legacy data sources migrated</t>
        </is>
      </c>
      <c r="B101" s="24" t="n">
        <v>0</v>
      </c>
      <c r="C101" s="24" t="n">
        <v>0</v>
      </c>
      <c r="D101" s="24" t="n">
        <v>0</v>
      </c>
      <c r="E101" s="24" t="n">
        <v>0</v>
      </c>
      <c r="F101" s="24" t="n">
        <v>0</v>
      </c>
      <c r="G101" s="24" t="n">
        <v>0</v>
      </c>
      <c r="H101" s="24" t="n">
        <v>1</v>
      </c>
      <c r="I101" s="24" t="n">
        <v>1</v>
      </c>
    </row>
    <row r="102">
      <c r="A102" s="10" t="inlineStr">
        <is>
          <t>Additional standard integrations</t>
        </is>
      </c>
      <c r="B102" s="24" t="n">
        <v>0</v>
      </c>
      <c r="C102" s="24" t="n">
        <v>0</v>
      </c>
      <c r="D102" s="24" t="n">
        <v>0</v>
      </c>
      <c r="E102" s="24" t="n">
        <v>0</v>
      </c>
      <c r="F102" s="24" t="n">
        <v>0</v>
      </c>
      <c r="G102" s="24" t="n">
        <v>0</v>
      </c>
      <c r="H102" s="24" t="n">
        <v>0</v>
      </c>
      <c r="I102" s="24" t="n">
        <v>0</v>
      </c>
    </row>
    <row r="103">
      <c r="A103" s="10" t="inlineStr">
        <is>
          <t>Additional complex integrations</t>
        </is>
      </c>
      <c r="B103" s="24" t="n">
        <v>0</v>
      </c>
      <c r="C103" s="24" t="n">
        <v>0</v>
      </c>
      <c r="D103" s="24" t="n">
        <v>0</v>
      </c>
      <c r="E103" s="24" t="n">
        <v>0</v>
      </c>
      <c r="F103" s="24" t="n">
        <v>0</v>
      </c>
      <c r="G103" s="24" t="n">
        <v>0</v>
      </c>
      <c r="H103" s="24" t="n">
        <v>0</v>
      </c>
      <c r="I103" s="24" t="n">
        <v>0</v>
      </c>
    </row>
    <row r="104">
      <c r="A104" s="10" t="inlineStr">
        <is>
          <t>Additional environments</t>
        </is>
      </c>
      <c r="B104" s="24" t="n">
        <v>0</v>
      </c>
      <c r="C104" s="24" t="n">
        <v>0</v>
      </c>
      <c r="D104" s="24" t="n">
        <v>0</v>
      </c>
      <c r="E104" s="24" t="n">
        <v>0</v>
      </c>
      <c r="F104" s="24" t="n">
        <v>0</v>
      </c>
      <c r="G104" s="24" t="n">
        <v>0</v>
      </c>
      <c r="H104" s="24" t="n">
        <v>0</v>
      </c>
      <c r="I104" s="24" t="n">
        <v>0</v>
      </c>
    </row>
    <row r="105">
      <c r="A105" s="10" t="inlineStr">
        <is>
          <t>On-site days</t>
        </is>
      </c>
      <c r="B105" s="24" t="n">
        <v>0</v>
      </c>
      <c r="C105" s="24" t="n">
        <v>0</v>
      </c>
      <c r="D105" s="24" t="n">
        <v>0</v>
      </c>
      <c r="E105" s="24" t="n">
        <v>0</v>
      </c>
      <c r="F105" s="24" t="n">
        <v>0</v>
      </c>
      <c r="G105" s="24" t="n">
        <v>0</v>
      </c>
      <c r="H105" s="24" t="n">
        <v>0</v>
      </c>
      <c r="I105" s="24" t="n">
        <v>0</v>
      </c>
    </row>
    <row r="106">
      <c r="A106" s="10" t="inlineStr">
        <is>
          <t>Contract term (years)</t>
        </is>
      </c>
      <c r="B106" s="24" t="n">
        <v>3</v>
      </c>
      <c r="C106" s="24" t="n">
        <v>3</v>
      </c>
      <c r="D106" s="24" t="n">
        <v>3</v>
      </c>
      <c r="E106" s="24" t="n">
        <v>3</v>
      </c>
      <c r="F106" s="24" t="n">
        <v>5</v>
      </c>
      <c r="G106" s="24" t="n">
        <v>5</v>
      </c>
      <c r="H106" s="24" t="n">
        <v>5</v>
      </c>
      <c r="I106" s="24" t="n">
        <v>5</v>
      </c>
    </row>
    <row r="107">
      <c r="A107" s="10" t="inlineStr">
        <is>
          <t>Discount on licence or subscription</t>
        </is>
      </c>
      <c r="B107" s="27" t="n">
        <v>0</v>
      </c>
      <c r="C107" s="28">
        <f>Floor_SW</f>
        <v/>
      </c>
      <c r="D107" s="27" t="n">
        <v>0</v>
      </c>
      <c r="E107" s="28">
        <f>Floor_SW</f>
        <v/>
      </c>
      <c r="F107" s="27" t="n">
        <v>0</v>
      </c>
      <c r="G107" s="28">
        <f>Floor_SW</f>
        <v/>
      </c>
      <c r="H107" s="27" t="n">
        <v>0</v>
      </c>
      <c r="I107" s="28">
        <f>Floor_SW</f>
        <v/>
      </c>
    </row>
    <row r="108">
      <c r="A108" s="10" t="inlineStr">
        <is>
          <t>Discount on implementation and services</t>
        </is>
      </c>
      <c r="B108" s="27" t="n">
        <v>0</v>
      </c>
      <c r="C108" s="28">
        <f>Floor_Svc</f>
        <v/>
      </c>
      <c r="D108" s="27" t="n">
        <v>0</v>
      </c>
      <c r="E108" s="28">
        <f>Floor_Svc</f>
        <v/>
      </c>
      <c r="F108" s="27" t="n">
        <v>0</v>
      </c>
      <c r="G108" s="28">
        <f>Floor_Svc</f>
        <v/>
      </c>
      <c r="H108" s="27" t="n">
        <v>0</v>
      </c>
      <c r="I108" s="28">
        <f>Floor_Svc</f>
        <v/>
      </c>
    </row>
    <row r="109">
      <c r="A109" s="10" t="inlineStr">
        <is>
          <t>Discount on hosting</t>
        </is>
      </c>
      <c r="B109" s="27" t="n">
        <v>0</v>
      </c>
      <c r="C109" s="28">
        <f>Floor_Host</f>
        <v/>
      </c>
      <c r="D109" s="27" t="n">
        <v>0</v>
      </c>
      <c r="E109" s="28">
        <f>Floor_Host</f>
        <v/>
      </c>
      <c r="F109" s="27" t="n">
        <v>0</v>
      </c>
      <c r="G109" s="28">
        <f>Floor_Host</f>
        <v/>
      </c>
      <c r="H109" s="27" t="n">
        <v>0</v>
      </c>
      <c r="I109" s="28">
        <f>Floor_Host</f>
        <v/>
      </c>
    </row>
    <row r="110">
      <c r="A110" s="10" t="inlineStr">
        <is>
          <t>Tier index</t>
        </is>
      </c>
      <c r="B110" s="24">
        <f>MATCH($B$95,TierFrom,1)</f>
        <v/>
      </c>
      <c r="C110" s="24">
        <f>MATCH($C$95,TierFrom,1)</f>
        <v/>
      </c>
      <c r="D110" s="24">
        <f>MATCH($D$95,TierFrom,1)</f>
        <v/>
      </c>
      <c r="E110" s="24">
        <f>MATCH($E$95,TierFrom,1)</f>
        <v/>
      </c>
      <c r="F110" s="24">
        <f>MATCH($F$95,TierFrom,1)</f>
        <v/>
      </c>
      <c r="G110" s="24">
        <f>MATCH($G$95,TierFrom,1)</f>
        <v/>
      </c>
      <c r="H110" s="24">
        <f>MATCH($H$95,TierFrom,1)</f>
        <v/>
      </c>
      <c r="I110" s="24">
        <f>MATCH($I$95,TierFrom,1)</f>
        <v/>
      </c>
    </row>
    <row r="111">
      <c r="A111" s="10" t="inlineStr">
        <is>
          <t>Tier</t>
        </is>
      </c>
      <c r="B111" s="10">
        <f>INDEX(TierName,B110)</f>
        <v/>
      </c>
      <c r="C111" s="10">
        <f>INDEX(TierName,C110)</f>
        <v/>
      </c>
      <c r="D111" s="10">
        <f>INDEX(TierName,D110)</f>
        <v/>
      </c>
      <c r="E111" s="10">
        <f>INDEX(TierName,E110)</f>
        <v/>
      </c>
      <c r="F111" s="10">
        <f>INDEX(TierName,F110)</f>
        <v/>
      </c>
      <c r="G111" s="10">
        <f>INDEX(TierName,G110)</f>
        <v/>
      </c>
      <c r="H111" s="10">
        <f>INDEX(TierName,H110)</f>
        <v/>
      </c>
      <c r="I111" s="10">
        <f>INDEX(TierName,I110)</f>
        <v/>
      </c>
    </row>
    <row r="112">
      <c r="A112" s="10" t="inlineStr">
        <is>
          <t>Billable users (subscription minimum applies)</t>
        </is>
      </c>
      <c r="B112" s="24">
        <f>IF($B$97="Subscription",MAX($B$95,INDEX(MinBill,B110)),$B$95)</f>
        <v/>
      </c>
      <c r="C112" s="24">
        <f>IF($C$97="Subscription",MAX($C$95,INDEX(MinBill,C110)),$C$95)</f>
        <v/>
      </c>
      <c r="D112" s="24">
        <f>IF($D$97="Subscription",MAX($D$95,INDEX(MinBill,D110)),$D$95)</f>
        <v/>
      </c>
      <c r="E112" s="24">
        <f>IF($E$97="Subscription",MAX($E$95,INDEX(MinBill,E110)),$E$95)</f>
        <v/>
      </c>
      <c r="F112" s="24">
        <f>IF($F$97="Subscription",MAX($F$95,INDEX(MinBill,F110)),$F$95)</f>
        <v/>
      </c>
      <c r="G112" s="24">
        <f>IF($G$97="Subscription",MAX($G$95,INDEX(MinBill,G110)),$G$95)</f>
        <v/>
      </c>
      <c r="H112" s="24">
        <f>IF($H$97="Subscription",MAX($H$95,INDEX(MinBill,H110)),$H$95)</f>
        <v/>
      </c>
      <c r="I112" s="24">
        <f>IF($I$97="Subscription",MAX($I$95,INDEX(MinBill,I110)),$I$95)</f>
        <v/>
      </c>
    </row>
    <row r="113">
      <c r="A113" s="10" t="inlineStr">
        <is>
          <t>Implementation man-days</t>
        </is>
      </c>
      <c r="B113" s="24">
        <f>INDEX(BaseDays,B110)+MAX(0,$B$96-INDEX(LOBIncl,B110))*Days_per_LOB</f>
        <v/>
      </c>
      <c r="C113" s="24">
        <f>INDEX(BaseDays,C110)+MAX(0,$C$96-INDEX(LOBIncl,C110))*Days_per_LOB</f>
        <v/>
      </c>
      <c r="D113" s="24">
        <f>INDEX(BaseDays,D110)+MAX(0,$D$96-INDEX(LOBIncl,D110))*Days_per_LOB</f>
        <v/>
      </c>
      <c r="E113" s="24">
        <f>INDEX(BaseDays,E110)+MAX(0,$E$96-INDEX(LOBIncl,E110))*Days_per_LOB</f>
        <v/>
      </c>
      <c r="F113" s="24">
        <f>INDEX(BaseDays,F110)+MAX(0,$F$96-INDEX(LOBIncl,F110))*Days_per_LOB</f>
        <v/>
      </c>
      <c r="G113" s="24">
        <f>INDEX(BaseDays,G110)+MAX(0,$G$96-INDEX(LOBIncl,G110))*Days_per_LOB</f>
        <v/>
      </c>
      <c r="H113" s="24">
        <f>INDEX(BaseDays,H110)+MAX(0,$H$96-INDEX(LOBIncl,H110))*Days_per_LOB</f>
        <v/>
      </c>
      <c r="I113" s="24">
        <f>INDEX(BaseDays,I110)+MAX(0,$I$96-INDEX(LOBIncl,I110))*Days_per_LOB</f>
        <v/>
      </c>
    </row>
    <row r="114">
      <c r="A114" s="10" t="inlineStr">
        <is>
          <t>Implementation or onboarding fee, list</t>
        </is>
      </c>
      <c r="B114" s="19">
        <f>ROUND(B113*Blended/Round_To,0)*Round_To*IF($B$97="Subscription",Onboard_Pct,1)</f>
        <v/>
      </c>
      <c r="C114" s="19">
        <f>ROUND(C113*Blended/Round_To,0)*Round_To*IF($C$97="Subscription",Onboard_Pct,1)</f>
        <v/>
      </c>
      <c r="D114" s="19">
        <f>ROUND(D113*Blended/Round_To,0)*Round_To*IF($D$97="Subscription",Onboard_Pct,1)</f>
        <v/>
      </c>
      <c r="E114" s="19">
        <f>ROUND(E113*Blended/Round_To,0)*Round_To*IF($E$97="Subscription",Onboard_Pct,1)</f>
        <v/>
      </c>
      <c r="F114" s="19">
        <f>ROUND(F113*Blended/Round_To,0)*Round_To*IF($F$97="Subscription",Onboard_Pct,1)</f>
        <v/>
      </c>
      <c r="G114" s="19">
        <f>ROUND(G113*Blended/Round_To,0)*Round_To*IF($G$97="Subscription",Onboard_Pct,1)</f>
        <v/>
      </c>
      <c r="H114" s="19">
        <f>ROUND(H113*Blended/Round_To,0)*Round_To*IF($H$97="Subscription",Onboard_Pct,1)</f>
        <v/>
      </c>
      <c r="I114" s="19">
        <f>ROUND(I113*Blended/Round_To,0)*Round_To*IF($I$97="Subscription",Onboard_Pct,1)</f>
        <v/>
      </c>
    </row>
    <row r="115">
      <c r="A115" s="10" t="inlineStr">
        <is>
          <t>Implementation or onboarding fee, quoted</t>
        </is>
      </c>
      <c r="B115" s="19">
        <f>B114*(1-$B$108)</f>
        <v/>
      </c>
      <c r="C115" s="19">
        <f>C114*(1-$C$108)</f>
        <v/>
      </c>
      <c r="D115" s="19">
        <f>D114*(1-$D$108)</f>
        <v/>
      </c>
      <c r="E115" s="19">
        <f>E114*(1-$E$108)</f>
        <v/>
      </c>
      <c r="F115" s="19">
        <f>F114*(1-$F$108)</f>
        <v/>
      </c>
      <c r="G115" s="19">
        <f>G114*(1-$G$108)</f>
        <v/>
      </c>
      <c r="H115" s="19">
        <f>H114*(1-$H$108)</f>
        <v/>
      </c>
      <c r="I115" s="19">
        <f>I114*(1-$I$108)</f>
        <v/>
      </c>
    </row>
    <row r="116">
      <c r="A116" s="10" t="inlineStr">
        <is>
          <t>Perpetual licence fee, list (one-time)</t>
        </is>
      </c>
      <c r="B116" s="19">
        <f>IF($B$97="Perpetual",MAX(0,MIN($B$95,'Price Basis'!$C$27)-'Price Basis'!$B$27+1)*'Price Basis'!$D$27+MAX(0,MIN($B$95,'Price Basis'!$C$28)-'Price Basis'!$B$28+1)*'Price Basis'!$D$28+MAX(0,MIN($B$95,'Price Basis'!$C$29)-'Price Basis'!$B$29+1)*'Price Basis'!$D$29+MAX(0,MIN($B$95,'Price Basis'!$C$30)-'Price Basis'!$B$30+1)*'Price Basis'!$D$30,0)</f>
        <v/>
      </c>
      <c r="C116" s="19">
        <f>IF($C$97="Perpetual",MAX(0,MIN($C$95,'Price Basis'!$C$27)-'Price Basis'!$B$27+1)*'Price Basis'!$D$27+MAX(0,MIN($C$95,'Price Basis'!$C$28)-'Price Basis'!$B$28+1)*'Price Basis'!$D$28+MAX(0,MIN($C$95,'Price Basis'!$C$29)-'Price Basis'!$B$29+1)*'Price Basis'!$D$29+MAX(0,MIN($C$95,'Price Basis'!$C$30)-'Price Basis'!$B$30+1)*'Price Basis'!$D$30,0)</f>
        <v/>
      </c>
      <c r="D116" s="19">
        <f>IF($D$97="Perpetual",MAX(0,MIN($D$95,'Price Basis'!$C$27)-'Price Basis'!$B$27+1)*'Price Basis'!$D$27+MAX(0,MIN($D$95,'Price Basis'!$C$28)-'Price Basis'!$B$28+1)*'Price Basis'!$D$28+MAX(0,MIN($D$95,'Price Basis'!$C$29)-'Price Basis'!$B$29+1)*'Price Basis'!$D$29+MAX(0,MIN($D$95,'Price Basis'!$C$30)-'Price Basis'!$B$30+1)*'Price Basis'!$D$30,0)</f>
        <v/>
      </c>
      <c r="E116" s="19">
        <f>IF($E$97="Perpetual",MAX(0,MIN($E$95,'Price Basis'!$C$27)-'Price Basis'!$B$27+1)*'Price Basis'!$D$27+MAX(0,MIN($E$95,'Price Basis'!$C$28)-'Price Basis'!$B$28+1)*'Price Basis'!$D$28+MAX(0,MIN($E$95,'Price Basis'!$C$29)-'Price Basis'!$B$29+1)*'Price Basis'!$D$29+MAX(0,MIN($E$95,'Price Basis'!$C$30)-'Price Basis'!$B$30+1)*'Price Basis'!$D$30,0)</f>
        <v/>
      </c>
      <c r="F116" s="19">
        <f>IF($F$97="Perpetual",MAX(0,MIN($F$95,'Price Basis'!$C$27)-'Price Basis'!$B$27+1)*'Price Basis'!$D$27+MAX(0,MIN($F$95,'Price Basis'!$C$28)-'Price Basis'!$B$28+1)*'Price Basis'!$D$28+MAX(0,MIN($F$95,'Price Basis'!$C$29)-'Price Basis'!$B$29+1)*'Price Basis'!$D$29+MAX(0,MIN($F$95,'Price Basis'!$C$30)-'Price Basis'!$B$30+1)*'Price Basis'!$D$30,0)</f>
        <v/>
      </c>
      <c r="G116" s="19">
        <f>IF($G$97="Perpetual",MAX(0,MIN($G$95,'Price Basis'!$C$27)-'Price Basis'!$B$27+1)*'Price Basis'!$D$27+MAX(0,MIN($G$95,'Price Basis'!$C$28)-'Price Basis'!$B$28+1)*'Price Basis'!$D$28+MAX(0,MIN($G$95,'Price Basis'!$C$29)-'Price Basis'!$B$29+1)*'Price Basis'!$D$29+MAX(0,MIN($G$95,'Price Basis'!$C$30)-'Price Basis'!$B$30+1)*'Price Basis'!$D$30,0)</f>
        <v/>
      </c>
      <c r="H116" s="19">
        <f>IF($H$97="Perpetual",MAX(0,MIN($H$95,'Price Basis'!$C$27)-'Price Basis'!$B$27+1)*'Price Basis'!$D$27+MAX(0,MIN($H$95,'Price Basis'!$C$28)-'Price Basis'!$B$28+1)*'Price Basis'!$D$28+MAX(0,MIN($H$95,'Price Basis'!$C$29)-'Price Basis'!$B$29+1)*'Price Basis'!$D$29+MAX(0,MIN($H$95,'Price Basis'!$C$30)-'Price Basis'!$B$30+1)*'Price Basis'!$D$30,0)</f>
        <v/>
      </c>
      <c r="I116" s="19">
        <f>IF($I$97="Perpetual",MAX(0,MIN($I$95,'Price Basis'!$C$27)-'Price Basis'!$B$27+1)*'Price Basis'!$D$27+MAX(0,MIN($I$95,'Price Basis'!$C$28)-'Price Basis'!$B$28+1)*'Price Basis'!$D$28+MAX(0,MIN($I$95,'Price Basis'!$C$29)-'Price Basis'!$B$29+1)*'Price Basis'!$D$29+MAX(0,MIN($I$95,'Price Basis'!$C$30)-'Price Basis'!$B$30+1)*'Price Basis'!$D$30,0)</f>
        <v/>
      </c>
    </row>
    <row r="117">
      <c r="A117" s="10" t="inlineStr">
        <is>
          <t>Perpetual licence fee, quoted (one-time)</t>
        </is>
      </c>
      <c r="B117" s="19">
        <f>B116*(1-$B$107)</f>
        <v/>
      </c>
      <c r="C117" s="19">
        <f>C116*(1-$C$107)</f>
        <v/>
      </c>
      <c r="D117" s="19">
        <f>D116*(1-$D$107)</f>
        <v/>
      </c>
      <c r="E117" s="19">
        <f>E116*(1-$E$107)</f>
        <v/>
      </c>
      <c r="F117" s="19">
        <f>F116*(1-$F$107)</f>
        <v/>
      </c>
      <c r="G117" s="19">
        <f>G116*(1-$G$107)</f>
        <v/>
      </c>
      <c r="H117" s="19">
        <f>H116*(1-$H$107)</f>
        <v/>
      </c>
      <c r="I117" s="19">
        <f>I116*(1-$I$107)</f>
        <v/>
      </c>
    </row>
    <row r="118">
      <c r="A118" s="10" t="inlineStr">
        <is>
          <t>Subscription per month, Year 1, list</t>
        </is>
      </c>
      <c r="B118" s="19">
        <f>IF($B$97="Subscription",MAX(0,MIN(B112,'Price Basis'!$C$27)-'Price Basis'!$B$27+1)*'Price Basis'!$E$27+MAX(0,MIN(B112,'Price Basis'!$C$28)-'Price Basis'!$B$28+1)*'Price Basis'!$E$28+MAX(0,MIN(B112,'Price Basis'!$C$29)-'Price Basis'!$B$29+1)*'Price Basis'!$E$29+MAX(0,MIN(B112,'Price Basis'!$C$30)-'Price Basis'!$B$30+1)*'Price Basis'!$E$30,0)</f>
        <v/>
      </c>
      <c r="C118" s="19">
        <f>IF($C$97="Subscription",MAX(0,MIN(C112,'Price Basis'!$C$27)-'Price Basis'!$B$27+1)*'Price Basis'!$E$27+MAX(0,MIN(C112,'Price Basis'!$C$28)-'Price Basis'!$B$28+1)*'Price Basis'!$E$28+MAX(0,MIN(C112,'Price Basis'!$C$29)-'Price Basis'!$B$29+1)*'Price Basis'!$E$29+MAX(0,MIN(C112,'Price Basis'!$C$30)-'Price Basis'!$B$30+1)*'Price Basis'!$E$30,0)</f>
        <v/>
      </c>
      <c r="D118" s="19">
        <f>IF($D$97="Subscription",MAX(0,MIN(D112,'Price Basis'!$C$27)-'Price Basis'!$B$27+1)*'Price Basis'!$E$27+MAX(0,MIN(D112,'Price Basis'!$C$28)-'Price Basis'!$B$28+1)*'Price Basis'!$E$28+MAX(0,MIN(D112,'Price Basis'!$C$29)-'Price Basis'!$B$29+1)*'Price Basis'!$E$29+MAX(0,MIN(D112,'Price Basis'!$C$30)-'Price Basis'!$B$30+1)*'Price Basis'!$E$30,0)</f>
        <v/>
      </c>
      <c r="E118" s="19">
        <f>IF($E$97="Subscription",MAX(0,MIN(E112,'Price Basis'!$C$27)-'Price Basis'!$B$27+1)*'Price Basis'!$E$27+MAX(0,MIN(E112,'Price Basis'!$C$28)-'Price Basis'!$B$28+1)*'Price Basis'!$E$28+MAX(0,MIN(E112,'Price Basis'!$C$29)-'Price Basis'!$B$29+1)*'Price Basis'!$E$29+MAX(0,MIN(E112,'Price Basis'!$C$30)-'Price Basis'!$B$30+1)*'Price Basis'!$E$30,0)</f>
        <v/>
      </c>
      <c r="F118" s="19">
        <f>IF($F$97="Subscription",MAX(0,MIN(F112,'Price Basis'!$C$27)-'Price Basis'!$B$27+1)*'Price Basis'!$E$27+MAX(0,MIN(F112,'Price Basis'!$C$28)-'Price Basis'!$B$28+1)*'Price Basis'!$E$28+MAX(0,MIN(F112,'Price Basis'!$C$29)-'Price Basis'!$B$29+1)*'Price Basis'!$E$29+MAX(0,MIN(F112,'Price Basis'!$C$30)-'Price Basis'!$B$30+1)*'Price Basis'!$E$30,0)</f>
        <v/>
      </c>
      <c r="G118" s="19">
        <f>IF($G$97="Subscription",MAX(0,MIN(G112,'Price Basis'!$C$27)-'Price Basis'!$B$27+1)*'Price Basis'!$E$27+MAX(0,MIN(G112,'Price Basis'!$C$28)-'Price Basis'!$B$28+1)*'Price Basis'!$E$28+MAX(0,MIN(G112,'Price Basis'!$C$29)-'Price Basis'!$B$29+1)*'Price Basis'!$E$29+MAX(0,MIN(G112,'Price Basis'!$C$30)-'Price Basis'!$B$30+1)*'Price Basis'!$E$30,0)</f>
        <v/>
      </c>
      <c r="H118" s="19">
        <f>IF($H$97="Subscription",MAX(0,MIN(H112,'Price Basis'!$C$27)-'Price Basis'!$B$27+1)*'Price Basis'!$E$27+MAX(0,MIN(H112,'Price Basis'!$C$28)-'Price Basis'!$B$28+1)*'Price Basis'!$E$28+MAX(0,MIN(H112,'Price Basis'!$C$29)-'Price Basis'!$B$29+1)*'Price Basis'!$E$29+MAX(0,MIN(H112,'Price Basis'!$C$30)-'Price Basis'!$B$30+1)*'Price Basis'!$E$30,0)</f>
        <v/>
      </c>
      <c r="I118" s="19">
        <f>IF($I$97="Subscription",MAX(0,MIN(I112,'Price Basis'!$C$27)-'Price Basis'!$B$27+1)*'Price Basis'!$E$27+MAX(0,MIN(I112,'Price Basis'!$C$28)-'Price Basis'!$B$28+1)*'Price Basis'!$E$28+MAX(0,MIN(I112,'Price Basis'!$C$29)-'Price Basis'!$B$29+1)*'Price Basis'!$E$29+MAX(0,MIN(I112,'Price Basis'!$C$30)-'Price Basis'!$B$30+1)*'Price Basis'!$E$30,0)</f>
        <v/>
      </c>
    </row>
    <row r="119">
      <c r="A119" s="10" t="inlineStr">
        <is>
          <t>Subscription per month, Year 1, quoted</t>
        </is>
      </c>
      <c r="B119" s="19">
        <f>B118*(1-$B$107)</f>
        <v/>
      </c>
      <c r="C119" s="19">
        <f>C118*(1-$C$107)</f>
        <v/>
      </c>
      <c r="D119" s="19">
        <f>D118*(1-$D$107)</f>
        <v/>
      </c>
      <c r="E119" s="19">
        <f>E118*(1-$E$107)</f>
        <v/>
      </c>
      <c r="F119" s="19">
        <f>F118*(1-$F$107)</f>
        <v/>
      </c>
      <c r="G119" s="19">
        <f>G118*(1-$G$107)</f>
        <v/>
      </c>
      <c r="H119" s="19">
        <f>H118*(1-$H$107)</f>
        <v/>
      </c>
      <c r="I119" s="19">
        <f>I118*(1-$I$107)</f>
        <v/>
      </c>
    </row>
    <row r="120">
      <c r="A120" s="10" t="inlineStr">
        <is>
          <t>Effective price per user (licence one-time, or subscription per month)</t>
        </is>
      </c>
      <c r="B120" s="19">
        <f>IF($B$97="Perpetual",B117/$B$95,B119/B112)</f>
        <v/>
      </c>
      <c r="C120" s="19">
        <f>IF($C$97="Perpetual",C117/$C$95,C119/C112)</f>
        <v/>
      </c>
      <c r="D120" s="19">
        <f>IF($D$97="Perpetual",D117/$D$95,D119/D112)</f>
        <v/>
      </c>
      <c r="E120" s="19">
        <f>IF($E$97="Perpetual",E117/$E$95,E119/E112)</f>
        <v/>
      </c>
      <c r="F120" s="19">
        <f>IF($F$97="Perpetual",F117/$F$95,F119/F112)</f>
        <v/>
      </c>
      <c r="G120" s="19">
        <f>IF($G$97="Perpetual",G117/$G$95,G119/G112)</f>
        <v/>
      </c>
      <c r="H120" s="19">
        <f>IF($H$97="Perpetual",H117/$H$95,H119/H112)</f>
        <v/>
      </c>
      <c r="I120" s="19">
        <f>IF($I$97="Perpetual",I117/$I$95,I119/I112)</f>
        <v/>
      </c>
    </row>
    <row r="121">
      <c r="A121" s="10" t="inlineStr">
        <is>
          <t>Hosting per month, list</t>
        </is>
      </c>
      <c r="B121" s="19">
        <f>INDEX(Host_Tbl,B110,MATCH($B$98,Host_Hdr,0))</f>
        <v/>
      </c>
      <c r="C121" s="19">
        <f>INDEX(Host_Tbl,C110,MATCH($C$98,Host_Hdr,0))</f>
        <v/>
      </c>
      <c r="D121" s="19">
        <f>INDEX(Host_Tbl,D110,MATCH($D$98,Host_Hdr,0))</f>
        <v/>
      </c>
      <c r="E121" s="19">
        <f>INDEX(Host_Tbl,E110,MATCH($E$98,Host_Hdr,0))</f>
        <v/>
      </c>
      <c r="F121" s="19">
        <f>INDEX(Host_Tbl,F110,MATCH($F$98,Host_Hdr,0))</f>
        <v/>
      </c>
      <c r="G121" s="19">
        <f>INDEX(Host_Tbl,G110,MATCH($G$98,Host_Hdr,0))</f>
        <v/>
      </c>
      <c r="H121" s="19">
        <f>INDEX(Host_Tbl,H110,MATCH($H$98,Host_Hdr,0))</f>
        <v/>
      </c>
      <c r="I121" s="19">
        <f>INDEX(Host_Tbl,I110,MATCH($I$98,Host_Hdr,0))</f>
        <v/>
      </c>
    </row>
    <row r="122">
      <c r="A122" s="10" t="inlineStr">
        <is>
          <t>Hosting per month, quoted</t>
        </is>
      </c>
      <c r="B122" s="19">
        <f>B121*(1-$B$109)</f>
        <v/>
      </c>
      <c r="C122" s="19">
        <f>C121*(1-$C$109)</f>
        <v/>
      </c>
      <c r="D122" s="19">
        <f>D121*(1-$D$109)</f>
        <v/>
      </c>
      <c r="E122" s="19">
        <f>E121*(1-$E$109)</f>
        <v/>
      </c>
      <c r="F122" s="19">
        <f>F121*(1-$F$109)</f>
        <v/>
      </c>
      <c r="G122" s="19">
        <f>G121*(1-$G$109)</f>
        <v/>
      </c>
      <c r="H122" s="19">
        <f>H121*(1-$H$109)</f>
        <v/>
      </c>
      <c r="I122" s="19">
        <f>I121*(1-$I$109)</f>
        <v/>
      </c>
    </row>
    <row r="123">
      <c r="A123" s="10" t="inlineStr">
        <is>
          <t>Additional hosted environments per month</t>
        </is>
      </c>
      <c r="B123" s="19">
        <f>IF($B$98="Self-hosted",0,$B$104*Env_Month)</f>
        <v/>
      </c>
      <c r="C123" s="19">
        <f>IF($C$98="Self-hosted",0,$C$104*Env_Month)</f>
        <v/>
      </c>
      <c r="D123" s="19">
        <f>IF($D$98="Self-hosted",0,$D$104*Env_Month)</f>
        <v/>
      </c>
      <c r="E123" s="19">
        <f>IF($E$98="Self-hosted",0,$E$104*Env_Month)</f>
        <v/>
      </c>
      <c r="F123" s="19">
        <f>IF($F$98="Self-hosted",0,$F$104*Env_Month)</f>
        <v/>
      </c>
      <c r="G123" s="19">
        <f>IF($G$98="Self-hosted",0,$G$104*Env_Month)</f>
        <v/>
      </c>
      <c r="H123" s="19">
        <f>IF($H$98="Self-hosted",0,$H$104*Env_Month)</f>
        <v/>
      </c>
      <c r="I123" s="19">
        <f>IF($I$98="Self-hosted",0,$I$104*Env_Month)</f>
        <v/>
      </c>
    </row>
    <row r="124">
      <c r="A124" s="10" t="inlineStr">
        <is>
          <t>Monthly recurring at go-live (subscription, hosting, environments)</t>
        </is>
      </c>
      <c r="B124" s="19">
        <f>B119+B122+B123</f>
        <v/>
      </c>
      <c r="C124" s="19">
        <f>C119+C122+C123</f>
        <v/>
      </c>
      <c r="D124" s="19">
        <f>D119+D122+D123</f>
        <v/>
      </c>
      <c r="E124" s="19">
        <f>E119+E122+E123</f>
        <v/>
      </c>
      <c r="F124" s="19">
        <f>F119+F122+F123</f>
        <v/>
      </c>
      <c r="G124" s="19">
        <f>G119+G122+G123</f>
        <v/>
      </c>
      <c r="H124" s="19">
        <f>H119+H122+H123</f>
        <v/>
      </c>
      <c r="I124" s="19">
        <f>I119+I122+I123</f>
        <v/>
      </c>
    </row>
    <row r="125">
      <c r="A125" s="10" t="inlineStr">
        <is>
          <t>One-time optional services, list</t>
        </is>
      </c>
      <c r="B125" s="19">
        <f>$B$100*Rate_Trainer+$B$101*Mig_Source+$B$102*Int_Std+$B$103*Int_Cx+$B$104*Env_Setup+$B$105*Rate_Onsite</f>
        <v/>
      </c>
      <c r="C125" s="19">
        <f>$C$100*Rate_Trainer+$C$101*Mig_Source+$C$102*Int_Std+$C$103*Int_Cx+$C$104*Env_Setup+$C$105*Rate_Onsite</f>
        <v/>
      </c>
      <c r="D125" s="19">
        <f>$D$100*Rate_Trainer+$D$101*Mig_Source+$D$102*Int_Std+$D$103*Int_Cx+$D$104*Env_Setup+$D$105*Rate_Onsite</f>
        <v/>
      </c>
      <c r="E125" s="19">
        <f>$E$100*Rate_Trainer+$E$101*Mig_Source+$E$102*Int_Std+$E$103*Int_Cx+$E$104*Env_Setup+$E$105*Rate_Onsite</f>
        <v/>
      </c>
      <c r="F125" s="19">
        <f>$F$100*Rate_Trainer+$F$101*Mig_Source+$F$102*Int_Std+$F$103*Int_Cx+$F$104*Env_Setup+$F$105*Rate_Onsite</f>
        <v/>
      </c>
      <c r="G125" s="19">
        <f>$G$100*Rate_Trainer+$G$101*Mig_Source+$G$102*Int_Std+$G$103*Int_Cx+$G$104*Env_Setup+$G$105*Rate_Onsite</f>
        <v/>
      </c>
      <c r="H125" s="19">
        <f>$H$100*Rate_Trainer+$H$101*Mig_Source+$H$102*Int_Std+$H$103*Int_Cx+$H$104*Env_Setup+$H$105*Rate_Onsite</f>
        <v/>
      </c>
      <c r="I125" s="19">
        <f>$I$100*Rate_Trainer+$I$101*Mig_Source+$I$102*Int_Std+$I$103*Int_Cx+$I$104*Env_Setup+$I$105*Rate_Onsite</f>
        <v/>
      </c>
    </row>
    <row r="126">
      <c r="A126" s="10" t="inlineStr">
        <is>
          <t>One-time optional services, quoted</t>
        </is>
      </c>
      <c r="B126" s="19">
        <f>B125*(1-$B$108)</f>
        <v/>
      </c>
      <c r="C126" s="19">
        <f>C125*(1-$C$108)</f>
        <v/>
      </c>
      <c r="D126" s="19">
        <f>D125*(1-$D$108)</f>
        <v/>
      </c>
      <c r="E126" s="19">
        <f>E125*(1-$E$108)</f>
        <v/>
      </c>
      <c r="F126" s="19">
        <f>F125*(1-$F$108)</f>
        <v/>
      </c>
      <c r="G126" s="19">
        <f>G125*(1-$G$108)</f>
        <v/>
      </c>
      <c r="H126" s="19">
        <f>H125*(1-$H$108)</f>
        <v/>
      </c>
      <c r="I126" s="19">
        <f>I125*(1-$I$108)</f>
        <v/>
      </c>
    </row>
    <row r="127">
      <c r="A127" s="10" t="inlineStr">
        <is>
          <t>24x7 Severity 1 support per year, Year 1, list</t>
        </is>
      </c>
      <c r="B127" s="19">
        <f>IF($B$99="Yes",INDEX(Sup24,B110),0)</f>
        <v/>
      </c>
      <c r="C127" s="19">
        <f>IF($C$99="Yes",INDEX(Sup24,C110),0)</f>
        <v/>
      </c>
      <c r="D127" s="19">
        <f>IF($D$99="Yes",INDEX(Sup24,D110),0)</f>
        <v/>
      </c>
      <c r="E127" s="19">
        <f>IF($E$99="Yes",INDEX(Sup24,E110),0)</f>
        <v/>
      </c>
      <c r="F127" s="19">
        <f>IF($F$99="Yes",INDEX(Sup24,F110),0)</f>
        <v/>
      </c>
      <c r="G127" s="19">
        <f>IF($G$99="Yes",INDEX(Sup24,G110),0)</f>
        <v/>
      </c>
      <c r="H127" s="19">
        <f>IF($H$99="Yes",INDEX(Sup24,H110),0)</f>
        <v/>
      </c>
      <c r="I127" s="19">
        <f>IF($I$99="Yes",INDEX(Sup24,I110),0)</f>
        <v/>
      </c>
    </row>
    <row r="128">
      <c r="A128" s="10" t="inlineStr">
        <is>
          <t>Training days included</t>
        </is>
      </c>
      <c r="B128" s="24">
        <f>INDEX(TrainDays,B110)</f>
        <v/>
      </c>
      <c r="C128" s="24">
        <f>INDEX(TrainDays,C110)</f>
        <v/>
      </c>
      <c r="D128" s="24">
        <f>INDEX(TrainDays,D110)</f>
        <v/>
      </c>
      <c r="E128" s="24">
        <f>INDEX(TrainDays,E110)</f>
        <v/>
      </c>
      <c r="F128" s="24">
        <f>INDEX(TrainDays,F110)</f>
        <v/>
      </c>
      <c r="G128" s="24">
        <f>INDEX(TrainDays,G110)</f>
        <v/>
      </c>
      <c r="H128" s="24">
        <f>INDEX(TrainDays,H110)</f>
        <v/>
      </c>
      <c r="I128" s="24">
        <f>INDEX(TrainDays,I110)</f>
        <v/>
      </c>
    </row>
    <row r="129">
      <c r="A129" s="10" t="inlineStr">
        <is>
          <t>AMC Year 1</t>
        </is>
      </c>
      <c r="B129" s="19">
        <f>IF(AND($B$97="Perpetual",1&gt;=AMC_Start),B117*AMC_Rate*(1+Esc)^(1-AMC_Start),0)</f>
        <v/>
      </c>
      <c r="C129" s="19">
        <f>IF(AND($C$97="Perpetual",1&gt;=AMC_Start),C117*AMC_Rate*(1+Esc)^(1-AMC_Start),0)</f>
        <v/>
      </c>
      <c r="D129" s="19">
        <f>IF(AND($D$97="Perpetual",1&gt;=AMC_Start),D117*AMC_Rate*(1+Esc)^(1-AMC_Start),0)</f>
        <v/>
      </c>
      <c r="E129" s="19">
        <f>IF(AND($E$97="Perpetual",1&gt;=AMC_Start),E117*AMC_Rate*(1+Esc)^(1-AMC_Start),0)</f>
        <v/>
      </c>
      <c r="F129" s="19">
        <f>IF(AND($F$97="Perpetual",1&gt;=AMC_Start),F117*AMC_Rate*(1+Esc)^(1-AMC_Start),0)</f>
        <v/>
      </c>
      <c r="G129" s="19">
        <f>IF(AND($G$97="Perpetual",1&gt;=AMC_Start),G117*AMC_Rate*(1+Esc)^(1-AMC_Start),0)</f>
        <v/>
      </c>
      <c r="H129" s="19">
        <f>IF(AND($H$97="Perpetual",1&gt;=AMC_Start),H117*AMC_Rate*(1+Esc)^(1-AMC_Start),0)</f>
        <v/>
      </c>
      <c r="I129" s="19">
        <f>IF(AND($I$97="Perpetual",1&gt;=AMC_Start),I117*AMC_Rate*(1+Esc)^(1-AMC_Start),0)</f>
        <v/>
      </c>
    </row>
    <row r="130">
      <c r="A130" s="10" t="inlineStr">
        <is>
          <t>AMC Year 2</t>
        </is>
      </c>
      <c r="B130" s="19">
        <f>IF(AND($B$97="Perpetual",2&gt;=AMC_Start),B117*AMC_Rate*(1+Esc)^(2-AMC_Start),0)</f>
        <v/>
      </c>
      <c r="C130" s="19">
        <f>IF(AND($C$97="Perpetual",2&gt;=AMC_Start),C117*AMC_Rate*(1+Esc)^(2-AMC_Start),0)</f>
        <v/>
      </c>
      <c r="D130" s="19">
        <f>IF(AND($D$97="Perpetual",2&gt;=AMC_Start),D117*AMC_Rate*(1+Esc)^(2-AMC_Start),0)</f>
        <v/>
      </c>
      <c r="E130" s="19">
        <f>IF(AND($E$97="Perpetual",2&gt;=AMC_Start),E117*AMC_Rate*(1+Esc)^(2-AMC_Start),0)</f>
        <v/>
      </c>
      <c r="F130" s="19">
        <f>IF(AND($F$97="Perpetual",2&gt;=AMC_Start),F117*AMC_Rate*(1+Esc)^(2-AMC_Start),0)</f>
        <v/>
      </c>
      <c r="G130" s="19">
        <f>IF(AND($G$97="Perpetual",2&gt;=AMC_Start),G117*AMC_Rate*(1+Esc)^(2-AMC_Start),0)</f>
        <v/>
      </c>
      <c r="H130" s="19">
        <f>IF(AND($H$97="Perpetual",2&gt;=AMC_Start),H117*AMC_Rate*(1+Esc)^(2-AMC_Start),0)</f>
        <v/>
      </c>
      <c r="I130" s="19">
        <f>IF(AND($I$97="Perpetual",2&gt;=AMC_Start),I117*AMC_Rate*(1+Esc)^(2-AMC_Start),0)</f>
        <v/>
      </c>
    </row>
    <row r="131">
      <c r="A131" s="10" t="inlineStr">
        <is>
          <t>AMC Year 3</t>
        </is>
      </c>
      <c r="B131" s="19">
        <f>IF(AND($B$97="Perpetual",3&gt;=AMC_Start),B117*AMC_Rate*(1+Esc)^(3-AMC_Start),0)</f>
        <v/>
      </c>
      <c r="C131" s="19">
        <f>IF(AND($C$97="Perpetual",3&gt;=AMC_Start),C117*AMC_Rate*(1+Esc)^(3-AMC_Start),0)</f>
        <v/>
      </c>
      <c r="D131" s="19">
        <f>IF(AND($D$97="Perpetual",3&gt;=AMC_Start),D117*AMC_Rate*(1+Esc)^(3-AMC_Start),0)</f>
        <v/>
      </c>
      <c r="E131" s="19">
        <f>IF(AND($E$97="Perpetual",3&gt;=AMC_Start),E117*AMC_Rate*(1+Esc)^(3-AMC_Start),0)</f>
        <v/>
      </c>
      <c r="F131" s="19">
        <f>IF(AND($F$97="Perpetual",3&gt;=AMC_Start),F117*AMC_Rate*(1+Esc)^(3-AMC_Start),0)</f>
        <v/>
      </c>
      <c r="G131" s="19">
        <f>IF(AND($G$97="Perpetual",3&gt;=AMC_Start),G117*AMC_Rate*(1+Esc)^(3-AMC_Start),0)</f>
        <v/>
      </c>
      <c r="H131" s="19">
        <f>IF(AND($H$97="Perpetual",3&gt;=AMC_Start),H117*AMC_Rate*(1+Esc)^(3-AMC_Start),0)</f>
        <v/>
      </c>
      <c r="I131" s="19">
        <f>IF(AND($I$97="Perpetual",3&gt;=AMC_Start),I117*AMC_Rate*(1+Esc)^(3-AMC_Start),0)</f>
        <v/>
      </c>
    </row>
    <row r="132">
      <c r="A132" s="10" t="inlineStr">
        <is>
          <t>AMC Year 4</t>
        </is>
      </c>
      <c r="B132" s="19">
        <f>IF(AND($B$97="Perpetual",4&gt;=AMC_Start),B117*AMC_Rate*(1+Esc)^(4-AMC_Start),0)</f>
        <v/>
      </c>
      <c r="C132" s="19">
        <f>IF(AND($C$97="Perpetual",4&gt;=AMC_Start),C117*AMC_Rate*(1+Esc)^(4-AMC_Start),0)</f>
        <v/>
      </c>
      <c r="D132" s="19">
        <f>IF(AND($D$97="Perpetual",4&gt;=AMC_Start),D117*AMC_Rate*(1+Esc)^(4-AMC_Start),0)</f>
        <v/>
      </c>
      <c r="E132" s="19">
        <f>IF(AND($E$97="Perpetual",4&gt;=AMC_Start),E117*AMC_Rate*(1+Esc)^(4-AMC_Start),0)</f>
        <v/>
      </c>
      <c r="F132" s="19">
        <f>IF(AND($F$97="Perpetual",4&gt;=AMC_Start),F117*AMC_Rate*(1+Esc)^(4-AMC_Start),0)</f>
        <v/>
      </c>
      <c r="G132" s="19">
        <f>IF(AND($G$97="Perpetual",4&gt;=AMC_Start),G117*AMC_Rate*(1+Esc)^(4-AMC_Start),0)</f>
        <v/>
      </c>
      <c r="H132" s="19">
        <f>IF(AND($H$97="Perpetual",4&gt;=AMC_Start),H117*AMC_Rate*(1+Esc)^(4-AMC_Start),0)</f>
        <v/>
      </c>
      <c r="I132" s="19">
        <f>IF(AND($I$97="Perpetual",4&gt;=AMC_Start),I117*AMC_Rate*(1+Esc)^(4-AMC_Start),0)</f>
        <v/>
      </c>
    </row>
    <row r="133">
      <c r="A133" s="10" t="inlineStr">
        <is>
          <t>AMC Year 5</t>
        </is>
      </c>
      <c r="B133" s="19">
        <f>IF(AND($B$97="Perpetual",5&gt;=AMC_Start),B117*AMC_Rate*(1+Esc)^(5-AMC_Start),0)</f>
        <v/>
      </c>
      <c r="C133" s="19">
        <f>IF(AND($C$97="Perpetual",5&gt;=AMC_Start),C117*AMC_Rate*(1+Esc)^(5-AMC_Start),0)</f>
        <v/>
      </c>
      <c r="D133" s="19">
        <f>IF(AND($D$97="Perpetual",5&gt;=AMC_Start),D117*AMC_Rate*(1+Esc)^(5-AMC_Start),0)</f>
        <v/>
      </c>
      <c r="E133" s="19">
        <f>IF(AND($E$97="Perpetual",5&gt;=AMC_Start),E117*AMC_Rate*(1+Esc)^(5-AMC_Start),0)</f>
        <v/>
      </c>
      <c r="F133" s="19">
        <f>IF(AND($F$97="Perpetual",5&gt;=AMC_Start),F117*AMC_Rate*(1+Esc)^(5-AMC_Start),0)</f>
        <v/>
      </c>
      <c r="G133" s="19">
        <f>IF(AND($G$97="Perpetual",5&gt;=AMC_Start),G117*AMC_Rate*(1+Esc)^(5-AMC_Start),0)</f>
        <v/>
      </c>
      <c r="H133" s="19">
        <f>IF(AND($H$97="Perpetual",5&gt;=AMC_Start),H117*AMC_Rate*(1+Esc)^(5-AMC_Start),0)</f>
        <v/>
      </c>
      <c r="I133" s="19">
        <f>IF(AND($I$97="Perpetual",5&gt;=AMC_Start),I117*AMC_Rate*(1+Esc)^(5-AMC_Start),0)</f>
        <v/>
      </c>
    </row>
    <row r="134">
      <c r="A134" s="10" t="inlineStr">
        <is>
          <t>Subscription fees Year 1</t>
        </is>
      </c>
      <c r="B134" s="19">
        <f>B119*12*(1+Esc)^(1-1)</f>
        <v/>
      </c>
      <c r="C134" s="19">
        <f>C119*12*(1+Esc)^(1-1)</f>
        <v/>
      </c>
      <c r="D134" s="19">
        <f>D119*12*(1+Esc)^(1-1)</f>
        <v/>
      </c>
      <c r="E134" s="19">
        <f>E119*12*(1+Esc)^(1-1)</f>
        <v/>
      </c>
      <c r="F134" s="19">
        <f>F119*12*(1+Esc)^(1-1)</f>
        <v/>
      </c>
      <c r="G134" s="19">
        <f>G119*12*(1+Esc)^(1-1)</f>
        <v/>
      </c>
      <c r="H134" s="19">
        <f>H119*12*(1+Esc)^(1-1)</f>
        <v/>
      </c>
      <c r="I134" s="19">
        <f>I119*12*(1+Esc)^(1-1)</f>
        <v/>
      </c>
    </row>
    <row r="135">
      <c r="A135" s="10" t="inlineStr">
        <is>
          <t>Subscription fees Year 2</t>
        </is>
      </c>
      <c r="B135" s="19">
        <f>B119*12*(1+Esc)^(2-1)</f>
        <v/>
      </c>
      <c r="C135" s="19">
        <f>C119*12*(1+Esc)^(2-1)</f>
        <v/>
      </c>
      <c r="D135" s="19">
        <f>D119*12*(1+Esc)^(2-1)</f>
        <v/>
      </c>
      <c r="E135" s="19">
        <f>E119*12*(1+Esc)^(2-1)</f>
        <v/>
      </c>
      <c r="F135" s="19">
        <f>F119*12*(1+Esc)^(2-1)</f>
        <v/>
      </c>
      <c r="G135" s="19">
        <f>G119*12*(1+Esc)^(2-1)</f>
        <v/>
      </c>
      <c r="H135" s="19">
        <f>H119*12*(1+Esc)^(2-1)</f>
        <v/>
      </c>
      <c r="I135" s="19">
        <f>I119*12*(1+Esc)^(2-1)</f>
        <v/>
      </c>
    </row>
    <row r="136">
      <c r="A136" s="10" t="inlineStr">
        <is>
          <t>Subscription fees Year 3</t>
        </is>
      </c>
      <c r="B136" s="19">
        <f>B119*12*(1+Esc)^(3-1)</f>
        <v/>
      </c>
      <c r="C136" s="19">
        <f>C119*12*(1+Esc)^(3-1)</f>
        <v/>
      </c>
      <c r="D136" s="19">
        <f>D119*12*(1+Esc)^(3-1)</f>
        <v/>
      </c>
      <c r="E136" s="19">
        <f>E119*12*(1+Esc)^(3-1)</f>
        <v/>
      </c>
      <c r="F136" s="19">
        <f>F119*12*(1+Esc)^(3-1)</f>
        <v/>
      </c>
      <c r="G136" s="19">
        <f>G119*12*(1+Esc)^(3-1)</f>
        <v/>
      </c>
      <c r="H136" s="19">
        <f>H119*12*(1+Esc)^(3-1)</f>
        <v/>
      </c>
      <c r="I136" s="19">
        <f>I119*12*(1+Esc)^(3-1)</f>
        <v/>
      </c>
    </row>
    <row r="137">
      <c r="A137" s="10" t="inlineStr">
        <is>
          <t>Subscription fees Year 4</t>
        </is>
      </c>
      <c r="B137" s="19">
        <f>B119*12*(1+Esc)^(4-1)</f>
        <v/>
      </c>
      <c r="C137" s="19">
        <f>C119*12*(1+Esc)^(4-1)</f>
        <v/>
      </c>
      <c r="D137" s="19">
        <f>D119*12*(1+Esc)^(4-1)</f>
        <v/>
      </c>
      <c r="E137" s="19">
        <f>E119*12*(1+Esc)^(4-1)</f>
        <v/>
      </c>
      <c r="F137" s="19">
        <f>F119*12*(1+Esc)^(4-1)</f>
        <v/>
      </c>
      <c r="G137" s="19">
        <f>G119*12*(1+Esc)^(4-1)</f>
        <v/>
      </c>
      <c r="H137" s="19">
        <f>H119*12*(1+Esc)^(4-1)</f>
        <v/>
      </c>
      <c r="I137" s="19">
        <f>I119*12*(1+Esc)^(4-1)</f>
        <v/>
      </c>
    </row>
    <row r="138">
      <c r="A138" s="10" t="inlineStr">
        <is>
          <t>Subscription fees Year 5</t>
        </is>
      </c>
      <c r="B138" s="19">
        <f>B119*12*(1+Esc)^(5-1)</f>
        <v/>
      </c>
      <c r="C138" s="19">
        <f>C119*12*(1+Esc)^(5-1)</f>
        <v/>
      </c>
      <c r="D138" s="19">
        <f>D119*12*(1+Esc)^(5-1)</f>
        <v/>
      </c>
      <c r="E138" s="19">
        <f>E119*12*(1+Esc)^(5-1)</f>
        <v/>
      </c>
      <c r="F138" s="19">
        <f>F119*12*(1+Esc)^(5-1)</f>
        <v/>
      </c>
      <c r="G138" s="19">
        <f>G119*12*(1+Esc)^(5-1)</f>
        <v/>
      </c>
      <c r="H138" s="19">
        <f>H119*12*(1+Esc)^(5-1)</f>
        <v/>
      </c>
      <c r="I138" s="19">
        <f>I119*12*(1+Esc)^(5-1)</f>
        <v/>
      </c>
    </row>
    <row r="139">
      <c r="A139" s="10" t="inlineStr">
        <is>
          <t>Hosting and environments Year 1</t>
        </is>
      </c>
      <c r="B139" s="19">
        <f>B122*12*(1+Infra_Esc)^(1-1)+B123*12*(1+Esc)^(1-1)</f>
        <v/>
      </c>
      <c r="C139" s="19">
        <f>C122*12*(1+Infra_Esc)^(1-1)+C123*12*(1+Esc)^(1-1)</f>
        <v/>
      </c>
      <c r="D139" s="19">
        <f>D122*12*(1+Infra_Esc)^(1-1)+D123*12*(1+Esc)^(1-1)</f>
        <v/>
      </c>
      <c r="E139" s="19">
        <f>E122*12*(1+Infra_Esc)^(1-1)+E123*12*(1+Esc)^(1-1)</f>
        <v/>
      </c>
      <c r="F139" s="19">
        <f>F122*12*(1+Infra_Esc)^(1-1)+F123*12*(1+Esc)^(1-1)</f>
        <v/>
      </c>
      <c r="G139" s="19">
        <f>G122*12*(1+Infra_Esc)^(1-1)+G123*12*(1+Esc)^(1-1)</f>
        <v/>
      </c>
      <c r="H139" s="19">
        <f>H122*12*(1+Infra_Esc)^(1-1)+H123*12*(1+Esc)^(1-1)</f>
        <v/>
      </c>
      <c r="I139" s="19">
        <f>I122*12*(1+Infra_Esc)^(1-1)+I123*12*(1+Esc)^(1-1)</f>
        <v/>
      </c>
    </row>
    <row r="140">
      <c r="A140" s="10" t="inlineStr">
        <is>
          <t>Hosting and environments Year 2</t>
        </is>
      </c>
      <c r="B140" s="19">
        <f>B122*12*(1+Infra_Esc)^(2-1)+B123*12*(1+Esc)^(2-1)</f>
        <v/>
      </c>
      <c r="C140" s="19">
        <f>C122*12*(1+Infra_Esc)^(2-1)+C123*12*(1+Esc)^(2-1)</f>
        <v/>
      </c>
      <c r="D140" s="19">
        <f>D122*12*(1+Infra_Esc)^(2-1)+D123*12*(1+Esc)^(2-1)</f>
        <v/>
      </c>
      <c r="E140" s="19">
        <f>E122*12*(1+Infra_Esc)^(2-1)+E123*12*(1+Esc)^(2-1)</f>
        <v/>
      </c>
      <c r="F140" s="19">
        <f>F122*12*(1+Infra_Esc)^(2-1)+F123*12*(1+Esc)^(2-1)</f>
        <v/>
      </c>
      <c r="G140" s="19">
        <f>G122*12*(1+Infra_Esc)^(2-1)+G123*12*(1+Esc)^(2-1)</f>
        <v/>
      </c>
      <c r="H140" s="19">
        <f>H122*12*(1+Infra_Esc)^(2-1)+H123*12*(1+Esc)^(2-1)</f>
        <v/>
      </c>
      <c r="I140" s="19">
        <f>I122*12*(1+Infra_Esc)^(2-1)+I123*12*(1+Esc)^(2-1)</f>
        <v/>
      </c>
    </row>
    <row r="141">
      <c r="A141" s="10" t="inlineStr">
        <is>
          <t>Hosting and environments Year 3</t>
        </is>
      </c>
      <c r="B141" s="19">
        <f>B122*12*(1+Infra_Esc)^(3-1)+B123*12*(1+Esc)^(3-1)</f>
        <v/>
      </c>
      <c r="C141" s="19">
        <f>C122*12*(1+Infra_Esc)^(3-1)+C123*12*(1+Esc)^(3-1)</f>
        <v/>
      </c>
      <c r="D141" s="19">
        <f>D122*12*(1+Infra_Esc)^(3-1)+D123*12*(1+Esc)^(3-1)</f>
        <v/>
      </c>
      <c r="E141" s="19">
        <f>E122*12*(1+Infra_Esc)^(3-1)+E123*12*(1+Esc)^(3-1)</f>
        <v/>
      </c>
      <c r="F141" s="19">
        <f>F122*12*(1+Infra_Esc)^(3-1)+F123*12*(1+Esc)^(3-1)</f>
        <v/>
      </c>
      <c r="G141" s="19">
        <f>G122*12*(1+Infra_Esc)^(3-1)+G123*12*(1+Esc)^(3-1)</f>
        <v/>
      </c>
      <c r="H141" s="19">
        <f>H122*12*(1+Infra_Esc)^(3-1)+H123*12*(1+Esc)^(3-1)</f>
        <v/>
      </c>
      <c r="I141" s="19">
        <f>I122*12*(1+Infra_Esc)^(3-1)+I123*12*(1+Esc)^(3-1)</f>
        <v/>
      </c>
    </row>
    <row r="142">
      <c r="A142" s="10" t="inlineStr">
        <is>
          <t>Hosting and environments Year 4</t>
        </is>
      </c>
      <c r="B142" s="19">
        <f>B122*12*(1+Infra_Esc)^(4-1)+B123*12*(1+Esc)^(4-1)</f>
        <v/>
      </c>
      <c r="C142" s="19">
        <f>C122*12*(1+Infra_Esc)^(4-1)+C123*12*(1+Esc)^(4-1)</f>
        <v/>
      </c>
      <c r="D142" s="19">
        <f>D122*12*(1+Infra_Esc)^(4-1)+D123*12*(1+Esc)^(4-1)</f>
        <v/>
      </c>
      <c r="E142" s="19">
        <f>E122*12*(1+Infra_Esc)^(4-1)+E123*12*(1+Esc)^(4-1)</f>
        <v/>
      </c>
      <c r="F142" s="19">
        <f>F122*12*(1+Infra_Esc)^(4-1)+F123*12*(1+Esc)^(4-1)</f>
        <v/>
      </c>
      <c r="G142" s="19">
        <f>G122*12*(1+Infra_Esc)^(4-1)+G123*12*(1+Esc)^(4-1)</f>
        <v/>
      </c>
      <c r="H142" s="19">
        <f>H122*12*(1+Infra_Esc)^(4-1)+H123*12*(1+Esc)^(4-1)</f>
        <v/>
      </c>
      <c r="I142" s="19">
        <f>I122*12*(1+Infra_Esc)^(4-1)+I123*12*(1+Esc)^(4-1)</f>
        <v/>
      </c>
    </row>
    <row r="143">
      <c r="A143" s="10" t="inlineStr">
        <is>
          <t>Hosting and environments Year 5</t>
        </is>
      </c>
      <c r="B143" s="19">
        <f>B122*12*(1+Infra_Esc)^(5-1)+B123*12*(1+Esc)^(5-1)</f>
        <v/>
      </c>
      <c r="C143" s="19">
        <f>C122*12*(1+Infra_Esc)^(5-1)+C123*12*(1+Esc)^(5-1)</f>
        <v/>
      </c>
      <c r="D143" s="19">
        <f>D122*12*(1+Infra_Esc)^(5-1)+D123*12*(1+Esc)^(5-1)</f>
        <v/>
      </c>
      <c r="E143" s="19">
        <f>E122*12*(1+Infra_Esc)^(5-1)+E123*12*(1+Esc)^(5-1)</f>
        <v/>
      </c>
      <c r="F143" s="19">
        <f>F122*12*(1+Infra_Esc)^(5-1)+F123*12*(1+Esc)^(5-1)</f>
        <v/>
      </c>
      <c r="G143" s="19">
        <f>G122*12*(1+Infra_Esc)^(5-1)+G123*12*(1+Esc)^(5-1)</f>
        <v/>
      </c>
      <c r="H143" s="19">
        <f>H122*12*(1+Infra_Esc)^(5-1)+H123*12*(1+Esc)^(5-1)</f>
        <v/>
      </c>
      <c r="I143" s="19">
        <f>I122*12*(1+Infra_Esc)^(5-1)+I123*12*(1+Esc)^(5-1)</f>
        <v/>
      </c>
    </row>
    <row r="144">
      <c r="A144" s="10" t="inlineStr">
        <is>
          <t>24x7 support Year 1</t>
        </is>
      </c>
      <c r="B144" s="19">
        <f>B127*(1-$B$108)*(1+Esc)^(1-1)</f>
        <v/>
      </c>
      <c r="C144" s="19">
        <f>C127*(1-$C$108)*(1+Esc)^(1-1)</f>
        <v/>
      </c>
      <c r="D144" s="19">
        <f>D127*(1-$D$108)*(1+Esc)^(1-1)</f>
        <v/>
      </c>
      <c r="E144" s="19">
        <f>E127*(1-$E$108)*(1+Esc)^(1-1)</f>
        <v/>
      </c>
      <c r="F144" s="19">
        <f>F127*(1-$F$108)*(1+Esc)^(1-1)</f>
        <v/>
      </c>
      <c r="G144" s="19">
        <f>G127*(1-$G$108)*(1+Esc)^(1-1)</f>
        <v/>
      </c>
      <c r="H144" s="19">
        <f>H127*(1-$H$108)*(1+Esc)^(1-1)</f>
        <v/>
      </c>
      <c r="I144" s="19">
        <f>I127*(1-$I$108)*(1+Esc)^(1-1)</f>
        <v/>
      </c>
    </row>
    <row r="145">
      <c r="A145" s="10" t="inlineStr">
        <is>
          <t>24x7 support Year 2</t>
        </is>
      </c>
      <c r="B145" s="19">
        <f>B127*(1-$B$108)*(1+Esc)^(2-1)</f>
        <v/>
      </c>
      <c r="C145" s="19">
        <f>C127*(1-$C$108)*(1+Esc)^(2-1)</f>
        <v/>
      </c>
      <c r="D145" s="19">
        <f>D127*(1-$D$108)*(1+Esc)^(2-1)</f>
        <v/>
      </c>
      <c r="E145" s="19">
        <f>E127*(1-$E$108)*(1+Esc)^(2-1)</f>
        <v/>
      </c>
      <c r="F145" s="19">
        <f>F127*(1-$F$108)*(1+Esc)^(2-1)</f>
        <v/>
      </c>
      <c r="G145" s="19">
        <f>G127*(1-$G$108)*(1+Esc)^(2-1)</f>
        <v/>
      </c>
      <c r="H145" s="19">
        <f>H127*(1-$H$108)*(1+Esc)^(2-1)</f>
        <v/>
      </c>
      <c r="I145" s="19">
        <f>I127*(1-$I$108)*(1+Esc)^(2-1)</f>
        <v/>
      </c>
    </row>
    <row r="146">
      <c r="A146" s="10" t="inlineStr">
        <is>
          <t>24x7 support Year 3</t>
        </is>
      </c>
      <c r="B146" s="19">
        <f>B127*(1-$B$108)*(1+Esc)^(3-1)</f>
        <v/>
      </c>
      <c r="C146" s="19">
        <f>C127*(1-$C$108)*(1+Esc)^(3-1)</f>
        <v/>
      </c>
      <c r="D146" s="19">
        <f>D127*(1-$D$108)*(1+Esc)^(3-1)</f>
        <v/>
      </c>
      <c r="E146" s="19">
        <f>E127*(1-$E$108)*(1+Esc)^(3-1)</f>
        <v/>
      </c>
      <c r="F146" s="19">
        <f>F127*(1-$F$108)*(1+Esc)^(3-1)</f>
        <v/>
      </c>
      <c r="G146" s="19">
        <f>G127*(1-$G$108)*(1+Esc)^(3-1)</f>
        <v/>
      </c>
      <c r="H146" s="19">
        <f>H127*(1-$H$108)*(1+Esc)^(3-1)</f>
        <v/>
      </c>
      <c r="I146" s="19">
        <f>I127*(1-$I$108)*(1+Esc)^(3-1)</f>
        <v/>
      </c>
    </row>
    <row r="147">
      <c r="A147" s="10" t="inlineStr">
        <is>
          <t>24x7 support Year 4</t>
        </is>
      </c>
      <c r="B147" s="19">
        <f>B127*(1-$B$108)*(1+Esc)^(4-1)</f>
        <v/>
      </c>
      <c r="C147" s="19">
        <f>C127*(1-$C$108)*(1+Esc)^(4-1)</f>
        <v/>
      </c>
      <c r="D147" s="19">
        <f>D127*(1-$D$108)*(1+Esc)^(4-1)</f>
        <v/>
      </c>
      <c r="E147" s="19">
        <f>E127*(1-$E$108)*(1+Esc)^(4-1)</f>
        <v/>
      </c>
      <c r="F147" s="19">
        <f>F127*(1-$F$108)*(1+Esc)^(4-1)</f>
        <v/>
      </c>
      <c r="G147" s="19">
        <f>G127*(1-$G$108)*(1+Esc)^(4-1)</f>
        <v/>
      </c>
      <c r="H147" s="19">
        <f>H127*(1-$H$108)*(1+Esc)^(4-1)</f>
        <v/>
      </c>
      <c r="I147" s="19">
        <f>I127*(1-$I$108)*(1+Esc)^(4-1)</f>
        <v/>
      </c>
    </row>
    <row r="148">
      <c r="A148" s="10" t="inlineStr">
        <is>
          <t>24x7 support Year 5</t>
        </is>
      </c>
      <c r="B148" s="19">
        <f>B127*(1-$B$108)*(1+Esc)^(5-1)</f>
        <v/>
      </c>
      <c r="C148" s="19">
        <f>C127*(1-$C$108)*(1+Esc)^(5-1)</f>
        <v/>
      </c>
      <c r="D148" s="19">
        <f>D127*(1-$D$108)*(1+Esc)^(5-1)</f>
        <v/>
      </c>
      <c r="E148" s="19">
        <f>E127*(1-$E$108)*(1+Esc)^(5-1)</f>
        <v/>
      </c>
      <c r="F148" s="19">
        <f>F127*(1-$F$108)*(1+Esc)^(5-1)</f>
        <v/>
      </c>
      <c r="G148" s="19">
        <f>G127*(1-$G$108)*(1+Esc)^(5-1)</f>
        <v/>
      </c>
      <c r="H148" s="19">
        <f>H127*(1-$H$108)*(1+Esc)^(5-1)</f>
        <v/>
      </c>
      <c r="I148" s="19">
        <f>I127*(1-$I$108)*(1+Esc)^(5-1)</f>
        <v/>
      </c>
    </row>
    <row r="149">
      <c r="A149" s="10" t="inlineStr">
        <is>
          <t>Total Year 1, excl. VAT</t>
        </is>
      </c>
      <c r="B149" s="20">
        <f>B115+B117+B126+B129+B134+B139+B144</f>
        <v/>
      </c>
      <c r="C149" s="20">
        <f>C115+C117+C126+C129+C134+C139+C144</f>
        <v/>
      </c>
      <c r="D149" s="20">
        <f>D115+D117+D126+D129+D134+D139+D144</f>
        <v/>
      </c>
      <c r="E149" s="20">
        <f>E115+E117+E126+E129+E134+E139+E144</f>
        <v/>
      </c>
      <c r="F149" s="20">
        <f>F115+F117+F126+F129+F134+F139+F144</f>
        <v/>
      </c>
      <c r="G149" s="20">
        <f>G115+G117+G126+G129+G134+G139+G144</f>
        <v/>
      </c>
      <c r="H149" s="20">
        <f>H115+H117+H126+H129+H134+H139+H144</f>
        <v/>
      </c>
      <c r="I149" s="20">
        <f>I115+I117+I126+I129+I134+I139+I144</f>
        <v/>
      </c>
    </row>
    <row r="150">
      <c r="A150" s="10" t="inlineStr">
        <is>
          <t>Total Year 2, excl. VAT</t>
        </is>
      </c>
      <c r="B150" s="19">
        <f>B130+B135+B140+B145</f>
        <v/>
      </c>
      <c r="C150" s="19">
        <f>C130+C135+C140+C145</f>
        <v/>
      </c>
      <c r="D150" s="19">
        <f>D130+D135+D140+D145</f>
        <v/>
      </c>
      <c r="E150" s="19">
        <f>E130+E135+E140+E145</f>
        <v/>
      </c>
      <c r="F150" s="19">
        <f>F130+F135+F140+F145</f>
        <v/>
      </c>
      <c r="G150" s="19">
        <f>G130+G135+G140+G145</f>
        <v/>
      </c>
      <c r="H150" s="19">
        <f>H130+H135+H140+H145</f>
        <v/>
      </c>
      <c r="I150" s="19">
        <f>I130+I135+I140+I145</f>
        <v/>
      </c>
    </row>
    <row r="151">
      <c r="A151" s="10" t="inlineStr">
        <is>
          <t>Total Year 3, excl. VAT</t>
        </is>
      </c>
      <c r="B151" s="19">
        <f>B131+B136+B141+B146</f>
        <v/>
      </c>
      <c r="C151" s="19">
        <f>C131+C136+C141+C146</f>
        <v/>
      </c>
      <c r="D151" s="19">
        <f>D131+D136+D141+D146</f>
        <v/>
      </c>
      <c r="E151" s="19">
        <f>E131+E136+E141+E146</f>
        <v/>
      </c>
      <c r="F151" s="19">
        <f>F131+F136+F141+F146</f>
        <v/>
      </c>
      <c r="G151" s="19">
        <f>G131+G136+G141+G146</f>
        <v/>
      </c>
      <c r="H151" s="19">
        <f>H131+H136+H141+H146</f>
        <v/>
      </c>
      <c r="I151" s="19">
        <f>I131+I136+I141+I146</f>
        <v/>
      </c>
    </row>
    <row r="152">
      <c r="A152" s="10" t="inlineStr">
        <is>
          <t>Total Year 4, excl. VAT</t>
        </is>
      </c>
      <c r="B152" s="19">
        <f>B132+B137+B142+B147</f>
        <v/>
      </c>
      <c r="C152" s="19">
        <f>C132+C137+C142+C147</f>
        <v/>
      </c>
      <c r="D152" s="19">
        <f>D132+D137+D142+D147</f>
        <v/>
      </c>
      <c r="E152" s="19">
        <f>E132+E137+E142+E147</f>
        <v/>
      </c>
      <c r="F152" s="19">
        <f>F132+F137+F142+F147</f>
        <v/>
      </c>
      <c r="G152" s="19">
        <f>G132+G137+G142+G147</f>
        <v/>
      </c>
      <c r="H152" s="19">
        <f>H132+H137+H142+H147</f>
        <v/>
      </c>
      <c r="I152" s="19">
        <f>I132+I137+I142+I147</f>
        <v/>
      </c>
    </row>
    <row r="153">
      <c r="A153" s="10" t="inlineStr">
        <is>
          <t>Total Year 5, excl. VAT</t>
        </is>
      </c>
      <c r="B153" s="19">
        <f>B133+B138+B143+B148</f>
        <v/>
      </c>
      <c r="C153" s="19">
        <f>C133+C138+C143+C148</f>
        <v/>
      </c>
      <c r="D153" s="19">
        <f>D133+D138+D143+D148</f>
        <v/>
      </c>
      <c r="E153" s="19">
        <f>E133+E138+E143+E148</f>
        <v/>
      </c>
      <c r="F153" s="19">
        <f>F133+F138+F143+F148</f>
        <v/>
      </c>
      <c r="G153" s="19">
        <f>G133+G138+G143+G148</f>
        <v/>
      </c>
      <c r="H153" s="19">
        <f>H133+H138+H143+H148</f>
        <v/>
      </c>
      <c r="I153" s="19">
        <f>I133+I138+I143+I148</f>
        <v/>
      </c>
    </row>
    <row r="154">
      <c r="A154" s="10" t="inlineStr">
        <is>
          <t>Total for the contract term, excl. VAT</t>
        </is>
      </c>
      <c r="B154" s="20">
        <f>IF($B$106&gt;=1,B149,0)+IF($B$106&gt;=2,B150,0)+IF($B$106&gt;=3,B151,0)+IF($B$106&gt;=4,B152,0)+IF($B$106&gt;=5,B153,0)</f>
        <v/>
      </c>
      <c r="C154" s="20">
        <f>IF($C$106&gt;=1,C149,0)+IF($C$106&gt;=2,C150,0)+IF($C$106&gt;=3,C151,0)+IF($C$106&gt;=4,C152,0)+IF($C$106&gt;=5,C153,0)</f>
        <v/>
      </c>
      <c r="D154" s="20">
        <f>IF($D$106&gt;=1,D149,0)+IF($D$106&gt;=2,D150,0)+IF($D$106&gt;=3,D151,0)+IF($D$106&gt;=4,D152,0)+IF($D$106&gt;=5,D153,0)</f>
        <v/>
      </c>
      <c r="E154" s="20">
        <f>IF($E$106&gt;=1,E149,0)+IF($E$106&gt;=2,E150,0)+IF($E$106&gt;=3,E151,0)+IF($E$106&gt;=4,E152,0)+IF($E$106&gt;=5,E153,0)</f>
        <v/>
      </c>
      <c r="F154" s="20">
        <f>IF($F$106&gt;=1,F149,0)+IF($F$106&gt;=2,F150,0)+IF($F$106&gt;=3,F151,0)+IF($F$106&gt;=4,F152,0)+IF($F$106&gt;=5,F153,0)</f>
        <v/>
      </c>
      <c r="G154" s="20">
        <f>IF($G$106&gt;=1,G149,0)+IF($G$106&gt;=2,G150,0)+IF($G$106&gt;=3,G151,0)+IF($G$106&gt;=4,G152,0)+IF($G$106&gt;=5,G153,0)</f>
        <v/>
      </c>
      <c r="H154" s="20">
        <f>IF($H$106&gt;=1,H149,0)+IF($H$106&gt;=2,H150,0)+IF($H$106&gt;=3,H151,0)+IF($H$106&gt;=4,H152,0)+IF($H$106&gt;=5,H153,0)</f>
        <v/>
      </c>
      <c r="I154" s="20">
        <f>IF($I$106&gt;=1,I149,0)+IF($I$106&gt;=2,I150,0)+IF($I$106&gt;=3,I151,0)+IF($I$106&gt;=4,I152,0)+IF($I$106&gt;=5,I153,0)</f>
        <v/>
      </c>
    </row>
    <row r="155">
      <c r="A155" s="10" t="inlineStr">
        <is>
          <t>5-year total cost, excl. VAT</t>
        </is>
      </c>
      <c r="B155" s="20">
        <f>B149+B150+B151+B152+B153</f>
        <v/>
      </c>
      <c r="C155" s="20">
        <f>C149+C150+C151+C152+C153</f>
        <v/>
      </c>
      <c r="D155" s="20">
        <f>D149+D150+D151+D152+D153</f>
        <v/>
      </c>
      <c r="E155" s="20">
        <f>E149+E150+E151+E152+E153</f>
        <v/>
      </c>
      <c r="F155" s="20">
        <f>F149+F150+F151+F152+F153</f>
        <v/>
      </c>
      <c r="G155" s="20">
        <f>G149+G150+G151+G152+G153</f>
        <v/>
      </c>
      <c r="H155" s="20">
        <f>H149+H150+H151+H152+H153</f>
        <v/>
      </c>
      <c r="I155" s="20">
        <f>I149+I150+I151+I152+I153</f>
        <v/>
      </c>
    </row>
    <row r="156">
      <c r="A156" s="10" t="inlineStr">
        <is>
          <t>5-year total cost, incl. VAT</t>
        </is>
      </c>
      <c r="B156" s="19">
        <f>B155*(1+VAT)</f>
        <v/>
      </c>
      <c r="C156" s="19">
        <f>C155*(1+VAT)</f>
        <v/>
      </c>
      <c r="D156" s="19">
        <f>D155*(1+VAT)</f>
        <v/>
      </c>
      <c r="E156" s="19">
        <f>E155*(1+VAT)</f>
        <v/>
      </c>
      <c r="F156" s="19">
        <f>F155*(1+VAT)</f>
        <v/>
      </c>
      <c r="G156" s="19">
        <f>G155*(1+VAT)</f>
        <v/>
      </c>
      <c r="H156" s="19">
        <f>H155*(1+VAT)</f>
        <v/>
      </c>
      <c r="I156" s="19">
        <f>I155*(1+VAT)</f>
        <v/>
      </c>
    </row>
    <row r="157">
      <c r="A157" s="10" t="inlineStr">
        <is>
          <t>5-year total cost, USD reference</t>
        </is>
      </c>
      <c r="B157" s="19">
        <f>B155/FX</f>
        <v/>
      </c>
      <c r="C157" s="19">
        <f>C155/FX</f>
        <v/>
      </c>
      <c r="D157" s="19">
        <f>D155/FX</f>
        <v/>
      </c>
      <c r="E157" s="19">
        <f>E155/FX</f>
        <v/>
      </c>
      <c r="F157" s="19">
        <f>F155/FX</f>
        <v/>
      </c>
      <c r="G157" s="19">
        <f>G155/FX</f>
        <v/>
      </c>
      <c r="H157" s="19">
        <f>H155/FX</f>
        <v/>
      </c>
      <c r="I157" s="19">
        <f>I155/FX</f>
        <v/>
      </c>
    </row>
    <row r="160">
      <c r="A160" s="6" t="inlineStr">
        <is>
          <t>Large tier: 180 users, 12 lines of business</t>
        </is>
      </c>
      <c r="B160" s="7" t="n"/>
      <c r="C160" s="7" t="n"/>
      <c r="D160" s="7" t="n"/>
      <c r="E160" s="7" t="n"/>
      <c r="F160" s="7" t="n"/>
      <c r="G160" s="7" t="n"/>
      <c r="H160" s="7" t="n"/>
      <c r="I160" s="7" t="n"/>
    </row>
    <row r="161" ht="32" customHeight="1">
      <c r="A161" s="3" t="inlineStr">
        <is>
          <t>Line</t>
        </is>
      </c>
      <c r="B161" s="3" t="inlineStr">
        <is>
          <t>Essentials, list</t>
        </is>
      </c>
      <c r="C161" s="25" t="inlineStr">
        <is>
          <t>Essentials, floor</t>
        </is>
      </c>
      <c r="D161" s="3" t="inlineStr">
        <is>
          <t>Standard, list</t>
        </is>
      </c>
      <c r="E161" s="25" t="inlineStr">
        <is>
          <t>Standard, floor</t>
        </is>
      </c>
      <c r="F161" s="3" t="inlineStr">
        <is>
          <t>Ownership, list</t>
        </is>
      </c>
      <c r="G161" s="25" t="inlineStr">
        <is>
          <t>Ownership, floor</t>
        </is>
      </c>
      <c r="H161" s="3" t="inlineStr">
        <is>
          <t>Ownership Plus, list</t>
        </is>
      </c>
      <c r="I161" s="25" t="inlineStr">
        <is>
          <t>Ownership Plus, floor</t>
        </is>
      </c>
    </row>
    <row r="162" ht="62" customHeight="1">
      <c r="A162" s="16" t="inlineStr">
        <is>
          <t>What it is</t>
        </is>
      </c>
      <c r="B162" s="5" t="inlineStr">
        <is>
          <t>Subscription; the client hosts; standard support; 3-year term.</t>
        </is>
      </c>
      <c r="C162" s="9" t="n"/>
      <c r="D162" s="5" t="inlineStr">
        <is>
          <t>Subscription hosted by iorta TechNXT on AWS (Singapore); 3-year term.</t>
        </is>
      </c>
      <c r="E162" s="9" t="n"/>
      <c r="F162" s="5" t="inlineStr">
        <is>
          <t>Perpetual licence with AMC, hosted on AWS (Singapore); 5-year view.</t>
        </is>
      </c>
      <c r="G162" s="9" t="n"/>
      <c r="H162" s="5" t="inlineStr">
        <is>
          <t>Perpetual with AMC, hosted in the Philippines, 24x7 Severity 1 support, 2 extra training days, 1 legacy source migrated.</t>
        </is>
      </c>
      <c r="I162" s="9" t="n"/>
    </row>
    <row r="163">
      <c r="A163" s="10" t="inlineStr">
        <is>
          <t>Named users</t>
        </is>
      </c>
      <c r="B163" s="24">
        <f>'Price Basis'!J29</f>
        <v/>
      </c>
      <c r="C163" s="24">
        <f>'Price Basis'!J29</f>
        <v/>
      </c>
      <c r="D163" s="24">
        <f>'Price Basis'!J29</f>
        <v/>
      </c>
      <c r="E163" s="24">
        <f>'Price Basis'!J29</f>
        <v/>
      </c>
      <c r="F163" s="24">
        <f>'Price Basis'!J29</f>
        <v/>
      </c>
      <c r="G163" s="24">
        <f>'Price Basis'!J29</f>
        <v/>
      </c>
      <c r="H163" s="24">
        <f>'Price Basis'!J29</f>
        <v/>
      </c>
      <c r="I163" s="24">
        <f>'Price Basis'!J29</f>
        <v/>
      </c>
    </row>
    <row r="164">
      <c r="A164" s="10" t="inlineStr">
        <is>
          <t>Lines of business</t>
        </is>
      </c>
      <c r="B164" s="24">
        <f>'Price Basis'!H29</f>
        <v/>
      </c>
      <c r="C164" s="24">
        <f>'Price Basis'!H29</f>
        <v/>
      </c>
      <c r="D164" s="24">
        <f>'Price Basis'!H29</f>
        <v/>
      </c>
      <c r="E164" s="24">
        <f>'Price Basis'!H29</f>
        <v/>
      </c>
      <c r="F164" s="24">
        <f>'Price Basis'!H29</f>
        <v/>
      </c>
      <c r="G164" s="24">
        <f>'Price Basis'!H29</f>
        <v/>
      </c>
      <c r="H164" s="24">
        <f>'Price Basis'!H29</f>
        <v/>
      </c>
      <c r="I164" s="24">
        <f>'Price Basis'!H29</f>
        <v/>
      </c>
    </row>
    <row r="165">
      <c r="A165" s="10" t="inlineStr">
        <is>
          <t>Licence model</t>
        </is>
      </c>
      <c r="B165" s="10" t="inlineStr">
        <is>
          <t>Subscription</t>
        </is>
      </c>
      <c r="C165" s="10" t="inlineStr">
        <is>
          <t>Subscription</t>
        </is>
      </c>
      <c r="D165" s="10" t="inlineStr">
        <is>
          <t>Subscription</t>
        </is>
      </c>
      <c r="E165" s="10" t="inlineStr">
        <is>
          <t>Subscription</t>
        </is>
      </c>
      <c r="F165" s="10" t="inlineStr">
        <is>
          <t>Perpetual</t>
        </is>
      </c>
      <c r="G165" s="10" t="inlineStr">
        <is>
          <t>Perpetual</t>
        </is>
      </c>
      <c r="H165" s="10" t="inlineStr">
        <is>
          <t>Perpetual</t>
        </is>
      </c>
      <c r="I165" s="10" t="inlineStr">
        <is>
          <t>Perpetual</t>
        </is>
      </c>
    </row>
    <row r="166">
      <c r="A166" s="10" t="inlineStr">
        <is>
          <t>Hosting</t>
        </is>
      </c>
      <c r="B166" s="10" t="inlineStr">
        <is>
          <t>Self-hosted</t>
        </is>
      </c>
      <c r="C166" s="10" t="inlineStr">
        <is>
          <t>Self-hosted</t>
        </is>
      </c>
      <c r="D166" s="10" t="inlineStr">
        <is>
          <t>AWS</t>
        </is>
      </c>
      <c r="E166" s="10" t="inlineStr">
        <is>
          <t>AWS</t>
        </is>
      </c>
      <c r="F166" s="10" t="inlineStr">
        <is>
          <t>AWS</t>
        </is>
      </c>
      <c r="G166" s="10" t="inlineStr">
        <is>
          <t>AWS</t>
        </is>
      </c>
      <c r="H166" s="10" t="inlineStr">
        <is>
          <t>Local partner</t>
        </is>
      </c>
      <c r="I166" s="10" t="inlineStr">
        <is>
          <t>Local partner</t>
        </is>
      </c>
    </row>
    <row r="167">
      <c r="A167" s="10" t="inlineStr">
        <is>
          <t>24x7 Severity 1 support</t>
        </is>
      </c>
      <c r="B167" s="10" t="inlineStr">
        <is>
          <t>No</t>
        </is>
      </c>
      <c r="C167" s="10" t="inlineStr">
        <is>
          <t>No</t>
        </is>
      </c>
      <c r="D167" s="10" t="inlineStr">
        <is>
          <t>No</t>
        </is>
      </c>
      <c r="E167" s="10" t="inlineStr">
        <is>
          <t>No</t>
        </is>
      </c>
      <c r="F167" s="10" t="inlineStr">
        <is>
          <t>No</t>
        </is>
      </c>
      <c r="G167" s="10" t="inlineStr">
        <is>
          <t>No</t>
        </is>
      </c>
      <c r="H167" s="10" t="inlineStr">
        <is>
          <t>Yes</t>
        </is>
      </c>
      <c r="I167" s="10" t="inlineStr">
        <is>
          <t>Yes</t>
        </is>
      </c>
    </row>
    <row r="168">
      <c r="A168" s="10" t="inlineStr">
        <is>
          <t>Extra training days</t>
        </is>
      </c>
      <c r="B168" s="24" t="n">
        <v>0</v>
      </c>
      <c r="C168" s="24" t="n">
        <v>0</v>
      </c>
      <c r="D168" s="24" t="n">
        <v>0</v>
      </c>
      <c r="E168" s="24" t="n">
        <v>0</v>
      </c>
      <c r="F168" s="24" t="n">
        <v>0</v>
      </c>
      <c r="G168" s="24" t="n">
        <v>0</v>
      </c>
      <c r="H168" s="24" t="n">
        <v>2</v>
      </c>
      <c r="I168" s="24" t="n">
        <v>2</v>
      </c>
    </row>
    <row r="169">
      <c r="A169" s="10" t="inlineStr">
        <is>
          <t>Legacy data sources migrated</t>
        </is>
      </c>
      <c r="B169" s="24" t="n">
        <v>0</v>
      </c>
      <c r="C169" s="24" t="n">
        <v>0</v>
      </c>
      <c r="D169" s="24" t="n">
        <v>0</v>
      </c>
      <c r="E169" s="24" t="n">
        <v>0</v>
      </c>
      <c r="F169" s="24" t="n">
        <v>0</v>
      </c>
      <c r="G169" s="24" t="n">
        <v>0</v>
      </c>
      <c r="H169" s="24" t="n">
        <v>1</v>
      </c>
      <c r="I169" s="24" t="n">
        <v>1</v>
      </c>
    </row>
    <row r="170">
      <c r="A170" s="10" t="inlineStr">
        <is>
          <t>Additional standard integrations</t>
        </is>
      </c>
      <c r="B170" s="24" t="n">
        <v>0</v>
      </c>
      <c r="C170" s="24" t="n">
        <v>0</v>
      </c>
      <c r="D170" s="24" t="n">
        <v>0</v>
      </c>
      <c r="E170" s="24" t="n">
        <v>0</v>
      </c>
      <c r="F170" s="24" t="n">
        <v>0</v>
      </c>
      <c r="G170" s="24" t="n">
        <v>0</v>
      </c>
      <c r="H170" s="24" t="n">
        <v>0</v>
      </c>
      <c r="I170" s="24" t="n">
        <v>0</v>
      </c>
    </row>
    <row r="171">
      <c r="A171" s="10" t="inlineStr">
        <is>
          <t>Additional complex integrations</t>
        </is>
      </c>
      <c r="B171" s="24" t="n">
        <v>0</v>
      </c>
      <c r="C171" s="24" t="n">
        <v>0</v>
      </c>
      <c r="D171" s="24" t="n">
        <v>0</v>
      </c>
      <c r="E171" s="24" t="n">
        <v>0</v>
      </c>
      <c r="F171" s="24" t="n">
        <v>0</v>
      </c>
      <c r="G171" s="24" t="n">
        <v>0</v>
      </c>
      <c r="H171" s="24" t="n">
        <v>0</v>
      </c>
      <c r="I171" s="24" t="n">
        <v>0</v>
      </c>
    </row>
    <row r="172">
      <c r="A172" s="10" t="inlineStr">
        <is>
          <t>Additional environments</t>
        </is>
      </c>
      <c r="B172" s="24" t="n">
        <v>0</v>
      </c>
      <c r="C172" s="24" t="n">
        <v>0</v>
      </c>
      <c r="D172" s="24" t="n">
        <v>0</v>
      </c>
      <c r="E172" s="24" t="n">
        <v>0</v>
      </c>
      <c r="F172" s="24" t="n">
        <v>0</v>
      </c>
      <c r="G172" s="24" t="n">
        <v>0</v>
      </c>
      <c r="H172" s="24" t="n">
        <v>0</v>
      </c>
      <c r="I172" s="24" t="n">
        <v>0</v>
      </c>
    </row>
    <row r="173">
      <c r="A173" s="10" t="inlineStr">
        <is>
          <t>On-site days</t>
        </is>
      </c>
      <c r="B173" s="24" t="n">
        <v>0</v>
      </c>
      <c r="C173" s="24" t="n">
        <v>0</v>
      </c>
      <c r="D173" s="24" t="n">
        <v>0</v>
      </c>
      <c r="E173" s="24" t="n">
        <v>0</v>
      </c>
      <c r="F173" s="24" t="n">
        <v>0</v>
      </c>
      <c r="G173" s="24" t="n">
        <v>0</v>
      </c>
      <c r="H173" s="24" t="n">
        <v>0</v>
      </c>
      <c r="I173" s="24" t="n">
        <v>0</v>
      </c>
    </row>
    <row r="174">
      <c r="A174" s="10" t="inlineStr">
        <is>
          <t>Contract term (years)</t>
        </is>
      </c>
      <c r="B174" s="24" t="n">
        <v>3</v>
      </c>
      <c r="C174" s="24" t="n">
        <v>3</v>
      </c>
      <c r="D174" s="24" t="n">
        <v>3</v>
      </c>
      <c r="E174" s="24" t="n">
        <v>3</v>
      </c>
      <c r="F174" s="24" t="n">
        <v>5</v>
      </c>
      <c r="G174" s="24" t="n">
        <v>5</v>
      </c>
      <c r="H174" s="24" t="n">
        <v>5</v>
      </c>
      <c r="I174" s="24" t="n">
        <v>5</v>
      </c>
    </row>
    <row r="175">
      <c r="A175" s="10" t="inlineStr">
        <is>
          <t>Discount on licence or subscription</t>
        </is>
      </c>
      <c r="B175" s="27" t="n">
        <v>0</v>
      </c>
      <c r="C175" s="28">
        <f>Floor_SW</f>
        <v/>
      </c>
      <c r="D175" s="27" t="n">
        <v>0</v>
      </c>
      <c r="E175" s="28">
        <f>Floor_SW</f>
        <v/>
      </c>
      <c r="F175" s="27" t="n">
        <v>0</v>
      </c>
      <c r="G175" s="28">
        <f>Floor_SW</f>
        <v/>
      </c>
      <c r="H175" s="27" t="n">
        <v>0</v>
      </c>
      <c r="I175" s="28">
        <f>Floor_SW</f>
        <v/>
      </c>
    </row>
    <row r="176">
      <c r="A176" s="10" t="inlineStr">
        <is>
          <t>Discount on implementation and services</t>
        </is>
      </c>
      <c r="B176" s="27" t="n">
        <v>0</v>
      </c>
      <c r="C176" s="28">
        <f>Floor_Svc</f>
        <v/>
      </c>
      <c r="D176" s="27" t="n">
        <v>0</v>
      </c>
      <c r="E176" s="28">
        <f>Floor_Svc</f>
        <v/>
      </c>
      <c r="F176" s="27" t="n">
        <v>0</v>
      </c>
      <c r="G176" s="28">
        <f>Floor_Svc</f>
        <v/>
      </c>
      <c r="H176" s="27" t="n">
        <v>0</v>
      </c>
      <c r="I176" s="28">
        <f>Floor_Svc</f>
        <v/>
      </c>
    </row>
    <row r="177">
      <c r="A177" s="10" t="inlineStr">
        <is>
          <t>Discount on hosting</t>
        </is>
      </c>
      <c r="B177" s="27" t="n">
        <v>0</v>
      </c>
      <c r="C177" s="28">
        <f>Floor_Host</f>
        <v/>
      </c>
      <c r="D177" s="27" t="n">
        <v>0</v>
      </c>
      <c r="E177" s="28">
        <f>Floor_Host</f>
        <v/>
      </c>
      <c r="F177" s="27" t="n">
        <v>0</v>
      </c>
      <c r="G177" s="28">
        <f>Floor_Host</f>
        <v/>
      </c>
      <c r="H177" s="27" t="n">
        <v>0</v>
      </c>
      <c r="I177" s="28">
        <f>Floor_Host</f>
        <v/>
      </c>
    </row>
    <row r="178">
      <c r="A178" s="10" t="inlineStr">
        <is>
          <t>Tier index</t>
        </is>
      </c>
      <c r="B178" s="24">
        <f>MATCH($B$163,TierFrom,1)</f>
        <v/>
      </c>
      <c r="C178" s="24">
        <f>MATCH($C$163,TierFrom,1)</f>
        <v/>
      </c>
      <c r="D178" s="24">
        <f>MATCH($D$163,TierFrom,1)</f>
        <v/>
      </c>
      <c r="E178" s="24">
        <f>MATCH($E$163,TierFrom,1)</f>
        <v/>
      </c>
      <c r="F178" s="24">
        <f>MATCH($F$163,TierFrom,1)</f>
        <v/>
      </c>
      <c r="G178" s="24">
        <f>MATCH($G$163,TierFrom,1)</f>
        <v/>
      </c>
      <c r="H178" s="24">
        <f>MATCH($H$163,TierFrom,1)</f>
        <v/>
      </c>
      <c r="I178" s="24">
        <f>MATCH($I$163,TierFrom,1)</f>
        <v/>
      </c>
    </row>
    <row r="179">
      <c r="A179" s="10" t="inlineStr">
        <is>
          <t>Tier</t>
        </is>
      </c>
      <c r="B179" s="10">
        <f>INDEX(TierName,B178)</f>
        <v/>
      </c>
      <c r="C179" s="10">
        <f>INDEX(TierName,C178)</f>
        <v/>
      </c>
      <c r="D179" s="10">
        <f>INDEX(TierName,D178)</f>
        <v/>
      </c>
      <c r="E179" s="10">
        <f>INDEX(TierName,E178)</f>
        <v/>
      </c>
      <c r="F179" s="10">
        <f>INDEX(TierName,F178)</f>
        <v/>
      </c>
      <c r="G179" s="10">
        <f>INDEX(TierName,G178)</f>
        <v/>
      </c>
      <c r="H179" s="10">
        <f>INDEX(TierName,H178)</f>
        <v/>
      </c>
      <c r="I179" s="10">
        <f>INDEX(TierName,I178)</f>
        <v/>
      </c>
    </row>
    <row r="180">
      <c r="A180" s="10" t="inlineStr">
        <is>
          <t>Billable users (subscription minimum applies)</t>
        </is>
      </c>
      <c r="B180" s="24">
        <f>IF($B$165="Subscription",MAX($B$163,INDEX(MinBill,B178)),$B$163)</f>
        <v/>
      </c>
      <c r="C180" s="24">
        <f>IF($C$165="Subscription",MAX($C$163,INDEX(MinBill,C178)),$C$163)</f>
        <v/>
      </c>
      <c r="D180" s="24">
        <f>IF($D$165="Subscription",MAX($D$163,INDEX(MinBill,D178)),$D$163)</f>
        <v/>
      </c>
      <c r="E180" s="24">
        <f>IF($E$165="Subscription",MAX($E$163,INDEX(MinBill,E178)),$E$163)</f>
        <v/>
      </c>
      <c r="F180" s="24">
        <f>IF($F$165="Subscription",MAX($F$163,INDEX(MinBill,F178)),$F$163)</f>
        <v/>
      </c>
      <c r="G180" s="24">
        <f>IF($G$165="Subscription",MAX($G$163,INDEX(MinBill,G178)),$G$163)</f>
        <v/>
      </c>
      <c r="H180" s="24">
        <f>IF($H$165="Subscription",MAX($H$163,INDEX(MinBill,H178)),$H$163)</f>
        <v/>
      </c>
      <c r="I180" s="24">
        <f>IF($I$165="Subscription",MAX($I$163,INDEX(MinBill,I178)),$I$163)</f>
        <v/>
      </c>
    </row>
    <row r="181">
      <c r="A181" s="10" t="inlineStr">
        <is>
          <t>Implementation man-days</t>
        </is>
      </c>
      <c r="B181" s="24">
        <f>INDEX(BaseDays,B178)+MAX(0,$B$164-INDEX(LOBIncl,B178))*Days_per_LOB</f>
        <v/>
      </c>
      <c r="C181" s="24">
        <f>INDEX(BaseDays,C178)+MAX(0,$C$164-INDEX(LOBIncl,C178))*Days_per_LOB</f>
        <v/>
      </c>
      <c r="D181" s="24">
        <f>INDEX(BaseDays,D178)+MAX(0,$D$164-INDEX(LOBIncl,D178))*Days_per_LOB</f>
        <v/>
      </c>
      <c r="E181" s="24">
        <f>INDEX(BaseDays,E178)+MAX(0,$E$164-INDEX(LOBIncl,E178))*Days_per_LOB</f>
        <v/>
      </c>
      <c r="F181" s="24">
        <f>INDEX(BaseDays,F178)+MAX(0,$F$164-INDEX(LOBIncl,F178))*Days_per_LOB</f>
        <v/>
      </c>
      <c r="G181" s="24">
        <f>INDEX(BaseDays,G178)+MAX(0,$G$164-INDEX(LOBIncl,G178))*Days_per_LOB</f>
        <v/>
      </c>
      <c r="H181" s="24">
        <f>INDEX(BaseDays,H178)+MAX(0,$H$164-INDEX(LOBIncl,H178))*Days_per_LOB</f>
        <v/>
      </c>
      <c r="I181" s="24">
        <f>INDEX(BaseDays,I178)+MAX(0,$I$164-INDEX(LOBIncl,I178))*Days_per_LOB</f>
        <v/>
      </c>
    </row>
    <row r="182">
      <c r="A182" s="10" t="inlineStr">
        <is>
          <t>Implementation or onboarding fee, list</t>
        </is>
      </c>
      <c r="B182" s="19">
        <f>ROUND(B181*Blended/Round_To,0)*Round_To*IF($B$165="Subscription",Onboard_Pct,1)</f>
        <v/>
      </c>
      <c r="C182" s="19">
        <f>ROUND(C181*Blended/Round_To,0)*Round_To*IF($C$165="Subscription",Onboard_Pct,1)</f>
        <v/>
      </c>
      <c r="D182" s="19">
        <f>ROUND(D181*Blended/Round_To,0)*Round_To*IF($D$165="Subscription",Onboard_Pct,1)</f>
        <v/>
      </c>
      <c r="E182" s="19">
        <f>ROUND(E181*Blended/Round_To,0)*Round_To*IF($E$165="Subscription",Onboard_Pct,1)</f>
        <v/>
      </c>
      <c r="F182" s="19">
        <f>ROUND(F181*Blended/Round_To,0)*Round_To*IF($F$165="Subscription",Onboard_Pct,1)</f>
        <v/>
      </c>
      <c r="G182" s="19">
        <f>ROUND(G181*Blended/Round_To,0)*Round_To*IF($G$165="Subscription",Onboard_Pct,1)</f>
        <v/>
      </c>
      <c r="H182" s="19">
        <f>ROUND(H181*Blended/Round_To,0)*Round_To*IF($H$165="Subscription",Onboard_Pct,1)</f>
        <v/>
      </c>
      <c r="I182" s="19">
        <f>ROUND(I181*Blended/Round_To,0)*Round_To*IF($I$165="Subscription",Onboard_Pct,1)</f>
        <v/>
      </c>
    </row>
    <row r="183">
      <c r="A183" s="10" t="inlineStr">
        <is>
          <t>Implementation or onboarding fee, quoted</t>
        </is>
      </c>
      <c r="B183" s="19">
        <f>B182*(1-$B$176)</f>
        <v/>
      </c>
      <c r="C183" s="19">
        <f>C182*(1-$C$176)</f>
        <v/>
      </c>
      <c r="D183" s="19">
        <f>D182*(1-$D$176)</f>
        <v/>
      </c>
      <c r="E183" s="19">
        <f>E182*(1-$E$176)</f>
        <v/>
      </c>
      <c r="F183" s="19">
        <f>F182*(1-$F$176)</f>
        <v/>
      </c>
      <c r="G183" s="19">
        <f>G182*(1-$G$176)</f>
        <v/>
      </c>
      <c r="H183" s="19">
        <f>H182*(1-$H$176)</f>
        <v/>
      </c>
      <c r="I183" s="19">
        <f>I182*(1-$I$176)</f>
        <v/>
      </c>
    </row>
    <row r="184">
      <c r="A184" s="10" t="inlineStr">
        <is>
          <t>Perpetual licence fee, list (one-time)</t>
        </is>
      </c>
      <c r="B184" s="19">
        <f>IF($B$165="Perpetual",MAX(0,MIN($B$163,'Price Basis'!$C$27)-'Price Basis'!$B$27+1)*'Price Basis'!$D$27+MAX(0,MIN($B$163,'Price Basis'!$C$28)-'Price Basis'!$B$28+1)*'Price Basis'!$D$28+MAX(0,MIN($B$163,'Price Basis'!$C$29)-'Price Basis'!$B$29+1)*'Price Basis'!$D$29+MAX(0,MIN($B$163,'Price Basis'!$C$30)-'Price Basis'!$B$30+1)*'Price Basis'!$D$30,0)</f>
        <v/>
      </c>
      <c r="C184" s="19">
        <f>IF($C$165="Perpetual",MAX(0,MIN($C$163,'Price Basis'!$C$27)-'Price Basis'!$B$27+1)*'Price Basis'!$D$27+MAX(0,MIN($C$163,'Price Basis'!$C$28)-'Price Basis'!$B$28+1)*'Price Basis'!$D$28+MAX(0,MIN($C$163,'Price Basis'!$C$29)-'Price Basis'!$B$29+1)*'Price Basis'!$D$29+MAX(0,MIN($C$163,'Price Basis'!$C$30)-'Price Basis'!$B$30+1)*'Price Basis'!$D$30,0)</f>
        <v/>
      </c>
      <c r="D184" s="19">
        <f>IF($D$165="Perpetual",MAX(0,MIN($D$163,'Price Basis'!$C$27)-'Price Basis'!$B$27+1)*'Price Basis'!$D$27+MAX(0,MIN($D$163,'Price Basis'!$C$28)-'Price Basis'!$B$28+1)*'Price Basis'!$D$28+MAX(0,MIN($D$163,'Price Basis'!$C$29)-'Price Basis'!$B$29+1)*'Price Basis'!$D$29+MAX(0,MIN($D$163,'Price Basis'!$C$30)-'Price Basis'!$B$30+1)*'Price Basis'!$D$30,0)</f>
        <v/>
      </c>
      <c r="E184" s="19">
        <f>IF($E$165="Perpetual",MAX(0,MIN($E$163,'Price Basis'!$C$27)-'Price Basis'!$B$27+1)*'Price Basis'!$D$27+MAX(0,MIN($E$163,'Price Basis'!$C$28)-'Price Basis'!$B$28+1)*'Price Basis'!$D$28+MAX(0,MIN($E$163,'Price Basis'!$C$29)-'Price Basis'!$B$29+1)*'Price Basis'!$D$29+MAX(0,MIN($E$163,'Price Basis'!$C$30)-'Price Basis'!$B$30+1)*'Price Basis'!$D$30,0)</f>
        <v/>
      </c>
      <c r="F184" s="19">
        <f>IF($F$165="Perpetual",MAX(0,MIN($F$163,'Price Basis'!$C$27)-'Price Basis'!$B$27+1)*'Price Basis'!$D$27+MAX(0,MIN($F$163,'Price Basis'!$C$28)-'Price Basis'!$B$28+1)*'Price Basis'!$D$28+MAX(0,MIN($F$163,'Price Basis'!$C$29)-'Price Basis'!$B$29+1)*'Price Basis'!$D$29+MAX(0,MIN($F$163,'Price Basis'!$C$30)-'Price Basis'!$B$30+1)*'Price Basis'!$D$30,0)</f>
        <v/>
      </c>
      <c r="G184" s="19">
        <f>IF($G$165="Perpetual",MAX(0,MIN($G$163,'Price Basis'!$C$27)-'Price Basis'!$B$27+1)*'Price Basis'!$D$27+MAX(0,MIN($G$163,'Price Basis'!$C$28)-'Price Basis'!$B$28+1)*'Price Basis'!$D$28+MAX(0,MIN($G$163,'Price Basis'!$C$29)-'Price Basis'!$B$29+1)*'Price Basis'!$D$29+MAX(0,MIN($G$163,'Price Basis'!$C$30)-'Price Basis'!$B$30+1)*'Price Basis'!$D$30,0)</f>
        <v/>
      </c>
      <c r="H184" s="19">
        <f>IF($H$165="Perpetual",MAX(0,MIN($H$163,'Price Basis'!$C$27)-'Price Basis'!$B$27+1)*'Price Basis'!$D$27+MAX(0,MIN($H$163,'Price Basis'!$C$28)-'Price Basis'!$B$28+1)*'Price Basis'!$D$28+MAX(0,MIN($H$163,'Price Basis'!$C$29)-'Price Basis'!$B$29+1)*'Price Basis'!$D$29+MAX(0,MIN($H$163,'Price Basis'!$C$30)-'Price Basis'!$B$30+1)*'Price Basis'!$D$30,0)</f>
        <v/>
      </c>
      <c r="I184" s="19">
        <f>IF($I$165="Perpetual",MAX(0,MIN($I$163,'Price Basis'!$C$27)-'Price Basis'!$B$27+1)*'Price Basis'!$D$27+MAX(0,MIN($I$163,'Price Basis'!$C$28)-'Price Basis'!$B$28+1)*'Price Basis'!$D$28+MAX(0,MIN($I$163,'Price Basis'!$C$29)-'Price Basis'!$B$29+1)*'Price Basis'!$D$29+MAX(0,MIN($I$163,'Price Basis'!$C$30)-'Price Basis'!$B$30+1)*'Price Basis'!$D$30,0)</f>
        <v/>
      </c>
    </row>
    <row r="185">
      <c r="A185" s="10" t="inlineStr">
        <is>
          <t>Perpetual licence fee, quoted (one-time)</t>
        </is>
      </c>
      <c r="B185" s="19">
        <f>B184*(1-$B$175)</f>
        <v/>
      </c>
      <c r="C185" s="19">
        <f>C184*(1-$C$175)</f>
        <v/>
      </c>
      <c r="D185" s="19">
        <f>D184*(1-$D$175)</f>
        <v/>
      </c>
      <c r="E185" s="19">
        <f>E184*(1-$E$175)</f>
        <v/>
      </c>
      <c r="F185" s="19">
        <f>F184*(1-$F$175)</f>
        <v/>
      </c>
      <c r="G185" s="19">
        <f>G184*(1-$G$175)</f>
        <v/>
      </c>
      <c r="H185" s="19">
        <f>H184*(1-$H$175)</f>
        <v/>
      </c>
      <c r="I185" s="19">
        <f>I184*(1-$I$175)</f>
        <v/>
      </c>
    </row>
    <row r="186">
      <c r="A186" s="10" t="inlineStr">
        <is>
          <t>Subscription per month, Year 1, list</t>
        </is>
      </c>
      <c r="B186" s="19">
        <f>IF($B$165="Subscription",MAX(0,MIN(B180,'Price Basis'!$C$27)-'Price Basis'!$B$27+1)*'Price Basis'!$E$27+MAX(0,MIN(B180,'Price Basis'!$C$28)-'Price Basis'!$B$28+1)*'Price Basis'!$E$28+MAX(0,MIN(B180,'Price Basis'!$C$29)-'Price Basis'!$B$29+1)*'Price Basis'!$E$29+MAX(0,MIN(B180,'Price Basis'!$C$30)-'Price Basis'!$B$30+1)*'Price Basis'!$E$30,0)</f>
        <v/>
      </c>
      <c r="C186" s="19">
        <f>IF($C$165="Subscription",MAX(0,MIN(C180,'Price Basis'!$C$27)-'Price Basis'!$B$27+1)*'Price Basis'!$E$27+MAX(0,MIN(C180,'Price Basis'!$C$28)-'Price Basis'!$B$28+1)*'Price Basis'!$E$28+MAX(0,MIN(C180,'Price Basis'!$C$29)-'Price Basis'!$B$29+1)*'Price Basis'!$E$29+MAX(0,MIN(C180,'Price Basis'!$C$30)-'Price Basis'!$B$30+1)*'Price Basis'!$E$30,0)</f>
        <v/>
      </c>
      <c r="D186" s="19">
        <f>IF($D$165="Subscription",MAX(0,MIN(D180,'Price Basis'!$C$27)-'Price Basis'!$B$27+1)*'Price Basis'!$E$27+MAX(0,MIN(D180,'Price Basis'!$C$28)-'Price Basis'!$B$28+1)*'Price Basis'!$E$28+MAX(0,MIN(D180,'Price Basis'!$C$29)-'Price Basis'!$B$29+1)*'Price Basis'!$E$29+MAX(0,MIN(D180,'Price Basis'!$C$30)-'Price Basis'!$B$30+1)*'Price Basis'!$E$30,0)</f>
        <v/>
      </c>
      <c r="E186" s="19">
        <f>IF($E$165="Subscription",MAX(0,MIN(E180,'Price Basis'!$C$27)-'Price Basis'!$B$27+1)*'Price Basis'!$E$27+MAX(0,MIN(E180,'Price Basis'!$C$28)-'Price Basis'!$B$28+1)*'Price Basis'!$E$28+MAX(0,MIN(E180,'Price Basis'!$C$29)-'Price Basis'!$B$29+1)*'Price Basis'!$E$29+MAX(0,MIN(E180,'Price Basis'!$C$30)-'Price Basis'!$B$30+1)*'Price Basis'!$E$30,0)</f>
        <v/>
      </c>
      <c r="F186" s="19">
        <f>IF($F$165="Subscription",MAX(0,MIN(F180,'Price Basis'!$C$27)-'Price Basis'!$B$27+1)*'Price Basis'!$E$27+MAX(0,MIN(F180,'Price Basis'!$C$28)-'Price Basis'!$B$28+1)*'Price Basis'!$E$28+MAX(0,MIN(F180,'Price Basis'!$C$29)-'Price Basis'!$B$29+1)*'Price Basis'!$E$29+MAX(0,MIN(F180,'Price Basis'!$C$30)-'Price Basis'!$B$30+1)*'Price Basis'!$E$30,0)</f>
        <v/>
      </c>
      <c r="G186" s="19">
        <f>IF($G$165="Subscription",MAX(0,MIN(G180,'Price Basis'!$C$27)-'Price Basis'!$B$27+1)*'Price Basis'!$E$27+MAX(0,MIN(G180,'Price Basis'!$C$28)-'Price Basis'!$B$28+1)*'Price Basis'!$E$28+MAX(0,MIN(G180,'Price Basis'!$C$29)-'Price Basis'!$B$29+1)*'Price Basis'!$E$29+MAX(0,MIN(G180,'Price Basis'!$C$30)-'Price Basis'!$B$30+1)*'Price Basis'!$E$30,0)</f>
        <v/>
      </c>
      <c r="H186" s="19">
        <f>IF($H$165="Subscription",MAX(0,MIN(H180,'Price Basis'!$C$27)-'Price Basis'!$B$27+1)*'Price Basis'!$E$27+MAX(0,MIN(H180,'Price Basis'!$C$28)-'Price Basis'!$B$28+1)*'Price Basis'!$E$28+MAX(0,MIN(H180,'Price Basis'!$C$29)-'Price Basis'!$B$29+1)*'Price Basis'!$E$29+MAX(0,MIN(H180,'Price Basis'!$C$30)-'Price Basis'!$B$30+1)*'Price Basis'!$E$30,0)</f>
        <v/>
      </c>
      <c r="I186" s="19">
        <f>IF($I$165="Subscription",MAX(0,MIN(I180,'Price Basis'!$C$27)-'Price Basis'!$B$27+1)*'Price Basis'!$E$27+MAX(0,MIN(I180,'Price Basis'!$C$28)-'Price Basis'!$B$28+1)*'Price Basis'!$E$28+MAX(0,MIN(I180,'Price Basis'!$C$29)-'Price Basis'!$B$29+1)*'Price Basis'!$E$29+MAX(0,MIN(I180,'Price Basis'!$C$30)-'Price Basis'!$B$30+1)*'Price Basis'!$E$30,0)</f>
        <v/>
      </c>
    </row>
    <row r="187">
      <c r="A187" s="10" t="inlineStr">
        <is>
          <t>Subscription per month, Year 1, quoted</t>
        </is>
      </c>
      <c r="B187" s="19">
        <f>B186*(1-$B$175)</f>
        <v/>
      </c>
      <c r="C187" s="19">
        <f>C186*(1-$C$175)</f>
        <v/>
      </c>
      <c r="D187" s="19">
        <f>D186*(1-$D$175)</f>
        <v/>
      </c>
      <c r="E187" s="19">
        <f>E186*(1-$E$175)</f>
        <v/>
      </c>
      <c r="F187" s="19">
        <f>F186*(1-$F$175)</f>
        <v/>
      </c>
      <c r="G187" s="19">
        <f>G186*(1-$G$175)</f>
        <v/>
      </c>
      <c r="H187" s="19">
        <f>H186*(1-$H$175)</f>
        <v/>
      </c>
      <c r="I187" s="19">
        <f>I186*(1-$I$175)</f>
        <v/>
      </c>
    </row>
    <row r="188">
      <c r="A188" s="10" t="inlineStr">
        <is>
          <t>Effective price per user (licence one-time, or subscription per month)</t>
        </is>
      </c>
      <c r="B188" s="19">
        <f>IF($B$165="Perpetual",B185/$B$163,B187/B180)</f>
        <v/>
      </c>
      <c r="C188" s="19">
        <f>IF($C$165="Perpetual",C185/$C$163,C187/C180)</f>
        <v/>
      </c>
      <c r="D188" s="19">
        <f>IF($D$165="Perpetual",D185/$D$163,D187/D180)</f>
        <v/>
      </c>
      <c r="E188" s="19">
        <f>IF($E$165="Perpetual",E185/$E$163,E187/E180)</f>
        <v/>
      </c>
      <c r="F188" s="19">
        <f>IF($F$165="Perpetual",F185/$F$163,F187/F180)</f>
        <v/>
      </c>
      <c r="G188" s="19">
        <f>IF($G$165="Perpetual",G185/$G$163,G187/G180)</f>
        <v/>
      </c>
      <c r="H188" s="19">
        <f>IF($H$165="Perpetual",H185/$H$163,H187/H180)</f>
        <v/>
      </c>
      <c r="I188" s="19">
        <f>IF($I$165="Perpetual",I185/$I$163,I187/I180)</f>
        <v/>
      </c>
    </row>
    <row r="189">
      <c r="A189" s="10" t="inlineStr">
        <is>
          <t>Hosting per month, list</t>
        </is>
      </c>
      <c r="B189" s="19">
        <f>INDEX(Host_Tbl,B178,MATCH($B$166,Host_Hdr,0))</f>
        <v/>
      </c>
      <c r="C189" s="19">
        <f>INDEX(Host_Tbl,C178,MATCH($C$166,Host_Hdr,0))</f>
        <v/>
      </c>
      <c r="D189" s="19">
        <f>INDEX(Host_Tbl,D178,MATCH($D$166,Host_Hdr,0))</f>
        <v/>
      </c>
      <c r="E189" s="19">
        <f>INDEX(Host_Tbl,E178,MATCH($E$166,Host_Hdr,0))</f>
        <v/>
      </c>
      <c r="F189" s="19">
        <f>INDEX(Host_Tbl,F178,MATCH($F$166,Host_Hdr,0))</f>
        <v/>
      </c>
      <c r="G189" s="19">
        <f>INDEX(Host_Tbl,G178,MATCH($G$166,Host_Hdr,0))</f>
        <v/>
      </c>
      <c r="H189" s="19">
        <f>INDEX(Host_Tbl,H178,MATCH($H$166,Host_Hdr,0))</f>
        <v/>
      </c>
      <c r="I189" s="19">
        <f>INDEX(Host_Tbl,I178,MATCH($I$166,Host_Hdr,0))</f>
        <v/>
      </c>
    </row>
    <row r="190">
      <c r="A190" s="10" t="inlineStr">
        <is>
          <t>Hosting per month, quoted</t>
        </is>
      </c>
      <c r="B190" s="19">
        <f>B189*(1-$B$177)</f>
        <v/>
      </c>
      <c r="C190" s="19">
        <f>C189*(1-$C$177)</f>
        <v/>
      </c>
      <c r="D190" s="19">
        <f>D189*(1-$D$177)</f>
        <v/>
      </c>
      <c r="E190" s="19">
        <f>E189*(1-$E$177)</f>
        <v/>
      </c>
      <c r="F190" s="19">
        <f>F189*(1-$F$177)</f>
        <v/>
      </c>
      <c r="G190" s="19">
        <f>G189*(1-$G$177)</f>
        <v/>
      </c>
      <c r="H190" s="19">
        <f>H189*(1-$H$177)</f>
        <v/>
      </c>
      <c r="I190" s="19">
        <f>I189*(1-$I$177)</f>
        <v/>
      </c>
    </row>
    <row r="191">
      <c r="A191" s="10" t="inlineStr">
        <is>
          <t>Additional hosted environments per month</t>
        </is>
      </c>
      <c r="B191" s="19">
        <f>IF($B$166="Self-hosted",0,$B$172*Env_Month)</f>
        <v/>
      </c>
      <c r="C191" s="19">
        <f>IF($C$166="Self-hosted",0,$C$172*Env_Month)</f>
        <v/>
      </c>
      <c r="D191" s="19">
        <f>IF($D$166="Self-hosted",0,$D$172*Env_Month)</f>
        <v/>
      </c>
      <c r="E191" s="19">
        <f>IF($E$166="Self-hosted",0,$E$172*Env_Month)</f>
        <v/>
      </c>
      <c r="F191" s="19">
        <f>IF($F$166="Self-hosted",0,$F$172*Env_Month)</f>
        <v/>
      </c>
      <c r="G191" s="19">
        <f>IF($G$166="Self-hosted",0,$G$172*Env_Month)</f>
        <v/>
      </c>
      <c r="H191" s="19">
        <f>IF($H$166="Self-hosted",0,$H$172*Env_Month)</f>
        <v/>
      </c>
      <c r="I191" s="19">
        <f>IF($I$166="Self-hosted",0,$I$172*Env_Month)</f>
        <v/>
      </c>
    </row>
    <row r="192">
      <c r="A192" s="10" t="inlineStr">
        <is>
          <t>Monthly recurring at go-live (subscription, hosting, environments)</t>
        </is>
      </c>
      <c r="B192" s="19">
        <f>B187+B190+B191</f>
        <v/>
      </c>
      <c r="C192" s="19">
        <f>C187+C190+C191</f>
        <v/>
      </c>
      <c r="D192" s="19">
        <f>D187+D190+D191</f>
        <v/>
      </c>
      <c r="E192" s="19">
        <f>E187+E190+E191</f>
        <v/>
      </c>
      <c r="F192" s="19">
        <f>F187+F190+F191</f>
        <v/>
      </c>
      <c r="G192" s="19">
        <f>G187+G190+G191</f>
        <v/>
      </c>
      <c r="H192" s="19">
        <f>H187+H190+H191</f>
        <v/>
      </c>
      <c r="I192" s="19">
        <f>I187+I190+I191</f>
        <v/>
      </c>
    </row>
    <row r="193">
      <c r="A193" s="10" t="inlineStr">
        <is>
          <t>One-time optional services, list</t>
        </is>
      </c>
      <c r="B193" s="19">
        <f>$B$168*Rate_Trainer+$B$169*Mig_Source+$B$170*Int_Std+$B$171*Int_Cx+$B$172*Env_Setup+$B$173*Rate_Onsite</f>
        <v/>
      </c>
      <c r="C193" s="19">
        <f>$C$168*Rate_Trainer+$C$169*Mig_Source+$C$170*Int_Std+$C$171*Int_Cx+$C$172*Env_Setup+$C$173*Rate_Onsite</f>
        <v/>
      </c>
      <c r="D193" s="19">
        <f>$D$168*Rate_Trainer+$D$169*Mig_Source+$D$170*Int_Std+$D$171*Int_Cx+$D$172*Env_Setup+$D$173*Rate_Onsite</f>
        <v/>
      </c>
      <c r="E193" s="19">
        <f>$E$168*Rate_Trainer+$E$169*Mig_Source+$E$170*Int_Std+$E$171*Int_Cx+$E$172*Env_Setup+$E$173*Rate_Onsite</f>
        <v/>
      </c>
      <c r="F193" s="19">
        <f>$F$168*Rate_Trainer+$F$169*Mig_Source+$F$170*Int_Std+$F$171*Int_Cx+$F$172*Env_Setup+$F$173*Rate_Onsite</f>
        <v/>
      </c>
      <c r="G193" s="19">
        <f>$G$168*Rate_Trainer+$G$169*Mig_Source+$G$170*Int_Std+$G$171*Int_Cx+$G$172*Env_Setup+$G$173*Rate_Onsite</f>
        <v/>
      </c>
      <c r="H193" s="19">
        <f>$H$168*Rate_Trainer+$H$169*Mig_Source+$H$170*Int_Std+$H$171*Int_Cx+$H$172*Env_Setup+$H$173*Rate_Onsite</f>
        <v/>
      </c>
      <c r="I193" s="19">
        <f>$I$168*Rate_Trainer+$I$169*Mig_Source+$I$170*Int_Std+$I$171*Int_Cx+$I$172*Env_Setup+$I$173*Rate_Onsite</f>
        <v/>
      </c>
    </row>
    <row r="194">
      <c r="A194" s="10" t="inlineStr">
        <is>
          <t>One-time optional services, quoted</t>
        </is>
      </c>
      <c r="B194" s="19">
        <f>B193*(1-$B$176)</f>
        <v/>
      </c>
      <c r="C194" s="19">
        <f>C193*(1-$C$176)</f>
        <v/>
      </c>
      <c r="D194" s="19">
        <f>D193*(1-$D$176)</f>
        <v/>
      </c>
      <c r="E194" s="19">
        <f>E193*(1-$E$176)</f>
        <v/>
      </c>
      <c r="F194" s="19">
        <f>F193*(1-$F$176)</f>
        <v/>
      </c>
      <c r="G194" s="19">
        <f>G193*(1-$G$176)</f>
        <v/>
      </c>
      <c r="H194" s="19">
        <f>H193*(1-$H$176)</f>
        <v/>
      </c>
      <c r="I194" s="19">
        <f>I193*(1-$I$176)</f>
        <v/>
      </c>
    </row>
    <row r="195">
      <c r="A195" s="10" t="inlineStr">
        <is>
          <t>24x7 Severity 1 support per year, Year 1, list</t>
        </is>
      </c>
      <c r="B195" s="19">
        <f>IF($B$167="Yes",INDEX(Sup24,B178),0)</f>
        <v/>
      </c>
      <c r="C195" s="19">
        <f>IF($C$167="Yes",INDEX(Sup24,C178),0)</f>
        <v/>
      </c>
      <c r="D195" s="19">
        <f>IF($D$167="Yes",INDEX(Sup24,D178),0)</f>
        <v/>
      </c>
      <c r="E195" s="19">
        <f>IF($E$167="Yes",INDEX(Sup24,E178),0)</f>
        <v/>
      </c>
      <c r="F195" s="19">
        <f>IF($F$167="Yes",INDEX(Sup24,F178),0)</f>
        <v/>
      </c>
      <c r="G195" s="19">
        <f>IF($G$167="Yes",INDEX(Sup24,G178),0)</f>
        <v/>
      </c>
      <c r="H195" s="19">
        <f>IF($H$167="Yes",INDEX(Sup24,H178),0)</f>
        <v/>
      </c>
      <c r="I195" s="19">
        <f>IF($I$167="Yes",INDEX(Sup24,I178),0)</f>
        <v/>
      </c>
    </row>
    <row r="196">
      <c r="A196" s="10" t="inlineStr">
        <is>
          <t>Training days included</t>
        </is>
      </c>
      <c r="B196" s="24">
        <f>INDEX(TrainDays,B178)</f>
        <v/>
      </c>
      <c r="C196" s="24">
        <f>INDEX(TrainDays,C178)</f>
        <v/>
      </c>
      <c r="D196" s="24">
        <f>INDEX(TrainDays,D178)</f>
        <v/>
      </c>
      <c r="E196" s="24">
        <f>INDEX(TrainDays,E178)</f>
        <v/>
      </c>
      <c r="F196" s="24">
        <f>INDEX(TrainDays,F178)</f>
        <v/>
      </c>
      <c r="G196" s="24">
        <f>INDEX(TrainDays,G178)</f>
        <v/>
      </c>
      <c r="H196" s="24">
        <f>INDEX(TrainDays,H178)</f>
        <v/>
      </c>
      <c r="I196" s="24">
        <f>INDEX(TrainDays,I178)</f>
        <v/>
      </c>
    </row>
    <row r="197">
      <c r="A197" s="10" t="inlineStr">
        <is>
          <t>AMC Year 1</t>
        </is>
      </c>
      <c r="B197" s="19">
        <f>IF(AND($B$165="Perpetual",1&gt;=AMC_Start),B185*AMC_Rate*(1+Esc)^(1-AMC_Start),0)</f>
        <v/>
      </c>
      <c r="C197" s="19">
        <f>IF(AND($C$165="Perpetual",1&gt;=AMC_Start),C185*AMC_Rate*(1+Esc)^(1-AMC_Start),0)</f>
        <v/>
      </c>
      <c r="D197" s="19">
        <f>IF(AND($D$165="Perpetual",1&gt;=AMC_Start),D185*AMC_Rate*(1+Esc)^(1-AMC_Start),0)</f>
        <v/>
      </c>
      <c r="E197" s="19">
        <f>IF(AND($E$165="Perpetual",1&gt;=AMC_Start),E185*AMC_Rate*(1+Esc)^(1-AMC_Start),0)</f>
        <v/>
      </c>
      <c r="F197" s="19">
        <f>IF(AND($F$165="Perpetual",1&gt;=AMC_Start),F185*AMC_Rate*(1+Esc)^(1-AMC_Start),0)</f>
        <v/>
      </c>
      <c r="G197" s="19">
        <f>IF(AND($G$165="Perpetual",1&gt;=AMC_Start),G185*AMC_Rate*(1+Esc)^(1-AMC_Start),0)</f>
        <v/>
      </c>
      <c r="H197" s="19">
        <f>IF(AND($H$165="Perpetual",1&gt;=AMC_Start),H185*AMC_Rate*(1+Esc)^(1-AMC_Start),0)</f>
        <v/>
      </c>
      <c r="I197" s="19">
        <f>IF(AND($I$165="Perpetual",1&gt;=AMC_Start),I185*AMC_Rate*(1+Esc)^(1-AMC_Start),0)</f>
        <v/>
      </c>
    </row>
    <row r="198">
      <c r="A198" s="10" t="inlineStr">
        <is>
          <t>AMC Year 2</t>
        </is>
      </c>
      <c r="B198" s="19">
        <f>IF(AND($B$165="Perpetual",2&gt;=AMC_Start),B185*AMC_Rate*(1+Esc)^(2-AMC_Start),0)</f>
        <v/>
      </c>
      <c r="C198" s="19">
        <f>IF(AND($C$165="Perpetual",2&gt;=AMC_Start),C185*AMC_Rate*(1+Esc)^(2-AMC_Start),0)</f>
        <v/>
      </c>
      <c r="D198" s="19">
        <f>IF(AND($D$165="Perpetual",2&gt;=AMC_Start),D185*AMC_Rate*(1+Esc)^(2-AMC_Start),0)</f>
        <v/>
      </c>
      <c r="E198" s="19">
        <f>IF(AND($E$165="Perpetual",2&gt;=AMC_Start),E185*AMC_Rate*(1+Esc)^(2-AMC_Start),0)</f>
        <v/>
      </c>
      <c r="F198" s="19">
        <f>IF(AND($F$165="Perpetual",2&gt;=AMC_Start),F185*AMC_Rate*(1+Esc)^(2-AMC_Start),0)</f>
        <v/>
      </c>
      <c r="G198" s="19">
        <f>IF(AND($G$165="Perpetual",2&gt;=AMC_Start),G185*AMC_Rate*(1+Esc)^(2-AMC_Start),0)</f>
        <v/>
      </c>
      <c r="H198" s="19">
        <f>IF(AND($H$165="Perpetual",2&gt;=AMC_Start),H185*AMC_Rate*(1+Esc)^(2-AMC_Start),0)</f>
        <v/>
      </c>
      <c r="I198" s="19">
        <f>IF(AND($I$165="Perpetual",2&gt;=AMC_Start),I185*AMC_Rate*(1+Esc)^(2-AMC_Start),0)</f>
        <v/>
      </c>
    </row>
    <row r="199">
      <c r="A199" s="10" t="inlineStr">
        <is>
          <t>AMC Year 3</t>
        </is>
      </c>
      <c r="B199" s="19">
        <f>IF(AND($B$165="Perpetual",3&gt;=AMC_Start),B185*AMC_Rate*(1+Esc)^(3-AMC_Start),0)</f>
        <v/>
      </c>
      <c r="C199" s="19">
        <f>IF(AND($C$165="Perpetual",3&gt;=AMC_Start),C185*AMC_Rate*(1+Esc)^(3-AMC_Start),0)</f>
        <v/>
      </c>
      <c r="D199" s="19">
        <f>IF(AND($D$165="Perpetual",3&gt;=AMC_Start),D185*AMC_Rate*(1+Esc)^(3-AMC_Start),0)</f>
        <v/>
      </c>
      <c r="E199" s="19">
        <f>IF(AND($E$165="Perpetual",3&gt;=AMC_Start),E185*AMC_Rate*(1+Esc)^(3-AMC_Start),0)</f>
        <v/>
      </c>
      <c r="F199" s="19">
        <f>IF(AND($F$165="Perpetual",3&gt;=AMC_Start),F185*AMC_Rate*(1+Esc)^(3-AMC_Start),0)</f>
        <v/>
      </c>
      <c r="G199" s="19">
        <f>IF(AND($G$165="Perpetual",3&gt;=AMC_Start),G185*AMC_Rate*(1+Esc)^(3-AMC_Start),0)</f>
        <v/>
      </c>
      <c r="H199" s="19">
        <f>IF(AND($H$165="Perpetual",3&gt;=AMC_Start),H185*AMC_Rate*(1+Esc)^(3-AMC_Start),0)</f>
        <v/>
      </c>
      <c r="I199" s="19">
        <f>IF(AND($I$165="Perpetual",3&gt;=AMC_Start),I185*AMC_Rate*(1+Esc)^(3-AMC_Start),0)</f>
        <v/>
      </c>
    </row>
    <row r="200">
      <c r="A200" s="10" t="inlineStr">
        <is>
          <t>AMC Year 4</t>
        </is>
      </c>
      <c r="B200" s="19">
        <f>IF(AND($B$165="Perpetual",4&gt;=AMC_Start),B185*AMC_Rate*(1+Esc)^(4-AMC_Start),0)</f>
        <v/>
      </c>
      <c r="C200" s="19">
        <f>IF(AND($C$165="Perpetual",4&gt;=AMC_Start),C185*AMC_Rate*(1+Esc)^(4-AMC_Start),0)</f>
        <v/>
      </c>
      <c r="D200" s="19">
        <f>IF(AND($D$165="Perpetual",4&gt;=AMC_Start),D185*AMC_Rate*(1+Esc)^(4-AMC_Start),0)</f>
        <v/>
      </c>
      <c r="E200" s="19">
        <f>IF(AND($E$165="Perpetual",4&gt;=AMC_Start),E185*AMC_Rate*(1+Esc)^(4-AMC_Start),0)</f>
        <v/>
      </c>
      <c r="F200" s="19">
        <f>IF(AND($F$165="Perpetual",4&gt;=AMC_Start),F185*AMC_Rate*(1+Esc)^(4-AMC_Start),0)</f>
        <v/>
      </c>
      <c r="G200" s="19">
        <f>IF(AND($G$165="Perpetual",4&gt;=AMC_Start),G185*AMC_Rate*(1+Esc)^(4-AMC_Start),0)</f>
        <v/>
      </c>
      <c r="H200" s="19">
        <f>IF(AND($H$165="Perpetual",4&gt;=AMC_Start),H185*AMC_Rate*(1+Esc)^(4-AMC_Start),0)</f>
        <v/>
      </c>
      <c r="I200" s="19">
        <f>IF(AND($I$165="Perpetual",4&gt;=AMC_Start),I185*AMC_Rate*(1+Esc)^(4-AMC_Start),0)</f>
        <v/>
      </c>
    </row>
    <row r="201">
      <c r="A201" s="10" t="inlineStr">
        <is>
          <t>AMC Year 5</t>
        </is>
      </c>
      <c r="B201" s="19">
        <f>IF(AND($B$165="Perpetual",5&gt;=AMC_Start),B185*AMC_Rate*(1+Esc)^(5-AMC_Start),0)</f>
        <v/>
      </c>
      <c r="C201" s="19">
        <f>IF(AND($C$165="Perpetual",5&gt;=AMC_Start),C185*AMC_Rate*(1+Esc)^(5-AMC_Start),0)</f>
        <v/>
      </c>
      <c r="D201" s="19">
        <f>IF(AND($D$165="Perpetual",5&gt;=AMC_Start),D185*AMC_Rate*(1+Esc)^(5-AMC_Start),0)</f>
        <v/>
      </c>
      <c r="E201" s="19">
        <f>IF(AND($E$165="Perpetual",5&gt;=AMC_Start),E185*AMC_Rate*(1+Esc)^(5-AMC_Start),0)</f>
        <v/>
      </c>
      <c r="F201" s="19">
        <f>IF(AND($F$165="Perpetual",5&gt;=AMC_Start),F185*AMC_Rate*(1+Esc)^(5-AMC_Start),0)</f>
        <v/>
      </c>
      <c r="G201" s="19">
        <f>IF(AND($G$165="Perpetual",5&gt;=AMC_Start),G185*AMC_Rate*(1+Esc)^(5-AMC_Start),0)</f>
        <v/>
      </c>
      <c r="H201" s="19">
        <f>IF(AND($H$165="Perpetual",5&gt;=AMC_Start),H185*AMC_Rate*(1+Esc)^(5-AMC_Start),0)</f>
        <v/>
      </c>
      <c r="I201" s="19">
        <f>IF(AND($I$165="Perpetual",5&gt;=AMC_Start),I185*AMC_Rate*(1+Esc)^(5-AMC_Start),0)</f>
        <v/>
      </c>
    </row>
    <row r="202">
      <c r="A202" s="10" t="inlineStr">
        <is>
          <t>Subscription fees Year 1</t>
        </is>
      </c>
      <c r="B202" s="19">
        <f>B187*12*(1+Esc)^(1-1)</f>
        <v/>
      </c>
      <c r="C202" s="19">
        <f>C187*12*(1+Esc)^(1-1)</f>
        <v/>
      </c>
      <c r="D202" s="19">
        <f>D187*12*(1+Esc)^(1-1)</f>
        <v/>
      </c>
      <c r="E202" s="19">
        <f>E187*12*(1+Esc)^(1-1)</f>
        <v/>
      </c>
      <c r="F202" s="19">
        <f>F187*12*(1+Esc)^(1-1)</f>
        <v/>
      </c>
      <c r="G202" s="19">
        <f>G187*12*(1+Esc)^(1-1)</f>
        <v/>
      </c>
      <c r="H202" s="19">
        <f>H187*12*(1+Esc)^(1-1)</f>
        <v/>
      </c>
      <c r="I202" s="19">
        <f>I187*12*(1+Esc)^(1-1)</f>
        <v/>
      </c>
    </row>
    <row r="203">
      <c r="A203" s="10" t="inlineStr">
        <is>
          <t>Subscription fees Year 2</t>
        </is>
      </c>
      <c r="B203" s="19">
        <f>B187*12*(1+Esc)^(2-1)</f>
        <v/>
      </c>
      <c r="C203" s="19">
        <f>C187*12*(1+Esc)^(2-1)</f>
        <v/>
      </c>
      <c r="D203" s="19">
        <f>D187*12*(1+Esc)^(2-1)</f>
        <v/>
      </c>
      <c r="E203" s="19">
        <f>E187*12*(1+Esc)^(2-1)</f>
        <v/>
      </c>
      <c r="F203" s="19">
        <f>F187*12*(1+Esc)^(2-1)</f>
        <v/>
      </c>
      <c r="G203" s="19">
        <f>G187*12*(1+Esc)^(2-1)</f>
        <v/>
      </c>
      <c r="H203" s="19">
        <f>H187*12*(1+Esc)^(2-1)</f>
        <v/>
      </c>
      <c r="I203" s="19">
        <f>I187*12*(1+Esc)^(2-1)</f>
        <v/>
      </c>
    </row>
    <row r="204">
      <c r="A204" s="10" t="inlineStr">
        <is>
          <t>Subscription fees Year 3</t>
        </is>
      </c>
      <c r="B204" s="19">
        <f>B187*12*(1+Esc)^(3-1)</f>
        <v/>
      </c>
      <c r="C204" s="19">
        <f>C187*12*(1+Esc)^(3-1)</f>
        <v/>
      </c>
      <c r="D204" s="19">
        <f>D187*12*(1+Esc)^(3-1)</f>
        <v/>
      </c>
      <c r="E204" s="19">
        <f>E187*12*(1+Esc)^(3-1)</f>
        <v/>
      </c>
      <c r="F204" s="19">
        <f>F187*12*(1+Esc)^(3-1)</f>
        <v/>
      </c>
      <c r="G204" s="19">
        <f>G187*12*(1+Esc)^(3-1)</f>
        <v/>
      </c>
      <c r="H204" s="19">
        <f>H187*12*(1+Esc)^(3-1)</f>
        <v/>
      </c>
      <c r="I204" s="19">
        <f>I187*12*(1+Esc)^(3-1)</f>
        <v/>
      </c>
    </row>
    <row r="205">
      <c r="A205" s="10" t="inlineStr">
        <is>
          <t>Subscription fees Year 4</t>
        </is>
      </c>
      <c r="B205" s="19">
        <f>B187*12*(1+Esc)^(4-1)</f>
        <v/>
      </c>
      <c r="C205" s="19">
        <f>C187*12*(1+Esc)^(4-1)</f>
        <v/>
      </c>
      <c r="D205" s="19">
        <f>D187*12*(1+Esc)^(4-1)</f>
        <v/>
      </c>
      <c r="E205" s="19">
        <f>E187*12*(1+Esc)^(4-1)</f>
        <v/>
      </c>
      <c r="F205" s="19">
        <f>F187*12*(1+Esc)^(4-1)</f>
        <v/>
      </c>
      <c r="G205" s="19">
        <f>G187*12*(1+Esc)^(4-1)</f>
        <v/>
      </c>
      <c r="H205" s="19">
        <f>H187*12*(1+Esc)^(4-1)</f>
        <v/>
      </c>
      <c r="I205" s="19">
        <f>I187*12*(1+Esc)^(4-1)</f>
        <v/>
      </c>
    </row>
    <row r="206">
      <c r="A206" s="10" t="inlineStr">
        <is>
          <t>Subscription fees Year 5</t>
        </is>
      </c>
      <c r="B206" s="19">
        <f>B187*12*(1+Esc)^(5-1)</f>
        <v/>
      </c>
      <c r="C206" s="19">
        <f>C187*12*(1+Esc)^(5-1)</f>
        <v/>
      </c>
      <c r="D206" s="19">
        <f>D187*12*(1+Esc)^(5-1)</f>
        <v/>
      </c>
      <c r="E206" s="19">
        <f>E187*12*(1+Esc)^(5-1)</f>
        <v/>
      </c>
      <c r="F206" s="19">
        <f>F187*12*(1+Esc)^(5-1)</f>
        <v/>
      </c>
      <c r="G206" s="19">
        <f>G187*12*(1+Esc)^(5-1)</f>
        <v/>
      </c>
      <c r="H206" s="19">
        <f>H187*12*(1+Esc)^(5-1)</f>
        <v/>
      </c>
      <c r="I206" s="19">
        <f>I187*12*(1+Esc)^(5-1)</f>
        <v/>
      </c>
    </row>
    <row r="207">
      <c r="A207" s="10" t="inlineStr">
        <is>
          <t>Hosting and environments Year 1</t>
        </is>
      </c>
      <c r="B207" s="19">
        <f>B190*12*(1+Infra_Esc)^(1-1)+B191*12*(1+Esc)^(1-1)</f>
        <v/>
      </c>
      <c r="C207" s="19">
        <f>C190*12*(1+Infra_Esc)^(1-1)+C191*12*(1+Esc)^(1-1)</f>
        <v/>
      </c>
      <c r="D207" s="19">
        <f>D190*12*(1+Infra_Esc)^(1-1)+D191*12*(1+Esc)^(1-1)</f>
        <v/>
      </c>
      <c r="E207" s="19">
        <f>E190*12*(1+Infra_Esc)^(1-1)+E191*12*(1+Esc)^(1-1)</f>
        <v/>
      </c>
      <c r="F207" s="19">
        <f>F190*12*(1+Infra_Esc)^(1-1)+F191*12*(1+Esc)^(1-1)</f>
        <v/>
      </c>
      <c r="G207" s="19">
        <f>G190*12*(1+Infra_Esc)^(1-1)+G191*12*(1+Esc)^(1-1)</f>
        <v/>
      </c>
      <c r="H207" s="19">
        <f>H190*12*(1+Infra_Esc)^(1-1)+H191*12*(1+Esc)^(1-1)</f>
        <v/>
      </c>
      <c r="I207" s="19">
        <f>I190*12*(1+Infra_Esc)^(1-1)+I191*12*(1+Esc)^(1-1)</f>
        <v/>
      </c>
    </row>
    <row r="208">
      <c r="A208" s="10" t="inlineStr">
        <is>
          <t>Hosting and environments Year 2</t>
        </is>
      </c>
      <c r="B208" s="19">
        <f>B190*12*(1+Infra_Esc)^(2-1)+B191*12*(1+Esc)^(2-1)</f>
        <v/>
      </c>
      <c r="C208" s="19">
        <f>C190*12*(1+Infra_Esc)^(2-1)+C191*12*(1+Esc)^(2-1)</f>
        <v/>
      </c>
      <c r="D208" s="19">
        <f>D190*12*(1+Infra_Esc)^(2-1)+D191*12*(1+Esc)^(2-1)</f>
        <v/>
      </c>
      <c r="E208" s="19">
        <f>E190*12*(1+Infra_Esc)^(2-1)+E191*12*(1+Esc)^(2-1)</f>
        <v/>
      </c>
      <c r="F208" s="19">
        <f>F190*12*(1+Infra_Esc)^(2-1)+F191*12*(1+Esc)^(2-1)</f>
        <v/>
      </c>
      <c r="G208" s="19">
        <f>G190*12*(1+Infra_Esc)^(2-1)+G191*12*(1+Esc)^(2-1)</f>
        <v/>
      </c>
      <c r="H208" s="19">
        <f>H190*12*(1+Infra_Esc)^(2-1)+H191*12*(1+Esc)^(2-1)</f>
        <v/>
      </c>
      <c r="I208" s="19">
        <f>I190*12*(1+Infra_Esc)^(2-1)+I191*12*(1+Esc)^(2-1)</f>
        <v/>
      </c>
    </row>
    <row r="209">
      <c r="A209" s="10" t="inlineStr">
        <is>
          <t>Hosting and environments Year 3</t>
        </is>
      </c>
      <c r="B209" s="19">
        <f>B190*12*(1+Infra_Esc)^(3-1)+B191*12*(1+Esc)^(3-1)</f>
        <v/>
      </c>
      <c r="C209" s="19">
        <f>C190*12*(1+Infra_Esc)^(3-1)+C191*12*(1+Esc)^(3-1)</f>
        <v/>
      </c>
      <c r="D209" s="19">
        <f>D190*12*(1+Infra_Esc)^(3-1)+D191*12*(1+Esc)^(3-1)</f>
        <v/>
      </c>
      <c r="E209" s="19">
        <f>E190*12*(1+Infra_Esc)^(3-1)+E191*12*(1+Esc)^(3-1)</f>
        <v/>
      </c>
      <c r="F209" s="19">
        <f>F190*12*(1+Infra_Esc)^(3-1)+F191*12*(1+Esc)^(3-1)</f>
        <v/>
      </c>
      <c r="G209" s="19">
        <f>G190*12*(1+Infra_Esc)^(3-1)+G191*12*(1+Esc)^(3-1)</f>
        <v/>
      </c>
      <c r="H209" s="19">
        <f>H190*12*(1+Infra_Esc)^(3-1)+H191*12*(1+Esc)^(3-1)</f>
        <v/>
      </c>
      <c r="I209" s="19">
        <f>I190*12*(1+Infra_Esc)^(3-1)+I191*12*(1+Esc)^(3-1)</f>
        <v/>
      </c>
    </row>
    <row r="210">
      <c r="A210" s="10" t="inlineStr">
        <is>
          <t>Hosting and environments Year 4</t>
        </is>
      </c>
      <c r="B210" s="19">
        <f>B190*12*(1+Infra_Esc)^(4-1)+B191*12*(1+Esc)^(4-1)</f>
        <v/>
      </c>
      <c r="C210" s="19">
        <f>C190*12*(1+Infra_Esc)^(4-1)+C191*12*(1+Esc)^(4-1)</f>
        <v/>
      </c>
      <c r="D210" s="19">
        <f>D190*12*(1+Infra_Esc)^(4-1)+D191*12*(1+Esc)^(4-1)</f>
        <v/>
      </c>
      <c r="E210" s="19">
        <f>E190*12*(1+Infra_Esc)^(4-1)+E191*12*(1+Esc)^(4-1)</f>
        <v/>
      </c>
      <c r="F210" s="19">
        <f>F190*12*(1+Infra_Esc)^(4-1)+F191*12*(1+Esc)^(4-1)</f>
        <v/>
      </c>
      <c r="G210" s="19">
        <f>G190*12*(1+Infra_Esc)^(4-1)+G191*12*(1+Esc)^(4-1)</f>
        <v/>
      </c>
      <c r="H210" s="19">
        <f>H190*12*(1+Infra_Esc)^(4-1)+H191*12*(1+Esc)^(4-1)</f>
        <v/>
      </c>
      <c r="I210" s="19">
        <f>I190*12*(1+Infra_Esc)^(4-1)+I191*12*(1+Esc)^(4-1)</f>
        <v/>
      </c>
    </row>
    <row r="211">
      <c r="A211" s="10" t="inlineStr">
        <is>
          <t>Hosting and environments Year 5</t>
        </is>
      </c>
      <c r="B211" s="19">
        <f>B190*12*(1+Infra_Esc)^(5-1)+B191*12*(1+Esc)^(5-1)</f>
        <v/>
      </c>
      <c r="C211" s="19">
        <f>C190*12*(1+Infra_Esc)^(5-1)+C191*12*(1+Esc)^(5-1)</f>
        <v/>
      </c>
      <c r="D211" s="19">
        <f>D190*12*(1+Infra_Esc)^(5-1)+D191*12*(1+Esc)^(5-1)</f>
        <v/>
      </c>
      <c r="E211" s="19">
        <f>E190*12*(1+Infra_Esc)^(5-1)+E191*12*(1+Esc)^(5-1)</f>
        <v/>
      </c>
      <c r="F211" s="19">
        <f>F190*12*(1+Infra_Esc)^(5-1)+F191*12*(1+Esc)^(5-1)</f>
        <v/>
      </c>
      <c r="G211" s="19">
        <f>G190*12*(1+Infra_Esc)^(5-1)+G191*12*(1+Esc)^(5-1)</f>
        <v/>
      </c>
      <c r="H211" s="19">
        <f>H190*12*(1+Infra_Esc)^(5-1)+H191*12*(1+Esc)^(5-1)</f>
        <v/>
      </c>
      <c r="I211" s="19">
        <f>I190*12*(1+Infra_Esc)^(5-1)+I191*12*(1+Esc)^(5-1)</f>
        <v/>
      </c>
    </row>
    <row r="212">
      <c r="A212" s="10" t="inlineStr">
        <is>
          <t>24x7 support Year 1</t>
        </is>
      </c>
      <c r="B212" s="19">
        <f>B195*(1-$B$176)*(1+Esc)^(1-1)</f>
        <v/>
      </c>
      <c r="C212" s="19">
        <f>C195*(1-$C$176)*(1+Esc)^(1-1)</f>
        <v/>
      </c>
      <c r="D212" s="19">
        <f>D195*(1-$D$176)*(1+Esc)^(1-1)</f>
        <v/>
      </c>
      <c r="E212" s="19">
        <f>E195*(1-$E$176)*(1+Esc)^(1-1)</f>
        <v/>
      </c>
      <c r="F212" s="19">
        <f>F195*(1-$F$176)*(1+Esc)^(1-1)</f>
        <v/>
      </c>
      <c r="G212" s="19">
        <f>G195*(1-$G$176)*(1+Esc)^(1-1)</f>
        <v/>
      </c>
      <c r="H212" s="19">
        <f>H195*(1-$H$176)*(1+Esc)^(1-1)</f>
        <v/>
      </c>
      <c r="I212" s="19">
        <f>I195*(1-$I$176)*(1+Esc)^(1-1)</f>
        <v/>
      </c>
    </row>
    <row r="213">
      <c r="A213" s="10" t="inlineStr">
        <is>
          <t>24x7 support Year 2</t>
        </is>
      </c>
      <c r="B213" s="19">
        <f>B195*(1-$B$176)*(1+Esc)^(2-1)</f>
        <v/>
      </c>
      <c r="C213" s="19">
        <f>C195*(1-$C$176)*(1+Esc)^(2-1)</f>
        <v/>
      </c>
      <c r="D213" s="19">
        <f>D195*(1-$D$176)*(1+Esc)^(2-1)</f>
        <v/>
      </c>
      <c r="E213" s="19">
        <f>E195*(1-$E$176)*(1+Esc)^(2-1)</f>
        <v/>
      </c>
      <c r="F213" s="19">
        <f>F195*(1-$F$176)*(1+Esc)^(2-1)</f>
        <v/>
      </c>
      <c r="G213" s="19">
        <f>G195*(1-$G$176)*(1+Esc)^(2-1)</f>
        <v/>
      </c>
      <c r="H213" s="19">
        <f>H195*(1-$H$176)*(1+Esc)^(2-1)</f>
        <v/>
      </c>
      <c r="I213" s="19">
        <f>I195*(1-$I$176)*(1+Esc)^(2-1)</f>
        <v/>
      </c>
    </row>
    <row r="214">
      <c r="A214" s="10" t="inlineStr">
        <is>
          <t>24x7 support Year 3</t>
        </is>
      </c>
      <c r="B214" s="19">
        <f>B195*(1-$B$176)*(1+Esc)^(3-1)</f>
        <v/>
      </c>
      <c r="C214" s="19">
        <f>C195*(1-$C$176)*(1+Esc)^(3-1)</f>
        <v/>
      </c>
      <c r="D214" s="19">
        <f>D195*(1-$D$176)*(1+Esc)^(3-1)</f>
        <v/>
      </c>
      <c r="E214" s="19">
        <f>E195*(1-$E$176)*(1+Esc)^(3-1)</f>
        <v/>
      </c>
      <c r="F214" s="19">
        <f>F195*(1-$F$176)*(1+Esc)^(3-1)</f>
        <v/>
      </c>
      <c r="G214" s="19">
        <f>G195*(1-$G$176)*(1+Esc)^(3-1)</f>
        <v/>
      </c>
      <c r="H214" s="19">
        <f>H195*(1-$H$176)*(1+Esc)^(3-1)</f>
        <v/>
      </c>
      <c r="I214" s="19">
        <f>I195*(1-$I$176)*(1+Esc)^(3-1)</f>
        <v/>
      </c>
    </row>
    <row r="215">
      <c r="A215" s="10" t="inlineStr">
        <is>
          <t>24x7 support Year 4</t>
        </is>
      </c>
      <c r="B215" s="19">
        <f>B195*(1-$B$176)*(1+Esc)^(4-1)</f>
        <v/>
      </c>
      <c r="C215" s="19">
        <f>C195*(1-$C$176)*(1+Esc)^(4-1)</f>
        <v/>
      </c>
      <c r="D215" s="19">
        <f>D195*(1-$D$176)*(1+Esc)^(4-1)</f>
        <v/>
      </c>
      <c r="E215" s="19">
        <f>E195*(1-$E$176)*(1+Esc)^(4-1)</f>
        <v/>
      </c>
      <c r="F215" s="19">
        <f>F195*(1-$F$176)*(1+Esc)^(4-1)</f>
        <v/>
      </c>
      <c r="G215" s="19">
        <f>G195*(1-$G$176)*(1+Esc)^(4-1)</f>
        <v/>
      </c>
      <c r="H215" s="19">
        <f>H195*(1-$H$176)*(1+Esc)^(4-1)</f>
        <v/>
      </c>
      <c r="I215" s="19">
        <f>I195*(1-$I$176)*(1+Esc)^(4-1)</f>
        <v/>
      </c>
    </row>
    <row r="216">
      <c r="A216" s="10" t="inlineStr">
        <is>
          <t>24x7 support Year 5</t>
        </is>
      </c>
      <c r="B216" s="19">
        <f>B195*(1-$B$176)*(1+Esc)^(5-1)</f>
        <v/>
      </c>
      <c r="C216" s="19">
        <f>C195*(1-$C$176)*(1+Esc)^(5-1)</f>
        <v/>
      </c>
      <c r="D216" s="19">
        <f>D195*(1-$D$176)*(1+Esc)^(5-1)</f>
        <v/>
      </c>
      <c r="E216" s="19">
        <f>E195*(1-$E$176)*(1+Esc)^(5-1)</f>
        <v/>
      </c>
      <c r="F216" s="19">
        <f>F195*(1-$F$176)*(1+Esc)^(5-1)</f>
        <v/>
      </c>
      <c r="G216" s="19">
        <f>G195*(1-$G$176)*(1+Esc)^(5-1)</f>
        <v/>
      </c>
      <c r="H216" s="19">
        <f>H195*(1-$H$176)*(1+Esc)^(5-1)</f>
        <v/>
      </c>
      <c r="I216" s="19">
        <f>I195*(1-$I$176)*(1+Esc)^(5-1)</f>
        <v/>
      </c>
    </row>
    <row r="217">
      <c r="A217" s="10" t="inlineStr">
        <is>
          <t>Total Year 1, excl. VAT</t>
        </is>
      </c>
      <c r="B217" s="20">
        <f>B183+B185+B194+B197+B202+B207+B212</f>
        <v/>
      </c>
      <c r="C217" s="20">
        <f>C183+C185+C194+C197+C202+C207+C212</f>
        <v/>
      </c>
      <c r="D217" s="20">
        <f>D183+D185+D194+D197+D202+D207+D212</f>
        <v/>
      </c>
      <c r="E217" s="20">
        <f>E183+E185+E194+E197+E202+E207+E212</f>
        <v/>
      </c>
      <c r="F217" s="20">
        <f>F183+F185+F194+F197+F202+F207+F212</f>
        <v/>
      </c>
      <c r="G217" s="20">
        <f>G183+G185+G194+G197+G202+G207+G212</f>
        <v/>
      </c>
      <c r="H217" s="20">
        <f>H183+H185+H194+H197+H202+H207+H212</f>
        <v/>
      </c>
      <c r="I217" s="20">
        <f>I183+I185+I194+I197+I202+I207+I212</f>
        <v/>
      </c>
    </row>
    <row r="218">
      <c r="A218" s="10" t="inlineStr">
        <is>
          <t>Total Year 2, excl. VAT</t>
        </is>
      </c>
      <c r="B218" s="19">
        <f>B198+B203+B208+B213</f>
        <v/>
      </c>
      <c r="C218" s="19">
        <f>C198+C203+C208+C213</f>
        <v/>
      </c>
      <c r="D218" s="19">
        <f>D198+D203+D208+D213</f>
        <v/>
      </c>
      <c r="E218" s="19">
        <f>E198+E203+E208+E213</f>
        <v/>
      </c>
      <c r="F218" s="19">
        <f>F198+F203+F208+F213</f>
        <v/>
      </c>
      <c r="G218" s="19">
        <f>G198+G203+G208+G213</f>
        <v/>
      </c>
      <c r="H218" s="19">
        <f>H198+H203+H208+H213</f>
        <v/>
      </c>
      <c r="I218" s="19">
        <f>I198+I203+I208+I213</f>
        <v/>
      </c>
    </row>
    <row r="219">
      <c r="A219" s="10" t="inlineStr">
        <is>
          <t>Total Year 3, excl. VAT</t>
        </is>
      </c>
      <c r="B219" s="19">
        <f>B199+B204+B209+B214</f>
        <v/>
      </c>
      <c r="C219" s="19">
        <f>C199+C204+C209+C214</f>
        <v/>
      </c>
      <c r="D219" s="19">
        <f>D199+D204+D209+D214</f>
        <v/>
      </c>
      <c r="E219" s="19">
        <f>E199+E204+E209+E214</f>
        <v/>
      </c>
      <c r="F219" s="19">
        <f>F199+F204+F209+F214</f>
        <v/>
      </c>
      <c r="G219" s="19">
        <f>G199+G204+G209+G214</f>
        <v/>
      </c>
      <c r="H219" s="19">
        <f>H199+H204+H209+H214</f>
        <v/>
      </c>
      <c r="I219" s="19">
        <f>I199+I204+I209+I214</f>
        <v/>
      </c>
    </row>
    <row r="220">
      <c r="A220" s="10" t="inlineStr">
        <is>
          <t>Total Year 4, excl. VAT</t>
        </is>
      </c>
      <c r="B220" s="19">
        <f>B200+B205+B210+B215</f>
        <v/>
      </c>
      <c r="C220" s="19">
        <f>C200+C205+C210+C215</f>
        <v/>
      </c>
      <c r="D220" s="19">
        <f>D200+D205+D210+D215</f>
        <v/>
      </c>
      <c r="E220" s="19">
        <f>E200+E205+E210+E215</f>
        <v/>
      </c>
      <c r="F220" s="19">
        <f>F200+F205+F210+F215</f>
        <v/>
      </c>
      <c r="G220" s="19">
        <f>G200+G205+G210+G215</f>
        <v/>
      </c>
      <c r="H220" s="19">
        <f>H200+H205+H210+H215</f>
        <v/>
      </c>
      <c r="I220" s="19">
        <f>I200+I205+I210+I215</f>
        <v/>
      </c>
    </row>
    <row r="221">
      <c r="A221" s="10" t="inlineStr">
        <is>
          <t>Total Year 5, excl. VAT</t>
        </is>
      </c>
      <c r="B221" s="19">
        <f>B201+B206+B211+B216</f>
        <v/>
      </c>
      <c r="C221" s="19">
        <f>C201+C206+C211+C216</f>
        <v/>
      </c>
      <c r="D221" s="19">
        <f>D201+D206+D211+D216</f>
        <v/>
      </c>
      <c r="E221" s="19">
        <f>E201+E206+E211+E216</f>
        <v/>
      </c>
      <c r="F221" s="19">
        <f>F201+F206+F211+F216</f>
        <v/>
      </c>
      <c r="G221" s="19">
        <f>G201+G206+G211+G216</f>
        <v/>
      </c>
      <c r="H221" s="19">
        <f>H201+H206+H211+H216</f>
        <v/>
      </c>
      <c r="I221" s="19">
        <f>I201+I206+I211+I216</f>
        <v/>
      </c>
    </row>
    <row r="222">
      <c r="A222" s="10" t="inlineStr">
        <is>
          <t>Total for the contract term, excl. VAT</t>
        </is>
      </c>
      <c r="B222" s="20">
        <f>IF($B$174&gt;=1,B217,0)+IF($B$174&gt;=2,B218,0)+IF($B$174&gt;=3,B219,0)+IF($B$174&gt;=4,B220,0)+IF($B$174&gt;=5,B221,0)</f>
        <v/>
      </c>
      <c r="C222" s="20">
        <f>IF($C$174&gt;=1,C217,0)+IF($C$174&gt;=2,C218,0)+IF($C$174&gt;=3,C219,0)+IF($C$174&gt;=4,C220,0)+IF($C$174&gt;=5,C221,0)</f>
        <v/>
      </c>
      <c r="D222" s="20">
        <f>IF($D$174&gt;=1,D217,0)+IF($D$174&gt;=2,D218,0)+IF($D$174&gt;=3,D219,0)+IF($D$174&gt;=4,D220,0)+IF($D$174&gt;=5,D221,0)</f>
        <v/>
      </c>
      <c r="E222" s="20">
        <f>IF($E$174&gt;=1,E217,0)+IF($E$174&gt;=2,E218,0)+IF($E$174&gt;=3,E219,0)+IF($E$174&gt;=4,E220,0)+IF($E$174&gt;=5,E221,0)</f>
        <v/>
      </c>
      <c r="F222" s="20">
        <f>IF($F$174&gt;=1,F217,0)+IF($F$174&gt;=2,F218,0)+IF($F$174&gt;=3,F219,0)+IF($F$174&gt;=4,F220,0)+IF($F$174&gt;=5,F221,0)</f>
        <v/>
      </c>
      <c r="G222" s="20">
        <f>IF($G$174&gt;=1,G217,0)+IF($G$174&gt;=2,G218,0)+IF($G$174&gt;=3,G219,0)+IF($G$174&gt;=4,G220,0)+IF($G$174&gt;=5,G221,0)</f>
        <v/>
      </c>
      <c r="H222" s="20">
        <f>IF($H$174&gt;=1,H217,0)+IF($H$174&gt;=2,H218,0)+IF($H$174&gt;=3,H219,0)+IF($H$174&gt;=4,H220,0)+IF($H$174&gt;=5,H221,0)</f>
        <v/>
      </c>
      <c r="I222" s="20">
        <f>IF($I$174&gt;=1,I217,0)+IF($I$174&gt;=2,I218,0)+IF($I$174&gt;=3,I219,0)+IF($I$174&gt;=4,I220,0)+IF($I$174&gt;=5,I221,0)</f>
        <v/>
      </c>
    </row>
    <row r="223">
      <c r="A223" s="10" t="inlineStr">
        <is>
          <t>5-year total cost, excl. VAT</t>
        </is>
      </c>
      <c r="B223" s="20">
        <f>B217+B218+B219+B220+B221</f>
        <v/>
      </c>
      <c r="C223" s="20">
        <f>C217+C218+C219+C220+C221</f>
        <v/>
      </c>
      <c r="D223" s="20">
        <f>D217+D218+D219+D220+D221</f>
        <v/>
      </c>
      <c r="E223" s="20">
        <f>E217+E218+E219+E220+E221</f>
        <v/>
      </c>
      <c r="F223" s="20">
        <f>F217+F218+F219+F220+F221</f>
        <v/>
      </c>
      <c r="G223" s="20">
        <f>G217+G218+G219+G220+G221</f>
        <v/>
      </c>
      <c r="H223" s="20">
        <f>H217+H218+H219+H220+H221</f>
        <v/>
      </c>
      <c r="I223" s="20">
        <f>I217+I218+I219+I220+I221</f>
        <v/>
      </c>
    </row>
    <row r="224">
      <c r="A224" s="10" t="inlineStr">
        <is>
          <t>5-year total cost, incl. VAT</t>
        </is>
      </c>
      <c r="B224" s="19">
        <f>B223*(1+VAT)</f>
        <v/>
      </c>
      <c r="C224" s="19">
        <f>C223*(1+VAT)</f>
        <v/>
      </c>
      <c r="D224" s="19">
        <f>D223*(1+VAT)</f>
        <v/>
      </c>
      <c r="E224" s="19">
        <f>E223*(1+VAT)</f>
        <v/>
      </c>
      <c r="F224" s="19">
        <f>F223*(1+VAT)</f>
        <v/>
      </c>
      <c r="G224" s="19">
        <f>G223*(1+VAT)</f>
        <v/>
      </c>
      <c r="H224" s="19">
        <f>H223*(1+VAT)</f>
        <v/>
      </c>
      <c r="I224" s="19">
        <f>I223*(1+VAT)</f>
        <v/>
      </c>
    </row>
    <row r="225">
      <c r="A225" s="10" t="inlineStr">
        <is>
          <t>5-year total cost, USD reference</t>
        </is>
      </c>
      <c r="B225" s="19">
        <f>B223/FX</f>
        <v/>
      </c>
      <c r="C225" s="19">
        <f>C223/FX</f>
        <v/>
      </c>
      <c r="D225" s="19">
        <f>D223/FX</f>
        <v/>
      </c>
      <c r="E225" s="19">
        <f>E223/FX</f>
        <v/>
      </c>
      <c r="F225" s="19">
        <f>F223/FX</f>
        <v/>
      </c>
      <c r="G225" s="19">
        <f>G223/FX</f>
        <v/>
      </c>
      <c r="H225" s="19">
        <f>H223/FX</f>
        <v/>
      </c>
      <c r="I225" s="19">
        <f>I223/FX</f>
        <v/>
      </c>
    </row>
    <row r="228">
      <c r="A228" s="6" t="inlineStr">
        <is>
          <t>Enterprise tier: 400 users, 16 lines of business</t>
        </is>
      </c>
      <c r="B228" s="7" t="n"/>
      <c r="C228" s="7" t="n"/>
      <c r="D228" s="7" t="n"/>
      <c r="E228" s="7" t="n"/>
      <c r="F228" s="7" t="n"/>
      <c r="G228" s="7" t="n"/>
      <c r="H228" s="7" t="n"/>
      <c r="I228" s="7" t="n"/>
    </row>
    <row r="229" ht="32" customHeight="1">
      <c r="A229" s="3" t="inlineStr">
        <is>
          <t>Line</t>
        </is>
      </c>
      <c r="B229" s="3" t="inlineStr">
        <is>
          <t>Essentials, list</t>
        </is>
      </c>
      <c r="C229" s="25" t="inlineStr">
        <is>
          <t>Essentials, floor</t>
        </is>
      </c>
      <c r="D229" s="3" t="inlineStr">
        <is>
          <t>Standard, list</t>
        </is>
      </c>
      <c r="E229" s="25" t="inlineStr">
        <is>
          <t>Standard, floor</t>
        </is>
      </c>
      <c r="F229" s="3" t="inlineStr">
        <is>
          <t>Ownership, list</t>
        </is>
      </c>
      <c r="G229" s="25" t="inlineStr">
        <is>
          <t>Ownership, floor</t>
        </is>
      </c>
      <c r="H229" s="3" t="inlineStr">
        <is>
          <t>Ownership Plus, list</t>
        </is>
      </c>
      <c r="I229" s="25" t="inlineStr">
        <is>
          <t>Ownership Plus, floor</t>
        </is>
      </c>
    </row>
    <row r="230" ht="62" customHeight="1">
      <c r="A230" s="16" t="inlineStr">
        <is>
          <t>What it is</t>
        </is>
      </c>
      <c r="B230" s="5" t="inlineStr">
        <is>
          <t>Subscription; the client hosts; standard support; 3-year term.</t>
        </is>
      </c>
      <c r="C230" s="9" t="n"/>
      <c r="D230" s="5" t="inlineStr">
        <is>
          <t>Subscription hosted by iorta TechNXT on AWS (Singapore); 3-year term.</t>
        </is>
      </c>
      <c r="E230" s="9" t="n"/>
      <c r="F230" s="5" t="inlineStr">
        <is>
          <t>Perpetual licence with AMC, hosted on AWS (Singapore); 5-year view.</t>
        </is>
      </c>
      <c r="G230" s="9" t="n"/>
      <c r="H230" s="5" t="inlineStr">
        <is>
          <t>Perpetual with AMC, hosted in the Philippines, 24x7 Severity 1 support, 2 extra training days, 1 legacy source migrated.</t>
        </is>
      </c>
      <c r="I230" s="9" t="n"/>
    </row>
    <row r="231">
      <c r="A231" s="10" t="inlineStr">
        <is>
          <t>Named users</t>
        </is>
      </c>
      <c r="B231" s="24">
        <f>'Price Basis'!J30</f>
        <v/>
      </c>
      <c r="C231" s="24">
        <f>'Price Basis'!J30</f>
        <v/>
      </c>
      <c r="D231" s="24">
        <f>'Price Basis'!J30</f>
        <v/>
      </c>
      <c r="E231" s="24">
        <f>'Price Basis'!J30</f>
        <v/>
      </c>
      <c r="F231" s="24">
        <f>'Price Basis'!J30</f>
        <v/>
      </c>
      <c r="G231" s="24">
        <f>'Price Basis'!J30</f>
        <v/>
      </c>
      <c r="H231" s="24">
        <f>'Price Basis'!J30</f>
        <v/>
      </c>
      <c r="I231" s="24">
        <f>'Price Basis'!J30</f>
        <v/>
      </c>
    </row>
    <row r="232">
      <c r="A232" s="10" t="inlineStr">
        <is>
          <t>Lines of business</t>
        </is>
      </c>
      <c r="B232" s="24">
        <f>'Price Basis'!H30</f>
        <v/>
      </c>
      <c r="C232" s="24">
        <f>'Price Basis'!H30</f>
        <v/>
      </c>
      <c r="D232" s="24">
        <f>'Price Basis'!H30</f>
        <v/>
      </c>
      <c r="E232" s="24">
        <f>'Price Basis'!H30</f>
        <v/>
      </c>
      <c r="F232" s="24">
        <f>'Price Basis'!H30</f>
        <v/>
      </c>
      <c r="G232" s="24">
        <f>'Price Basis'!H30</f>
        <v/>
      </c>
      <c r="H232" s="24">
        <f>'Price Basis'!H30</f>
        <v/>
      </c>
      <c r="I232" s="24">
        <f>'Price Basis'!H30</f>
        <v/>
      </c>
    </row>
    <row r="233">
      <c r="A233" s="10" t="inlineStr">
        <is>
          <t>Licence model</t>
        </is>
      </c>
      <c r="B233" s="10" t="inlineStr">
        <is>
          <t>Subscription</t>
        </is>
      </c>
      <c r="C233" s="10" t="inlineStr">
        <is>
          <t>Subscription</t>
        </is>
      </c>
      <c r="D233" s="10" t="inlineStr">
        <is>
          <t>Subscription</t>
        </is>
      </c>
      <c r="E233" s="10" t="inlineStr">
        <is>
          <t>Subscription</t>
        </is>
      </c>
      <c r="F233" s="10" t="inlineStr">
        <is>
          <t>Perpetual</t>
        </is>
      </c>
      <c r="G233" s="10" t="inlineStr">
        <is>
          <t>Perpetual</t>
        </is>
      </c>
      <c r="H233" s="10" t="inlineStr">
        <is>
          <t>Perpetual</t>
        </is>
      </c>
      <c r="I233" s="10" t="inlineStr">
        <is>
          <t>Perpetual</t>
        </is>
      </c>
    </row>
    <row r="234">
      <c r="A234" s="10" t="inlineStr">
        <is>
          <t>Hosting</t>
        </is>
      </c>
      <c r="B234" s="10" t="inlineStr">
        <is>
          <t>Self-hosted</t>
        </is>
      </c>
      <c r="C234" s="10" t="inlineStr">
        <is>
          <t>Self-hosted</t>
        </is>
      </c>
      <c r="D234" s="10" t="inlineStr">
        <is>
          <t>AWS</t>
        </is>
      </c>
      <c r="E234" s="10" t="inlineStr">
        <is>
          <t>AWS</t>
        </is>
      </c>
      <c r="F234" s="10" t="inlineStr">
        <is>
          <t>AWS</t>
        </is>
      </c>
      <c r="G234" s="10" t="inlineStr">
        <is>
          <t>AWS</t>
        </is>
      </c>
      <c r="H234" s="10" t="inlineStr">
        <is>
          <t>Local partner</t>
        </is>
      </c>
      <c r="I234" s="10" t="inlineStr">
        <is>
          <t>Local partner</t>
        </is>
      </c>
    </row>
    <row r="235">
      <c r="A235" s="10" t="inlineStr">
        <is>
          <t>24x7 Severity 1 support</t>
        </is>
      </c>
      <c r="B235" s="10" t="inlineStr">
        <is>
          <t>No</t>
        </is>
      </c>
      <c r="C235" s="10" t="inlineStr">
        <is>
          <t>No</t>
        </is>
      </c>
      <c r="D235" s="10" t="inlineStr">
        <is>
          <t>No</t>
        </is>
      </c>
      <c r="E235" s="10" t="inlineStr">
        <is>
          <t>No</t>
        </is>
      </c>
      <c r="F235" s="10" t="inlineStr">
        <is>
          <t>No</t>
        </is>
      </c>
      <c r="G235" s="10" t="inlineStr">
        <is>
          <t>No</t>
        </is>
      </c>
      <c r="H235" s="10" t="inlineStr">
        <is>
          <t>Yes</t>
        </is>
      </c>
      <c r="I235" s="10" t="inlineStr">
        <is>
          <t>Yes</t>
        </is>
      </c>
    </row>
    <row r="236">
      <c r="A236" s="10" t="inlineStr">
        <is>
          <t>Extra training days</t>
        </is>
      </c>
      <c r="B236" s="24" t="n">
        <v>0</v>
      </c>
      <c r="C236" s="24" t="n">
        <v>0</v>
      </c>
      <c r="D236" s="24" t="n">
        <v>0</v>
      </c>
      <c r="E236" s="24" t="n">
        <v>0</v>
      </c>
      <c r="F236" s="24" t="n">
        <v>0</v>
      </c>
      <c r="G236" s="24" t="n">
        <v>0</v>
      </c>
      <c r="H236" s="24" t="n">
        <v>2</v>
      </c>
      <c r="I236" s="24" t="n">
        <v>2</v>
      </c>
    </row>
    <row r="237">
      <c r="A237" s="10" t="inlineStr">
        <is>
          <t>Legacy data sources migrated</t>
        </is>
      </c>
      <c r="B237" s="24" t="n">
        <v>0</v>
      </c>
      <c r="C237" s="24" t="n">
        <v>0</v>
      </c>
      <c r="D237" s="24" t="n">
        <v>0</v>
      </c>
      <c r="E237" s="24" t="n">
        <v>0</v>
      </c>
      <c r="F237" s="24" t="n">
        <v>0</v>
      </c>
      <c r="G237" s="24" t="n">
        <v>0</v>
      </c>
      <c r="H237" s="24" t="n">
        <v>1</v>
      </c>
      <c r="I237" s="24" t="n">
        <v>1</v>
      </c>
    </row>
    <row r="238">
      <c r="A238" s="10" t="inlineStr">
        <is>
          <t>Additional standard integrations</t>
        </is>
      </c>
      <c r="B238" s="24" t="n">
        <v>0</v>
      </c>
      <c r="C238" s="24" t="n">
        <v>0</v>
      </c>
      <c r="D238" s="24" t="n">
        <v>0</v>
      </c>
      <c r="E238" s="24" t="n">
        <v>0</v>
      </c>
      <c r="F238" s="24" t="n">
        <v>0</v>
      </c>
      <c r="G238" s="24" t="n">
        <v>0</v>
      </c>
      <c r="H238" s="24" t="n">
        <v>0</v>
      </c>
      <c r="I238" s="24" t="n">
        <v>0</v>
      </c>
    </row>
    <row r="239">
      <c r="A239" s="10" t="inlineStr">
        <is>
          <t>Additional complex integrations</t>
        </is>
      </c>
      <c r="B239" s="24" t="n">
        <v>0</v>
      </c>
      <c r="C239" s="24" t="n">
        <v>0</v>
      </c>
      <c r="D239" s="24" t="n">
        <v>0</v>
      </c>
      <c r="E239" s="24" t="n">
        <v>0</v>
      </c>
      <c r="F239" s="24" t="n">
        <v>0</v>
      </c>
      <c r="G239" s="24" t="n">
        <v>0</v>
      </c>
      <c r="H239" s="24" t="n">
        <v>0</v>
      </c>
      <c r="I239" s="24" t="n">
        <v>0</v>
      </c>
    </row>
    <row r="240">
      <c r="A240" s="10" t="inlineStr">
        <is>
          <t>Additional environments</t>
        </is>
      </c>
      <c r="B240" s="24" t="n">
        <v>0</v>
      </c>
      <c r="C240" s="24" t="n">
        <v>0</v>
      </c>
      <c r="D240" s="24" t="n">
        <v>0</v>
      </c>
      <c r="E240" s="24" t="n">
        <v>0</v>
      </c>
      <c r="F240" s="24" t="n">
        <v>0</v>
      </c>
      <c r="G240" s="24" t="n">
        <v>0</v>
      </c>
      <c r="H240" s="24" t="n">
        <v>0</v>
      </c>
      <c r="I240" s="24" t="n">
        <v>0</v>
      </c>
    </row>
    <row r="241">
      <c r="A241" s="10" t="inlineStr">
        <is>
          <t>On-site days</t>
        </is>
      </c>
      <c r="B241" s="24" t="n">
        <v>0</v>
      </c>
      <c r="C241" s="24" t="n">
        <v>0</v>
      </c>
      <c r="D241" s="24" t="n">
        <v>0</v>
      </c>
      <c r="E241" s="24" t="n">
        <v>0</v>
      </c>
      <c r="F241" s="24" t="n">
        <v>0</v>
      </c>
      <c r="G241" s="24" t="n">
        <v>0</v>
      </c>
      <c r="H241" s="24" t="n">
        <v>0</v>
      </c>
      <c r="I241" s="24" t="n">
        <v>0</v>
      </c>
    </row>
    <row r="242">
      <c r="A242" s="10" t="inlineStr">
        <is>
          <t>Contract term (years)</t>
        </is>
      </c>
      <c r="B242" s="24" t="n">
        <v>3</v>
      </c>
      <c r="C242" s="24" t="n">
        <v>3</v>
      </c>
      <c r="D242" s="24" t="n">
        <v>3</v>
      </c>
      <c r="E242" s="24" t="n">
        <v>3</v>
      </c>
      <c r="F242" s="24" t="n">
        <v>5</v>
      </c>
      <c r="G242" s="24" t="n">
        <v>5</v>
      </c>
      <c r="H242" s="24" t="n">
        <v>5</v>
      </c>
      <c r="I242" s="24" t="n">
        <v>5</v>
      </c>
    </row>
    <row r="243">
      <c r="A243" s="10" t="inlineStr">
        <is>
          <t>Discount on licence or subscription</t>
        </is>
      </c>
      <c r="B243" s="27" t="n">
        <v>0</v>
      </c>
      <c r="C243" s="28">
        <f>Floor_SW</f>
        <v/>
      </c>
      <c r="D243" s="27" t="n">
        <v>0</v>
      </c>
      <c r="E243" s="28">
        <f>Floor_SW</f>
        <v/>
      </c>
      <c r="F243" s="27" t="n">
        <v>0</v>
      </c>
      <c r="G243" s="28">
        <f>Floor_SW</f>
        <v/>
      </c>
      <c r="H243" s="27" t="n">
        <v>0</v>
      </c>
      <c r="I243" s="28">
        <f>Floor_SW</f>
        <v/>
      </c>
    </row>
    <row r="244">
      <c r="A244" s="10" t="inlineStr">
        <is>
          <t>Discount on implementation and services</t>
        </is>
      </c>
      <c r="B244" s="27" t="n">
        <v>0</v>
      </c>
      <c r="C244" s="28">
        <f>Floor_Svc</f>
        <v/>
      </c>
      <c r="D244" s="27" t="n">
        <v>0</v>
      </c>
      <c r="E244" s="28">
        <f>Floor_Svc</f>
        <v/>
      </c>
      <c r="F244" s="27" t="n">
        <v>0</v>
      </c>
      <c r="G244" s="28">
        <f>Floor_Svc</f>
        <v/>
      </c>
      <c r="H244" s="27" t="n">
        <v>0</v>
      </c>
      <c r="I244" s="28">
        <f>Floor_Svc</f>
        <v/>
      </c>
    </row>
    <row r="245">
      <c r="A245" s="10" t="inlineStr">
        <is>
          <t>Discount on hosting</t>
        </is>
      </c>
      <c r="B245" s="27" t="n">
        <v>0</v>
      </c>
      <c r="C245" s="28">
        <f>Floor_Host</f>
        <v/>
      </c>
      <c r="D245" s="27" t="n">
        <v>0</v>
      </c>
      <c r="E245" s="28">
        <f>Floor_Host</f>
        <v/>
      </c>
      <c r="F245" s="27" t="n">
        <v>0</v>
      </c>
      <c r="G245" s="28">
        <f>Floor_Host</f>
        <v/>
      </c>
      <c r="H245" s="27" t="n">
        <v>0</v>
      </c>
      <c r="I245" s="28">
        <f>Floor_Host</f>
        <v/>
      </c>
    </row>
    <row r="246">
      <c r="A246" s="10" t="inlineStr">
        <is>
          <t>Tier index</t>
        </is>
      </c>
      <c r="B246" s="24">
        <f>MATCH($B$231,TierFrom,1)</f>
        <v/>
      </c>
      <c r="C246" s="24">
        <f>MATCH($C$231,TierFrom,1)</f>
        <v/>
      </c>
      <c r="D246" s="24">
        <f>MATCH($D$231,TierFrom,1)</f>
        <v/>
      </c>
      <c r="E246" s="24">
        <f>MATCH($E$231,TierFrom,1)</f>
        <v/>
      </c>
      <c r="F246" s="24">
        <f>MATCH($F$231,TierFrom,1)</f>
        <v/>
      </c>
      <c r="G246" s="24">
        <f>MATCH($G$231,TierFrom,1)</f>
        <v/>
      </c>
      <c r="H246" s="24">
        <f>MATCH($H$231,TierFrom,1)</f>
        <v/>
      </c>
      <c r="I246" s="24">
        <f>MATCH($I$231,TierFrom,1)</f>
        <v/>
      </c>
    </row>
    <row r="247">
      <c r="A247" s="10" t="inlineStr">
        <is>
          <t>Tier</t>
        </is>
      </c>
      <c r="B247" s="10">
        <f>INDEX(TierName,B246)</f>
        <v/>
      </c>
      <c r="C247" s="10">
        <f>INDEX(TierName,C246)</f>
        <v/>
      </c>
      <c r="D247" s="10">
        <f>INDEX(TierName,D246)</f>
        <v/>
      </c>
      <c r="E247" s="10">
        <f>INDEX(TierName,E246)</f>
        <v/>
      </c>
      <c r="F247" s="10">
        <f>INDEX(TierName,F246)</f>
        <v/>
      </c>
      <c r="G247" s="10">
        <f>INDEX(TierName,G246)</f>
        <v/>
      </c>
      <c r="H247" s="10">
        <f>INDEX(TierName,H246)</f>
        <v/>
      </c>
      <c r="I247" s="10">
        <f>INDEX(TierName,I246)</f>
        <v/>
      </c>
    </row>
    <row r="248">
      <c r="A248" s="10" t="inlineStr">
        <is>
          <t>Billable users (subscription minimum applies)</t>
        </is>
      </c>
      <c r="B248" s="24">
        <f>IF($B$233="Subscription",MAX($B$231,INDEX(MinBill,B246)),$B$231)</f>
        <v/>
      </c>
      <c r="C248" s="24">
        <f>IF($C$233="Subscription",MAX($C$231,INDEX(MinBill,C246)),$C$231)</f>
        <v/>
      </c>
      <c r="D248" s="24">
        <f>IF($D$233="Subscription",MAX($D$231,INDEX(MinBill,D246)),$D$231)</f>
        <v/>
      </c>
      <c r="E248" s="24">
        <f>IF($E$233="Subscription",MAX($E$231,INDEX(MinBill,E246)),$E$231)</f>
        <v/>
      </c>
      <c r="F248" s="24">
        <f>IF($F$233="Subscription",MAX($F$231,INDEX(MinBill,F246)),$F$231)</f>
        <v/>
      </c>
      <c r="G248" s="24">
        <f>IF($G$233="Subscription",MAX($G$231,INDEX(MinBill,G246)),$G$231)</f>
        <v/>
      </c>
      <c r="H248" s="24">
        <f>IF($H$233="Subscription",MAX($H$231,INDEX(MinBill,H246)),$H$231)</f>
        <v/>
      </c>
      <c r="I248" s="24">
        <f>IF($I$233="Subscription",MAX($I$231,INDEX(MinBill,I246)),$I$231)</f>
        <v/>
      </c>
    </row>
    <row r="249">
      <c r="A249" s="10" t="inlineStr">
        <is>
          <t>Implementation man-days</t>
        </is>
      </c>
      <c r="B249" s="24">
        <f>INDEX(BaseDays,B246)+MAX(0,$B$232-INDEX(LOBIncl,B246))*Days_per_LOB</f>
        <v/>
      </c>
      <c r="C249" s="24">
        <f>INDEX(BaseDays,C246)+MAX(0,$C$232-INDEX(LOBIncl,C246))*Days_per_LOB</f>
        <v/>
      </c>
      <c r="D249" s="24">
        <f>INDEX(BaseDays,D246)+MAX(0,$D$232-INDEX(LOBIncl,D246))*Days_per_LOB</f>
        <v/>
      </c>
      <c r="E249" s="24">
        <f>INDEX(BaseDays,E246)+MAX(0,$E$232-INDEX(LOBIncl,E246))*Days_per_LOB</f>
        <v/>
      </c>
      <c r="F249" s="24">
        <f>INDEX(BaseDays,F246)+MAX(0,$F$232-INDEX(LOBIncl,F246))*Days_per_LOB</f>
        <v/>
      </c>
      <c r="G249" s="24">
        <f>INDEX(BaseDays,G246)+MAX(0,$G$232-INDEX(LOBIncl,G246))*Days_per_LOB</f>
        <v/>
      </c>
      <c r="H249" s="24">
        <f>INDEX(BaseDays,H246)+MAX(0,$H$232-INDEX(LOBIncl,H246))*Days_per_LOB</f>
        <v/>
      </c>
      <c r="I249" s="24">
        <f>INDEX(BaseDays,I246)+MAX(0,$I$232-INDEX(LOBIncl,I246))*Days_per_LOB</f>
        <v/>
      </c>
    </row>
    <row r="250">
      <c r="A250" s="10" t="inlineStr">
        <is>
          <t>Implementation or onboarding fee, list</t>
        </is>
      </c>
      <c r="B250" s="19">
        <f>ROUND(B249*Blended/Round_To,0)*Round_To*IF($B$233="Subscription",Onboard_Pct,1)</f>
        <v/>
      </c>
      <c r="C250" s="19">
        <f>ROUND(C249*Blended/Round_To,0)*Round_To*IF($C$233="Subscription",Onboard_Pct,1)</f>
        <v/>
      </c>
      <c r="D250" s="19">
        <f>ROUND(D249*Blended/Round_To,0)*Round_To*IF($D$233="Subscription",Onboard_Pct,1)</f>
        <v/>
      </c>
      <c r="E250" s="19">
        <f>ROUND(E249*Blended/Round_To,0)*Round_To*IF($E$233="Subscription",Onboard_Pct,1)</f>
        <v/>
      </c>
      <c r="F250" s="19">
        <f>ROUND(F249*Blended/Round_To,0)*Round_To*IF($F$233="Subscription",Onboard_Pct,1)</f>
        <v/>
      </c>
      <c r="G250" s="19">
        <f>ROUND(G249*Blended/Round_To,0)*Round_To*IF($G$233="Subscription",Onboard_Pct,1)</f>
        <v/>
      </c>
      <c r="H250" s="19">
        <f>ROUND(H249*Blended/Round_To,0)*Round_To*IF($H$233="Subscription",Onboard_Pct,1)</f>
        <v/>
      </c>
      <c r="I250" s="19">
        <f>ROUND(I249*Blended/Round_To,0)*Round_To*IF($I$233="Subscription",Onboard_Pct,1)</f>
        <v/>
      </c>
    </row>
    <row r="251">
      <c r="A251" s="10" t="inlineStr">
        <is>
          <t>Implementation or onboarding fee, quoted</t>
        </is>
      </c>
      <c r="B251" s="19">
        <f>B250*(1-$B$244)</f>
        <v/>
      </c>
      <c r="C251" s="19">
        <f>C250*(1-$C$244)</f>
        <v/>
      </c>
      <c r="D251" s="19">
        <f>D250*(1-$D$244)</f>
        <v/>
      </c>
      <c r="E251" s="19">
        <f>E250*(1-$E$244)</f>
        <v/>
      </c>
      <c r="F251" s="19">
        <f>F250*(1-$F$244)</f>
        <v/>
      </c>
      <c r="G251" s="19">
        <f>G250*(1-$G$244)</f>
        <v/>
      </c>
      <c r="H251" s="19">
        <f>H250*(1-$H$244)</f>
        <v/>
      </c>
      <c r="I251" s="19">
        <f>I250*(1-$I$244)</f>
        <v/>
      </c>
    </row>
    <row r="252">
      <c r="A252" s="10" t="inlineStr">
        <is>
          <t>Perpetual licence fee, list (one-time)</t>
        </is>
      </c>
      <c r="B252" s="19">
        <f>IF($B$233="Perpetual",MAX(0,MIN($B$231,'Price Basis'!$C$27)-'Price Basis'!$B$27+1)*'Price Basis'!$D$27+MAX(0,MIN($B$231,'Price Basis'!$C$28)-'Price Basis'!$B$28+1)*'Price Basis'!$D$28+MAX(0,MIN($B$231,'Price Basis'!$C$29)-'Price Basis'!$B$29+1)*'Price Basis'!$D$29+MAX(0,MIN($B$231,'Price Basis'!$C$30)-'Price Basis'!$B$30+1)*'Price Basis'!$D$30,0)</f>
        <v/>
      </c>
      <c r="C252" s="19">
        <f>IF($C$233="Perpetual",MAX(0,MIN($C$231,'Price Basis'!$C$27)-'Price Basis'!$B$27+1)*'Price Basis'!$D$27+MAX(0,MIN($C$231,'Price Basis'!$C$28)-'Price Basis'!$B$28+1)*'Price Basis'!$D$28+MAX(0,MIN($C$231,'Price Basis'!$C$29)-'Price Basis'!$B$29+1)*'Price Basis'!$D$29+MAX(0,MIN($C$231,'Price Basis'!$C$30)-'Price Basis'!$B$30+1)*'Price Basis'!$D$30,0)</f>
        <v/>
      </c>
      <c r="D252" s="19">
        <f>IF($D$233="Perpetual",MAX(0,MIN($D$231,'Price Basis'!$C$27)-'Price Basis'!$B$27+1)*'Price Basis'!$D$27+MAX(0,MIN($D$231,'Price Basis'!$C$28)-'Price Basis'!$B$28+1)*'Price Basis'!$D$28+MAX(0,MIN($D$231,'Price Basis'!$C$29)-'Price Basis'!$B$29+1)*'Price Basis'!$D$29+MAX(0,MIN($D$231,'Price Basis'!$C$30)-'Price Basis'!$B$30+1)*'Price Basis'!$D$30,0)</f>
        <v/>
      </c>
      <c r="E252" s="19">
        <f>IF($E$233="Perpetual",MAX(0,MIN($E$231,'Price Basis'!$C$27)-'Price Basis'!$B$27+1)*'Price Basis'!$D$27+MAX(0,MIN($E$231,'Price Basis'!$C$28)-'Price Basis'!$B$28+1)*'Price Basis'!$D$28+MAX(0,MIN($E$231,'Price Basis'!$C$29)-'Price Basis'!$B$29+1)*'Price Basis'!$D$29+MAX(0,MIN($E$231,'Price Basis'!$C$30)-'Price Basis'!$B$30+1)*'Price Basis'!$D$30,0)</f>
        <v/>
      </c>
      <c r="F252" s="19">
        <f>IF($F$233="Perpetual",MAX(0,MIN($F$231,'Price Basis'!$C$27)-'Price Basis'!$B$27+1)*'Price Basis'!$D$27+MAX(0,MIN($F$231,'Price Basis'!$C$28)-'Price Basis'!$B$28+1)*'Price Basis'!$D$28+MAX(0,MIN($F$231,'Price Basis'!$C$29)-'Price Basis'!$B$29+1)*'Price Basis'!$D$29+MAX(0,MIN($F$231,'Price Basis'!$C$30)-'Price Basis'!$B$30+1)*'Price Basis'!$D$30,0)</f>
        <v/>
      </c>
      <c r="G252" s="19">
        <f>IF($G$233="Perpetual",MAX(0,MIN($G$231,'Price Basis'!$C$27)-'Price Basis'!$B$27+1)*'Price Basis'!$D$27+MAX(0,MIN($G$231,'Price Basis'!$C$28)-'Price Basis'!$B$28+1)*'Price Basis'!$D$28+MAX(0,MIN($G$231,'Price Basis'!$C$29)-'Price Basis'!$B$29+1)*'Price Basis'!$D$29+MAX(0,MIN($G$231,'Price Basis'!$C$30)-'Price Basis'!$B$30+1)*'Price Basis'!$D$30,0)</f>
        <v/>
      </c>
      <c r="H252" s="19">
        <f>IF($H$233="Perpetual",MAX(0,MIN($H$231,'Price Basis'!$C$27)-'Price Basis'!$B$27+1)*'Price Basis'!$D$27+MAX(0,MIN($H$231,'Price Basis'!$C$28)-'Price Basis'!$B$28+1)*'Price Basis'!$D$28+MAX(0,MIN($H$231,'Price Basis'!$C$29)-'Price Basis'!$B$29+1)*'Price Basis'!$D$29+MAX(0,MIN($H$231,'Price Basis'!$C$30)-'Price Basis'!$B$30+1)*'Price Basis'!$D$30,0)</f>
        <v/>
      </c>
      <c r="I252" s="19">
        <f>IF($I$233="Perpetual",MAX(0,MIN($I$231,'Price Basis'!$C$27)-'Price Basis'!$B$27+1)*'Price Basis'!$D$27+MAX(0,MIN($I$231,'Price Basis'!$C$28)-'Price Basis'!$B$28+1)*'Price Basis'!$D$28+MAX(0,MIN($I$231,'Price Basis'!$C$29)-'Price Basis'!$B$29+1)*'Price Basis'!$D$29+MAX(0,MIN($I$231,'Price Basis'!$C$30)-'Price Basis'!$B$30+1)*'Price Basis'!$D$30,0)</f>
        <v/>
      </c>
    </row>
    <row r="253">
      <c r="A253" s="10" t="inlineStr">
        <is>
          <t>Perpetual licence fee, quoted (one-time)</t>
        </is>
      </c>
      <c r="B253" s="19">
        <f>B252*(1-$B$243)</f>
        <v/>
      </c>
      <c r="C253" s="19">
        <f>C252*(1-$C$243)</f>
        <v/>
      </c>
      <c r="D253" s="19">
        <f>D252*(1-$D$243)</f>
        <v/>
      </c>
      <c r="E253" s="19">
        <f>E252*(1-$E$243)</f>
        <v/>
      </c>
      <c r="F253" s="19">
        <f>F252*(1-$F$243)</f>
        <v/>
      </c>
      <c r="G253" s="19">
        <f>G252*(1-$G$243)</f>
        <v/>
      </c>
      <c r="H253" s="19">
        <f>H252*(1-$H$243)</f>
        <v/>
      </c>
      <c r="I253" s="19">
        <f>I252*(1-$I$243)</f>
        <v/>
      </c>
    </row>
    <row r="254">
      <c r="A254" s="10" t="inlineStr">
        <is>
          <t>Subscription per month, Year 1, list</t>
        </is>
      </c>
      <c r="B254" s="19">
        <f>IF($B$233="Subscription",MAX(0,MIN(B248,'Price Basis'!$C$27)-'Price Basis'!$B$27+1)*'Price Basis'!$E$27+MAX(0,MIN(B248,'Price Basis'!$C$28)-'Price Basis'!$B$28+1)*'Price Basis'!$E$28+MAX(0,MIN(B248,'Price Basis'!$C$29)-'Price Basis'!$B$29+1)*'Price Basis'!$E$29+MAX(0,MIN(B248,'Price Basis'!$C$30)-'Price Basis'!$B$30+1)*'Price Basis'!$E$30,0)</f>
        <v/>
      </c>
      <c r="C254" s="19">
        <f>IF($C$233="Subscription",MAX(0,MIN(C248,'Price Basis'!$C$27)-'Price Basis'!$B$27+1)*'Price Basis'!$E$27+MAX(0,MIN(C248,'Price Basis'!$C$28)-'Price Basis'!$B$28+1)*'Price Basis'!$E$28+MAX(0,MIN(C248,'Price Basis'!$C$29)-'Price Basis'!$B$29+1)*'Price Basis'!$E$29+MAX(0,MIN(C248,'Price Basis'!$C$30)-'Price Basis'!$B$30+1)*'Price Basis'!$E$30,0)</f>
        <v/>
      </c>
      <c r="D254" s="19">
        <f>IF($D$233="Subscription",MAX(0,MIN(D248,'Price Basis'!$C$27)-'Price Basis'!$B$27+1)*'Price Basis'!$E$27+MAX(0,MIN(D248,'Price Basis'!$C$28)-'Price Basis'!$B$28+1)*'Price Basis'!$E$28+MAX(0,MIN(D248,'Price Basis'!$C$29)-'Price Basis'!$B$29+1)*'Price Basis'!$E$29+MAX(0,MIN(D248,'Price Basis'!$C$30)-'Price Basis'!$B$30+1)*'Price Basis'!$E$30,0)</f>
        <v/>
      </c>
      <c r="E254" s="19">
        <f>IF($E$233="Subscription",MAX(0,MIN(E248,'Price Basis'!$C$27)-'Price Basis'!$B$27+1)*'Price Basis'!$E$27+MAX(0,MIN(E248,'Price Basis'!$C$28)-'Price Basis'!$B$28+1)*'Price Basis'!$E$28+MAX(0,MIN(E248,'Price Basis'!$C$29)-'Price Basis'!$B$29+1)*'Price Basis'!$E$29+MAX(0,MIN(E248,'Price Basis'!$C$30)-'Price Basis'!$B$30+1)*'Price Basis'!$E$30,0)</f>
        <v/>
      </c>
      <c r="F254" s="19">
        <f>IF($F$233="Subscription",MAX(0,MIN(F248,'Price Basis'!$C$27)-'Price Basis'!$B$27+1)*'Price Basis'!$E$27+MAX(0,MIN(F248,'Price Basis'!$C$28)-'Price Basis'!$B$28+1)*'Price Basis'!$E$28+MAX(0,MIN(F248,'Price Basis'!$C$29)-'Price Basis'!$B$29+1)*'Price Basis'!$E$29+MAX(0,MIN(F248,'Price Basis'!$C$30)-'Price Basis'!$B$30+1)*'Price Basis'!$E$30,0)</f>
        <v/>
      </c>
      <c r="G254" s="19">
        <f>IF($G$233="Subscription",MAX(0,MIN(G248,'Price Basis'!$C$27)-'Price Basis'!$B$27+1)*'Price Basis'!$E$27+MAX(0,MIN(G248,'Price Basis'!$C$28)-'Price Basis'!$B$28+1)*'Price Basis'!$E$28+MAX(0,MIN(G248,'Price Basis'!$C$29)-'Price Basis'!$B$29+1)*'Price Basis'!$E$29+MAX(0,MIN(G248,'Price Basis'!$C$30)-'Price Basis'!$B$30+1)*'Price Basis'!$E$30,0)</f>
        <v/>
      </c>
      <c r="H254" s="19">
        <f>IF($H$233="Subscription",MAX(0,MIN(H248,'Price Basis'!$C$27)-'Price Basis'!$B$27+1)*'Price Basis'!$E$27+MAX(0,MIN(H248,'Price Basis'!$C$28)-'Price Basis'!$B$28+1)*'Price Basis'!$E$28+MAX(0,MIN(H248,'Price Basis'!$C$29)-'Price Basis'!$B$29+1)*'Price Basis'!$E$29+MAX(0,MIN(H248,'Price Basis'!$C$30)-'Price Basis'!$B$30+1)*'Price Basis'!$E$30,0)</f>
        <v/>
      </c>
      <c r="I254" s="19">
        <f>IF($I$233="Subscription",MAX(0,MIN(I248,'Price Basis'!$C$27)-'Price Basis'!$B$27+1)*'Price Basis'!$E$27+MAX(0,MIN(I248,'Price Basis'!$C$28)-'Price Basis'!$B$28+1)*'Price Basis'!$E$28+MAX(0,MIN(I248,'Price Basis'!$C$29)-'Price Basis'!$B$29+1)*'Price Basis'!$E$29+MAX(0,MIN(I248,'Price Basis'!$C$30)-'Price Basis'!$B$30+1)*'Price Basis'!$E$30,0)</f>
        <v/>
      </c>
    </row>
    <row r="255">
      <c r="A255" s="10" t="inlineStr">
        <is>
          <t>Subscription per month, Year 1, quoted</t>
        </is>
      </c>
      <c r="B255" s="19">
        <f>B254*(1-$B$243)</f>
        <v/>
      </c>
      <c r="C255" s="19">
        <f>C254*(1-$C$243)</f>
        <v/>
      </c>
      <c r="D255" s="19">
        <f>D254*(1-$D$243)</f>
        <v/>
      </c>
      <c r="E255" s="19">
        <f>E254*(1-$E$243)</f>
        <v/>
      </c>
      <c r="F255" s="19">
        <f>F254*(1-$F$243)</f>
        <v/>
      </c>
      <c r="G255" s="19">
        <f>G254*(1-$G$243)</f>
        <v/>
      </c>
      <c r="H255" s="19">
        <f>H254*(1-$H$243)</f>
        <v/>
      </c>
      <c r="I255" s="19">
        <f>I254*(1-$I$243)</f>
        <v/>
      </c>
    </row>
    <row r="256">
      <c r="A256" s="10" t="inlineStr">
        <is>
          <t>Effective price per user (licence one-time, or subscription per month)</t>
        </is>
      </c>
      <c r="B256" s="19">
        <f>IF($B$233="Perpetual",B253/$B$231,B255/B248)</f>
        <v/>
      </c>
      <c r="C256" s="19">
        <f>IF($C$233="Perpetual",C253/$C$231,C255/C248)</f>
        <v/>
      </c>
      <c r="D256" s="19">
        <f>IF($D$233="Perpetual",D253/$D$231,D255/D248)</f>
        <v/>
      </c>
      <c r="E256" s="19">
        <f>IF($E$233="Perpetual",E253/$E$231,E255/E248)</f>
        <v/>
      </c>
      <c r="F256" s="19">
        <f>IF($F$233="Perpetual",F253/$F$231,F255/F248)</f>
        <v/>
      </c>
      <c r="G256" s="19">
        <f>IF($G$233="Perpetual",G253/$G$231,G255/G248)</f>
        <v/>
      </c>
      <c r="H256" s="19">
        <f>IF($H$233="Perpetual",H253/$H$231,H255/H248)</f>
        <v/>
      </c>
      <c r="I256" s="19">
        <f>IF($I$233="Perpetual",I253/$I$231,I255/I248)</f>
        <v/>
      </c>
    </row>
    <row r="257">
      <c r="A257" s="10" t="inlineStr">
        <is>
          <t>Hosting per month, list</t>
        </is>
      </c>
      <c r="B257" s="19">
        <f>INDEX(Host_Tbl,B246,MATCH($B$234,Host_Hdr,0))</f>
        <v/>
      </c>
      <c r="C257" s="19">
        <f>INDEX(Host_Tbl,C246,MATCH($C$234,Host_Hdr,0))</f>
        <v/>
      </c>
      <c r="D257" s="19">
        <f>INDEX(Host_Tbl,D246,MATCH($D$234,Host_Hdr,0))</f>
        <v/>
      </c>
      <c r="E257" s="19">
        <f>INDEX(Host_Tbl,E246,MATCH($E$234,Host_Hdr,0))</f>
        <v/>
      </c>
      <c r="F257" s="19">
        <f>INDEX(Host_Tbl,F246,MATCH($F$234,Host_Hdr,0))</f>
        <v/>
      </c>
      <c r="G257" s="19">
        <f>INDEX(Host_Tbl,G246,MATCH($G$234,Host_Hdr,0))</f>
        <v/>
      </c>
      <c r="H257" s="19">
        <f>INDEX(Host_Tbl,H246,MATCH($H$234,Host_Hdr,0))</f>
        <v/>
      </c>
      <c r="I257" s="19">
        <f>INDEX(Host_Tbl,I246,MATCH($I$234,Host_Hdr,0))</f>
        <v/>
      </c>
    </row>
    <row r="258">
      <c r="A258" s="10" t="inlineStr">
        <is>
          <t>Hosting per month, quoted</t>
        </is>
      </c>
      <c r="B258" s="19">
        <f>B257*(1-$B$245)</f>
        <v/>
      </c>
      <c r="C258" s="19">
        <f>C257*(1-$C$245)</f>
        <v/>
      </c>
      <c r="D258" s="19">
        <f>D257*(1-$D$245)</f>
        <v/>
      </c>
      <c r="E258" s="19">
        <f>E257*(1-$E$245)</f>
        <v/>
      </c>
      <c r="F258" s="19">
        <f>F257*(1-$F$245)</f>
        <v/>
      </c>
      <c r="G258" s="19">
        <f>G257*(1-$G$245)</f>
        <v/>
      </c>
      <c r="H258" s="19">
        <f>H257*(1-$H$245)</f>
        <v/>
      </c>
      <c r="I258" s="19">
        <f>I257*(1-$I$245)</f>
        <v/>
      </c>
    </row>
    <row r="259">
      <c r="A259" s="10" t="inlineStr">
        <is>
          <t>Additional hosted environments per month</t>
        </is>
      </c>
      <c r="B259" s="19">
        <f>IF($B$234="Self-hosted",0,$B$240*Env_Month)</f>
        <v/>
      </c>
      <c r="C259" s="19">
        <f>IF($C$234="Self-hosted",0,$C$240*Env_Month)</f>
        <v/>
      </c>
      <c r="D259" s="19">
        <f>IF($D$234="Self-hosted",0,$D$240*Env_Month)</f>
        <v/>
      </c>
      <c r="E259" s="19">
        <f>IF($E$234="Self-hosted",0,$E$240*Env_Month)</f>
        <v/>
      </c>
      <c r="F259" s="19">
        <f>IF($F$234="Self-hosted",0,$F$240*Env_Month)</f>
        <v/>
      </c>
      <c r="G259" s="19">
        <f>IF($G$234="Self-hosted",0,$G$240*Env_Month)</f>
        <v/>
      </c>
      <c r="H259" s="19">
        <f>IF($H$234="Self-hosted",0,$H$240*Env_Month)</f>
        <v/>
      </c>
      <c r="I259" s="19">
        <f>IF($I$234="Self-hosted",0,$I$240*Env_Month)</f>
        <v/>
      </c>
    </row>
    <row r="260">
      <c r="A260" s="10" t="inlineStr">
        <is>
          <t>Monthly recurring at go-live (subscription, hosting, environments)</t>
        </is>
      </c>
      <c r="B260" s="19">
        <f>B255+B258+B259</f>
        <v/>
      </c>
      <c r="C260" s="19">
        <f>C255+C258+C259</f>
        <v/>
      </c>
      <c r="D260" s="19">
        <f>D255+D258+D259</f>
        <v/>
      </c>
      <c r="E260" s="19">
        <f>E255+E258+E259</f>
        <v/>
      </c>
      <c r="F260" s="19">
        <f>F255+F258+F259</f>
        <v/>
      </c>
      <c r="G260" s="19">
        <f>G255+G258+G259</f>
        <v/>
      </c>
      <c r="H260" s="19">
        <f>H255+H258+H259</f>
        <v/>
      </c>
      <c r="I260" s="19">
        <f>I255+I258+I259</f>
        <v/>
      </c>
    </row>
    <row r="261">
      <c r="A261" s="10" t="inlineStr">
        <is>
          <t>One-time optional services, list</t>
        </is>
      </c>
      <c r="B261" s="19">
        <f>$B$236*Rate_Trainer+$B$237*Mig_Source+$B$238*Int_Std+$B$239*Int_Cx+$B$240*Env_Setup+$B$241*Rate_Onsite</f>
        <v/>
      </c>
      <c r="C261" s="19">
        <f>$C$236*Rate_Trainer+$C$237*Mig_Source+$C$238*Int_Std+$C$239*Int_Cx+$C$240*Env_Setup+$C$241*Rate_Onsite</f>
        <v/>
      </c>
      <c r="D261" s="19">
        <f>$D$236*Rate_Trainer+$D$237*Mig_Source+$D$238*Int_Std+$D$239*Int_Cx+$D$240*Env_Setup+$D$241*Rate_Onsite</f>
        <v/>
      </c>
      <c r="E261" s="19">
        <f>$E$236*Rate_Trainer+$E$237*Mig_Source+$E$238*Int_Std+$E$239*Int_Cx+$E$240*Env_Setup+$E$241*Rate_Onsite</f>
        <v/>
      </c>
      <c r="F261" s="19">
        <f>$F$236*Rate_Trainer+$F$237*Mig_Source+$F$238*Int_Std+$F$239*Int_Cx+$F$240*Env_Setup+$F$241*Rate_Onsite</f>
        <v/>
      </c>
      <c r="G261" s="19">
        <f>$G$236*Rate_Trainer+$G$237*Mig_Source+$G$238*Int_Std+$G$239*Int_Cx+$G$240*Env_Setup+$G$241*Rate_Onsite</f>
        <v/>
      </c>
      <c r="H261" s="19">
        <f>$H$236*Rate_Trainer+$H$237*Mig_Source+$H$238*Int_Std+$H$239*Int_Cx+$H$240*Env_Setup+$H$241*Rate_Onsite</f>
        <v/>
      </c>
      <c r="I261" s="19">
        <f>$I$236*Rate_Trainer+$I$237*Mig_Source+$I$238*Int_Std+$I$239*Int_Cx+$I$240*Env_Setup+$I$241*Rate_Onsite</f>
        <v/>
      </c>
    </row>
    <row r="262">
      <c r="A262" s="10" t="inlineStr">
        <is>
          <t>One-time optional services, quoted</t>
        </is>
      </c>
      <c r="B262" s="19">
        <f>B261*(1-$B$244)</f>
        <v/>
      </c>
      <c r="C262" s="19">
        <f>C261*(1-$C$244)</f>
        <v/>
      </c>
      <c r="D262" s="19">
        <f>D261*(1-$D$244)</f>
        <v/>
      </c>
      <c r="E262" s="19">
        <f>E261*(1-$E$244)</f>
        <v/>
      </c>
      <c r="F262" s="19">
        <f>F261*(1-$F$244)</f>
        <v/>
      </c>
      <c r="G262" s="19">
        <f>G261*(1-$G$244)</f>
        <v/>
      </c>
      <c r="H262" s="19">
        <f>H261*(1-$H$244)</f>
        <v/>
      </c>
      <c r="I262" s="19">
        <f>I261*(1-$I$244)</f>
        <v/>
      </c>
    </row>
    <row r="263">
      <c r="A263" s="10" t="inlineStr">
        <is>
          <t>24x7 Severity 1 support per year, Year 1, list</t>
        </is>
      </c>
      <c r="B263" s="19">
        <f>IF($B$235="Yes",INDEX(Sup24,B246),0)</f>
        <v/>
      </c>
      <c r="C263" s="19">
        <f>IF($C$235="Yes",INDEX(Sup24,C246),0)</f>
        <v/>
      </c>
      <c r="D263" s="19">
        <f>IF($D$235="Yes",INDEX(Sup24,D246),0)</f>
        <v/>
      </c>
      <c r="E263" s="19">
        <f>IF($E$235="Yes",INDEX(Sup24,E246),0)</f>
        <v/>
      </c>
      <c r="F263" s="19">
        <f>IF($F$235="Yes",INDEX(Sup24,F246),0)</f>
        <v/>
      </c>
      <c r="G263" s="19">
        <f>IF($G$235="Yes",INDEX(Sup24,G246),0)</f>
        <v/>
      </c>
      <c r="H263" s="19">
        <f>IF($H$235="Yes",INDEX(Sup24,H246),0)</f>
        <v/>
      </c>
      <c r="I263" s="19">
        <f>IF($I$235="Yes",INDEX(Sup24,I246),0)</f>
        <v/>
      </c>
    </row>
    <row r="264">
      <c r="A264" s="10" t="inlineStr">
        <is>
          <t>Training days included</t>
        </is>
      </c>
      <c r="B264" s="24">
        <f>INDEX(TrainDays,B246)</f>
        <v/>
      </c>
      <c r="C264" s="24">
        <f>INDEX(TrainDays,C246)</f>
        <v/>
      </c>
      <c r="D264" s="24">
        <f>INDEX(TrainDays,D246)</f>
        <v/>
      </c>
      <c r="E264" s="24">
        <f>INDEX(TrainDays,E246)</f>
        <v/>
      </c>
      <c r="F264" s="24">
        <f>INDEX(TrainDays,F246)</f>
        <v/>
      </c>
      <c r="G264" s="24">
        <f>INDEX(TrainDays,G246)</f>
        <v/>
      </c>
      <c r="H264" s="24">
        <f>INDEX(TrainDays,H246)</f>
        <v/>
      </c>
      <c r="I264" s="24">
        <f>INDEX(TrainDays,I246)</f>
        <v/>
      </c>
    </row>
    <row r="265">
      <c r="A265" s="10" t="inlineStr">
        <is>
          <t>AMC Year 1</t>
        </is>
      </c>
      <c r="B265" s="19">
        <f>IF(AND($B$233="Perpetual",1&gt;=AMC_Start),B253*AMC_Rate*(1+Esc)^(1-AMC_Start),0)</f>
        <v/>
      </c>
      <c r="C265" s="19">
        <f>IF(AND($C$233="Perpetual",1&gt;=AMC_Start),C253*AMC_Rate*(1+Esc)^(1-AMC_Start),0)</f>
        <v/>
      </c>
      <c r="D265" s="19">
        <f>IF(AND($D$233="Perpetual",1&gt;=AMC_Start),D253*AMC_Rate*(1+Esc)^(1-AMC_Start),0)</f>
        <v/>
      </c>
      <c r="E265" s="19">
        <f>IF(AND($E$233="Perpetual",1&gt;=AMC_Start),E253*AMC_Rate*(1+Esc)^(1-AMC_Start),0)</f>
        <v/>
      </c>
      <c r="F265" s="19">
        <f>IF(AND($F$233="Perpetual",1&gt;=AMC_Start),F253*AMC_Rate*(1+Esc)^(1-AMC_Start),0)</f>
        <v/>
      </c>
      <c r="G265" s="19">
        <f>IF(AND($G$233="Perpetual",1&gt;=AMC_Start),G253*AMC_Rate*(1+Esc)^(1-AMC_Start),0)</f>
        <v/>
      </c>
      <c r="H265" s="19">
        <f>IF(AND($H$233="Perpetual",1&gt;=AMC_Start),H253*AMC_Rate*(1+Esc)^(1-AMC_Start),0)</f>
        <v/>
      </c>
      <c r="I265" s="19">
        <f>IF(AND($I$233="Perpetual",1&gt;=AMC_Start),I253*AMC_Rate*(1+Esc)^(1-AMC_Start),0)</f>
        <v/>
      </c>
    </row>
    <row r="266">
      <c r="A266" s="10" t="inlineStr">
        <is>
          <t>AMC Year 2</t>
        </is>
      </c>
      <c r="B266" s="19">
        <f>IF(AND($B$233="Perpetual",2&gt;=AMC_Start),B253*AMC_Rate*(1+Esc)^(2-AMC_Start),0)</f>
        <v/>
      </c>
      <c r="C266" s="19">
        <f>IF(AND($C$233="Perpetual",2&gt;=AMC_Start),C253*AMC_Rate*(1+Esc)^(2-AMC_Start),0)</f>
        <v/>
      </c>
      <c r="D266" s="19">
        <f>IF(AND($D$233="Perpetual",2&gt;=AMC_Start),D253*AMC_Rate*(1+Esc)^(2-AMC_Start),0)</f>
        <v/>
      </c>
      <c r="E266" s="19">
        <f>IF(AND($E$233="Perpetual",2&gt;=AMC_Start),E253*AMC_Rate*(1+Esc)^(2-AMC_Start),0)</f>
        <v/>
      </c>
      <c r="F266" s="19">
        <f>IF(AND($F$233="Perpetual",2&gt;=AMC_Start),F253*AMC_Rate*(1+Esc)^(2-AMC_Start),0)</f>
        <v/>
      </c>
      <c r="G266" s="19">
        <f>IF(AND($G$233="Perpetual",2&gt;=AMC_Start),G253*AMC_Rate*(1+Esc)^(2-AMC_Start),0)</f>
        <v/>
      </c>
      <c r="H266" s="19">
        <f>IF(AND($H$233="Perpetual",2&gt;=AMC_Start),H253*AMC_Rate*(1+Esc)^(2-AMC_Start),0)</f>
        <v/>
      </c>
      <c r="I266" s="19">
        <f>IF(AND($I$233="Perpetual",2&gt;=AMC_Start),I253*AMC_Rate*(1+Esc)^(2-AMC_Start),0)</f>
        <v/>
      </c>
    </row>
    <row r="267">
      <c r="A267" s="10" t="inlineStr">
        <is>
          <t>AMC Year 3</t>
        </is>
      </c>
      <c r="B267" s="19">
        <f>IF(AND($B$233="Perpetual",3&gt;=AMC_Start),B253*AMC_Rate*(1+Esc)^(3-AMC_Start),0)</f>
        <v/>
      </c>
      <c r="C267" s="19">
        <f>IF(AND($C$233="Perpetual",3&gt;=AMC_Start),C253*AMC_Rate*(1+Esc)^(3-AMC_Start),0)</f>
        <v/>
      </c>
      <c r="D267" s="19">
        <f>IF(AND($D$233="Perpetual",3&gt;=AMC_Start),D253*AMC_Rate*(1+Esc)^(3-AMC_Start),0)</f>
        <v/>
      </c>
      <c r="E267" s="19">
        <f>IF(AND($E$233="Perpetual",3&gt;=AMC_Start),E253*AMC_Rate*(1+Esc)^(3-AMC_Start),0)</f>
        <v/>
      </c>
      <c r="F267" s="19">
        <f>IF(AND($F$233="Perpetual",3&gt;=AMC_Start),F253*AMC_Rate*(1+Esc)^(3-AMC_Start),0)</f>
        <v/>
      </c>
      <c r="G267" s="19">
        <f>IF(AND($G$233="Perpetual",3&gt;=AMC_Start),G253*AMC_Rate*(1+Esc)^(3-AMC_Start),0)</f>
        <v/>
      </c>
      <c r="H267" s="19">
        <f>IF(AND($H$233="Perpetual",3&gt;=AMC_Start),H253*AMC_Rate*(1+Esc)^(3-AMC_Start),0)</f>
        <v/>
      </c>
      <c r="I267" s="19">
        <f>IF(AND($I$233="Perpetual",3&gt;=AMC_Start),I253*AMC_Rate*(1+Esc)^(3-AMC_Start),0)</f>
        <v/>
      </c>
    </row>
    <row r="268">
      <c r="A268" s="10" t="inlineStr">
        <is>
          <t>AMC Year 4</t>
        </is>
      </c>
      <c r="B268" s="19">
        <f>IF(AND($B$233="Perpetual",4&gt;=AMC_Start),B253*AMC_Rate*(1+Esc)^(4-AMC_Start),0)</f>
        <v/>
      </c>
      <c r="C268" s="19">
        <f>IF(AND($C$233="Perpetual",4&gt;=AMC_Start),C253*AMC_Rate*(1+Esc)^(4-AMC_Start),0)</f>
        <v/>
      </c>
      <c r="D268" s="19">
        <f>IF(AND($D$233="Perpetual",4&gt;=AMC_Start),D253*AMC_Rate*(1+Esc)^(4-AMC_Start),0)</f>
        <v/>
      </c>
      <c r="E268" s="19">
        <f>IF(AND($E$233="Perpetual",4&gt;=AMC_Start),E253*AMC_Rate*(1+Esc)^(4-AMC_Start),0)</f>
        <v/>
      </c>
      <c r="F268" s="19">
        <f>IF(AND($F$233="Perpetual",4&gt;=AMC_Start),F253*AMC_Rate*(1+Esc)^(4-AMC_Start),0)</f>
        <v/>
      </c>
      <c r="G268" s="19">
        <f>IF(AND($G$233="Perpetual",4&gt;=AMC_Start),G253*AMC_Rate*(1+Esc)^(4-AMC_Start),0)</f>
        <v/>
      </c>
      <c r="H268" s="19">
        <f>IF(AND($H$233="Perpetual",4&gt;=AMC_Start),H253*AMC_Rate*(1+Esc)^(4-AMC_Start),0)</f>
        <v/>
      </c>
      <c r="I268" s="19">
        <f>IF(AND($I$233="Perpetual",4&gt;=AMC_Start),I253*AMC_Rate*(1+Esc)^(4-AMC_Start),0)</f>
        <v/>
      </c>
    </row>
    <row r="269">
      <c r="A269" s="10" t="inlineStr">
        <is>
          <t>AMC Year 5</t>
        </is>
      </c>
      <c r="B269" s="19">
        <f>IF(AND($B$233="Perpetual",5&gt;=AMC_Start),B253*AMC_Rate*(1+Esc)^(5-AMC_Start),0)</f>
        <v/>
      </c>
      <c r="C269" s="19">
        <f>IF(AND($C$233="Perpetual",5&gt;=AMC_Start),C253*AMC_Rate*(1+Esc)^(5-AMC_Start),0)</f>
        <v/>
      </c>
      <c r="D269" s="19">
        <f>IF(AND($D$233="Perpetual",5&gt;=AMC_Start),D253*AMC_Rate*(1+Esc)^(5-AMC_Start),0)</f>
        <v/>
      </c>
      <c r="E269" s="19">
        <f>IF(AND($E$233="Perpetual",5&gt;=AMC_Start),E253*AMC_Rate*(1+Esc)^(5-AMC_Start),0)</f>
        <v/>
      </c>
      <c r="F269" s="19">
        <f>IF(AND($F$233="Perpetual",5&gt;=AMC_Start),F253*AMC_Rate*(1+Esc)^(5-AMC_Start),0)</f>
        <v/>
      </c>
      <c r="G269" s="19">
        <f>IF(AND($G$233="Perpetual",5&gt;=AMC_Start),G253*AMC_Rate*(1+Esc)^(5-AMC_Start),0)</f>
        <v/>
      </c>
      <c r="H269" s="19">
        <f>IF(AND($H$233="Perpetual",5&gt;=AMC_Start),H253*AMC_Rate*(1+Esc)^(5-AMC_Start),0)</f>
        <v/>
      </c>
      <c r="I269" s="19">
        <f>IF(AND($I$233="Perpetual",5&gt;=AMC_Start),I253*AMC_Rate*(1+Esc)^(5-AMC_Start),0)</f>
        <v/>
      </c>
    </row>
    <row r="270">
      <c r="A270" s="10" t="inlineStr">
        <is>
          <t>Subscription fees Year 1</t>
        </is>
      </c>
      <c r="B270" s="19">
        <f>B255*12*(1+Esc)^(1-1)</f>
        <v/>
      </c>
      <c r="C270" s="19">
        <f>C255*12*(1+Esc)^(1-1)</f>
        <v/>
      </c>
      <c r="D270" s="19">
        <f>D255*12*(1+Esc)^(1-1)</f>
        <v/>
      </c>
      <c r="E270" s="19">
        <f>E255*12*(1+Esc)^(1-1)</f>
        <v/>
      </c>
      <c r="F270" s="19">
        <f>F255*12*(1+Esc)^(1-1)</f>
        <v/>
      </c>
      <c r="G270" s="19">
        <f>G255*12*(1+Esc)^(1-1)</f>
        <v/>
      </c>
      <c r="H270" s="19">
        <f>H255*12*(1+Esc)^(1-1)</f>
        <v/>
      </c>
      <c r="I270" s="19">
        <f>I255*12*(1+Esc)^(1-1)</f>
        <v/>
      </c>
    </row>
    <row r="271">
      <c r="A271" s="10" t="inlineStr">
        <is>
          <t>Subscription fees Year 2</t>
        </is>
      </c>
      <c r="B271" s="19">
        <f>B255*12*(1+Esc)^(2-1)</f>
        <v/>
      </c>
      <c r="C271" s="19">
        <f>C255*12*(1+Esc)^(2-1)</f>
        <v/>
      </c>
      <c r="D271" s="19">
        <f>D255*12*(1+Esc)^(2-1)</f>
        <v/>
      </c>
      <c r="E271" s="19">
        <f>E255*12*(1+Esc)^(2-1)</f>
        <v/>
      </c>
      <c r="F271" s="19">
        <f>F255*12*(1+Esc)^(2-1)</f>
        <v/>
      </c>
      <c r="G271" s="19">
        <f>G255*12*(1+Esc)^(2-1)</f>
        <v/>
      </c>
      <c r="H271" s="19">
        <f>H255*12*(1+Esc)^(2-1)</f>
        <v/>
      </c>
      <c r="I271" s="19">
        <f>I255*12*(1+Esc)^(2-1)</f>
        <v/>
      </c>
    </row>
    <row r="272">
      <c r="A272" s="10" t="inlineStr">
        <is>
          <t>Subscription fees Year 3</t>
        </is>
      </c>
      <c r="B272" s="19">
        <f>B255*12*(1+Esc)^(3-1)</f>
        <v/>
      </c>
      <c r="C272" s="19">
        <f>C255*12*(1+Esc)^(3-1)</f>
        <v/>
      </c>
      <c r="D272" s="19">
        <f>D255*12*(1+Esc)^(3-1)</f>
        <v/>
      </c>
      <c r="E272" s="19">
        <f>E255*12*(1+Esc)^(3-1)</f>
        <v/>
      </c>
      <c r="F272" s="19">
        <f>F255*12*(1+Esc)^(3-1)</f>
        <v/>
      </c>
      <c r="G272" s="19">
        <f>G255*12*(1+Esc)^(3-1)</f>
        <v/>
      </c>
      <c r="H272" s="19">
        <f>H255*12*(1+Esc)^(3-1)</f>
        <v/>
      </c>
      <c r="I272" s="19">
        <f>I255*12*(1+Esc)^(3-1)</f>
        <v/>
      </c>
    </row>
    <row r="273">
      <c r="A273" s="10" t="inlineStr">
        <is>
          <t>Subscription fees Year 4</t>
        </is>
      </c>
      <c r="B273" s="19">
        <f>B255*12*(1+Esc)^(4-1)</f>
        <v/>
      </c>
      <c r="C273" s="19">
        <f>C255*12*(1+Esc)^(4-1)</f>
        <v/>
      </c>
      <c r="D273" s="19">
        <f>D255*12*(1+Esc)^(4-1)</f>
        <v/>
      </c>
      <c r="E273" s="19">
        <f>E255*12*(1+Esc)^(4-1)</f>
        <v/>
      </c>
      <c r="F273" s="19">
        <f>F255*12*(1+Esc)^(4-1)</f>
        <v/>
      </c>
      <c r="G273" s="19">
        <f>G255*12*(1+Esc)^(4-1)</f>
        <v/>
      </c>
      <c r="H273" s="19">
        <f>H255*12*(1+Esc)^(4-1)</f>
        <v/>
      </c>
      <c r="I273" s="19">
        <f>I255*12*(1+Esc)^(4-1)</f>
        <v/>
      </c>
    </row>
    <row r="274">
      <c r="A274" s="10" t="inlineStr">
        <is>
          <t>Subscription fees Year 5</t>
        </is>
      </c>
      <c r="B274" s="19">
        <f>B255*12*(1+Esc)^(5-1)</f>
        <v/>
      </c>
      <c r="C274" s="19">
        <f>C255*12*(1+Esc)^(5-1)</f>
        <v/>
      </c>
      <c r="D274" s="19">
        <f>D255*12*(1+Esc)^(5-1)</f>
        <v/>
      </c>
      <c r="E274" s="19">
        <f>E255*12*(1+Esc)^(5-1)</f>
        <v/>
      </c>
      <c r="F274" s="19">
        <f>F255*12*(1+Esc)^(5-1)</f>
        <v/>
      </c>
      <c r="G274" s="19">
        <f>G255*12*(1+Esc)^(5-1)</f>
        <v/>
      </c>
      <c r="H274" s="19">
        <f>H255*12*(1+Esc)^(5-1)</f>
        <v/>
      </c>
      <c r="I274" s="19">
        <f>I255*12*(1+Esc)^(5-1)</f>
        <v/>
      </c>
    </row>
    <row r="275">
      <c r="A275" s="10" t="inlineStr">
        <is>
          <t>Hosting and environments Year 1</t>
        </is>
      </c>
      <c r="B275" s="19">
        <f>B258*12*(1+Infra_Esc)^(1-1)+B259*12*(1+Esc)^(1-1)</f>
        <v/>
      </c>
      <c r="C275" s="19">
        <f>C258*12*(1+Infra_Esc)^(1-1)+C259*12*(1+Esc)^(1-1)</f>
        <v/>
      </c>
      <c r="D275" s="19">
        <f>D258*12*(1+Infra_Esc)^(1-1)+D259*12*(1+Esc)^(1-1)</f>
        <v/>
      </c>
      <c r="E275" s="19">
        <f>E258*12*(1+Infra_Esc)^(1-1)+E259*12*(1+Esc)^(1-1)</f>
        <v/>
      </c>
      <c r="F275" s="19">
        <f>F258*12*(1+Infra_Esc)^(1-1)+F259*12*(1+Esc)^(1-1)</f>
        <v/>
      </c>
      <c r="G275" s="19">
        <f>G258*12*(1+Infra_Esc)^(1-1)+G259*12*(1+Esc)^(1-1)</f>
        <v/>
      </c>
      <c r="H275" s="19">
        <f>H258*12*(1+Infra_Esc)^(1-1)+H259*12*(1+Esc)^(1-1)</f>
        <v/>
      </c>
      <c r="I275" s="19">
        <f>I258*12*(1+Infra_Esc)^(1-1)+I259*12*(1+Esc)^(1-1)</f>
        <v/>
      </c>
    </row>
    <row r="276">
      <c r="A276" s="10" t="inlineStr">
        <is>
          <t>Hosting and environments Year 2</t>
        </is>
      </c>
      <c r="B276" s="19">
        <f>B258*12*(1+Infra_Esc)^(2-1)+B259*12*(1+Esc)^(2-1)</f>
        <v/>
      </c>
      <c r="C276" s="19">
        <f>C258*12*(1+Infra_Esc)^(2-1)+C259*12*(1+Esc)^(2-1)</f>
        <v/>
      </c>
      <c r="D276" s="19">
        <f>D258*12*(1+Infra_Esc)^(2-1)+D259*12*(1+Esc)^(2-1)</f>
        <v/>
      </c>
      <c r="E276" s="19">
        <f>E258*12*(1+Infra_Esc)^(2-1)+E259*12*(1+Esc)^(2-1)</f>
        <v/>
      </c>
      <c r="F276" s="19">
        <f>F258*12*(1+Infra_Esc)^(2-1)+F259*12*(1+Esc)^(2-1)</f>
        <v/>
      </c>
      <c r="G276" s="19">
        <f>G258*12*(1+Infra_Esc)^(2-1)+G259*12*(1+Esc)^(2-1)</f>
        <v/>
      </c>
      <c r="H276" s="19">
        <f>H258*12*(1+Infra_Esc)^(2-1)+H259*12*(1+Esc)^(2-1)</f>
        <v/>
      </c>
      <c r="I276" s="19">
        <f>I258*12*(1+Infra_Esc)^(2-1)+I259*12*(1+Esc)^(2-1)</f>
        <v/>
      </c>
    </row>
    <row r="277">
      <c r="A277" s="10" t="inlineStr">
        <is>
          <t>Hosting and environments Year 3</t>
        </is>
      </c>
      <c r="B277" s="19">
        <f>B258*12*(1+Infra_Esc)^(3-1)+B259*12*(1+Esc)^(3-1)</f>
        <v/>
      </c>
      <c r="C277" s="19">
        <f>C258*12*(1+Infra_Esc)^(3-1)+C259*12*(1+Esc)^(3-1)</f>
        <v/>
      </c>
      <c r="D277" s="19">
        <f>D258*12*(1+Infra_Esc)^(3-1)+D259*12*(1+Esc)^(3-1)</f>
        <v/>
      </c>
      <c r="E277" s="19">
        <f>E258*12*(1+Infra_Esc)^(3-1)+E259*12*(1+Esc)^(3-1)</f>
        <v/>
      </c>
      <c r="F277" s="19">
        <f>F258*12*(1+Infra_Esc)^(3-1)+F259*12*(1+Esc)^(3-1)</f>
        <v/>
      </c>
      <c r="G277" s="19">
        <f>G258*12*(1+Infra_Esc)^(3-1)+G259*12*(1+Esc)^(3-1)</f>
        <v/>
      </c>
      <c r="H277" s="19">
        <f>H258*12*(1+Infra_Esc)^(3-1)+H259*12*(1+Esc)^(3-1)</f>
        <v/>
      </c>
      <c r="I277" s="19">
        <f>I258*12*(1+Infra_Esc)^(3-1)+I259*12*(1+Esc)^(3-1)</f>
        <v/>
      </c>
    </row>
    <row r="278">
      <c r="A278" s="10" t="inlineStr">
        <is>
          <t>Hosting and environments Year 4</t>
        </is>
      </c>
      <c r="B278" s="19">
        <f>B258*12*(1+Infra_Esc)^(4-1)+B259*12*(1+Esc)^(4-1)</f>
        <v/>
      </c>
      <c r="C278" s="19">
        <f>C258*12*(1+Infra_Esc)^(4-1)+C259*12*(1+Esc)^(4-1)</f>
        <v/>
      </c>
      <c r="D278" s="19">
        <f>D258*12*(1+Infra_Esc)^(4-1)+D259*12*(1+Esc)^(4-1)</f>
        <v/>
      </c>
      <c r="E278" s="19">
        <f>E258*12*(1+Infra_Esc)^(4-1)+E259*12*(1+Esc)^(4-1)</f>
        <v/>
      </c>
      <c r="F278" s="19">
        <f>F258*12*(1+Infra_Esc)^(4-1)+F259*12*(1+Esc)^(4-1)</f>
        <v/>
      </c>
      <c r="G278" s="19">
        <f>G258*12*(1+Infra_Esc)^(4-1)+G259*12*(1+Esc)^(4-1)</f>
        <v/>
      </c>
      <c r="H278" s="19">
        <f>H258*12*(1+Infra_Esc)^(4-1)+H259*12*(1+Esc)^(4-1)</f>
        <v/>
      </c>
      <c r="I278" s="19">
        <f>I258*12*(1+Infra_Esc)^(4-1)+I259*12*(1+Esc)^(4-1)</f>
        <v/>
      </c>
    </row>
    <row r="279">
      <c r="A279" s="10" t="inlineStr">
        <is>
          <t>Hosting and environments Year 5</t>
        </is>
      </c>
      <c r="B279" s="19">
        <f>B258*12*(1+Infra_Esc)^(5-1)+B259*12*(1+Esc)^(5-1)</f>
        <v/>
      </c>
      <c r="C279" s="19">
        <f>C258*12*(1+Infra_Esc)^(5-1)+C259*12*(1+Esc)^(5-1)</f>
        <v/>
      </c>
      <c r="D279" s="19">
        <f>D258*12*(1+Infra_Esc)^(5-1)+D259*12*(1+Esc)^(5-1)</f>
        <v/>
      </c>
      <c r="E279" s="19">
        <f>E258*12*(1+Infra_Esc)^(5-1)+E259*12*(1+Esc)^(5-1)</f>
        <v/>
      </c>
      <c r="F279" s="19">
        <f>F258*12*(1+Infra_Esc)^(5-1)+F259*12*(1+Esc)^(5-1)</f>
        <v/>
      </c>
      <c r="G279" s="19">
        <f>G258*12*(1+Infra_Esc)^(5-1)+G259*12*(1+Esc)^(5-1)</f>
        <v/>
      </c>
      <c r="H279" s="19">
        <f>H258*12*(1+Infra_Esc)^(5-1)+H259*12*(1+Esc)^(5-1)</f>
        <v/>
      </c>
      <c r="I279" s="19">
        <f>I258*12*(1+Infra_Esc)^(5-1)+I259*12*(1+Esc)^(5-1)</f>
        <v/>
      </c>
    </row>
    <row r="280">
      <c r="A280" s="10" t="inlineStr">
        <is>
          <t>24x7 support Year 1</t>
        </is>
      </c>
      <c r="B280" s="19">
        <f>B263*(1-$B$244)*(1+Esc)^(1-1)</f>
        <v/>
      </c>
      <c r="C280" s="19">
        <f>C263*(1-$C$244)*(1+Esc)^(1-1)</f>
        <v/>
      </c>
      <c r="D280" s="19">
        <f>D263*(1-$D$244)*(1+Esc)^(1-1)</f>
        <v/>
      </c>
      <c r="E280" s="19">
        <f>E263*(1-$E$244)*(1+Esc)^(1-1)</f>
        <v/>
      </c>
      <c r="F280" s="19">
        <f>F263*(1-$F$244)*(1+Esc)^(1-1)</f>
        <v/>
      </c>
      <c r="G280" s="19">
        <f>G263*(1-$G$244)*(1+Esc)^(1-1)</f>
        <v/>
      </c>
      <c r="H280" s="19">
        <f>H263*(1-$H$244)*(1+Esc)^(1-1)</f>
        <v/>
      </c>
      <c r="I280" s="19">
        <f>I263*(1-$I$244)*(1+Esc)^(1-1)</f>
        <v/>
      </c>
    </row>
    <row r="281">
      <c r="A281" s="10" t="inlineStr">
        <is>
          <t>24x7 support Year 2</t>
        </is>
      </c>
      <c r="B281" s="19">
        <f>B263*(1-$B$244)*(1+Esc)^(2-1)</f>
        <v/>
      </c>
      <c r="C281" s="19">
        <f>C263*(1-$C$244)*(1+Esc)^(2-1)</f>
        <v/>
      </c>
      <c r="D281" s="19">
        <f>D263*(1-$D$244)*(1+Esc)^(2-1)</f>
        <v/>
      </c>
      <c r="E281" s="19">
        <f>E263*(1-$E$244)*(1+Esc)^(2-1)</f>
        <v/>
      </c>
      <c r="F281" s="19">
        <f>F263*(1-$F$244)*(1+Esc)^(2-1)</f>
        <v/>
      </c>
      <c r="G281" s="19">
        <f>G263*(1-$G$244)*(1+Esc)^(2-1)</f>
        <v/>
      </c>
      <c r="H281" s="19">
        <f>H263*(1-$H$244)*(1+Esc)^(2-1)</f>
        <v/>
      </c>
      <c r="I281" s="19">
        <f>I263*(1-$I$244)*(1+Esc)^(2-1)</f>
        <v/>
      </c>
    </row>
    <row r="282">
      <c r="A282" s="10" t="inlineStr">
        <is>
          <t>24x7 support Year 3</t>
        </is>
      </c>
      <c r="B282" s="19">
        <f>B263*(1-$B$244)*(1+Esc)^(3-1)</f>
        <v/>
      </c>
      <c r="C282" s="19">
        <f>C263*(1-$C$244)*(1+Esc)^(3-1)</f>
        <v/>
      </c>
      <c r="D282" s="19">
        <f>D263*(1-$D$244)*(1+Esc)^(3-1)</f>
        <v/>
      </c>
      <c r="E282" s="19">
        <f>E263*(1-$E$244)*(1+Esc)^(3-1)</f>
        <v/>
      </c>
      <c r="F282" s="19">
        <f>F263*(1-$F$244)*(1+Esc)^(3-1)</f>
        <v/>
      </c>
      <c r="G282" s="19">
        <f>G263*(1-$G$244)*(1+Esc)^(3-1)</f>
        <v/>
      </c>
      <c r="H282" s="19">
        <f>H263*(1-$H$244)*(1+Esc)^(3-1)</f>
        <v/>
      </c>
      <c r="I282" s="19">
        <f>I263*(1-$I$244)*(1+Esc)^(3-1)</f>
        <v/>
      </c>
    </row>
    <row r="283">
      <c r="A283" s="10" t="inlineStr">
        <is>
          <t>24x7 support Year 4</t>
        </is>
      </c>
      <c r="B283" s="19">
        <f>B263*(1-$B$244)*(1+Esc)^(4-1)</f>
        <v/>
      </c>
      <c r="C283" s="19">
        <f>C263*(1-$C$244)*(1+Esc)^(4-1)</f>
        <v/>
      </c>
      <c r="D283" s="19">
        <f>D263*(1-$D$244)*(1+Esc)^(4-1)</f>
        <v/>
      </c>
      <c r="E283" s="19">
        <f>E263*(1-$E$244)*(1+Esc)^(4-1)</f>
        <v/>
      </c>
      <c r="F283" s="19">
        <f>F263*(1-$F$244)*(1+Esc)^(4-1)</f>
        <v/>
      </c>
      <c r="G283" s="19">
        <f>G263*(1-$G$244)*(1+Esc)^(4-1)</f>
        <v/>
      </c>
      <c r="H283" s="19">
        <f>H263*(1-$H$244)*(1+Esc)^(4-1)</f>
        <v/>
      </c>
      <c r="I283" s="19">
        <f>I263*(1-$I$244)*(1+Esc)^(4-1)</f>
        <v/>
      </c>
    </row>
    <row r="284">
      <c r="A284" s="10" t="inlineStr">
        <is>
          <t>24x7 support Year 5</t>
        </is>
      </c>
      <c r="B284" s="19">
        <f>B263*(1-$B$244)*(1+Esc)^(5-1)</f>
        <v/>
      </c>
      <c r="C284" s="19">
        <f>C263*(1-$C$244)*(1+Esc)^(5-1)</f>
        <v/>
      </c>
      <c r="D284" s="19">
        <f>D263*(1-$D$244)*(1+Esc)^(5-1)</f>
        <v/>
      </c>
      <c r="E284" s="19">
        <f>E263*(1-$E$244)*(1+Esc)^(5-1)</f>
        <v/>
      </c>
      <c r="F284" s="19">
        <f>F263*(1-$F$244)*(1+Esc)^(5-1)</f>
        <v/>
      </c>
      <c r="G284" s="19">
        <f>G263*(1-$G$244)*(1+Esc)^(5-1)</f>
        <v/>
      </c>
      <c r="H284" s="19">
        <f>H263*(1-$H$244)*(1+Esc)^(5-1)</f>
        <v/>
      </c>
      <c r="I284" s="19">
        <f>I263*(1-$I$244)*(1+Esc)^(5-1)</f>
        <v/>
      </c>
    </row>
    <row r="285">
      <c r="A285" s="10" t="inlineStr">
        <is>
          <t>Total Year 1, excl. VAT</t>
        </is>
      </c>
      <c r="B285" s="20">
        <f>B251+B253+B262+B265+B270+B275+B280</f>
        <v/>
      </c>
      <c r="C285" s="20">
        <f>C251+C253+C262+C265+C270+C275+C280</f>
        <v/>
      </c>
      <c r="D285" s="20">
        <f>D251+D253+D262+D265+D270+D275+D280</f>
        <v/>
      </c>
      <c r="E285" s="20">
        <f>E251+E253+E262+E265+E270+E275+E280</f>
        <v/>
      </c>
      <c r="F285" s="20">
        <f>F251+F253+F262+F265+F270+F275+F280</f>
        <v/>
      </c>
      <c r="G285" s="20">
        <f>G251+G253+G262+G265+G270+G275+G280</f>
        <v/>
      </c>
      <c r="H285" s="20">
        <f>H251+H253+H262+H265+H270+H275+H280</f>
        <v/>
      </c>
      <c r="I285" s="20">
        <f>I251+I253+I262+I265+I270+I275+I280</f>
        <v/>
      </c>
    </row>
    <row r="286">
      <c r="A286" s="10" t="inlineStr">
        <is>
          <t>Total Year 2, excl. VAT</t>
        </is>
      </c>
      <c r="B286" s="19">
        <f>B266+B271+B276+B281</f>
        <v/>
      </c>
      <c r="C286" s="19">
        <f>C266+C271+C276+C281</f>
        <v/>
      </c>
      <c r="D286" s="19">
        <f>D266+D271+D276+D281</f>
        <v/>
      </c>
      <c r="E286" s="19">
        <f>E266+E271+E276+E281</f>
        <v/>
      </c>
      <c r="F286" s="19">
        <f>F266+F271+F276+F281</f>
        <v/>
      </c>
      <c r="G286" s="19">
        <f>G266+G271+G276+G281</f>
        <v/>
      </c>
      <c r="H286" s="19">
        <f>H266+H271+H276+H281</f>
        <v/>
      </c>
      <c r="I286" s="19">
        <f>I266+I271+I276+I281</f>
        <v/>
      </c>
    </row>
    <row r="287">
      <c r="A287" s="10" t="inlineStr">
        <is>
          <t>Total Year 3, excl. VAT</t>
        </is>
      </c>
      <c r="B287" s="19">
        <f>B267+B272+B277+B282</f>
        <v/>
      </c>
      <c r="C287" s="19">
        <f>C267+C272+C277+C282</f>
        <v/>
      </c>
      <c r="D287" s="19">
        <f>D267+D272+D277+D282</f>
        <v/>
      </c>
      <c r="E287" s="19">
        <f>E267+E272+E277+E282</f>
        <v/>
      </c>
      <c r="F287" s="19">
        <f>F267+F272+F277+F282</f>
        <v/>
      </c>
      <c r="G287" s="19">
        <f>G267+G272+G277+G282</f>
        <v/>
      </c>
      <c r="H287" s="19">
        <f>H267+H272+H277+H282</f>
        <v/>
      </c>
      <c r="I287" s="19">
        <f>I267+I272+I277+I282</f>
        <v/>
      </c>
    </row>
    <row r="288">
      <c r="A288" s="10" t="inlineStr">
        <is>
          <t>Total Year 4, excl. VAT</t>
        </is>
      </c>
      <c r="B288" s="19">
        <f>B268+B273+B278+B283</f>
        <v/>
      </c>
      <c r="C288" s="19">
        <f>C268+C273+C278+C283</f>
        <v/>
      </c>
      <c r="D288" s="19">
        <f>D268+D273+D278+D283</f>
        <v/>
      </c>
      <c r="E288" s="19">
        <f>E268+E273+E278+E283</f>
        <v/>
      </c>
      <c r="F288" s="19">
        <f>F268+F273+F278+F283</f>
        <v/>
      </c>
      <c r="G288" s="19">
        <f>G268+G273+G278+G283</f>
        <v/>
      </c>
      <c r="H288" s="19">
        <f>H268+H273+H278+H283</f>
        <v/>
      </c>
      <c r="I288" s="19">
        <f>I268+I273+I278+I283</f>
        <v/>
      </c>
    </row>
    <row r="289">
      <c r="A289" s="10" t="inlineStr">
        <is>
          <t>Total Year 5, excl. VAT</t>
        </is>
      </c>
      <c r="B289" s="19">
        <f>B269+B274+B279+B284</f>
        <v/>
      </c>
      <c r="C289" s="19">
        <f>C269+C274+C279+C284</f>
        <v/>
      </c>
      <c r="D289" s="19">
        <f>D269+D274+D279+D284</f>
        <v/>
      </c>
      <c r="E289" s="19">
        <f>E269+E274+E279+E284</f>
        <v/>
      </c>
      <c r="F289" s="19">
        <f>F269+F274+F279+F284</f>
        <v/>
      </c>
      <c r="G289" s="19">
        <f>G269+G274+G279+G284</f>
        <v/>
      </c>
      <c r="H289" s="19">
        <f>H269+H274+H279+H284</f>
        <v/>
      </c>
      <c r="I289" s="19">
        <f>I269+I274+I279+I284</f>
        <v/>
      </c>
    </row>
    <row r="290">
      <c r="A290" s="10" t="inlineStr">
        <is>
          <t>Total for the contract term, excl. VAT</t>
        </is>
      </c>
      <c r="B290" s="20">
        <f>IF($B$242&gt;=1,B285,0)+IF($B$242&gt;=2,B286,0)+IF($B$242&gt;=3,B287,0)+IF($B$242&gt;=4,B288,0)+IF($B$242&gt;=5,B289,0)</f>
        <v/>
      </c>
      <c r="C290" s="20">
        <f>IF($C$242&gt;=1,C285,0)+IF($C$242&gt;=2,C286,0)+IF($C$242&gt;=3,C287,0)+IF($C$242&gt;=4,C288,0)+IF($C$242&gt;=5,C289,0)</f>
        <v/>
      </c>
      <c r="D290" s="20">
        <f>IF($D$242&gt;=1,D285,0)+IF($D$242&gt;=2,D286,0)+IF($D$242&gt;=3,D287,0)+IF($D$242&gt;=4,D288,0)+IF($D$242&gt;=5,D289,0)</f>
        <v/>
      </c>
      <c r="E290" s="20">
        <f>IF($E$242&gt;=1,E285,0)+IF($E$242&gt;=2,E286,0)+IF($E$242&gt;=3,E287,0)+IF($E$242&gt;=4,E288,0)+IF($E$242&gt;=5,E289,0)</f>
        <v/>
      </c>
      <c r="F290" s="20">
        <f>IF($F$242&gt;=1,F285,0)+IF($F$242&gt;=2,F286,0)+IF($F$242&gt;=3,F287,0)+IF($F$242&gt;=4,F288,0)+IF($F$242&gt;=5,F289,0)</f>
        <v/>
      </c>
      <c r="G290" s="20">
        <f>IF($G$242&gt;=1,G285,0)+IF($G$242&gt;=2,G286,0)+IF($G$242&gt;=3,G287,0)+IF($G$242&gt;=4,G288,0)+IF($G$242&gt;=5,G289,0)</f>
        <v/>
      </c>
      <c r="H290" s="20">
        <f>IF($H$242&gt;=1,H285,0)+IF($H$242&gt;=2,H286,0)+IF($H$242&gt;=3,H287,0)+IF($H$242&gt;=4,H288,0)+IF($H$242&gt;=5,H289,0)</f>
        <v/>
      </c>
      <c r="I290" s="20">
        <f>IF($I$242&gt;=1,I285,0)+IF($I$242&gt;=2,I286,0)+IF($I$242&gt;=3,I287,0)+IF($I$242&gt;=4,I288,0)+IF($I$242&gt;=5,I289,0)</f>
        <v/>
      </c>
    </row>
    <row r="291">
      <c r="A291" s="10" t="inlineStr">
        <is>
          <t>5-year total cost, excl. VAT</t>
        </is>
      </c>
      <c r="B291" s="20">
        <f>B285+B286+B287+B288+B289</f>
        <v/>
      </c>
      <c r="C291" s="20">
        <f>C285+C286+C287+C288+C289</f>
        <v/>
      </c>
      <c r="D291" s="20">
        <f>D285+D286+D287+D288+D289</f>
        <v/>
      </c>
      <c r="E291" s="20">
        <f>E285+E286+E287+E288+E289</f>
        <v/>
      </c>
      <c r="F291" s="20">
        <f>F285+F286+F287+F288+F289</f>
        <v/>
      </c>
      <c r="G291" s="20">
        <f>G285+G286+G287+G288+G289</f>
        <v/>
      </c>
      <c r="H291" s="20">
        <f>H285+H286+H287+H288+H289</f>
        <v/>
      </c>
      <c r="I291" s="20">
        <f>I285+I286+I287+I288+I289</f>
        <v/>
      </c>
    </row>
    <row r="292">
      <c r="A292" s="10" t="inlineStr">
        <is>
          <t>5-year total cost, incl. VAT</t>
        </is>
      </c>
      <c r="B292" s="19">
        <f>B291*(1+VAT)</f>
        <v/>
      </c>
      <c r="C292" s="19">
        <f>C291*(1+VAT)</f>
        <v/>
      </c>
      <c r="D292" s="19">
        <f>D291*(1+VAT)</f>
        <v/>
      </c>
      <c r="E292" s="19">
        <f>E291*(1+VAT)</f>
        <v/>
      </c>
      <c r="F292" s="19">
        <f>F291*(1+VAT)</f>
        <v/>
      </c>
      <c r="G292" s="19">
        <f>G291*(1+VAT)</f>
        <v/>
      </c>
      <c r="H292" s="19">
        <f>H291*(1+VAT)</f>
        <v/>
      </c>
      <c r="I292" s="19">
        <f>I291*(1+VAT)</f>
        <v/>
      </c>
    </row>
    <row r="293">
      <c r="A293" s="10" t="inlineStr">
        <is>
          <t>5-year total cost, USD reference</t>
        </is>
      </c>
      <c r="B293" s="19">
        <f>B291/FX</f>
        <v/>
      </c>
      <c r="C293" s="19">
        <f>C291/FX</f>
        <v/>
      </c>
      <c r="D293" s="19">
        <f>D291/FX</f>
        <v/>
      </c>
      <c r="E293" s="19">
        <f>E291/FX</f>
        <v/>
      </c>
      <c r="F293" s="19">
        <f>F291/FX</f>
        <v/>
      </c>
      <c r="G293" s="19">
        <f>G291/FX</f>
        <v/>
      </c>
      <c r="H293" s="19">
        <f>H291/FX</f>
        <v/>
      </c>
      <c r="I293" s="19">
        <f>I291/FX</f>
        <v/>
      </c>
    </row>
  </sheetData>
  <mergeCells count="17">
    <mergeCell ref="F162:G162"/>
    <mergeCell ref="D162:E162"/>
    <mergeCell ref="H162:I162"/>
    <mergeCell ref="A22:I22"/>
    <mergeCell ref="F94:G94"/>
    <mergeCell ref="B230:C230"/>
    <mergeCell ref="D230:E230"/>
    <mergeCell ref="H94:I94"/>
    <mergeCell ref="F230:G230"/>
    <mergeCell ref="B94:C94"/>
    <mergeCell ref="H230:I230"/>
    <mergeCell ref="B26:C26"/>
    <mergeCell ref="D94:E94"/>
    <mergeCell ref="F26:G26"/>
    <mergeCell ref="D26:E26"/>
    <mergeCell ref="B162:C162"/>
    <mergeCell ref="H26:I26"/>
  </mergeCells>
  <pageMargins left="0.4" right="0.4" top="1" bottom="1" header="0.5" footer="0.5"/>
  <pageSetup orientation="landscape" paperSize="9" fitToHeight="0" fitToWidth="1"/>
  <headerFooter>
    <oddHeader/>
    <oddFooter>&amp;CiNXT BrokerVerse OOTB price book, iorta TechNXT Corp. INTERNAL. 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G42"/>
  <sheetViews>
    <sheetView workbookViewId="0">
      <pane ySplit="3" topLeftCell="A4"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8" customWidth="1" min="6" max="6"/>
    <col width="60" customWidth="1" min="7" max="7"/>
  </cols>
  <sheetData>
    <row r="1">
      <c r="A1" s="1" t="inlineStr">
        <is>
          <t>Negotiation: approval matrix, floors and levers</t>
        </is>
      </c>
    </row>
    <row r="2">
      <c r="A2" s="2" t="inlineStr">
        <is>
          <t>INTERNAL. Never shown or sent to a client. Discounts are off the list price of each component.</t>
        </is>
      </c>
    </row>
    <row r="4">
      <c r="A4" s="6" t="inlineStr">
        <is>
          <t>Approval matrix: maximum discount off list by approver</t>
        </is>
      </c>
      <c r="B4" s="7" t="n"/>
      <c r="C4" s="7" t="n"/>
      <c r="D4" s="7" t="n"/>
      <c r="E4" s="7" t="n"/>
      <c r="F4" s="7" t="n"/>
      <c r="G4" s="7" t="n"/>
    </row>
    <row r="5" ht="32" customHeight="1">
      <c r="A5" s="3" t="inlineStr">
        <is>
          <t>Component</t>
        </is>
      </c>
      <c r="B5" s="3" t="inlineStr">
        <is>
          <t>Account manager</t>
        </is>
      </c>
      <c r="C5" s="3" t="inlineStr">
        <is>
          <t>Sales head</t>
        </is>
      </c>
      <c r="D5" s="3" t="inlineStr">
        <is>
          <t>CEO</t>
        </is>
      </c>
      <c r="E5" s="3" t="inlineStr">
        <is>
          <t>Floor: never below (discount)</t>
        </is>
      </c>
      <c r="F5" s="3" t="inlineStr">
        <is>
          <t>Floor as % of list</t>
        </is>
      </c>
      <c r="G5" s="3" t="inlineStr">
        <is>
          <t>Rules</t>
        </is>
      </c>
    </row>
    <row r="6" ht="30" customHeight="1">
      <c r="A6" s="16" t="inlineStr">
        <is>
          <t>Perpetual licence fee</t>
        </is>
      </c>
      <c r="B6" s="29" t="n">
        <v>0.05</v>
      </c>
      <c r="C6" s="29" t="n">
        <v>0.1</v>
      </c>
      <c r="D6" s="29" t="n">
        <v>0.15</v>
      </c>
      <c r="E6" s="29">
        <f>D6</f>
        <v/>
      </c>
      <c r="F6" s="30">
        <f>1-E6</f>
        <v/>
      </c>
      <c r="G6" s="5" t="inlineStr">
        <is>
          <t>AMC follows the quoted (net) licence fee. AMC rate 22% and 5% escalation are not discounted (see levers).</t>
        </is>
      </c>
    </row>
    <row r="7" ht="30" customHeight="1">
      <c r="A7" s="16" t="inlineStr">
        <is>
          <t>Subscription per user per month</t>
        </is>
      </c>
      <c r="B7" s="27">
        <f>B6</f>
        <v/>
      </c>
      <c r="C7" s="27">
        <f>C6</f>
        <v/>
      </c>
      <c r="D7" s="27">
        <f>D6</f>
        <v/>
      </c>
      <c r="E7" s="27">
        <f>E6</f>
        <v/>
      </c>
      <c r="F7" s="30">
        <f>1-E7</f>
        <v/>
      </c>
      <c r="G7" s="5" t="inlineStr">
        <is>
          <t>Discount fixed for the initial term; renewals at the then list price less the same discount unless agreed otherwise.</t>
        </is>
      </c>
    </row>
    <row r="8" ht="30" customHeight="1">
      <c r="A8" s="16" t="inlineStr">
        <is>
          <t>Implementation or onboarding fee</t>
        </is>
      </c>
      <c r="B8" s="27">
        <f>B6</f>
        <v/>
      </c>
      <c r="C8" s="27">
        <f>C6</f>
        <v/>
      </c>
      <c r="D8" s="27">
        <f>D6</f>
        <v/>
      </c>
      <c r="E8" s="29">
        <f>D6</f>
        <v/>
      </c>
      <c r="F8" s="30">
        <f>1-E8</f>
        <v/>
      </c>
      <c r="G8" s="5" t="inlineStr">
        <is>
          <t>Reducing scope lowers the fee at the blended rate and is not a discount.</t>
        </is>
      </c>
    </row>
    <row r="9" ht="30" customHeight="1">
      <c r="A9" s="16" t="inlineStr">
        <is>
          <t>One-time optional services and 24x7 support</t>
        </is>
      </c>
      <c r="B9" s="27">
        <f>B6</f>
        <v/>
      </c>
      <c r="C9" s="27">
        <f>C6</f>
        <v/>
      </c>
      <c r="D9" s="27">
        <f>D6</f>
        <v/>
      </c>
      <c r="E9" s="27">
        <f>E8</f>
        <v/>
      </c>
      <c r="F9" s="30">
        <f>1-E9</f>
        <v/>
      </c>
      <c r="G9" s="5" t="inlineStr">
        <is>
          <t>Same limits as implementation.</t>
        </is>
      </c>
    </row>
    <row r="10" ht="30" customHeight="1">
      <c r="A10" s="16" t="inlineStr">
        <is>
          <t>Hosting per month</t>
        </is>
      </c>
      <c r="B10" s="29" t="n">
        <v>0</v>
      </c>
      <c r="C10" s="29" t="n">
        <v>0.05</v>
      </c>
      <c r="D10" s="29" t="n">
        <v>0.1</v>
      </c>
      <c r="E10" s="29">
        <f>D10</f>
        <v/>
      </c>
      <c r="F10" s="30">
        <f>1-E10</f>
        <v/>
      </c>
      <c r="G10" s="5" t="inlineStr">
        <is>
          <t>Hosting carries a 20% margin over estimated cloud cost; 10% off keeps about 8% for FX and operations.</t>
        </is>
      </c>
    </row>
    <row r="11" ht="30" customHeight="1">
      <c r="A11" s="16" t="inlineStr">
        <is>
          <t>Change request and day rates</t>
        </is>
      </c>
      <c r="B11" s="29" t="n">
        <v>0</v>
      </c>
      <c r="C11" s="29" t="n">
        <v>0.05</v>
      </c>
      <c r="D11" s="29" t="n">
        <v>0.1</v>
      </c>
      <c r="E11" s="29" t="n">
        <v>0.1</v>
      </c>
      <c r="F11" s="30">
        <f>1-E11</f>
        <v/>
      </c>
      <c r="G11" s="5" t="inlineStr">
        <is>
          <t>Day rates are fixed for 12 months from signing. No discount on CRs below 5 man-days.</t>
        </is>
      </c>
    </row>
    <row r="12" ht="30" customHeight="1">
      <c r="A12" s="16" t="inlineStr">
        <is>
          <t>AMC rate (22%) and escalation (5%)</t>
        </is>
      </c>
      <c r="B12" s="29" t="n">
        <v>0</v>
      </c>
      <c r="C12" s="29" t="n">
        <v>0</v>
      </c>
      <c r="D12" s="29" t="n">
        <v>0</v>
      </c>
      <c r="E12" s="29" t="n">
        <v>0</v>
      </c>
      <c r="F12" s="30">
        <f>1-E12</f>
        <v/>
      </c>
      <c r="G12" s="5" t="inlineStr">
        <is>
          <t>Not discounted. Only the multi-year AMC prepayment lever may hold the escalation, with CEO approval.</t>
        </is>
      </c>
    </row>
    <row r="13" ht="30" customHeight="1">
      <c r="A13" s="31" t="inlineStr">
        <is>
          <t>The floor equals the CEO limit: nobody may approve a price below it. A deal that needs more must be restructured with the levers below (scope, phasing, term, payment) or declined. Total discount from all levers and discretion together may not pass the CEO limit.</t>
        </is>
      </c>
    </row>
    <row r="15">
      <c r="A15" s="6" t="inlineStr">
        <is>
          <t>Floor prices per tier (reference users and lines of business)</t>
        </is>
      </c>
      <c r="B15" s="7" t="n"/>
      <c r="C15" s="7" t="n"/>
      <c r="D15" s="7" t="n"/>
      <c r="E15" s="7" t="n"/>
      <c r="F15" s="7" t="n"/>
      <c r="G15" s="7" t="n"/>
    </row>
    <row r="16" ht="45" customHeight="1">
      <c r="A16" s="3" t="inlineStr">
        <is>
          <t>Tier</t>
        </is>
      </c>
      <c r="B16" s="3" t="inlineStr">
        <is>
          <t>Perpetual licence per user, list (first slab of tier)</t>
        </is>
      </c>
      <c r="C16" s="3" t="inlineStr">
        <is>
          <t>At floor</t>
        </is>
      </c>
      <c r="D16" s="3" t="inlineStr">
        <is>
          <t>Subscription per user per month, list</t>
        </is>
      </c>
      <c r="E16" s="3" t="inlineStr">
        <is>
          <t>At floor</t>
        </is>
      </c>
      <c r="F16" s="3" t="inlineStr">
        <is>
          <t>Implementation fee, list / at floor</t>
        </is>
      </c>
      <c r="G16" s="3" t="inlineStr">
        <is>
          <t>Hosting per month on AWS, list / at floor</t>
        </is>
      </c>
    </row>
    <row r="17">
      <c r="A17" s="16" t="inlineStr">
        <is>
          <t>Small</t>
        </is>
      </c>
      <c r="B17" s="19">
        <f>'Price Basis'!D27</f>
        <v/>
      </c>
      <c r="C17" s="26">
        <f>B17*(1-Floor_SW)</f>
        <v/>
      </c>
      <c r="D17" s="19">
        <f>'Price Basis'!E27</f>
        <v/>
      </c>
      <c r="E17" s="26">
        <f>D17*(1-Floor_SW)</f>
        <v/>
      </c>
      <c r="F17" s="15">
        <f>TEXT(ROUND('Price Basis'!G27*Blended/Round_To,0)*Round_To,"#,##0")&amp;" / "&amp;TEXT(ROUND('Price Basis'!G27*Blended/Round_To,0)*Round_To*(1-Floor_Svc),"#,##0")</f>
        <v/>
      </c>
      <c r="G17" s="15">
        <f>TEXT('Price Basis'!C35,"#,##0")&amp;" / "&amp;TEXT('Price Basis'!C35*(1-Floor_Host),"#,##0")</f>
        <v/>
      </c>
    </row>
    <row r="18">
      <c r="A18" s="16" t="inlineStr">
        <is>
          <t>Medium</t>
        </is>
      </c>
      <c r="B18" s="19">
        <f>'Price Basis'!D28</f>
        <v/>
      </c>
      <c r="C18" s="26">
        <f>B18*(1-Floor_SW)</f>
        <v/>
      </c>
      <c r="D18" s="19">
        <f>'Price Basis'!E28</f>
        <v/>
      </c>
      <c r="E18" s="26">
        <f>D18*(1-Floor_SW)</f>
        <v/>
      </c>
      <c r="F18" s="15">
        <f>TEXT(ROUND('Price Basis'!G28*Blended/Round_To,0)*Round_To,"#,##0")&amp;" / "&amp;TEXT(ROUND('Price Basis'!G28*Blended/Round_To,0)*Round_To*(1-Floor_Svc),"#,##0")</f>
        <v/>
      </c>
      <c r="G18" s="15">
        <f>TEXT('Price Basis'!C36,"#,##0")&amp;" / "&amp;TEXT('Price Basis'!C36*(1-Floor_Host),"#,##0")</f>
        <v/>
      </c>
    </row>
    <row r="19">
      <c r="A19" s="16" t="inlineStr">
        <is>
          <t>Large</t>
        </is>
      </c>
      <c r="B19" s="19">
        <f>'Price Basis'!D29</f>
        <v/>
      </c>
      <c r="C19" s="26">
        <f>B19*(1-Floor_SW)</f>
        <v/>
      </c>
      <c r="D19" s="19">
        <f>'Price Basis'!E29</f>
        <v/>
      </c>
      <c r="E19" s="26">
        <f>D19*(1-Floor_SW)</f>
        <v/>
      </c>
      <c r="F19" s="15">
        <f>TEXT(ROUND('Price Basis'!G29*Blended/Round_To,0)*Round_To,"#,##0")&amp;" / "&amp;TEXT(ROUND('Price Basis'!G29*Blended/Round_To,0)*Round_To*(1-Floor_Svc),"#,##0")</f>
        <v/>
      </c>
      <c r="G19" s="15">
        <f>TEXT('Price Basis'!C37,"#,##0")&amp;" / "&amp;TEXT('Price Basis'!C37*(1-Floor_Host),"#,##0")</f>
        <v/>
      </c>
    </row>
    <row r="20">
      <c r="A20" s="16" t="inlineStr">
        <is>
          <t>Enterprise</t>
        </is>
      </c>
      <c r="B20" s="19">
        <f>'Price Basis'!D30</f>
        <v/>
      </c>
      <c r="C20" s="26">
        <f>B20*(1-Floor_SW)</f>
        <v/>
      </c>
      <c r="D20" s="19">
        <f>'Price Basis'!E30</f>
        <v/>
      </c>
      <c r="E20" s="26">
        <f>D20*(1-Floor_SW)</f>
        <v/>
      </c>
      <c r="F20" s="15">
        <f>TEXT(ROUND('Price Basis'!G30*Blended/Round_To,0)*Round_To,"#,##0")&amp;" / "&amp;TEXT(ROUND('Price Basis'!G30*Blended/Round_To,0)*Round_To*(1-Floor_Svc),"#,##0")</f>
        <v/>
      </c>
      <c r="G20" s="15">
        <f>TEXT('Price Basis'!C38,"#,##0")&amp;" / "&amp;TEXT('Price Basis'!C38*(1-Floor_Host),"#,##0")</f>
        <v/>
      </c>
    </row>
    <row r="21" ht="18" customHeight="1">
      <c r="A21" s="23" t="inlineStr">
        <is>
          <t>Per-user rates are the slab rates; the graduated slabs still apply at the floor (each slab rate less the floor discount).</t>
        </is>
      </c>
    </row>
    <row r="23">
      <c r="A23" s="6" t="inlineStr">
        <is>
          <t>Give and get levers</t>
        </is>
      </c>
      <c r="B23" s="7" t="n"/>
      <c r="C23" s="7" t="n"/>
      <c r="D23" s="7" t="n"/>
      <c r="E23" s="7" t="n"/>
      <c r="F23" s="7" t="n"/>
      <c r="G23" s="7" t="n"/>
    </row>
    <row r="24" ht="32" customHeight="1">
      <c r="A24" s="3" t="inlineStr">
        <is>
          <t>Lever</t>
        </is>
      </c>
      <c r="B24" s="3" t="inlineStr">
        <is>
          <t>What iorta TechNXT gets</t>
        </is>
      </c>
      <c r="C24" s="3" t="inlineStr">
        <is>
          <t>Allowed price effect</t>
        </is>
      </c>
      <c r="D24" s="3" t="inlineStr">
        <is>
          <t>Maximum</t>
        </is>
      </c>
      <c r="E24" s="3" t="inlineStr">
        <is>
          <t>Approver</t>
        </is>
      </c>
      <c r="F24" s="3" t="inlineStr">
        <is>
          <t>Counts toward the discount limit</t>
        </is>
      </c>
      <c r="G24" s="3" t="inlineStr">
        <is>
          <t>Conditions</t>
        </is>
      </c>
    </row>
    <row r="25" ht="48" customHeight="1">
      <c r="A25" s="4" t="inlineStr">
        <is>
          <t>Longer term</t>
        </is>
      </c>
      <c r="B25" s="5" t="inlineStr">
        <is>
          <t>3-year or 5-year committed subscription or AMC term, no termination for convenience in the term</t>
        </is>
      </c>
      <c r="C25" s="5" t="inlineStr">
        <is>
          <t>Off subscription fee</t>
        </is>
      </c>
      <c r="D25" s="5" t="inlineStr">
        <is>
          <t>3 years: 3%; 5 years: 5%</t>
        </is>
      </c>
      <c r="E25" s="5" t="inlineStr">
        <is>
          <t>Account manager (3%); sales head (5%)</t>
        </is>
      </c>
      <c r="F25" s="5" t="inlineStr">
        <is>
          <t>Yes</t>
        </is>
      </c>
      <c r="G25" s="5" t="inlineStr">
        <is>
          <t>Early termination fee equal to the remaining committed fees of the term, or 50% of them if the owner prefers (decision).</t>
        </is>
      </c>
    </row>
    <row r="26" ht="48" customHeight="1">
      <c r="A26" s="4" t="inlineStr">
        <is>
          <t>Upfront payment</t>
        </is>
      </c>
      <c r="B26" s="5" t="inlineStr">
        <is>
          <t>Subscription paid yearly in advance, or implementation 100% on signing</t>
        </is>
      </c>
      <c r="C26" s="5" t="inlineStr">
        <is>
          <t>Off the amount prepaid</t>
        </is>
      </c>
      <c r="D26" s="5" t="inlineStr">
        <is>
          <t>Subscription yearly in advance: 4%; implementation 100% on signing: 3%</t>
        </is>
      </c>
      <c r="E26" s="5" t="inlineStr">
        <is>
          <t>Account manager</t>
        </is>
      </c>
      <c r="F26" s="5" t="inlineStr">
        <is>
          <t>Yes</t>
        </is>
      </c>
      <c r="G26" s="5" t="inlineStr">
        <is>
          <t>Discount applies only to the prepaid period; lost if a payment is late more than 30 days.</t>
        </is>
      </c>
    </row>
    <row r="27" ht="48" customHeight="1">
      <c r="A27" s="4" t="inlineStr">
        <is>
          <t>Reference customer</t>
        </is>
      </c>
      <c r="B27" s="5" t="inlineStr">
        <is>
          <t>Named as a client; two reference calls a year with prospects; logo use</t>
        </is>
      </c>
      <c r="C27" s="5" t="inlineStr">
        <is>
          <t>Off licence or subscription</t>
        </is>
      </c>
      <c r="D27" s="5" t="inlineStr">
        <is>
          <t>2%</t>
        </is>
      </c>
      <c r="E27" s="5" t="inlineStr">
        <is>
          <t>Account manager</t>
        </is>
      </c>
      <c r="F27" s="5" t="inlineStr">
        <is>
          <t>Yes</t>
        </is>
      </c>
      <c r="G27" s="5" t="inlineStr">
        <is>
          <t>Signed reference clause in the Order Form; given after go-live.</t>
        </is>
      </c>
    </row>
    <row r="28" ht="48" customHeight="1">
      <c r="A28" s="4" t="inlineStr">
        <is>
          <t>Case study</t>
        </is>
      </c>
      <c r="B28" s="5" t="inlineStr">
        <is>
          <t>Joint published case study within 6 months of go-live, with a quote from the sponsor</t>
        </is>
      </c>
      <c r="C28" s="5" t="inlineStr">
        <is>
          <t>Off licence or subscription, or a credit</t>
        </is>
      </c>
      <c r="D28" s="5" t="inlineStr">
        <is>
          <t>2%, or PHP 100,000 credit against CRs</t>
        </is>
      </c>
      <c r="E28" s="5" t="inlineStr">
        <is>
          <t>Sales head</t>
        </is>
      </c>
      <c r="F28" s="5" t="inlineStr">
        <is>
          <t>Yes</t>
        </is>
      </c>
      <c r="G28" s="5" t="inlineStr">
        <is>
          <t>Credit used within 12 months; not paid out in cash.</t>
        </is>
      </c>
    </row>
    <row r="29" ht="48" customHeight="1">
      <c r="A29" s="4" t="inlineStr">
        <is>
          <t>Multi-year AMC prepayment</t>
        </is>
      </c>
      <c r="B29" s="5" t="inlineStr">
        <is>
          <t>AMC for 3 years paid in advance at the start of the AMC term</t>
        </is>
      </c>
      <c r="C29" s="5" t="inlineStr">
        <is>
          <t>AMC for the prepaid years held at the first AMC year rate (no 5% escalation)</t>
        </is>
      </c>
      <c r="D29" s="5" t="inlineStr">
        <is>
          <t>About 5% of the prepaid AMC</t>
        </is>
      </c>
      <c r="E29" s="5" t="inlineStr">
        <is>
          <t>CEO</t>
        </is>
      </c>
      <c r="F29" s="5" t="inlineStr">
        <is>
          <t>No (AMC lever)</t>
        </is>
      </c>
      <c r="G29" s="5" t="inlineStr">
        <is>
          <t>Non-refundable except for iorta TechNXT breach; escalation resumes after the prepaid years.</t>
        </is>
      </c>
    </row>
    <row r="30" ht="48" customHeight="1">
      <c r="A30" s="4" t="inlineStr">
        <is>
          <t>Reduced scope</t>
        </is>
      </c>
      <c r="B30" s="5" t="inlineStr">
        <is>
          <t>Fewer lines of business at go-live, broker loads its own data, remote training only</t>
        </is>
      </c>
      <c r="C30" s="5" t="inlineStr">
        <is>
          <t>Implementation fee falls by the man-days removed at the blended rate</t>
        </is>
      </c>
      <c r="D30" s="5" t="inlineStr">
        <is>
          <t>Up to the man-days removed (6 man-days per line of business)</t>
        </is>
      </c>
      <c r="E30" s="5" t="inlineStr">
        <is>
          <t>Account manager</t>
        </is>
      </c>
      <c r="F30" s="5" t="inlineStr">
        <is>
          <t>No (not a discount)</t>
        </is>
      </c>
      <c r="G30" s="5" t="inlineStr">
        <is>
          <t>Removed scope can be added later at the optional services price. Base man-days of the tier are not reduced.</t>
        </is>
      </c>
    </row>
    <row r="31" ht="48" customHeight="1">
      <c r="A31" s="4" t="inlineStr">
        <is>
          <t>Phased users</t>
        </is>
      </c>
      <c r="B31" s="5" t="inlineStr">
        <is>
          <t>Contract for the full user count, delivered in tranches</t>
        </is>
      </c>
      <c r="C31" s="5" t="inlineStr">
        <is>
          <t>Licence or subscription billed per tranche; slab prices locked for 24 months</t>
        </is>
      </c>
      <c r="D31" s="5" t="inlineStr">
        <is>
          <t>Cash timing only</t>
        </is>
      </c>
      <c r="E31" s="5" t="inlineStr">
        <is>
          <t>Sales head</t>
        </is>
      </c>
      <c r="F31" s="5" t="inlineStr">
        <is>
          <t>No</t>
        </is>
      </c>
      <c r="G31" s="5" t="inlineStr">
        <is>
          <t>Subscription minimum billable users of the tier still apply. Perpetual tranches invoiced on activation.</t>
        </is>
      </c>
    </row>
    <row r="32" ht="48" customHeight="1">
      <c r="A32" s="4" t="inlineStr">
        <is>
          <t>Signing date</t>
        </is>
      </c>
      <c r="B32" s="5" t="inlineStr">
        <is>
          <t>Order Form signed by a stated date (for example quarter end)</t>
        </is>
      </c>
      <c r="C32" s="5" t="inlineStr">
        <is>
          <t>Off licence or subscription</t>
        </is>
      </c>
      <c r="D32" s="5" t="inlineStr">
        <is>
          <t>2%</t>
        </is>
      </c>
      <c r="E32" s="5" t="inlineStr">
        <is>
          <t>Sales head</t>
        </is>
      </c>
      <c r="F32" s="5" t="inlineStr">
        <is>
          <t>Yes</t>
        </is>
      </c>
      <c r="G32" s="5" t="inlineStr">
        <is>
          <t>Only with a dated written offer; lapses after the date.</t>
        </is>
      </c>
    </row>
    <row r="33" ht="48" customHeight="1">
      <c r="A33" s="4" t="inlineStr">
        <is>
          <t>Onboarding reduction (subscription)</t>
        </is>
      </c>
      <c r="B33" s="5" t="inlineStr">
        <is>
          <t>5-year subscription term</t>
        </is>
      </c>
      <c r="C33" s="5" t="inlineStr">
        <is>
          <t>Onboarding fee reduced to 90% of the implementation fee</t>
        </is>
      </c>
      <c r="D33" s="5" t="inlineStr">
        <is>
          <t>10% off onboarding</t>
        </is>
      </c>
      <c r="E33" s="5" t="inlineStr">
        <is>
          <t>Sales head</t>
        </is>
      </c>
      <c r="F33" s="5" t="inlineStr">
        <is>
          <t>Yes</t>
        </is>
      </c>
      <c r="G33" s="5" t="inlineStr">
        <is>
          <t>The pricing workbook allows the onboarding percentage as a concession; the reduction is recovered in the term.</t>
        </is>
      </c>
    </row>
    <row r="35">
      <c r="A35" s="6" t="inlineStr">
        <is>
          <t>Rules for every discount</t>
        </is>
      </c>
      <c r="B35" s="7" t="n"/>
      <c r="C35" s="7" t="n"/>
      <c r="D35" s="7" t="n"/>
      <c r="E35" s="7" t="n"/>
      <c r="F35" s="7" t="n"/>
      <c r="G35" s="7" t="n"/>
    </row>
    <row r="36" ht="18" customHeight="1">
      <c r="A36" s="32" t="inlineStr">
        <is>
          <t>1. Start at list price. Offer a lever (a get for a give) before any discretionary discount.</t>
        </is>
      </c>
    </row>
    <row r="37" ht="18" customHeight="1">
      <c r="A37" s="32" t="inlineStr">
        <is>
          <t>2. Each discount is shown as a separate line on the quotation and the Order Form, against the list price, with the lever named.</t>
        </is>
      </c>
    </row>
    <row r="38" ht="18" customHeight="1">
      <c r="A38" s="32" t="inlineStr">
        <is>
          <t>3. Record the approval (approver, date, reason) in the deal file before the quotation leaves iorta TechNXT. E-mail approval is enough.</t>
        </is>
      </c>
    </row>
    <row r="39" ht="18" customHeight="1">
      <c r="A39" s="32" t="inlineStr">
        <is>
          <t>4. Discounts apply to the initial term only unless the Order Form says otherwise. Added users are priced at list less the same discount in the initial term.</t>
        </is>
      </c>
    </row>
    <row r="40" ht="18" customHeight="1">
      <c r="A40" s="32" t="inlineStr">
        <is>
          <t>5. Hosting is priced from cloud cost; never discount it to win the software deal.</t>
        </is>
      </c>
    </row>
    <row r="41" ht="18" customHeight="1">
      <c r="A41" s="32" t="inlineStr">
        <is>
          <t>6. No side letters, free periods or unpriced extras. A free item is entered at list price with a 100% discount and counts toward the limit.</t>
        </is>
      </c>
    </row>
    <row r="42" ht="18" customHeight="1">
      <c r="A42" s="32" t="inlineStr">
        <is>
          <t>7. Quotations are valid 90 days. A re-issued quotation after expiry is repriced at the current price book.</t>
        </is>
      </c>
    </row>
  </sheetData>
  <mergeCells count="9">
    <mergeCell ref="A13:G13"/>
    <mergeCell ref="A36:G36"/>
    <mergeCell ref="A40:G40"/>
    <mergeCell ref="A21:G21"/>
    <mergeCell ref="A39:G39"/>
    <mergeCell ref="A38:G38"/>
    <mergeCell ref="A41:G41"/>
    <mergeCell ref="A42:G42"/>
    <mergeCell ref="A37:G37"/>
  </mergeCells>
  <pageMargins left="0.4" right="0.4" top="1" bottom="1" header="0.5" footer="0.5"/>
  <pageSetup orientation="landscape" paperSize="9" fitToHeight="0" fitToWidth="1"/>
  <headerFooter>
    <oddHeader/>
    <oddFooter>&amp;CiNXT BrokerVerse OOTB price book, iorta TechNXT Corp. INTERNAL.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21"/>
  <sheetViews>
    <sheetView workbookViewId="0">
      <selection activeCell="A1" sqref="A1"/>
    </sheetView>
  </sheetViews>
  <sheetFormatPr baseColWidth="8" defaultRowHeight="15"/>
  <cols>
    <col width="40" customWidth="1" min="1" max="1"/>
    <col width="100" customWidth="1" min="2" max="2"/>
  </cols>
  <sheetData>
    <row r="1">
      <c r="A1" s="1" t="inlineStr">
        <is>
          <t>Validity and terms</t>
        </is>
      </c>
    </row>
    <row r="2">
      <c r="A2" s="2" t="inlineStr">
        <is>
          <t>Read out or attach with every quotation. Applies to the Quick Quote and the pre-set packages.</t>
        </is>
      </c>
    </row>
    <row r="4">
      <c r="A4" s="16" t="inlineStr">
        <is>
          <t>Quotation date</t>
        </is>
      </c>
      <c r="B4" s="33">
        <f>'Quick Quote'!$B$7</f>
        <v/>
      </c>
    </row>
    <row r="5">
      <c r="A5" s="16" t="inlineStr">
        <is>
          <t>Valid until</t>
        </is>
      </c>
      <c r="B5" s="33">
        <f>'Quick Quote'!$B$7+Validity</f>
        <v/>
      </c>
    </row>
    <row r="7">
      <c r="A7" s="3" t="inlineStr">
        <is>
          <t>Term</t>
        </is>
      </c>
      <c r="B7" s="3" t="inlineStr">
        <is>
          <t>Detail</t>
        </is>
      </c>
    </row>
    <row r="8" ht="30" customHeight="1">
      <c r="A8" s="16" t="inlineStr">
        <is>
          <t>Validity</t>
        </is>
      </c>
      <c r="B8" s="5">
        <f>Validity&amp;" days from the quotation date, for an Order Form signed in that period. Day rates are fixed for 12 months from signing."</f>
        <v/>
      </c>
    </row>
    <row r="9" ht="30" customHeight="1">
      <c r="A9" s="16" t="inlineStr">
        <is>
          <t>Currency</t>
        </is>
      </c>
      <c r="B9" s="5">
        <f>"Philippine peso (PHP). USD figures are for reference only at PHP "&amp;TEXT(FX,"0.00")&amp;" per USD ("&amp;FX_Date&amp;")."</f>
        <v/>
      </c>
    </row>
    <row r="10" ht="18" customHeight="1">
      <c r="A10" s="16" t="inlineStr">
        <is>
          <t>VAT</t>
        </is>
      </c>
      <c r="B10" s="5" t="inlineStr">
        <is>
          <t>All prices exclude 12% VAT, which is added on each invoice.</t>
        </is>
      </c>
    </row>
    <row r="11" ht="60" customHeight="1">
      <c r="A11" s="16" t="inlineStr">
        <is>
          <t>Withholding tax</t>
        </is>
      </c>
      <c r="B11" s="5" t="inlineStr">
        <is>
          <t>A client that is a withholding agent deducts creditable withholding tax as its status and the payment type require and issues BIR Form 2307 for each deduction. Withholding does not reduce the invoice price. The treatment of the perpetual licence fee (sale of software or royalty) is confirmed by both parties' tax advisers before signing.</t>
        </is>
      </c>
    </row>
    <row r="12" ht="18" customHeight="1">
      <c r="A12" s="16" t="inlineStr">
        <is>
          <t>Implementation or onboarding fee</t>
        </is>
      </c>
      <c r="B12" s="5" t="inlineStr">
        <is>
          <t>40% on signing, 40% on UAT sign-off, 20% on go-live.</t>
        </is>
      </c>
    </row>
    <row r="13" ht="18" customHeight="1">
      <c r="A13" s="16" t="inlineStr">
        <is>
          <t>Perpetual licence fee</t>
        </is>
      </c>
      <c r="B13" s="5" t="inlineStr">
        <is>
          <t>100% on go-live.</t>
        </is>
      </c>
    </row>
    <row r="14" ht="30" customHeight="1">
      <c r="A14" s="16" t="inlineStr">
        <is>
          <t>AMC</t>
        </is>
      </c>
      <c r="B14" s="5" t="inlineStr">
        <is>
          <t>22% of the licence fee a year, yearly in advance from the AMC start year (Year 2, after a 12-month warranty from go-live). Increases 5% at each anniversary.</t>
        </is>
      </c>
    </row>
    <row r="15" ht="30" customHeight="1">
      <c r="A15" s="16" t="inlineStr">
        <is>
          <t>Subscription</t>
        </is>
      </c>
      <c r="B15" s="5" t="inlineStr">
        <is>
          <t>Monthly in advance from go-live. Increases 5% at each contract anniversary. Minimum term 12 months; minimum billable users by tier.</t>
        </is>
      </c>
    </row>
    <row r="16" ht="30" customHeight="1">
      <c r="A16" s="16" t="inlineStr">
        <is>
          <t>Hosting</t>
        </is>
      </c>
      <c r="B16" s="5" t="inlineStr">
        <is>
          <t>Monthly in advance from the date the environment is handed over. Cloud prices are estimates confirmed with the provider before a binding offer.</t>
        </is>
      </c>
    </row>
    <row r="17" ht="30" customHeight="1">
      <c r="A17" s="16" t="inlineStr">
        <is>
          <t>Change requests</t>
        </is>
      </c>
      <c r="B17" s="5" t="inlineStr">
        <is>
          <t>Small: on delivery. Medium: 50% on approval, 50% on UAT sign-off. Large: 30% on approval, 50% on UAT sign-off, 20% on deployment.</t>
        </is>
      </c>
    </row>
    <row r="18" ht="30" customHeight="1">
      <c r="A18" s="16" t="inlineStr">
        <is>
          <t>Optional services</t>
        </is>
      </c>
      <c r="B18" s="5" t="inlineStr">
        <is>
          <t>Monthly in arrears at actual days, or as quoted for fixed-price items. Travel outside Metro Manila at cost.</t>
        </is>
      </c>
    </row>
    <row r="19" ht="30" customHeight="1">
      <c r="A19" s="16" t="inlineStr">
        <is>
          <t>Payment</t>
        </is>
      </c>
      <c r="B19" s="5" t="inlineStr">
        <is>
          <t>Invoices are payable within 30 days. Subscription and hosting may be suspended after 60 days of non-payment, with written notice.</t>
        </is>
      </c>
    </row>
    <row r="20" ht="30" customHeight="1">
      <c r="A20" s="16" t="inlineStr">
        <is>
          <t>Scope</t>
        </is>
      </c>
      <c r="B20" s="5" t="inlineStr">
        <is>
          <t>iNXT BrokerVerse OOTB as delivered. Changes to the product are change requests at the published day rates.</t>
        </is>
      </c>
    </row>
    <row r="21" ht="30" customHeight="1">
      <c r="A21" s="16" t="inlineStr">
        <is>
          <t>Contract</t>
        </is>
      </c>
      <c r="B21" s="5" t="inlineStr">
        <is>
          <t>Master Services Agreement with the Order Form and the schedules for the chosen model (licence or subscription, implementation SOW, support and SLA, hosting, data processing).</t>
        </is>
      </c>
    </row>
  </sheetData>
  <pageMargins left="0.4" right="0.4" top="1" bottom="1" header="0.5" footer="0.5"/>
  <pageSetup orientation="landscape" paperSize="9" fitToHeight="0" fitToWidth="1"/>
  <headerFooter>
    <oddHeader/>
    <oddFooter>&amp;CiNXT BrokerVerse OOTB quotation terms, iorta TechNXT Corp.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 width="30" customWidth="1" min="12" max="12"/>
  </cols>
  <sheetData>
    <row r="1">
      <c r="A1" s="1" t="inlineStr">
        <is>
          <t>Price basis: recommended price points</t>
        </is>
      </c>
    </row>
    <row r="2">
      <c r="A2" s="2" t="inlineStr">
        <is>
          <t>From the pricing workbook. PHP, exclusive of VAT. Change only by rebuilding from the pricing workbook.</t>
        </is>
      </c>
    </row>
    <row r="4">
      <c r="A4" s="6" t="inlineStr">
        <is>
          <t>General drivers</t>
        </is>
      </c>
      <c r="B4" s="7" t="n"/>
      <c r="C4" s="7" t="n"/>
      <c r="D4" s="7" t="n"/>
      <c r="E4" s="7" t="n"/>
      <c r="F4" s="7" t="n"/>
      <c r="G4" s="7" t="n"/>
      <c r="H4" s="7" t="n"/>
      <c r="I4" s="7" t="n"/>
      <c r="J4" s="7" t="n"/>
      <c r="K4" s="7" t="n"/>
      <c r="L4" s="7" t="n"/>
    </row>
    <row r="5">
      <c r="A5" s="3" t="inlineStr">
        <is>
          <t>Driver</t>
        </is>
      </c>
      <c r="B5" s="3" t="inlineStr">
        <is>
          <t>Value</t>
        </is>
      </c>
      <c r="C5" s="3" t="inlineStr">
        <is>
          <t>Unit</t>
        </is>
      </c>
      <c r="D5" s="3" t="inlineStr">
        <is>
          <t>Source</t>
        </is>
      </c>
      <c r="E5" s="8" t="n"/>
      <c r="F5" s="8" t="n"/>
      <c r="G5" s="8" t="n"/>
      <c r="H5" s="8" t="n"/>
      <c r="I5" s="8" t="n"/>
      <c r="J5" s="8" t="n"/>
      <c r="K5" s="8" t="n"/>
      <c r="L5" s="9" t="n"/>
    </row>
    <row r="6">
      <c r="A6" s="10" t="inlineStr">
        <is>
          <t>Exchange rate (reference only)</t>
        </is>
      </c>
      <c r="B6" s="34" t="n">
        <v>62.75</v>
      </c>
      <c r="C6" s="10" t="inlineStr">
        <is>
          <t>PHP per USD</t>
        </is>
      </c>
      <c r="D6" s="10" t="inlineStr">
        <is>
          <t>Read from BrokerVerse_Commercials_and_Pricing.xlsx (recommended price points) when this book was built.</t>
        </is>
      </c>
      <c r="E6" s="8" t="n"/>
      <c r="F6" s="8" t="n"/>
      <c r="G6" s="8" t="n"/>
      <c r="H6" s="8" t="n"/>
      <c r="I6" s="8" t="n"/>
      <c r="J6" s="8" t="n"/>
      <c r="K6" s="8" t="n"/>
      <c r="L6" s="9" t="n"/>
    </row>
    <row r="7">
      <c r="A7" s="10" t="inlineStr">
        <is>
          <t>Exchange rate date</t>
        </is>
      </c>
      <c r="B7" s="11" t="inlineStr">
        <is>
          <t>25 Sep 2026</t>
        </is>
      </c>
      <c r="C7" s="10" t="inlineStr">
        <is>
          <t>date</t>
        </is>
      </c>
      <c r="D7" s="10" t="inlineStr"/>
      <c r="E7" s="8" t="n"/>
      <c r="F7" s="8" t="n"/>
      <c r="G7" s="8" t="n"/>
      <c r="H7" s="8" t="n"/>
      <c r="I7" s="8" t="n"/>
      <c r="J7" s="8" t="n"/>
      <c r="K7" s="8" t="n"/>
      <c r="L7" s="9" t="n"/>
    </row>
    <row r="8">
      <c r="A8" s="10" t="inlineStr">
        <is>
          <t>VAT rate</t>
        </is>
      </c>
      <c r="B8" s="29" t="n">
        <v>0.12</v>
      </c>
      <c r="C8" s="10" t="inlineStr">
        <is>
          <t>%</t>
        </is>
      </c>
      <c r="D8" s="10" t="inlineStr"/>
      <c r="E8" s="8" t="n"/>
      <c r="F8" s="8" t="n"/>
      <c r="G8" s="8" t="n"/>
      <c r="H8" s="8" t="n"/>
      <c r="I8" s="8" t="n"/>
      <c r="J8" s="8" t="n"/>
      <c r="K8" s="8" t="n"/>
      <c r="L8" s="9" t="n"/>
    </row>
    <row r="9">
      <c r="A9" s="10" t="inlineStr">
        <is>
          <t>AMC rate (of perpetual licence fee)</t>
        </is>
      </c>
      <c r="B9" s="29" t="n">
        <v>0.22</v>
      </c>
      <c r="C9" s="10" t="inlineStr">
        <is>
          <t>%</t>
        </is>
      </c>
      <c r="D9" s="10" t="inlineStr">
        <is>
          <t>Read from BrokerVerse_Commercials_and_Pricing.xlsx (recommended price points) when this book was built.</t>
        </is>
      </c>
      <c r="E9" s="8" t="n"/>
      <c r="F9" s="8" t="n"/>
      <c r="G9" s="8" t="n"/>
      <c r="H9" s="8" t="n"/>
      <c r="I9" s="8" t="n"/>
      <c r="J9" s="8" t="n"/>
      <c r="K9" s="8" t="n"/>
      <c r="L9" s="9" t="n"/>
    </row>
    <row r="10">
      <c r="A10" s="10" t="inlineStr">
        <is>
          <t>Annual escalation (AMC, subscription, 24x7 support)</t>
        </is>
      </c>
      <c r="B10" s="29" t="n">
        <v>0.05</v>
      </c>
      <c r="C10" s="10" t="inlineStr">
        <is>
          <t>%</t>
        </is>
      </c>
      <c r="D10" s="10" t="inlineStr"/>
      <c r="E10" s="8" t="n"/>
      <c r="F10" s="8" t="n"/>
      <c r="G10" s="8" t="n"/>
      <c r="H10" s="8" t="n"/>
      <c r="I10" s="8" t="n"/>
      <c r="J10" s="8" t="n"/>
      <c r="K10" s="8" t="n"/>
      <c r="L10" s="9" t="n"/>
    </row>
    <row r="11">
      <c r="A11" s="10" t="inlineStr">
        <is>
          <t>AMC starts in contract year</t>
        </is>
      </c>
      <c r="B11" s="13" t="n">
        <v>2</v>
      </c>
      <c r="C11" s="10" t="inlineStr">
        <is>
          <t>year</t>
        </is>
      </c>
      <c r="D11" s="10" t="inlineStr"/>
      <c r="E11" s="8" t="n"/>
      <c r="F11" s="8" t="n"/>
      <c r="G11" s="8" t="n"/>
      <c r="H11" s="8" t="n"/>
      <c r="I11" s="8" t="n"/>
      <c r="J11" s="8" t="n"/>
      <c r="K11" s="8" t="n"/>
      <c r="L11" s="9" t="n"/>
    </row>
    <row r="12">
      <c r="A12" s="10" t="inlineStr">
        <is>
          <t>Subscription onboarding fee as % of implementation fee</t>
        </is>
      </c>
      <c r="B12" s="29" t="n">
        <v>1</v>
      </c>
      <c r="C12" s="10" t="inlineStr">
        <is>
          <t>%</t>
        </is>
      </c>
      <c r="D12" s="10" t="inlineStr"/>
      <c r="E12" s="8" t="n"/>
      <c r="F12" s="8" t="n"/>
      <c r="G12" s="8" t="n"/>
      <c r="H12" s="8" t="n"/>
      <c r="I12" s="8" t="n"/>
      <c r="J12" s="8" t="n"/>
      <c r="K12" s="8" t="n"/>
      <c r="L12" s="9" t="n"/>
    </row>
    <row r="13">
      <c r="A13" s="10" t="inlineStr">
        <is>
          <t>Infrastructure annual change</t>
        </is>
      </c>
      <c r="B13" s="29" t="n">
        <v>0</v>
      </c>
      <c r="C13" s="10" t="inlineStr">
        <is>
          <t>%</t>
        </is>
      </c>
      <c r="D13" s="10" t="inlineStr"/>
      <c r="E13" s="8" t="n"/>
      <c r="F13" s="8" t="n"/>
      <c r="G13" s="8" t="n"/>
      <c r="H13" s="8" t="n"/>
      <c r="I13" s="8" t="n"/>
      <c r="J13" s="8" t="n"/>
      <c r="K13" s="8" t="n"/>
      <c r="L13" s="9" t="n"/>
    </row>
    <row r="14">
      <c r="A14" s="10" t="inlineStr">
        <is>
          <t>Extra implementation man-days per line of business above the included count</t>
        </is>
      </c>
      <c r="B14" s="13" t="n">
        <v>6</v>
      </c>
      <c r="C14" s="10" t="inlineStr">
        <is>
          <t>man-days</t>
        </is>
      </c>
      <c r="D14" s="10" t="inlineStr"/>
      <c r="E14" s="8" t="n"/>
      <c r="F14" s="8" t="n"/>
      <c r="G14" s="8" t="n"/>
      <c r="H14" s="8" t="n"/>
      <c r="I14" s="8" t="n"/>
      <c r="J14" s="8" t="n"/>
      <c r="K14" s="8" t="n"/>
      <c r="L14" s="9" t="n"/>
    </row>
    <row r="15">
      <c r="A15" s="10" t="inlineStr">
        <is>
          <t>Rounding of implementation fees</t>
        </is>
      </c>
      <c r="B15" s="35" t="n">
        <v>10000</v>
      </c>
      <c r="C15" s="10" t="inlineStr">
        <is>
          <t>PHP</t>
        </is>
      </c>
      <c r="D15" s="10" t="inlineStr"/>
      <c r="E15" s="8" t="n"/>
      <c r="F15" s="8" t="n"/>
      <c r="G15" s="8" t="n"/>
      <c r="H15" s="8" t="n"/>
      <c r="I15" s="8" t="n"/>
      <c r="J15" s="8" t="n"/>
      <c r="K15" s="8" t="n"/>
      <c r="L15" s="9" t="n"/>
    </row>
    <row r="16">
      <c r="A16" s="10" t="inlineStr">
        <is>
          <t>Quotation validity</t>
        </is>
      </c>
      <c r="B16" s="13" t="n">
        <v>90</v>
      </c>
      <c r="C16" s="10" t="inlineStr">
        <is>
          <t>days</t>
        </is>
      </c>
      <c r="D16" s="10" t="inlineStr"/>
      <c r="E16" s="8" t="n"/>
      <c r="F16" s="8" t="n"/>
      <c r="G16" s="8" t="n"/>
      <c r="H16" s="8" t="n"/>
      <c r="I16" s="8" t="n"/>
      <c r="J16" s="8" t="n"/>
      <c r="K16" s="8" t="n"/>
      <c r="L16" s="9" t="n"/>
    </row>
    <row r="17">
      <c r="A17" s="10" t="inlineStr">
        <is>
          <t>Blended day rate</t>
        </is>
      </c>
      <c r="B17" s="35" t="n">
        <v>16100</v>
      </c>
      <c r="C17" s="10" t="inlineStr">
        <is>
          <t>PHP per man-day</t>
        </is>
      </c>
      <c r="D17" s="10" t="inlineStr"/>
      <c r="E17" s="8" t="n"/>
      <c r="F17" s="8" t="n"/>
      <c r="G17" s="8" t="n"/>
      <c r="H17" s="8" t="n"/>
      <c r="I17" s="8" t="n"/>
      <c r="J17" s="8" t="n"/>
      <c r="K17" s="8" t="n"/>
      <c r="L17" s="9" t="n"/>
    </row>
    <row r="18">
      <c r="A18" s="10" t="inlineStr">
        <is>
          <t>Business analyst day rate</t>
        </is>
      </c>
      <c r="B18" s="35" t="n">
        <v>18000</v>
      </c>
      <c r="C18" s="10" t="inlineStr">
        <is>
          <t>PHP per man-day</t>
        </is>
      </c>
      <c r="D18" s="10" t="inlineStr"/>
      <c r="E18" s="8" t="n"/>
      <c r="F18" s="8" t="n"/>
      <c r="G18" s="8" t="n"/>
      <c r="H18" s="8" t="n"/>
      <c r="I18" s="8" t="n"/>
      <c r="J18" s="8" t="n"/>
      <c r="K18" s="8" t="n"/>
      <c r="L18" s="9" t="n"/>
    </row>
    <row r="19">
      <c r="A19" s="10" t="inlineStr">
        <is>
          <t>Developer day rate</t>
        </is>
      </c>
      <c r="B19" s="35" t="n">
        <v>16000</v>
      </c>
      <c r="C19" s="10" t="inlineStr">
        <is>
          <t>PHP per man-day</t>
        </is>
      </c>
      <c r="D19" s="10" t="inlineStr"/>
      <c r="E19" s="8" t="n"/>
      <c r="F19" s="8" t="n"/>
      <c r="G19" s="8" t="n"/>
      <c r="H19" s="8" t="n"/>
      <c r="I19" s="8" t="n"/>
      <c r="J19" s="8" t="n"/>
      <c r="K19" s="8" t="n"/>
      <c r="L19" s="9" t="n"/>
    </row>
    <row r="20">
      <c r="A20" s="10" t="inlineStr">
        <is>
          <t>QA engineer day rate</t>
        </is>
      </c>
      <c r="B20" s="35" t="n">
        <v>12000</v>
      </c>
      <c r="C20" s="10" t="inlineStr">
        <is>
          <t>PHP per man-day</t>
        </is>
      </c>
      <c r="D20" s="10" t="inlineStr"/>
      <c r="E20" s="8" t="n"/>
      <c r="F20" s="8" t="n"/>
      <c r="G20" s="8" t="n"/>
      <c r="H20" s="8" t="n"/>
      <c r="I20" s="8" t="n"/>
      <c r="J20" s="8" t="n"/>
      <c r="K20" s="8" t="n"/>
      <c r="L20" s="9" t="n"/>
    </row>
    <row r="21">
      <c r="A21" s="10" t="inlineStr">
        <is>
          <t>Project manager day rate</t>
        </is>
      </c>
      <c r="B21" s="35" t="n">
        <v>22000</v>
      </c>
      <c r="C21" s="10" t="inlineStr">
        <is>
          <t>PHP per man-day</t>
        </is>
      </c>
      <c r="D21" s="10" t="inlineStr"/>
      <c r="E21" s="8" t="n"/>
      <c r="F21" s="8" t="n"/>
      <c r="G21" s="8" t="n"/>
      <c r="H21" s="8" t="n"/>
      <c r="I21" s="8" t="n"/>
      <c r="J21" s="8" t="n"/>
      <c r="K21" s="8" t="n"/>
      <c r="L21" s="9" t="n"/>
    </row>
    <row r="22">
      <c r="A22" s="10" t="inlineStr">
        <is>
          <t>Trainer day rate (beyond included days)</t>
        </is>
      </c>
      <c r="B22" s="35" t="n">
        <v>30000</v>
      </c>
      <c r="C22" s="10" t="inlineStr">
        <is>
          <t>PHP per trainer day</t>
        </is>
      </c>
      <c r="D22" s="10" t="inlineStr"/>
      <c r="E22" s="8" t="n"/>
      <c r="F22" s="8" t="n"/>
      <c r="G22" s="8" t="n"/>
      <c r="H22" s="8" t="n"/>
      <c r="I22" s="8" t="n"/>
      <c r="J22" s="8" t="n"/>
      <c r="K22" s="8" t="n"/>
      <c r="L22" s="9" t="n"/>
    </row>
    <row r="23">
      <c r="A23" s="10" t="inlineStr">
        <is>
          <t>On-site consultant day (Metro Manila)</t>
        </is>
      </c>
      <c r="B23" s="35" t="n">
        <v>20000</v>
      </c>
      <c r="C23" s="10" t="inlineStr">
        <is>
          <t>PHP per day</t>
        </is>
      </c>
      <c r="D23" s="10" t="inlineStr"/>
      <c r="E23" s="8" t="n"/>
      <c r="F23" s="8" t="n"/>
      <c r="G23" s="8" t="n"/>
      <c r="H23" s="8" t="n"/>
      <c r="I23" s="8" t="n"/>
      <c r="J23" s="8" t="n"/>
      <c r="K23" s="8" t="n"/>
      <c r="L23" s="9" t="n"/>
    </row>
    <row r="25">
      <c r="A25" s="6" t="inlineStr">
        <is>
          <t>Size tiers, graduated user slabs and tier parameters</t>
        </is>
      </c>
      <c r="B25" s="7" t="n"/>
      <c r="C25" s="7" t="n"/>
      <c r="D25" s="7" t="n"/>
      <c r="E25" s="7" t="n"/>
      <c r="F25" s="7" t="n"/>
      <c r="G25" s="7" t="n"/>
      <c r="H25" s="7" t="n"/>
      <c r="I25" s="7" t="n"/>
      <c r="J25" s="7" t="n"/>
      <c r="K25" s="7" t="n"/>
      <c r="L25" s="7" t="n"/>
    </row>
    <row r="26" ht="60" customHeight="1">
      <c r="A26" s="3" t="inlineStr">
        <is>
          <t>Tier</t>
        </is>
      </c>
      <c r="B26" s="3" t="inlineStr">
        <is>
          <t>From users</t>
        </is>
      </c>
      <c r="C26" s="3" t="inlineStr">
        <is>
          <t>To users</t>
        </is>
      </c>
      <c r="D26" s="3" t="inlineStr">
        <is>
          <t>Perpetual licence per user, slab (PHP)</t>
        </is>
      </c>
      <c r="E26" s="3" t="inlineStr">
        <is>
          <t>Subscription per user per month, slab (PHP)</t>
        </is>
      </c>
      <c r="F26" s="3" t="inlineStr">
        <is>
          <t>Minimum billable users (subscription)</t>
        </is>
      </c>
      <c r="G26" s="3" t="inlineStr">
        <is>
          <t>Implementation base man-days</t>
        </is>
      </c>
      <c r="H26" s="3" t="inlineStr">
        <is>
          <t>Lines of business included</t>
        </is>
      </c>
      <c r="I26" s="3" t="inlineStr">
        <is>
          <t>Training days included</t>
        </is>
      </c>
      <c r="J26" s="3" t="inlineStr">
        <is>
          <t>Reference users</t>
        </is>
      </c>
      <c r="K26" s="3" t="inlineStr">
        <is>
          <t>24x7 Severity 1 support per year (PHP)</t>
        </is>
      </c>
      <c r="L26" s="3" t="inlineStr">
        <is>
          <t>Implementation duration (Implementation Approach)</t>
        </is>
      </c>
    </row>
    <row r="27">
      <c r="A27" s="16" t="inlineStr">
        <is>
          <t>Small</t>
        </is>
      </c>
      <c r="B27" s="13" t="n">
        <v>1</v>
      </c>
      <c r="C27" s="13" t="n">
        <v>25</v>
      </c>
      <c r="D27" s="35" t="n">
        <v>90000</v>
      </c>
      <c r="E27" s="35" t="n">
        <v>3200</v>
      </c>
      <c r="F27" s="13" t="n">
        <v>10</v>
      </c>
      <c r="G27" s="13" t="n">
        <v>70</v>
      </c>
      <c r="H27" s="13" t="n">
        <v>5</v>
      </c>
      <c r="I27" s="13" t="n">
        <v>4</v>
      </c>
      <c r="J27" s="13" t="n">
        <v>15</v>
      </c>
      <c r="K27" s="35" t="n">
        <v>240000</v>
      </c>
      <c r="L27" s="5" t="inlineStr">
        <is>
          <t>8 weeks</t>
        </is>
      </c>
    </row>
    <row r="28">
      <c r="A28" s="16" t="inlineStr">
        <is>
          <t>Medium</t>
        </is>
      </c>
      <c r="B28" s="13" t="n">
        <v>26</v>
      </c>
      <c r="C28" s="13" t="n">
        <v>100</v>
      </c>
      <c r="D28" s="35" t="n">
        <v>78000</v>
      </c>
      <c r="E28" s="35" t="n">
        <v>2800</v>
      </c>
      <c r="F28" s="13" t="n">
        <v>26</v>
      </c>
      <c r="G28" s="13" t="n">
        <v>130</v>
      </c>
      <c r="H28" s="13" t="n">
        <v>8</v>
      </c>
      <c r="I28" s="13" t="n">
        <v>6</v>
      </c>
      <c r="J28" s="13" t="n">
        <v>60</v>
      </c>
      <c r="K28" s="35" t="n">
        <v>480000</v>
      </c>
      <c r="L28" s="5" t="inlineStr">
        <is>
          <t>12 weeks</t>
        </is>
      </c>
    </row>
    <row r="29">
      <c r="A29" s="16" t="inlineStr">
        <is>
          <t>Large</t>
        </is>
      </c>
      <c r="B29" s="13" t="n">
        <v>101</v>
      </c>
      <c r="C29" s="13" t="n">
        <v>300</v>
      </c>
      <c r="D29" s="35" t="n">
        <v>66000</v>
      </c>
      <c r="E29" s="35" t="n">
        <v>2400</v>
      </c>
      <c r="F29" s="13" t="n">
        <v>101</v>
      </c>
      <c r="G29" s="13" t="n">
        <v>230</v>
      </c>
      <c r="H29" s="13" t="n">
        <v>12</v>
      </c>
      <c r="I29" s="13" t="n">
        <v>10</v>
      </c>
      <c r="J29" s="13" t="n">
        <v>180</v>
      </c>
      <c r="K29" s="35" t="n">
        <v>900000</v>
      </c>
      <c r="L29" s="5" t="inlineStr">
        <is>
          <t>16 to 20 weeks</t>
        </is>
      </c>
    </row>
    <row r="30">
      <c r="A30" s="16" t="inlineStr">
        <is>
          <t>Enterprise</t>
        </is>
      </c>
      <c r="B30" s="13" t="n">
        <v>301</v>
      </c>
      <c r="C30" s="13" t="n">
        <v>100000</v>
      </c>
      <c r="D30" s="35" t="n">
        <v>54000</v>
      </c>
      <c r="E30" s="35" t="n">
        <v>2000</v>
      </c>
      <c r="F30" s="13" t="n">
        <v>301</v>
      </c>
      <c r="G30" s="13" t="n">
        <v>360</v>
      </c>
      <c r="H30" s="13" t="n">
        <v>16</v>
      </c>
      <c r="I30" s="13" t="n">
        <v>15</v>
      </c>
      <c r="J30" s="13" t="n">
        <v>400</v>
      </c>
      <c r="K30" s="35" t="n">
        <v>1500000</v>
      </c>
      <c r="L30" s="5" t="inlineStr">
        <is>
          <t>20 weeks or more, planned at mobilisation</t>
        </is>
      </c>
    </row>
    <row r="31" ht="30" customHeight="1">
      <c r="A31" s="32" t="inlineStr">
        <is>
          <t>Graduated slabs: the first 25 users are charged at the Small rate, users 26 to 100 at the Medium rate, users 101 to 300 at the Large rate and the rest at the Enterprise rate. The tier, set by the total user count, decides the implementation effort, the minimum billable users for subscription, the training days included and the hosting size.</t>
        </is>
      </c>
    </row>
    <row r="33">
      <c r="A33" s="6" t="inlineStr">
        <is>
          <t>Hosting per month (production plus one UAT environment, PHP)</t>
        </is>
      </c>
      <c r="B33" s="7" t="n"/>
      <c r="C33" s="7" t="n"/>
      <c r="D33" s="7" t="n"/>
      <c r="E33" s="7" t="n"/>
      <c r="F33" s="7" t="n"/>
      <c r="G33" s="7" t="n"/>
      <c r="H33" s="7" t="n"/>
      <c r="I33" s="7" t="n"/>
      <c r="J33" s="7" t="n"/>
      <c r="K33" s="7" t="n"/>
      <c r="L33" s="7" t="n"/>
    </row>
    <row r="34">
      <c r="A34" s="3" t="inlineStr">
        <is>
          <t>Tier</t>
        </is>
      </c>
      <c r="B34" s="3" t="inlineStr">
        <is>
          <t>Self-hosted</t>
        </is>
      </c>
      <c r="C34" s="3" t="inlineStr">
        <is>
          <t>AWS</t>
        </is>
      </c>
      <c r="D34" s="3" t="inlineStr">
        <is>
          <t>Azure</t>
        </is>
      </c>
      <c r="E34" s="3" t="inlineStr">
        <is>
          <t>Local partner</t>
        </is>
      </c>
    </row>
    <row r="35">
      <c r="A35" s="16" t="inlineStr">
        <is>
          <t>Small</t>
        </is>
      </c>
      <c r="B35" s="35" t="n">
        <v>0</v>
      </c>
      <c r="C35" s="35" t="n">
        <v>30000</v>
      </c>
      <c r="D35" s="35" t="n">
        <v>31000</v>
      </c>
      <c r="E35" s="35" t="n">
        <v>28000</v>
      </c>
    </row>
    <row r="36">
      <c r="A36" s="16" t="inlineStr">
        <is>
          <t>Medium</t>
        </is>
      </c>
      <c r="B36" s="35" t="n">
        <v>0</v>
      </c>
      <c r="C36" s="35" t="n">
        <v>62000</v>
      </c>
      <c r="D36" s="35" t="n">
        <v>65000</v>
      </c>
      <c r="E36" s="35" t="n">
        <v>59000</v>
      </c>
    </row>
    <row r="37">
      <c r="A37" s="16" t="inlineStr">
        <is>
          <t>Large</t>
        </is>
      </c>
      <c r="B37" s="35" t="n">
        <v>0</v>
      </c>
      <c r="C37" s="35" t="n">
        <v>112000</v>
      </c>
      <c r="D37" s="35" t="n">
        <v>118000</v>
      </c>
      <c r="E37" s="35" t="n">
        <v>107000</v>
      </c>
    </row>
    <row r="38">
      <c r="A38" s="16" t="inlineStr">
        <is>
          <t>Enterprise</t>
        </is>
      </c>
      <c r="B38" s="35" t="n">
        <v>0</v>
      </c>
      <c r="C38" s="35" t="n">
        <v>244000</v>
      </c>
      <c r="D38" s="35" t="n">
        <v>256000</v>
      </c>
      <c r="E38" s="35" t="n">
        <v>232000</v>
      </c>
    </row>
    <row r="39" ht="30" customHeight="1">
      <c r="A39" s="32" t="inlineStr">
        <is>
          <t>Self-hosted: the client hosts in its own cloud account or data centre; no hosting fee, deployment guide supplied, set-up support at day rates. AWS and Azure are priced on their Singapore regions; the local partner option keeps data in the Philippines. Cloud prices are estimates to be confirmed with the provider before a binding offer.</t>
        </is>
      </c>
    </row>
    <row r="41">
      <c r="A41" s="6" t="inlineStr">
        <is>
          <t>Optional services (PHP)</t>
        </is>
      </c>
      <c r="B41" s="7" t="n"/>
      <c r="C41" s="7" t="n"/>
      <c r="D41" s="7" t="n"/>
      <c r="E41" s="7" t="n"/>
      <c r="F41" s="7" t="n"/>
      <c r="G41" s="7" t="n"/>
      <c r="H41" s="7" t="n"/>
      <c r="I41" s="7" t="n"/>
      <c r="J41" s="7" t="n"/>
      <c r="K41" s="7" t="n"/>
      <c r="L41" s="7" t="n"/>
    </row>
    <row r="42">
      <c r="A42" s="3" t="inlineStr">
        <is>
          <t>Item</t>
        </is>
      </c>
      <c r="B42" s="3" t="inlineStr">
        <is>
          <t>Price</t>
        </is>
      </c>
      <c r="C42" s="3" t="inlineStr">
        <is>
          <t>Unit</t>
        </is>
      </c>
    </row>
    <row r="43">
      <c r="A43" s="10" t="inlineStr">
        <is>
          <t>Additional environment, set-up</t>
        </is>
      </c>
      <c r="B43" s="35" t="n">
        <v>100000</v>
      </c>
      <c r="C43" s="10" t="inlineStr">
        <is>
          <t>one-time</t>
        </is>
      </c>
    </row>
    <row r="44">
      <c r="A44" s="10" t="inlineStr">
        <is>
          <t>Additional environment hosted by iorta TechNXT</t>
        </is>
      </c>
      <c r="B44" s="35" t="n">
        <v>11000</v>
      </c>
      <c r="C44" s="10" t="inlineStr">
        <is>
          <t>per month</t>
        </is>
      </c>
    </row>
    <row r="45">
      <c r="A45" s="10" t="inlineStr">
        <is>
          <t>Data migration beyond the standard templates</t>
        </is>
      </c>
      <c r="B45" s="35" t="n">
        <v>240000</v>
      </c>
      <c r="C45" s="10" t="inlineStr">
        <is>
          <t>per legacy source</t>
        </is>
      </c>
    </row>
    <row r="46">
      <c r="A46" s="10" t="inlineStr">
        <is>
          <t>Data migration, additional effort</t>
        </is>
      </c>
      <c r="B46" s="35" t="n">
        <v>16100</v>
      </c>
      <c r="C46" s="10" t="inlineStr">
        <is>
          <t>per man-day</t>
        </is>
      </c>
    </row>
    <row r="47">
      <c r="A47" s="10" t="inlineStr">
        <is>
          <t>Additional integration, standard</t>
        </is>
      </c>
      <c r="B47" s="35" t="n">
        <v>320000</v>
      </c>
      <c r="C47" s="10" t="inlineStr">
        <is>
          <t>per integration</t>
        </is>
      </c>
    </row>
    <row r="48">
      <c r="A48" s="10" t="inlineStr">
        <is>
          <t>Additional integration, complex</t>
        </is>
      </c>
      <c r="B48" s="35" t="n">
        <v>720000</v>
      </c>
      <c r="C48" s="10" t="inlineStr">
        <is>
          <t>per integration</t>
        </is>
      </c>
    </row>
    <row r="49">
      <c r="A49" s="10" t="inlineStr">
        <is>
          <t>Additional line of business after go-live</t>
        </is>
      </c>
      <c r="B49" s="35" t="n">
        <v>100000</v>
      </c>
      <c r="C49" s="10" t="inlineStr">
        <is>
          <t>per line</t>
        </is>
      </c>
    </row>
    <row r="50">
      <c r="A50" s="10" t="inlineStr">
        <is>
          <t>New report or document template (typical)</t>
        </is>
      </c>
      <c r="B50" s="35" t="n">
        <v>60000</v>
      </c>
      <c r="C50" s="10" t="inlineStr">
        <is>
          <t>per item</t>
        </is>
      </c>
    </row>
    <row r="51">
      <c r="A51" s="10" t="inlineStr">
        <is>
          <t>Training beyond the included days</t>
        </is>
      </c>
      <c r="B51" s="19">
        <f>Rate_Trainer</f>
        <v/>
      </c>
      <c r="C51" s="10" t="inlineStr">
        <is>
          <t>per trainer day</t>
        </is>
      </c>
    </row>
    <row r="52">
      <c r="A52" s="10" t="inlineStr">
        <is>
          <t>On-site consultant day (Metro Manila)</t>
        </is>
      </c>
      <c r="B52" s="19">
        <f>Rate_Onsite</f>
        <v/>
      </c>
      <c r="C52" s="10" t="inlineStr">
        <is>
          <t>per day</t>
        </is>
      </c>
    </row>
    <row r="54" ht="18" customHeight="1">
      <c r="A54" s="23" t="inlineStr">
        <is>
          <t>Read from BrokerVerse_Commercials_and_Pricing.xlsx (recommended price points) when this book was built. Pricing workbook state: recalculated with LibreOffice before reading.</t>
        </is>
      </c>
    </row>
  </sheetData>
  <mergeCells count="22">
    <mergeCell ref="D21:L21"/>
    <mergeCell ref="A54:L54"/>
    <mergeCell ref="D11:L11"/>
    <mergeCell ref="D13:L13"/>
    <mergeCell ref="D17:L17"/>
    <mergeCell ref="D16:L16"/>
    <mergeCell ref="D7:L7"/>
    <mergeCell ref="D18:L18"/>
    <mergeCell ref="D9:L9"/>
    <mergeCell ref="D12:L12"/>
    <mergeCell ref="D8:L8"/>
    <mergeCell ref="D15:L15"/>
    <mergeCell ref="D5:L5"/>
    <mergeCell ref="D23:L23"/>
    <mergeCell ref="D14:L14"/>
    <mergeCell ref="A31:L31"/>
    <mergeCell ref="D20:L20"/>
    <mergeCell ref="A39:L39"/>
    <mergeCell ref="D10:L10"/>
    <mergeCell ref="D19:L19"/>
    <mergeCell ref="D22:L22"/>
    <mergeCell ref="D6:L6"/>
  </mergeCells>
  <pageMargins left="0.4" right="0.4" top="1" bottom="1" header="0.5" footer="0.5"/>
  <pageSetup orientation="landscape" paperSize="9" fitToHeight="0" fitToWidth="1"/>
  <headerFooter>
    <oddHeader/>
    <oddFooter>&amp;CiNXT BrokerVerse OOTB price book, iorta TechNXT Corp. INTERNAL.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2026-10-03T17:52:51Z</dcterms:created>
  <dcterms:modified xmlns:dcterms="http://purl.org/dc/terms/" xmlns:xsi="http://www.w3.org/2001/XMLSchema-instance" xsi:type="dcterms:W3CDTF">2026-10-03T17:52:51Z</dcterms:modified>
</cp:coreProperties>
</file>