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Risks" sheetId="3" state="visible" r:id="rId3"/>
    <sheet xmlns:r="http://schemas.openxmlformats.org/officeDocument/2006/relationships" name="Assumptions" sheetId="4" state="visible" r:id="rId4"/>
    <sheet xmlns:r="http://schemas.openxmlformats.org/officeDocument/2006/relationships" name="Issues" sheetId="5" state="visible" r:id="rId5"/>
    <sheet xmlns:r="http://schemas.openxmlformats.org/officeDocument/2006/relationships" name="Dependencies" sheetId="6" state="visible" r:id="rId6"/>
    <sheet xmlns:r="http://schemas.openxmlformats.org/officeDocument/2006/relationships" name="Lists" sheetId="7" state="visible" r:id="rId7"/>
  </sheets>
  <definedNames>
    <definedName name="_xlnm._FilterDatabase" localSheetId="2" hidden="1">'Risks'!$A$1:$O$211</definedName>
    <definedName name="_xlnm._FilterDatabase" localSheetId="3" hidden="1">'Assumptions'!$A$1:$I$204</definedName>
    <definedName name="_xlnm._FilterDatabase" localSheetId="4" hidden="1">'Issues'!$A$1:$M$202</definedName>
    <definedName name="_xlnm._FilterDatabase" localSheetId="5" hidden="1">'Dependencies'!$A$1:$H$211</definedName>
  </definedNames>
  <calcPr calcId="124519" fullCalcOnLoad="1"/>
</workbook>
</file>

<file path=xl/styles.xml><?xml version="1.0" encoding="utf-8"?>
<styleSheet xmlns="http://schemas.openxmlformats.org/spreadsheetml/2006/main">
  <numFmts count="1">
    <numFmt numFmtId="164" formatCode="DD MMM YYYY"/>
  </numFmts>
  <fonts count="5">
    <font>
      <name val="Calibri"/>
      <family val="2"/>
      <color theme="1"/>
      <sz val="11"/>
      <scheme val="minor"/>
    </font>
    <font>
      <name val="Segoe UI"/>
      <b val="1"/>
      <color rgb="000B2A4A"/>
      <sz val="14"/>
    </font>
    <font>
      <name val="Segoe UI"/>
      <sz val="10"/>
    </font>
    <font>
      <name val="Segoe UI"/>
      <b val="1"/>
      <color rgb="00FFFFFF"/>
      <sz val="10"/>
    </font>
    <font>
      <name val="Segoe UI"/>
      <b val="1"/>
      <color rgb="000B2A4A"/>
      <sz val="10"/>
    </font>
  </fonts>
  <fills count="6">
    <fill>
      <patternFill/>
    </fill>
    <fill>
      <patternFill patternType="gray125"/>
    </fill>
    <fill>
      <patternFill patternType="solid">
        <fgColor rgb="000B2A4A"/>
      </patternFill>
    </fill>
    <fill>
      <patternFill patternType="solid">
        <fgColor rgb="00C6E0B4"/>
      </patternFill>
    </fill>
    <fill>
      <patternFill patternType="solid">
        <fgColor rgb="00FFE699"/>
      </patternFill>
    </fill>
    <fill>
      <patternFill patternType="solid">
        <fgColor rgb="00F8CBAD"/>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2" fillId="0" borderId="1" applyAlignment="1" pivotButton="0" quotePrefix="0" xfId="0">
      <alignment vertical="top" wrapText="1"/>
    </xf>
    <xf numFmtId="0" fontId="4" fillId="0" borderId="0" pivotButton="0" quotePrefix="0" xfId="0"/>
    <xf numFmtId="0" fontId="3" fillId="2" borderId="0" pivotButton="0" quotePrefix="0" xfId="0"/>
    <xf numFmtId="0" fontId="3" fillId="2" borderId="1" pivotButton="0" quotePrefix="0" xfId="0"/>
    <xf numFmtId="0" fontId="4" fillId="0" borderId="1" pivotButton="0" quotePrefix="0" xfId="0"/>
    <xf numFmtId="0" fontId="2" fillId="3" borderId="1" applyAlignment="1" pivotButton="0" quotePrefix="0" xfId="0">
      <alignment horizontal="center"/>
    </xf>
    <xf numFmtId="0" fontId="2" fillId="4" borderId="1" applyAlignment="1" pivotButton="0" quotePrefix="0" xfId="0">
      <alignment horizontal="center"/>
    </xf>
    <xf numFmtId="0" fontId="2" fillId="5" borderId="1" applyAlignment="1" pivotButton="0" quotePrefix="0" xfId="0">
      <alignment horizontal="center"/>
    </xf>
    <xf numFmtId="164" fontId="2" fillId="0" borderId="1" applyAlignment="1" pivotButton="0" quotePrefix="0" xfId="0">
      <alignment vertical="top" wrapText="1"/>
    </xf>
    <xf numFmtId="0" fontId="2" fillId="0" borderId="0"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28" customWidth="1" min="1" max="1"/>
    <col width="110" customWidth="1" min="2" max="2"/>
  </cols>
  <sheetData>
    <row r="1">
      <c r="A1" s="1" t="inlineStr">
        <is>
          <t>BrokerVerse RAID Log</t>
        </is>
      </c>
    </row>
    <row r="2" ht="60" customHeight="1">
      <c r="A2" s="2" t="inlineStr">
        <is>
          <t>One shared log of risks, assumptions, issues and dependencies, kept by the iorta TechNXT project manager and reviewed in every weekly status meeting. Items rated High go to the steering committee. The risks and dependencies pre-filled from the Implementation Approach and Plan are typical of a BrokerVerse implementation: keep, change or close them at mobilisation.</t>
        </is>
      </c>
    </row>
    <row r="4" ht="32" customHeight="1">
      <c r="A4" s="3" t="inlineStr">
        <is>
          <t>Item</t>
        </is>
      </c>
      <c r="B4" s="3" t="inlineStr">
        <is>
          <t>Guidance</t>
        </is>
      </c>
    </row>
    <row r="5">
      <c r="A5" s="4" t="inlineStr">
        <is>
          <t>ID</t>
        </is>
      </c>
      <c r="B5" s="4" t="inlineStr">
        <is>
          <t>R-nnn, A-nnn, I-nnn or D-nnn with a running number. Never reuse an ID.</t>
        </is>
      </c>
    </row>
    <row r="6">
      <c r="A6" s="4" t="inlineStr">
        <is>
          <t>Probability (risks)</t>
        </is>
      </c>
      <c r="B6" s="4" t="inlineStr">
        <is>
          <t>1 Rare (under 10%), 2 Unlikely (10 to 30%), 3 Possible (30 to 50%), 4 Likely (50 to 80%), 5 Almost certain (over 80%).</t>
        </is>
      </c>
    </row>
    <row r="7">
      <c r="A7" s="4" t="inlineStr">
        <is>
          <t>Impact (risks and issues)</t>
        </is>
      </c>
      <c r="B7" s="4" t="inlineStr">
        <is>
          <t>1 Negligible, 2 Minor (a task slips), 3 Moderate (a milestone slips up to one week), 4 Major (go-live or budget at risk), 5 Severe (go-live missed, compliance or data loss).</t>
        </is>
      </c>
    </row>
    <row r="8">
      <c r="A8" s="4" t="inlineStr">
        <is>
          <t>Score and rating</t>
        </is>
      </c>
      <c r="B8" s="4" t="inlineStr">
        <is>
          <t>Score = probability x impact. High: 15 to 25. Medium: 8 to 14. Low: 1 to 7. Calculated on the sheet; do not type over the formula.</t>
        </is>
      </c>
    </row>
    <row r="9">
      <c r="A9" s="4" t="inlineStr">
        <is>
          <t>Issue priority</t>
        </is>
      </c>
      <c r="B9" s="4" t="inlineStr">
        <is>
          <t>An issue has happened. Priority follows impact: 4 or 5 High, 3 Medium, 1 or 2 Low.</t>
        </is>
      </c>
    </row>
    <row r="10">
      <c r="A10" s="4" t="inlineStr">
        <is>
          <t>Assumptions</t>
        </is>
      </c>
      <c r="B10" s="4" t="inlineStr">
        <is>
          <t>Each assumption has a date by which it must be validated; an assumption found false becomes an issue or a risk.</t>
        </is>
      </c>
    </row>
    <row r="11">
      <c r="A11" s="4" t="inlineStr">
        <is>
          <t>Dependencies</t>
        </is>
      </c>
      <c r="B11" s="4" t="inlineStr">
        <is>
          <t>What the project needs from someone outside the team (the broker, an insurer, a bank, the hosting provider), by when, and its state.</t>
        </is>
      </c>
    </row>
    <row r="12">
      <c r="A12" s="4" t="inlineStr">
        <is>
          <t>Status</t>
        </is>
      </c>
      <c r="B12" s="4" t="inlineStr">
        <is>
          <t>Open, In progress, Closed. Fill the closure date and keep closed items on the sheet.</t>
        </is>
      </c>
    </row>
    <row r="13">
      <c r="A13" s="4" t="inlineStr">
        <is>
          <t>Summary</t>
        </is>
      </c>
      <c r="B13" s="4" t="inlineStr">
        <is>
          <t>The Summary sheet counts open items by type and rating for the status report and the steering committee.</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4" customWidth="1" min="5" max="5"/>
  </cols>
  <sheetData>
    <row r="1">
      <c r="A1" s="1" t="inlineStr">
        <is>
          <t>RAID summary (open and in progress items)</t>
        </is>
      </c>
    </row>
    <row r="3" ht="32" customHeight="1">
      <c r="A3" s="3" t="inlineStr">
        <is>
          <t>Type</t>
        </is>
      </c>
      <c r="B3" s="3" t="inlineStr">
        <is>
          <t>High</t>
        </is>
      </c>
      <c r="C3" s="3" t="inlineStr">
        <is>
          <t>Medium</t>
        </is>
      </c>
      <c r="D3" s="3" t="inlineStr">
        <is>
          <t>Low</t>
        </is>
      </c>
      <c r="E3" s="3" t="inlineStr">
        <is>
          <t>Open total</t>
        </is>
      </c>
    </row>
    <row r="4">
      <c r="A4" s="4" t="inlineStr">
        <is>
          <t>Risks</t>
        </is>
      </c>
      <c r="B4" s="4">
        <f>COUNTIFS(Risks!$J$2:$J$201,"High",Risks!$M$2:$M$201,"&lt;&gt;Closed")</f>
        <v/>
      </c>
      <c r="C4" s="4">
        <f>COUNTIFS(Risks!$J$2:$J$201,"Medium",Risks!$M$2:$M$201,"&lt;&gt;Closed")</f>
        <v/>
      </c>
      <c r="D4" s="4">
        <f>COUNTIFS(Risks!$J$2:$J$201,"Low",Risks!$M$2:$M$201,"&lt;&gt;Closed")</f>
        <v/>
      </c>
      <c r="E4" s="4">
        <f>COUNTIFS(Risks!$A$2:$A$201,"&lt;&gt;",Risks!$M$2:$M$201,"&lt;&gt;Closed")</f>
        <v/>
      </c>
    </row>
    <row r="5">
      <c r="A5" s="4" t="inlineStr">
        <is>
          <t>Issues</t>
        </is>
      </c>
      <c r="B5" s="4">
        <f>COUNTIFS(Issues!$G$2:$G$201,"High",Issues!$J$2:$J$201,"&lt;&gt;Closed")</f>
        <v/>
      </c>
      <c r="C5" s="4">
        <f>COUNTIFS(Issues!$G$2:$G$201,"Medium",Issues!$J$2:$J$201,"&lt;&gt;Closed")</f>
        <v/>
      </c>
      <c r="D5" s="4">
        <f>COUNTIFS(Issues!$G$2:$G$201,"Low",Issues!$J$2:$J$201,"&lt;&gt;Closed")</f>
        <v/>
      </c>
      <c r="E5" s="4">
        <f>COUNTIFS(Issues!$A$2:$A$201,"&lt;&gt;",Issues!$J$2:$J$201,"&lt;&gt;Closed")</f>
        <v/>
      </c>
    </row>
    <row r="6">
      <c r="A6" s="4" t="inlineStr">
        <is>
          <t>Assumptions</t>
        </is>
      </c>
      <c r="B6" s="4" t="inlineStr"/>
      <c r="C6" s="4" t="inlineStr"/>
      <c r="D6" s="4" t="inlineStr"/>
      <c r="E6" s="4">
        <f>COUNTIFS(Assumptions!$A$2:$A$201,"&lt;&gt;",Assumptions!$H$2:$H$201,"&lt;&gt;Closed")</f>
        <v/>
      </c>
    </row>
    <row r="7">
      <c r="A7" s="4" t="inlineStr">
        <is>
          <t>Dependencies late or at risk</t>
        </is>
      </c>
      <c r="B7" s="4" t="inlineStr"/>
      <c r="C7" s="4" t="inlineStr"/>
      <c r="D7" s="4" t="inlineStr"/>
      <c r="E7" s="4">
        <f>COUNTIFS(Dependencies!$G$2:$G$201,"Late")+COUNTIFS(Dependencies!$G$2:$G$201,"At risk")</f>
        <v/>
      </c>
    </row>
    <row r="10">
      <c r="A10" s="5" t="inlineStr">
        <is>
          <t>Risk matrix: open risks by probability (rows) and impact (columns)</t>
        </is>
      </c>
    </row>
    <row r="11">
      <c r="A11" s="6" t="inlineStr">
        <is>
          <t>Probability \ Impact</t>
        </is>
      </c>
      <c r="B11" s="7" t="n">
        <v>1</v>
      </c>
      <c r="C11" s="7" t="n">
        <v>2</v>
      </c>
      <c r="D11" s="7" t="n">
        <v>3</v>
      </c>
      <c r="E11" s="7" t="n">
        <v>4</v>
      </c>
      <c r="F11" s="7" t="n">
        <v>5</v>
      </c>
    </row>
    <row r="12">
      <c r="A12" s="8" t="n">
        <v>5</v>
      </c>
      <c r="B12" s="9">
        <f>COUNTIFS(Risks!$G$2:$G$201,5,Risks!$H$2:$H$201,1,Risks!$M$2:$M$201,"&lt;&gt;Closed")</f>
        <v/>
      </c>
      <c r="C12" s="10">
        <f>COUNTIFS(Risks!$G$2:$G$201,5,Risks!$H$2:$H$201,2,Risks!$M$2:$M$201,"&lt;&gt;Closed")</f>
        <v/>
      </c>
      <c r="D12" s="11">
        <f>COUNTIFS(Risks!$G$2:$G$201,5,Risks!$H$2:$H$201,3,Risks!$M$2:$M$201,"&lt;&gt;Closed")</f>
        <v/>
      </c>
      <c r="E12" s="11">
        <f>COUNTIFS(Risks!$G$2:$G$201,5,Risks!$H$2:$H$201,4,Risks!$M$2:$M$201,"&lt;&gt;Closed")</f>
        <v/>
      </c>
      <c r="F12" s="11">
        <f>COUNTIFS(Risks!$G$2:$G$201,5,Risks!$H$2:$H$201,5,Risks!$M$2:$M$201,"&lt;&gt;Closed")</f>
        <v/>
      </c>
    </row>
    <row r="13">
      <c r="A13" s="8" t="n">
        <v>4</v>
      </c>
      <c r="B13" s="9">
        <f>COUNTIFS(Risks!$G$2:$G$201,4,Risks!$H$2:$H$201,1,Risks!$M$2:$M$201,"&lt;&gt;Closed")</f>
        <v/>
      </c>
      <c r="C13" s="10">
        <f>COUNTIFS(Risks!$G$2:$G$201,4,Risks!$H$2:$H$201,2,Risks!$M$2:$M$201,"&lt;&gt;Closed")</f>
        <v/>
      </c>
      <c r="D13" s="10">
        <f>COUNTIFS(Risks!$G$2:$G$201,4,Risks!$H$2:$H$201,3,Risks!$M$2:$M$201,"&lt;&gt;Closed")</f>
        <v/>
      </c>
      <c r="E13" s="11">
        <f>COUNTIFS(Risks!$G$2:$G$201,4,Risks!$H$2:$H$201,4,Risks!$M$2:$M$201,"&lt;&gt;Closed")</f>
        <v/>
      </c>
      <c r="F13" s="11">
        <f>COUNTIFS(Risks!$G$2:$G$201,4,Risks!$H$2:$H$201,5,Risks!$M$2:$M$201,"&lt;&gt;Closed")</f>
        <v/>
      </c>
    </row>
    <row r="14">
      <c r="A14" s="8" t="n">
        <v>3</v>
      </c>
      <c r="B14" s="9">
        <f>COUNTIFS(Risks!$G$2:$G$201,3,Risks!$H$2:$H$201,1,Risks!$M$2:$M$201,"&lt;&gt;Closed")</f>
        <v/>
      </c>
      <c r="C14" s="9">
        <f>COUNTIFS(Risks!$G$2:$G$201,3,Risks!$H$2:$H$201,2,Risks!$M$2:$M$201,"&lt;&gt;Closed")</f>
        <v/>
      </c>
      <c r="D14" s="10">
        <f>COUNTIFS(Risks!$G$2:$G$201,3,Risks!$H$2:$H$201,3,Risks!$M$2:$M$201,"&lt;&gt;Closed")</f>
        <v/>
      </c>
      <c r="E14" s="10">
        <f>COUNTIFS(Risks!$G$2:$G$201,3,Risks!$H$2:$H$201,4,Risks!$M$2:$M$201,"&lt;&gt;Closed")</f>
        <v/>
      </c>
      <c r="F14" s="11">
        <f>COUNTIFS(Risks!$G$2:$G$201,3,Risks!$H$2:$H$201,5,Risks!$M$2:$M$201,"&lt;&gt;Closed")</f>
        <v/>
      </c>
    </row>
    <row r="15">
      <c r="A15" s="8" t="n">
        <v>2</v>
      </c>
      <c r="B15" s="9">
        <f>COUNTIFS(Risks!$G$2:$G$201,2,Risks!$H$2:$H$201,1,Risks!$M$2:$M$201,"&lt;&gt;Closed")</f>
        <v/>
      </c>
      <c r="C15" s="9">
        <f>COUNTIFS(Risks!$G$2:$G$201,2,Risks!$H$2:$H$201,2,Risks!$M$2:$M$201,"&lt;&gt;Closed")</f>
        <v/>
      </c>
      <c r="D15" s="9">
        <f>COUNTIFS(Risks!$G$2:$G$201,2,Risks!$H$2:$H$201,3,Risks!$M$2:$M$201,"&lt;&gt;Closed")</f>
        <v/>
      </c>
      <c r="E15" s="10">
        <f>COUNTIFS(Risks!$G$2:$G$201,2,Risks!$H$2:$H$201,4,Risks!$M$2:$M$201,"&lt;&gt;Closed")</f>
        <v/>
      </c>
      <c r="F15" s="10">
        <f>COUNTIFS(Risks!$G$2:$G$201,2,Risks!$H$2:$H$201,5,Risks!$M$2:$M$201,"&lt;&gt;Closed")</f>
        <v/>
      </c>
    </row>
    <row r="16">
      <c r="A16" s="8" t="n">
        <v>1</v>
      </c>
      <c r="B16" s="9">
        <f>COUNTIFS(Risks!$G$2:$G$201,1,Risks!$H$2:$H$201,1,Risks!$M$2:$M$201,"&lt;&gt;Closed")</f>
        <v/>
      </c>
      <c r="C16" s="9">
        <f>COUNTIFS(Risks!$G$2:$G$201,1,Risks!$H$2:$H$201,2,Risks!$M$2:$M$201,"&lt;&gt;Closed")</f>
        <v/>
      </c>
      <c r="D16" s="9">
        <f>COUNTIFS(Risks!$G$2:$G$201,1,Risks!$H$2:$H$201,3,Risks!$M$2:$M$201,"&lt;&gt;Closed")</f>
        <v/>
      </c>
      <c r="E16" s="9">
        <f>COUNTIFS(Risks!$G$2:$G$201,1,Risks!$H$2:$H$201,4,Risks!$M$2:$M$201,"&lt;&gt;Closed")</f>
        <v/>
      </c>
      <c r="F16" s="9">
        <f>COUNTIFS(Risks!$G$2:$G$201,1,Risks!$H$2:$H$201,5,Risks!$M$2:$M$201,"&lt;&gt;Closed")</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01"/>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28" customWidth="1" min="3" max="3"/>
    <col width="30" customWidth="1" min="4" max="4"/>
    <col width="13" customWidth="1" min="5" max="5"/>
    <col width="18" customWidth="1" min="6" max="6"/>
    <col width="11" customWidth="1" min="7" max="7"/>
    <col width="9" customWidth="1" min="8" max="8"/>
    <col width="8" customWidth="1" min="9" max="9"/>
    <col width="10" customWidth="1" min="10" max="10"/>
    <col width="46" customWidth="1" min="11" max="11"/>
    <col width="12" customWidth="1" min="12" max="12"/>
    <col width="12" customWidth="1" min="13" max="13"/>
    <col width="12" customWidth="1" min="14" max="14"/>
    <col width="12" customWidth="1" min="15" max="15"/>
  </cols>
  <sheetData>
    <row r="1" ht="32" customHeight="1">
      <c r="A1" s="3" t="inlineStr">
        <is>
          <t>ID</t>
        </is>
      </c>
      <c r="B1" s="3" t="inlineStr">
        <is>
          <t>Risk</t>
        </is>
      </c>
      <c r="C1" s="3" t="inlineStr">
        <is>
          <t>Cause</t>
        </is>
      </c>
      <c r="D1" s="3" t="inlineStr">
        <is>
          <t>Effect</t>
        </is>
      </c>
      <c r="E1" s="3" t="inlineStr">
        <is>
          <t>Category</t>
        </is>
      </c>
      <c r="F1" s="3" t="inlineStr">
        <is>
          <t>Owner</t>
        </is>
      </c>
      <c r="G1" s="3" t="inlineStr">
        <is>
          <t>Probability</t>
        </is>
      </c>
      <c r="H1" s="3" t="inlineStr">
        <is>
          <t>Impact</t>
        </is>
      </c>
      <c r="I1" s="3" t="inlineStr">
        <is>
          <t>Score</t>
        </is>
      </c>
      <c r="J1" s="3" t="inlineStr">
        <is>
          <t>Rating</t>
        </is>
      </c>
      <c r="K1" s="3" t="inlineStr">
        <is>
          <t>Mitigation</t>
        </is>
      </c>
      <c r="L1" s="3" t="inlineStr">
        <is>
          <t>Due date</t>
        </is>
      </c>
      <c r="M1" s="3" t="inlineStr">
        <is>
          <t>Status</t>
        </is>
      </c>
      <c r="N1" s="3" t="inlineStr">
        <is>
          <t>Raised on</t>
        </is>
      </c>
      <c r="O1" s="3" t="inlineStr">
        <is>
          <t>Closed on</t>
        </is>
      </c>
    </row>
    <row r="2">
      <c r="A2" s="4" t="inlineStr">
        <is>
          <t>R-001</t>
        </is>
      </c>
      <c r="B2" s="4" t="inlineStr">
        <is>
          <t>Data arrives late or incomplete</t>
        </is>
      </c>
      <c r="C2" s="4" t="inlineStr">
        <is>
          <t>Extracts from the old system not ready</t>
        </is>
      </c>
      <c r="D2" s="4" t="inlineStr">
        <is>
          <t>Mock loads slip; go-live moves</t>
        </is>
      </c>
      <c r="E2" s="4" t="inlineStr">
        <is>
          <t>Data</t>
        </is>
      </c>
      <c r="F2" s="4" t="inlineStr">
        <is>
          <t>[owner]</t>
        </is>
      </c>
      <c r="G2" s="4" t="n">
        <v>4</v>
      </c>
      <c r="H2" s="4" t="n">
        <v>4</v>
      </c>
      <c r="I2" s="4">
        <f>IF(OR(G2="",H2=""),"",G2*H2)</f>
        <v/>
      </c>
      <c r="J2" s="4">
        <f>IF(OR(G2="",H2=""),"",IF(G2*H2&gt;=15,"High",IF(G2*H2&gt;=8,"Medium","Low")))</f>
        <v/>
      </c>
      <c r="K2" s="4" t="inlineStr">
        <is>
          <t>Data requests in week 1; templates handed out at kick-off; data readiness tracked weekly; steering committee escalation after one week of delay</t>
        </is>
      </c>
      <c r="L2" s="12" t="n"/>
      <c r="M2" s="4" t="inlineStr">
        <is>
          <t>Open</t>
        </is>
      </c>
      <c r="N2" s="12" t="n"/>
      <c r="O2" s="12" t="n"/>
    </row>
    <row r="3">
      <c r="A3" s="4" t="inlineStr">
        <is>
          <t>R-002</t>
        </is>
      </c>
      <c r="B3" s="4" t="inlineStr">
        <is>
          <t>Poor data quality in the old system</t>
        </is>
      </c>
      <c r="C3" s="4" t="inlineStr">
        <is>
          <t>Duplicates, missing fields, old balances</t>
        </is>
      </c>
      <c r="D3" s="4" t="inlineStr">
        <is>
          <t>Rejected rows; receivables or balances do not reconcile</t>
        </is>
      </c>
      <c r="E3" s="4" t="inlineStr">
        <is>
          <t>Data</t>
        </is>
      </c>
      <c r="F3" s="4" t="inlineStr">
        <is>
          <t>[owner]</t>
        </is>
      </c>
      <c r="G3" s="4" t="n">
        <v>3</v>
      </c>
      <c r="H3" s="4" t="n">
        <v>4</v>
      </c>
      <c r="I3" s="4">
        <f>IF(OR(G3="",H3=""),"",G3*H3)</f>
        <v/>
      </c>
      <c r="J3" s="4">
        <f>IF(OR(G3="",H3=""),"",IF(G3*H3&gt;=15,"High",IF(G3*H3&gt;=8,"Medium","Low")))</f>
        <v/>
      </c>
      <c r="K3" s="4" t="inlineStr">
        <is>
          <t>Two to four mock loads with reconciliation; the broker cleanses at source; rejected-row reports from each upload</t>
        </is>
      </c>
      <c r="L3" s="12" t="n"/>
      <c r="M3" s="4" t="inlineStr">
        <is>
          <t>Open</t>
        </is>
      </c>
      <c r="N3" s="12" t="n"/>
      <c r="O3" s="12" t="n"/>
    </row>
    <row r="4">
      <c r="A4" s="4" t="inlineStr">
        <is>
          <t>R-003</t>
        </is>
      </c>
      <c r="B4" s="4" t="inlineStr">
        <is>
          <t>Requests for customisation</t>
        </is>
      </c>
      <c r="C4" s="4" t="inlineStr">
        <is>
          <t>Old system habits; new wishes</t>
        </is>
      </c>
      <c r="D4" s="4" t="inlineStr">
        <is>
          <t>Scope and timeline grow</t>
        </is>
      </c>
      <c r="E4" s="4" t="inlineStr">
        <is>
          <t>Scope</t>
        </is>
      </c>
      <c r="F4" s="4" t="inlineStr">
        <is>
          <t>[owner]</t>
        </is>
      </c>
      <c r="G4" s="4" t="n">
        <v>3</v>
      </c>
      <c r="H4" s="4" t="n">
        <v>4</v>
      </c>
      <c r="I4" s="4">
        <f>IF(OR(G4="",H4=""),"",G4*H4)</f>
        <v/>
      </c>
      <c r="J4" s="4">
        <f>IF(OR(G4="",H4=""),"",IF(G4*H4&gt;=15,"High",IF(G4*H4&gt;=8,"Medium","Low")))</f>
        <v/>
      </c>
      <c r="K4" s="4" t="inlineStr">
        <is>
          <t>Configure-first principle; fit-gap classes; change request process with steering committee approval</t>
        </is>
      </c>
      <c r="L4" s="12" t="n"/>
      <c r="M4" s="4" t="inlineStr">
        <is>
          <t>Open</t>
        </is>
      </c>
      <c r="N4" s="12" t="n"/>
      <c r="O4" s="12" t="n"/>
    </row>
    <row r="5">
      <c r="A5" s="4" t="inlineStr">
        <is>
          <t>R-004</t>
        </is>
      </c>
      <c r="B5" s="4" t="inlineStr">
        <is>
          <t>Key users unavailable</t>
        </is>
      </c>
      <c r="C5" s="4" t="inlineStr">
        <is>
          <t>Business as usual takes priority</t>
        </is>
      </c>
      <c r="D5" s="4" t="inlineStr">
        <is>
          <t>Decisions late; weak UAT and training</t>
        </is>
      </c>
      <c r="E5" s="4" t="inlineStr">
        <is>
          <t>People</t>
        </is>
      </c>
      <c r="F5" s="4" t="inlineStr">
        <is>
          <t>[owner]</t>
        </is>
      </c>
      <c r="G5" s="4" t="n">
        <v>3</v>
      </c>
      <c r="H5" s="4" t="n">
        <v>3</v>
      </c>
      <c r="I5" s="4">
        <f>IF(OR(G5="",H5=""),"",G5*H5)</f>
        <v/>
      </c>
      <c r="J5" s="4">
        <f>IF(OR(G5="",H5=""),"",IF(G5*H5&gt;=15,"High",IF(G5*H5&gt;=8,"Medium","Low")))</f>
        <v/>
      </c>
      <c r="K5" s="4" t="inlineStr">
        <is>
          <t>Named key users with committed time; backups named; workshops scheduled at kick-off</t>
        </is>
      </c>
      <c r="L5" s="12" t="n"/>
      <c r="M5" s="4" t="inlineStr">
        <is>
          <t>Open</t>
        </is>
      </c>
      <c r="N5" s="12" t="n"/>
      <c r="O5" s="12" t="n"/>
    </row>
    <row r="6">
      <c r="A6" s="4" t="inlineStr">
        <is>
          <t>R-005</t>
        </is>
      </c>
      <c r="B6" s="4" t="inlineStr">
        <is>
          <t>Opening balances and open items do not agree</t>
        </is>
      </c>
      <c r="C6" s="4" t="inlineStr">
        <is>
          <t>Cut-off differences</t>
        </is>
      </c>
      <c r="D6" s="4" t="inlineStr">
        <is>
          <t>Ledger wrong from day one</t>
        </is>
      </c>
      <c r="E6" s="4" t="inlineStr">
        <is>
          <t>Data</t>
        </is>
      </c>
      <c r="F6" s="4" t="inlineStr">
        <is>
          <t>[owner]</t>
        </is>
      </c>
      <c r="G6" s="4" t="n">
        <v>2</v>
      </c>
      <c r="H6" s="4" t="n">
        <v>5</v>
      </c>
      <c r="I6" s="4">
        <f>IF(OR(G6="",H6=""),"",G6*H6)</f>
        <v/>
      </c>
      <c r="J6" s="4">
        <f>IF(OR(G6="",H6=""),"",IF(G6*H6&gt;=15,"High",IF(G6*H6&gt;=8,"Medium","Low")))</f>
        <v/>
      </c>
      <c r="K6" s="4" t="inlineStr">
        <is>
          <t>Premiums Receivable balance equals the open item total; Due to Insurers reconciled to insurer statements; Accounting Manager signs off</t>
        </is>
      </c>
      <c r="L6" s="12" t="n"/>
      <c r="M6" s="4" t="inlineStr">
        <is>
          <t>Open</t>
        </is>
      </c>
      <c r="N6" s="12" t="n"/>
      <c r="O6" s="12" t="n"/>
    </row>
    <row r="7">
      <c r="A7" s="4" t="inlineStr">
        <is>
          <t>R-006</t>
        </is>
      </c>
      <c r="B7" s="4" t="inlineStr">
        <is>
          <t>Tax rates or ATC not confirmed</t>
        </is>
      </c>
      <c r="C7" s="4" t="inlineStr">
        <is>
          <t>Tax adviser not engaged in time</t>
        </is>
      </c>
      <c r="D7" s="4" t="inlineStr">
        <is>
          <t>Wrong VAT or withholding</t>
        </is>
      </c>
      <c r="E7" s="4" t="inlineStr">
        <is>
          <t>Compliance</t>
        </is>
      </c>
      <c r="F7" s="4" t="inlineStr">
        <is>
          <t>[owner]</t>
        </is>
      </c>
      <c r="G7" s="4" t="n">
        <v>2</v>
      </c>
      <c r="H7" s="4" t="n">
        <v>4</v>
      </c>
      <c r="I7" s="4">
        <f>IF(OR(G7="",H7=""),"",G7*H7)</f>
        <v/>
      </c>
      <c r="J7" s="4">
        <f>IF(OR(G7="",H7=""),"",IF(G7*H7&gt;=15,"High",IF(G7*H7&gt;=8,"Medium","Low")))</f>
        <v/>
      </c>
      <c r="K7" s="4" t="inlineStr">
        <is>
          <t>Tax adviser review in the configuration phase; VAT Summary checked in UAT</t>
        </is>
      </c>
      <c r="L7" s="12" t="n"/>
      <c r="M7" s="4" t="inlineStr">
        <is>
          <t>Open</t>
        </is>
      </c>
      <c r="N7" s="12" t="n"/>
      <c r="O7" s="12" t="n"/>
    </row>
    <row r="8">
      <c r="A8" s="4" t="inlineStr">
        <is>
          <t>R-007</t>
        </is>
      </c>
      <c r="B8" s="4" t="inlineStr">
        <is>
          <t>Official receipt numbering out of line with the Authority to Print</t>
        </is>
      </c>
      <c r="C8" s="4" t="inlineStr">
        <is>
          <t>Last numbers not supplied</t>
        </is>
      </c>
      <c r="D8" s="4" t="inlineStr">
        <is>
          <t>Compliance exposure</t>
        </is>
      </c>
      <c r="E8" s="4" t="inlineStr">
        <is>
          <t>Compliance</t>
        </is>
      </c>
      <c r="F8" s="4" t="inlineStr">
        <is>
          <t>[owner]</t>
        </is>
      </c>
      <c r="G8" s="4" t="n">
        <v>2</v>
      </c>
      <c r="H8" s="4" t="n">
        <v>4</v>
      </c>
      <c r="I8" s="4">
        <f>IF(OR(G8="",H8=""),"",G8*H8)</f>
        <v/>
      </c>
      <c r="J8" s="4">
        <f>IF(OR(G8="",H8=""),"",IF(G8*H8&gt;=15,"High",IF(G8*H8&gt;=8,"Medium","Low")))</f>
        <v/>
      </c>
      <c r="K8" s="4" t="inlineStr">
        <is>
          <t>Numbering set from the last number used; checked in UAT</t>
        </is>
      </c>
      <c r="L8" s="12" t="n"/>
      <c r="M8" s="4" t="inlineStr">
        <is>
          <t>Open</t>
        </is>
      </c>
      <c r="N8" s="12" t="n"/>
      <c r="O8" s="12" t="n"/>
    </row>
    <row r="9">
      <c r="A9" s="4" t="inlineStr">
        <is>
          <t>R-008</t>
        </is>
      </c>
      <c r="B9" s="4" t="inlineStr">
        <is>
          <t>E-mail or payment gateway credentials late</t>
        </is>
      </c>
      <c r="C9" s="4" t="inlineStr">
        <is>
          <t>Provider onboarding</t>
        </is>
      </c>
      <c r="D9" s="4" t="inlineStr">
        <is>
          <t>Approval links, receipts by e-mail, password resets and online payments not working</t>
        </is>
      </c>
      <c r="E9" s="4" t="inlineStr">
        <is>
          <t>Integration</t>
        </is>
      </c>
      <c r="F9" s="4" t="inlineStr">
        <is>
          <t>[owner]</t>
        </is>
      </c>
      <c r="G9" s="4" t="n">
        <v>3</v>
      </c>
      <c r="H9" s="4" t="n">
        <v>3</v>
      </c>
      <c r="I9" s="4">
        <f>IF(OR(G9="",H9=""),"",G9*H9)</f>
        <v/>
      </c>
      <c r="J9" s="4">
        <f>IF(OR(G9="",H9=""),"",IF(G9*H9&gt;=15,"High",IF(G9*H9&gt;=8,"Medium","Low")))</f>
        <v/>
      </c>
      <c r="K9" s="4" t="inlineStr">
        <is>
          <t>Requested in mobilisation; the system works without the gateway; sandbox first</t>
        </is>
      </c>
      <c r="L9" s="12" t="n"/>
      <c r="M9" s="4" t="inlineStr">
        <is>
          <t>Open</t>
        </is>
      </c>
      <c r="N9" s="12" t="n"/>
      <c r="O9" s="12" t="n"/>
    </row>
    <row r="10">
      <c r="A10" s="4" t="inlineStr">
        <is>
          <t>R-009</t>
        </is>
      </c>
      <c r="B10" s="4" t="inlineStr">
        <is>
          <t>Users not ready at go-live</t>
        </is>
      </c>
      <c r="C10" s="4" t="inlineStr">
        <is>
          <t>Training too early or skipped</t>
        </is>
      </c>
      <c r="D10" s="4" t="inlineStr">
        <is>
          <t>Errors and slow work</t>
        </is>
      </c>
      <c r="E10" s="4" t="inlineStr">
        <is>
          <t>People</t>
        </is>
      </c>
      <c r="F10" s="4" t="inlineStr">
        <is>
          <t>[owner]</t>
        </is>
      </c>
      <c r="G10" s="4" t="n">
        <v>2</v>
      </c>
      <c r="H10" s="4" t="n">
        <v>3</v>
      </c>
      <c r="I10" s="4">
        <f>IF(OR(G10="",H10=""),"",G10*H10)</f>
        <v/>
      </c>
      <c r="J10" s="4">
        <f>IF(OR(G10="",H10=""),"",IF(G10*H10&gt;=15,"High",IF(G10*H10&gt;=8,"Medium","Low")))</f>
        <v/>
      </c>
      <c r="K10" s="4" t="inlineStr">
        <is>
          <t>Role-based training, assessment, floor walkers in the first week</t>
        </is>
      </c>
      <c r="L10" s="12" t="n"/>
      <c r="M10" s="4" t="inlineStr">
        <is>
          <t>Open</t>
        </is>
      </c>
      <c r="N10" s="12" t="n"/>
      <c r="O10" s="12" t="n"/>
    </row>
    <row r="11">
      <c r="A11" s="4" t="inlineStr">
        <is>
          <t>R-010</t>
        </is>
      </c>
      <c r="B11" s="4" t="inlineStr">
        <is>
          <t>First month-end close outside hypercare</t>
        </is>
      </c>
      <c r="C11" s="4" t="inlineStr">
        <is>
          <t>Go-live late in the month</t>
        </is>
      </c>
      <c r="D11" s="4" t="inlineStr">
        <is>
          <t>Close issues found late</t>
        </is>
      </c>
      <c r="E11" s="4" t="inlineStr">
        <is>
          <t>Schedule</t>
        </is>
      </c>
      <c r="F11" s="4" t="inlineStr">
        <is>
          <t>[owner]</t>
        </is>
      </c>
      <c r="G11" s="4" t="n">
        <v>2</v>
      </c>
      <c r="H11" s="4" t="n">
        <v>3</v>
      </c>
      <c r="I11" s="4">
        <f>IF(OR(G11="",H11=""),"",G11*H11)</f>
        <v/>
      </c>
      <c r="J11" s="4">
        <f>IF(OR(G11="",H11=""),"",IF(G11*H11&gt;=15,"High",IF(G11*H11&gt;=8,"Medium","Low")))</f>
        <v/>
      </c>
      <c r="K11" s="4" t="inlineStr">
        <is>
          <t>Hypercare extends to the first close</t>
        </is>
      </c>
      <c r="L11" s="12" t="n"/>
      <c r="M11" s="4" t="inlineStr">
        <is>
          <t>Open</t>
        </is>
      </c>
      <c r="N11" s="12" t="n"/>
      <c r="O11" s="12" t="n"/>
    </row>
    <row r="12">
      <c r="A12" s="4" t="n"/>
      <c r="B12" s="4" t="n"/>
      <c r="C12" s="4" t="n"/>
      <c r="D12" s="4" t="n"/>
      <c r="E12" s="4" t="n"/>
      <c r="F12" s="4" t="n"/>
      <c r="G12" s="4" t="n"/>
      <c r="H12" s="4" t="n"/>
      <c r="I12" s="4">
        <f>IF(OR(G12="",H12=""),"",G12*H12)</f>
        <v/>
      </c>
      <c r="J12" s="4">
        <f>IF(OR(G12="",H12=""),"",IF(G12*H12&gt;=15,"High",IF(G12*H12&gt;=8,"Medium","Low")))</f>
        <v/>
      </c>
      <c r="K12" s="4" t="n"/>
      <c r="L12" s="12" t="n"/>
      <c r="M12" s="4" t="n"/>
      <c r="N12" s="12" t="n"/>
      <c r="O12" s="12" t="n"/>
    </row>
    <row r="13">
      <c r="A13" s="4" t="n"/>
      <c r="B13" s="4" t="n"/>
      <c r="C13" s="4" t="n"/>
      <c r="D13" s="4" t="n"/>
      <c r="E13" s="4" t="n"/>
      <c r="F13" s="4" t="n"/>
      <c r="G13" s="4" t="n"/>
      <c r="H13" s="4" t="n"/>
      <c r="I13" s="4">
        <f>IF(OR(G13="",H13=""),"",G13*H13)</f>
        <v/>
      </c>
      <c r="J13" s="4">
        <f>IF(OR(G13="",H13=""),"",IF(G13*H13&gt;=15,"High",IF(G13*H13&gt;=8,"Medium","Low")))</f>
        <v/>
      </c>
      <c r="K13" s="4" t="n"/>
      <c r="L13" s="12" t="n"/>
      <c r="M13" s="4" t="n"/>
      <c r="N13" s="12" t="n"/>
      <c r="O13" s="12" t="n"/>
    </row>
    <row r="14">
      <c r="A14" s="4" t="n"/>
      <c r="B14" s="4" t="n"/>
      <c r="C14" s="4" t="n"/>
      <c r="D14" s="4" t="n"/>
      <c r="E14" s="4" t="n"/>
      <c r="F14" s="4" t="n"/>
      <c r="G14" s="4" t="n"/>
      <c r="H14" s="4" t="n"/>
      <c r="I14" s="4">
        <f>IF(OR(G14="",H14=""),"",G14*H14)</f>
        <v/>
      </c>
      <c r="J14" s="4">
        <f>IF(OR(G14="",H14=""),"",IF(G14*H14&gt;=15,"High",IF(G14*H14&gt;=8,"Medium","Low")))</f>
        <v/>
      </c>
      <c r="K14" s="4" t="n"/>
      <c r="L14" s="12" t="n"/>
      <c r="M14" s="4" t="n"/>
      <c r="N14" s="12" t="n"/>
      <c r="O14" s="12" t="n"/>
    </row>
    <row r="15">
      <c r="A15" s="4" t="n"/>
      <c r="B15" s="4" t="n"/>
      <c r="C15" s="4" t="n"/>
      <c r="D15" s="4" t="n"/>
      <c r="E15" s="4" t="n"/>
      <c r="F15" s="4" t="n"/>
      <c r="G15" s="4" t="n"/>
      <c r="H15" s="4" t="n"/>
      <c r="I15" s="4">
        <f>IF(OR(G15="",H15=""),"",G15*H15)</f>
        <v/>
      </c>
      <c r="J15" s="4">
        <f>IF(OR(G15="",H15=""),"",IF(G15*H15&gt;=15,"High",IF(G15*H15&gt;=8,"Medium","Low")))</f>
        <v/>
      </c>
      <c r="K15" s="4" t="n"/>
      <c r="L15" s="12" t="n"/>
      <c r="M15" s="4" t="n"/>
      <c r="N15" s="12" t="n"/>
      <c r="O15" s="12" t="n"/>
    </row>
    <row r="16">
      <c r="A16" s="4" t="n"/>
      <c r="B16" s="4" t="n"/>
      <c r="C16" s="4" t="n"/>
      <c r="D16" s="4" t="n"/>
      <c r="E16" s="4" t="n"/>
      <c r="F16" s="4" t="n"/>
      <c r="G16" s="4" t="n"/>
      <c r="H16" s="4" t="n"/>
      <c r="I16" s="4">
        <f>IF(OR(G16="",H16=""),"",G16*H16)</f>
        <v/>
      </c>
      <c r="J16" s="4">
        <f>IF(OR(G16="",H16=""),"",IF(G16*H16&gt;=15,"High",IF(G16*H16&gt;=8,"Medium","Low")))</f>
        <v/>
      </c>
      <c r="K16" s="4" t="n"/>
      <c r="L16" s="12" t="n"/>
      <c r="M16" s="4" t="n"/>
      <c r="N16" s="12" t="n"/>
      <c r="O16" s="12" t="n"/>
    </row>
    <row r="17">
      <c r="A17" s="4" t="n"/>
      <c r="B17" s="4" t="n"/>
      <c r="C17" s="4" t="n"/>
      <c r="D17" s="4" t="n"/>
      <c r="E17" s="4" t="n"/>
      <c r="F17" s="4" t="n"/>
      <c r="G17" s="4" t="n"/>
      <c r="H17" s="4" t="n"/>
      <c r="I17" s="4">
        <f>IF(OR(G17="",H17=""),"",G17*H17)</f>
        <v/>
      </c>
      <c r="J17" s="4">
        <f>IF(OR(G17="",H17=""),"",IF(G17*H17&gt;=15,"High",IF(G17*H17&gt;=8,"Medium","Low")))</f>
        <v/>
      </c>
      <c r="K17" s="4" t="n"/>
      <c r="L17" s="12" t="n"/>
      <c r="M17" s="4" t="n"/>
      <c r="N17" s="12" t="n"/>
      <c r="O17" s="12" t="n"/>
    </row>
    <row r="18">
      <c r="A18" s="4" t="n"/>
      <c r="B18" s="4" t="n"/>
      <c r="C18" s="4" t="n"/>
      <c r="D18" s="4" t="n"/>
      <c r="E18" s="4" t="n"/>
      <c r="F18" s="4" t="n"/>
      <c r="G18" s="4" t="n"/>
      <c r="H18" s="4" t="n"/>
      <c r="I18" s="4">
        <f>IF(OR(G18="",H18=""),"",G18*H18)</f>
        <v/>
      </c>
      <c r="J18" s="4">
        <f>IF(OR(G18="",H18=""),"",IF(G18*H18&gt;=15,"High",IF(G18*H18&gt;=8,"Medium","Low")))</f>
        <v/>
      </c>
      <c r="K18" s="4" t="n"/>
      <c r="L18" s="12" t="n"/>
      <c r="M18" s="4" t="n"/>
      <c r="N18" s="12" t="n"/>
      <c r="O18" s="12" t="n"/>
    </row>
    <row r="19">
      <c r="A19" s="4" t="n"/>
      <c r="B19" s="4" t="n"/>
      <c r="C19" s="4" t="n"/>
      <c r="D19" s="4" t="n"/>
      <c r="E19" s="4" t="n"/>
      <c r="F19" s="4" t="n"/>
      <c r="G19" s="4" t="n"/>
      <c r="H19" s="4" t="n"/>
      <c r="I19" s="4">
        <f>IF(OR(G19="",H19=""),"",G19*H19)</f>
        <v/>
      </c>
      <c r="J19" s="4">
        <f>IF(OR(G19="",H19=""),"",IF(G19*H19&gt;=15,"High",IF(G19*H19&gt;=8,"Medium","Low")))</f>
        <v/>
      </c>
      <c r="K19" s="4" t="n"/>
      <c r="L19" s="12" t="n"/>
      <c r="M19" s="4" t="n"/>
      <c r="N19" s="12" t="n"/>
      <c r="O19" s="12" t="n"/>
    </row>
    <row r="20">
      <c r="A20" s="4" t="n"/>
      <c r="B20" s="4" t="n"/>
      <c r="C20" s="4" t="n"/>
      <c r="D20" s="4" t="n"/>
      <c r="E20" s="4" t="n"/>
      <c r="F20" s="4" t="n"/>
      <c r="G20" s="4" t="n"/>
      <c r="H20" s="4" t="n"/>
      <c r="I20" s="4">
        <f>IF(OR(G20="",H20=""),"",G20*H20)</f>
        <v/>
      </c>
      <c r="J20" s="4">
        <f>IF(OR(G20="",H20=""),"",IF(G20*H20&gt;=15,"High",IF(G20*H20&gt;=8,"Medium","Low")))</f>
        <v/>
      </c>
      <c r="K20" s="4" t="n"/>
      <c r="L20" s="12" t="n"/>
      <c r="M20" s="4" t="n"/>
      <c r="N20" s="12" t="n"/>
      <c r="O20" s="12" t="n"/>
    </row>
    <row r="21">
      <c r="A21" s="4" t="n"/>
      <c r="B21" s="4" t="n"/>
      <c r="C21" s="4" t="n"/>
      <c r="D21" s="4" t="n"/>
      <c r="E21" s="4" t="n"/>
      <c r="F21" s="4" t="n"/>
      <c r="G21" s="4" t="n"/>
      <c r="H21" s="4" t="n"/>
      <c r="I21" s="4">
        <f>IF(OR(G21="",H21=""),"",G21*H21)</f>
        <v/>
      </c>
      <c r="J21" s="4">
        <f>IF(OR(G21="",H21=""),"",IF(G21*H21&gt;=15,"High",IF(G21*H21&gt;=8,"Medium","Low")))</f>
        <v/>
      </c>
      <c r="K21" s="4" t="n"/>
      <c r="L21" s="12" t="n"/>
      <c r="M21" s="4" t="n"/>
      <c r="N21" s="12" t="n"/>
      <c r="O21" s="12" t="n"/>
    </row>
    <row r="22">
      <c r="A22" s="4" t="n"/>
      <c r="B22" s="4" t="n"/>
      <c r="C22" s="4" t="n"/>
      <c r="D22" s="4" t="n"/>
      <c r="E22" s="4" t="n"/>
      <c r="F22" s="4" t="n"/>
      <c r="G22" s="4" t="n"/>
      <c r="H22" s="4" t="n"/>
      <c r="I22" s="4">
        <f>IF(OR(G22="",H22=""),"",G22*H22)</f>
        <v/>
      </c>
      <c r="J22" s="4">
        <f>IF(OR(G22="",H22=""),"",IF(G22*H22&gt;=15,"High",IF(G22*H22&gt;=8,"Medium","Low")))</f>
        <v/>
      </c>
      <c r="K22" s="4" t="n"/>
      <c r="L22" s="12" t="n"/>
      <c r="M22" s="4" t="n"/>
      <c r="N22" s="12" t="n"/>
      <c r="O22" s="12" t="n"/>
    </row>
    <row r="23">
      <c r="A23" s="4" t="n"/>
      <c r="B23" s="4" t="n"/>
      <c r="C23" s="4" t="n"/>
      <c r="D23" s="4" t="n"/>
      <c r="E23" s="4" t="n"/>
      <c r="F23" s="4" t="n"/>
      <c r="G23" s="4" t="n"/>
      <c r="H23" s="4" t="n"/>
      <c r="I23" s="4">
        <f>IF(OR(G23="",H23=""),"",G23*H23)</f>
        <v/>
      </c>
      <c r="J23" s="4">
        <f>IF(OR(G23="",H23=""),"",IF(G23*H23&gt;=15,"High",IF(G23*H23&gt;=8,"Medium","Low")))</f>
        <v/>
      </c>
      <c r="K23" s="4" t="n"/>
      <c r="L23" s="12" t="n"/>
      <c r="M23" s="4" t="n"/>
      <c r="N23" s="12" t="n"/>
      <c r="O23" s="12" t="n"/>
    </row>
    <row r="24">
      <c r="A24" s="4" t="n"/>
      <c r="B24" s="4" t="n"/>
      <c r="C24" s="4" t="n"/>
      <c r="D24" s="4" t="n"/>
      <c r="E24" s="4" t="n"/>
      <c r="F24" s="4" t="n"/>
      <c r="G24" s="4" t="n"/>
      <c r="H24" s="4" t="n"/>
      <c r="I24" s="4">
        <f>IF(OR(G24="",H24=""),"",G24*H24)</f>
        <v/>
      </c>
      <c r="J24" s="4">
        <f>IF(OR(G24="",H24=""),"",IF(G24*H24&gt;=15,"High",IF(G24*H24&gt;=8,"Medium","Low")))</f>
        <v/>
      </c>
      <c r="K24" s="4" t="n"/>
      <c r="L24" s="12" t="n"/>
      <c r="M24" s="4" t="n"/>
      <c r="N24" s="12" t="n"/>
      <c r="O24" s="12" t="n"/>
    </row>
    <row r="25">
      <c r="A25" s="4" t="n"/>
      <c r="B25" s="4" t="n"/>
      <c r="C25" s="4" t="n"/>
      <c r="D25" s="4" t="n"/>
      <c r="E25" s="4" t="n"/>
      <c r="F25" s="4" t="n"/>
      <c r="G25" s="4" t="n"/>
      <c r="H25" s="4" t="n"/>
      <c r="I25" s="4">
        <f>IF(OR(G25="",H25=""),"",G25*H25)</f>
        <v/>
      </c>
      <c r="J25" s="4">
        <f>IF(OR(G25="",H25=""),"",IF(G25*H25&gt;=15,"High",IF(G25*H25&gt;=8,"Medium","Low")))</f>
        <v/>
      </c>
      <c r="K25" s="4" t="n"/>
      <c r="L25" s="12" t="n"/>
      <c r="M25" s="4" t="n"/>
      <c r="N25" s="12" t="n"/>
      <c r="O25" s="12" t="n"/>
    </row>
    <row r="26">
      <c r="A26" s="4" t="n"/>
      <c r="B26" s="4" t="n"/>
      <c r="C26" s="4" t="n"/>
      <c r="D26" s="4" t="n"/>
      <c r="E26" s="4" t="n"/>
      <c r="F26" s="4" t="n"/>
      <c r="G26" s="4" t="n"/>
      <c r="H26" s="4" t="n"/>
      <c r="I26" s="4">
        <f>IF(OR(G26="",H26=""),"",G26*H26)</f>
        <v/>
      </c>
      <c r="J26" s="4">
        <f>IF(OR(G26="",H26=""),"",IF(G26*H26&gt;=15,"High",IF(G26*H26&gt;=8,"Medium","Low")))</f>
        <v/>
      </c>
      <c r="K26" s="4" t="n"/>
      <c r="L26" s="12" t="n"/>
      <c r="M26" s="4" t="n"/>
      <c r="N26" s="12" t="n"/>
      <c r="O26" s="12" t="n"/>
    </row>
    <row r="27">
      <c r="A27" s="4" t="n"/>
      <c r="B27" s="4" t="n"/>
      <c r="C27" s="4" t="n"/>
      <c r="D27" s="4" t="n"/>
      <c r="E27" s="4" t="n"/>
      <c r="F27" s="4" t="n"/>
      <c r="G27" s="4" t="n"/>
      <c r="H27" s="4" t="n"/>
      <c r="I27" s="4">
        <f>IF(OR(G27="",H27=""),"",G27*H27)</f>
        <v/>
      </c>
      <c r="J27" s="4">
        <f>IF(OR(G27="",H27=""),"",IF(G27*H27&gt;=15,"High",IF(G27*H27&gt;=8,"Medium","Low")))</f>
        <v/>
      </c>
      <c r="K27" s="4" t="n"/>
      <c r="L27" s="12" t="n"/>
      <c r="M27" s="4" t="n"/>
      <c r="N27" s="12" t="n"/>
      <c r="O27" s="12" t="n"/>
    </row>
    <row r="28">
      <c r="A28" s="4" t="n"/>
      <c r="B28" s="4" t="n"/>
      <c r="C28" s="4" t="n"/>
      <c r="D28" s="4" t="n"/>
      <c r="E28" s="4" t="n"/>
      <c r="F28" s="4" t="n"/>
      <c r="G28" s="4" t="n"/>
      <c r="H28" s="4" t="n"/>
      <c r="I28" s="4">
        <f>IF(OR(G28="",H28=""),"",G28*H28)</f>
        <v/>
      </c>
      <c r="J28" s="4">
        <f>IF(OR(G28="",H28=""),"",IF(G28*H28&gt;=15,"High",IF(G28*H28&gt;=8,"Medium","Low")))</f>
        <v/>
      </c>
      <c r="K28" s="4" t="n"/>
      <c r="L28" s="12" t="n"/>
      <c r="M28" s="4" t="n"/>
      <c r="N28" s="12" t="n"/>
      <c r="O28" s="12" t="n"/>
    </row>
    <row r="29">
      <c r="A29" s="4" t="n"/>
      <c r="B29" s="4" t="n"/>
      <c r="C29" s="4" t="n"/>
      <c r="D29" s="4" t="n"/>
      <c r="E29" s="4" t="n"/>
      <c r="F29" s="4" t="n"/>
      <c r="G29" s="4" t="n"/>
      <c r="H29" s="4" t="n"/>
      <c r="I29" s="4">
        <f>IF(OR(G29="",H29=""),"",G29*H29)</f>
        <v/>
      </c>
      <c r="J29" s="4">
        <f>IF(OR(G29="",H29=""),"",IF(G29*H29&gt;=15,"High",IF(G29*H29&gt;=8,"Medium","Low")))</f>
        <v/>
      </c>
      <c r="K29" s="4" t="n"/>
      <c r="L29" s="12" t="n"/>
      <c r="M29" s="4" t="n"/>
      <c r="N29" s="12" t="n"/>
      <c r="O29" s="12" t="n"/>
    </row>
    <row r="30">
      <c r="A30" s="4" t="n"/>
      <c r="B30" s="4" t="n"/>
      <c r="C30" s="4" t="n"/>
      <c r="D30" s="4" t="n"/>
      <c r="E30" s="4" t="n"/>
      <c r="F30" s="4" t="n"/>
      <c r="G30" s="4" t="n"/>
      <c r="H30" s="4" t="n"/>
      <c r="I30" s="4">
        <f>IF(OR(G30="",H30=""),"",G30*H30)</f>
        <v/>
      </c>
      <c r="J30" s="4">
        <f>IF(OR(G30="",H30=""),"",IF(G30*H30&gt;=15,"High",IF(G30*H30&gt;=8,"Medium","Low")))</f>
        <v/>
      </c>
      <c r="K30" s="4" t="n"/>
      <c r="L30" s="12" t="n"/>
      <c r="M30" s="4" t="n"/>
      <c r="N30" s="12" t="n"/>
      <c r="O30" s="12" t="n"/>
    </row>
    <row r="31">
      <c r="A31" s="4" t="n"/>
      <c r="B31" s="4" t="n"/>
      <c r="C31" s="4" t="n"/>
      <c r="D31" s="4" t="n"/>
      <c r="E31" s="4" t="n"/>
      <c r="F31" s="4" t="n"/>
      <c r="G31" s="4" t="n"/>
      <c r="H31" s="4" t="n"/>
      <c r="I31" s="4">
        <f>IF(OR(G31="",H31=""),"",G31*H31)</f>
        <v/>
      </c>
      <c r="J31" s="4">
        <f>IF(OR(G31="",H31=""),"",IF(G31*H31&gt;=15,"High",IF(G31*H31&gt;=8,"Medium","Low")))</f>
        <v/>
      </c>
      <c r="K31" s="4" t="n"/>
      <c r="L31" s="12" t="n"/>
      <c r="M31" s="4" t="n"/>
      <c r="N31" s="12" t="n"/>
      <c r="O31" s="12" t="n"/>
    </row>
    <row r="32">
      <c r="A32" s="4" t="n"/>
      <c r="B32" s="4" t="n"/>
      <c r="C32" s="4" t="n"/>
      <c r="D32" s="4" t="n"/>
      <c r="E32" s="4" t="n"/>
      <c r="F32" s="4" t="n"/>
      <c r="G32" s="4" t="n"/>
      <c r="H32" s="4" t="n"/>
      <c r="I32" s="4">
        <f>IF(OR(G32="",H32=""),"",G32*H32)</f>
        <v/>
      </c>
      <c r="J32" s="4">
        <f>IF(OR(G32="",H32=""),"",IF(G32*H32&gt;=15,"High",IF(G32*H32&gt;=8,"Medium","Low")))</f>
        <v/>
      </c>
      <c r="K32" s="4" t="n"/>
      <c r="L32" s="12" t="n"/>
      <c r="M32" s="4" t="n"/>
      <c r="N32" s="12" t="n"/>
      <c r="O32" s="12" t="n"/>
    </row>
    <row r="33">
      <c r="A33" s="4" t="n"/>
      <c r="B33" s="4" t="n"/>
      <c r="C33" s="4" t="n"/>
      <c r="D33" s="4" t="n"/>
      <c r="E33" s="4" t="n"/>
      <c r="F33" s="4" t="n"/>
      <c r="G33" s="4" t="n"/>
      <c r="H33" s="4" t="n"/>
      <c r="I33" s="4">
        <f>IF(OR(G33="",H33=""),"",G33*H33)</f>
        <v/>
      </c>
      <c r="J33" s="4">
        <f>IF(OR(G33="",H33=""),"",IF(G33*H33&gt;=15,"High",IF(G33*H33&gt;=8,"Medium","Low")))</f>
        <v/>
      </c>
      <c r="K33" s="4" t="n"/>
      <c r="L33" s="12" t="n"/>
      <c r="M33" s="4" t="n"/>
      <c r="N33" s="12" t="n"/>
      <c r="O33" s="12" t="n"/>
    </row>
    <row r="34">
      <c r="A34" s="4" t="n"/>
      <c r="B34" s="4" t="n"/>
      <c r="C34" s="4" t="n"/>
      <c r="D34" s="4" t="n"/>
      <c r="E34" s="4" t="n"/>
      <c r="F34" s="4" t="n"/>
      <c r="G34" s="4" t="n"/>
      <c r="H34" s="4" t="n"/>
      <c r="I34" s="4">
        <f>IF(OR(G34="",H34=""),"",G34*H34)</f>
        <v/>
      </c>
      <c r="J34" s="4">
        <f>IF(OR(G34="",H34=""),"",IF(G34*H34&gt;=15,"High",IF(G34*H34&gt;=8,"Medium","Low")))</f>
        <v/>
      </c>
      <c r="K34" s="4" t="n"/>
      <c r="L34" s="12" t="n"/>
      <c r="M34" s="4" t="n"/>
      <c r="N34" s="12" t="n"/>
      <c r="O34" s="12" t="n"/>
    </row>
    <row r="35">
      <c r="A35" s="4" t="n"/>
      <c r="B35" s="4" t="n"/>
      <c r="C35" s="4" t="n"/>
      <c r="D35" s="4" t="n"/>
      <c r="E35" s="4" t="n"/>
      <c r="F35" s="4" t="n"/>
      <c r="G35" s="4" t="n"/>
      <c r="H35" s="4" t="n"/>
      <c r="I35" s="4">
        <f>IF(OR(G35="",H35=""),"",G35*H35)</f>
        <v/>
      </c>
      <c r="J35" s="4">
        <f>IF(OR(G35="",H35=""),"",IF(G35*H35&gt;=15,"High",IF(G35*H35&gt;=8,"Medium","Low")))</f>
        <v/>
      </c>
      <c r="K35" s="4" t="n"/>
      <c r="L35" s="12" t="n"/>
      <c r="M35" s="4" t="n"/>
      <c r="N35" s="12" t="n"/>
      <c r="O35" s="12" t="n"/>
    </row>
    <row r="36">
      <c r="A36" s="4" t="n"/>
      <c r="B36" s="4" t="n"/>
      <c r="C36" s="4" t="n"/>
      <c r="D36" s="4" t="n"/>
      <c r="E36" s="4" t="n"/>
      <c r="F36" s="4" t="n"/>
      <c r="G36" s="4" t="n"/>
      <c r="H36" s="4" t="n"/>
      <c r="I36" s="4">
        <f>IF(OR(G36="",H36=""),"",G36*H36)</f>
        <v/>
      </c>
      <c r="J36" s="4">
        <f>IF(OR(G36="",H36=""),"",IF(G36*H36&gt;=15,"High",IF(G36*H36&gt;=8,"Medium","Low")))</f>
        <v/>
      </c>
      <c r="K36" s="4" t="n"/>
      <c r="L36" s="12" t="n"/>
      <c r="M36" s="4" t="n"/>
      <c r="N36" s="12" t="n"/>
      <c r="O36" s="12" t="n"/>
    </row>
    <row r="37">
      <c r="A37" s="4" t="n"/>
      <c r="B37" s="4" t="n"/>
      <c r="C37" s="4" t="n"/>
      <c r="D37" s="4" t="n"/>
      <c r="E37" s="4" t="n"/>
      <c r="F37" s="4" t="n"/>
      <c r="G37" s="4" t="n"/>
      <c r="H37" s="4" t="n"/>
      <c r="I37" s="4">
        <f>IF(OR(G37="",H37=""),"",G37*H37)</f>
        <v/>
      </c>
      <c r="J37" s="4">
        <f>IF(OR(G37="",H37=""),"",IF(G37*H37&gt;=15,"High",IF(G37*H37&gt;=8,"Medium","Low")))</f>
        <v/>
      </c>
      <c r="K37" s="4" t="n"/>
      <c r="L37" s="12" t="n"/>
      <c r="M37" s="4" t="n"/>
      <c r="N37" s="12" t="n"/>
      <c r="O37" s="12" t="n"/>
    </row>
    <row r="38">
      <c r="A38" s="4" t="n"/>
      <c r="B38" s="4" t="n"/>
      <c r="C38" s="4" t="n"/>
      <c r="D38" s="4" t="n"/>
      <c r="E38" s="4" t="n"/>
      <c r="F38" s="4" t="n"/>
      <c r="G38" s="4" t="n"/>
      <c r="H38" s="4" t="n"/>
      <c r="I38" s="4">
        <f>IF(OR(G38="",H38=""),"",G38*H38)</f>
        <v/>
      </c>
      <c r="J38" s="4">
        <f>IF(OR(G38="",H38=""),"",IF(G38*H38&gt;=15,"High",IF(G38*H38&gt;=8,"Medium","Low")))</f>
        <v/>
      </c>
      <c r="K38" s="4" t="n"/>
      <c r="L38" s="12" t="n"/>
      <c r="M38" s="4" t="n"/>
      <c r="N38" s="12" t="n"/>
      <c r="O38" s="12" t="n"/>
    </row>
    <row r="39">
      <c r="A39" s="4" t="n"/>
      <c r="B39" s="4" t="n"/>
      <c r="C39" s="4" t="n"/>
      <c r="D39" s="4" t="n"/>
      <c r="E39" s="4" t="n"/>
      <c r="F39" s="4" t="n"/>
      <c r="G39" s="4" t="n"/>
      <c r="H39" s="4" t="n"/>
      <c r="I39" s="4">
        <f>IF(OR(G39="",H39=""),"",G39*H39)</f>
        <v/>
      </c>
      <c r="J39" s="4">
        <f>IF(OR(G39="",H39=""),"",IF(G39*H39&gt;=15,"High",IF(G39*H39&gt;=8,"Medium","Low")))</f>
        <v/>
      </c>
      <c r="K39" s="4" t="n"/>
      <c r="L39" s="12" t="n"/>
      <c r="M39" s="4" t="n"/>
      <c r="N39" s="12" t="n"/>
      <c r="O39" s="12" t="n"/>
    </row>
    <row r="40">
      <c r="A40" s="4" t="n"/>
      <c r="B40" s="4" t="n"/>
      <c r="C40" s="4" t="n"/>
      <c r="D40" s="4" t="n"/>
      <c r="E40" s="4" t="n"/>
      <c r="F40" s="4" t="n"/>
      <c r="G40" s="4" t="n"/>
      <c r="H40" s="4" t="n"/>
      <c r="I40" s="4">
        <f>IF(OR(G40="",H40=""),"",G40*H40)</f>
        <v/>
      </c>
      <c r="J40" s="4">
        <f>IF(OR(G40="",H40=""),"",IF(G40*H40&gt;=15,"High",IF(G40*H40&gt;=8,"Medium","Low")))</f>
        <v/>
      </c>
      <c r="K40" s="4" t="n"/>
      <c r="L40" s="12" t="n"/>
      <c r="M40" s="4" t="n"/>
      <c r="N40" s="12" t="n"/>
      <c r="O40" s="12" t="n"/>
    </row>
    <row r="41">
      <c r="A41" s="4" t="n"/>
      <c r="B41" s="4" t="n"/>
      <c r="C41" s="4" t="n"/>
      <c r="D41" s="4" t="n"/>
      <c r="E41" s="4" t="n"/>
      <c r="F41" s="4" t="n"/>
      <c r="G41" s="4" t="n"/>
      <c r="H41" s="4" t="n"/>
      <c r="I41" s="4">
        <f>IF(OR(G41="",H41=""),"",G41*H41)</f>
        <v/>
      </c>
      <c r="J41" s="4">
        <f>IF(OR(G41="",H41=""),"",IF(G41*H41&gt;=15,"High",IF(G41*H41&gt;=8,"Medium","Low")))</f>
        <v/>
      </c>
      <c r="K41" s="4" t="n"/>
      <c r="L41" s="12" t="n"/>
      <c r="M41" s="4" t="n"/>
      <c r="N41" s="12" t="n"/>
      <c r="O41" s="12" t="n"/>
    </row>
    <row r="42">
      <c r="A42" s="4" t="n"/>
      <c r="B42" s="4" t="n"/>
      <c r="C42" s="4" t="n"/>
      <c r="D42" s="4" t="n"/>
      <c r="E42" s="4" t="n"/>
      <c r="F42" s="4" t="n"/>
      <c r="G42" s="4" t="n"/>
      <c r="H42" s="4" t="n"/>
      <c r="I42" s="4">
        <f>IF(OR(G42="",H42=""),"",G42*H42)</f>
        <v/>
      </c>
      <c r="J42" s="4">
        <f>IF(OR(G42="",H42=""),"",IF(G42*H42&gt;=15,"High",IF(G42*H42&gt;=8,"Medium","Low")))</f>
        <v/>
      </c>
      <c r="K42" s="4" t="n"/>
      <c r="L42" s="12" t="n"/>
      <c r="M42" s="4" t="n"/>
      <c r="N42" s="12" t="n"/>
      <c r="O42" s="12" t="n"/>
    </row>
    <row r="43">
      <c r="A43" s="4" t="n"/>
      <c r="B43" s="4" t="n"/>
      <c r="C43" s="4" t="n"/>
      <c r="D43" s="4" t="n"/>
      <c r="E43" s="4" t="n"/>
      <c r="F43" s="4" t="n"/>
      <c r="G43" s="4" t="n"/>
      <c r="H43" s="4" t="n"/>
      <c r="I43" s="4">
        <f>IF(OR(G43="",H43=""),"",G43*H43)</f>
        <v/>
      </c>
      <c r="J43" s="4">
        <f>IF(OR(G43="",H43=""),"",IF(G43*H43&gt;=15,"High",IF(G43*H43&gt;=8,"Medium","Low")))</f>
        <v/>
      </c>
      <c r="K43" s="4" t="n"/>
      <c r="L43" s="12" t="n"/>
      <c r="M43" s="4" t="n"/>
      <c r="N43" s="12" t="n"/>
      <c r="O43" s="12" t="n"/>
    </row>
    <row r="44">
      <c r="A44" s="4" t="n"/>
      <c r="B44" s="4" t="n"/>
      <c r="C44" s="4" t="n"/>
      <c r="D44" s="4" t="n"/>
      <c r="E44" s="4" t="n"/>
      <c r="F44" s="4" t="n"/>
      <c r="G44" s="4" t="n"/>
      <c r="H44" s="4" t="n"/>
      <c r="I44" s="4">
        <f>IF(OR(G44="",H44=""),"",G44*H44)</f>
        <v/>
      </c>
      <c r="J44" s="4">
        <f>IF(OR(G44="",H44=""),"",IF(G44*H44&gt;=15,"High",IF(G44*H44&gt;=8,"Medium","Low")))</f>
        <v/>
      </c>
      <c r="K44" s="4" t="n"/>
      <c r="L44" s="12" t="n"/>
      <c r="M44" s="4" t="n"/>
      <c r="N44" s="12" t="n"/>
      <c r="O44" s="12" t="n"/>
    </row>
    <row r="45">
      <c r="A45" s="4" t="n"/>
      <c r="B45" s="4" t="n"/>
      <c r="C45" s="4" t="n"/>
      <c r="D45" s="4" t="n"/>
      <c r="E45" s="4" t="n"/>
      <c r="F45" s="4" t="n"/>
      <c r="G45" s="4" t="n"/>
      <c r="H45" s="4" t="n"/>
      <c r="I45" s="4">
        <f>IF(OR(G45="",H45=""),"",G45*H45)</f>
        <v/>
      </c>
      <c r="J45" s="4">
        <f>IF(OR(G45="",H45=""),"",IF(G45*H45&gt;=15,"High",IF(G45*H45&gt;=8,"Medium","Low")))</f>
        <v/>
      </c>
      <c r="K45" s="4" t="n"/>
      <c r="L45" s="12" t="n"/>
      <c r="M45" s="4" t="n"/>
      <c r="N45" s="12" t="n"/>
      <c r="O45" s="12" t="n"/>
    </row>
    <row r="46">
      <c r="A46" s="4" t="n"/>
      <c r="B46" s="4" t="n"/>
      <c r="C46" s="4" t="n"/>
      <c r="D46" s="4" t="n"/>
      <c r="E46" s="4" t="n"/>
      <c r="F46" s="4" t="n"/>
      <c r="G46" s="4" t="n"/>
      <c r="H46" s="4" t="n"/>
      <c r="I46" s="4">
        <f>IF(OR(G46="",H46=""),"",G46*H46)</f>
        <v/>
      </c>
      <c r="J46" s="4">
        <f>IF(OR(G46="",H46=""),"",IF(G46*H46&gt;=15,"High",IF(G46*H46&gt;=8,"Medium","Low")))</f>
        <v/>
      </c>
      <c r="K46" s="4" t="n"/>
      <c r="L46" s="12" t="n"/>
      <c r="M46" s="4" t="n"/>
      <c r="N46" s="12" t="n"/>
      <c r="O46" s="12" t="n"/>
    </row>
    <row r="47">
      <c r="A47" s="4" t="n"/>
      <c r="B47" s="4" t="n"/>
      <c r="C47" s="4" t="n"/>
      <c r="D47" s="4" t="n"/>
      <c r="E47" s="4" t="n"/>
      <c r="F47" s="4" t="n"/>
      <c r="G47" s="4" t="n"/>
      <c r="H47" s="4" t="n"/>
      <c r="I47" s="4">
        <f>IF(OR(G47="",H47=""),"",G47*H47)</f>
        <v/>
      </c>
      <c r="J47" s="4">
        <f>IF(OR(G47="",H47=""),"",IF(G47*H47&gt;=15,"High",IF(G47*H47&gt;=8,"Medium","Low")))</f>
        <v/>
      </c>
      <c r="K47" s="4" t="n"/>
      <c r="L47" s="12" t="n"/>
      <c r="M47" s="4" t="n"/>
      <c r="N47" s="12" t="n"/>
      <c r="O47" s="12" t="n"/>
    </row>
    <row r="48">
      <c r="A48" s="4" t="n"/>
      <c r="B48" s="4" t="n"/>
      <c r="C48" s="4" t="n"/>
      <c r="D48" s="4" t="n"/>
      <c r="E48" s="4" t="n"/>
      <c r="F48" s="4" t="n"/>
      <c r="G48" s="4" t="n"/>
      <c r="H48" s="4" t="n"/>
      <c r="I48" s="4">
        <f>IF(OR(G48="",H48=""),"",G48*H48)</f>
        <v/>
      </c>
      <c r="J48" s="4">
        <f>IF(OR(G48="",H48=""),"",IF(G48*H48&gt;=15,"High",IF(G48*H48&gt;=8,"Medium","Low")))</f>
        <v/>
      </c>
      <c r="K48" s="4" t="n"/>
      <c r="L48" s="12" t="n"/>
      <c r="M48" s="4" t="n"/>
      <c r="N48" s="12" t="n"/>
      <c r="O48" s="12" t="n"/>
    </row>
    <row r="49">
      <c r="A49" s="4" t="n"/>
      <c r="B49" s="4" t="n"/>
      <c r="C49" s="4" t="n"/>
      <c r="D49" s="4" t="n"/>
      <c r="E49" s="4" t="n"/>
      <c r="F49" s="4" t="n"/>
      <c r="G49" s="4" t="n"/>
      <c r="H49" s="4" t="n"/>
      <c r="I49" s="4">
        <f>IF(OR(G49="",H49=""),"",G49*H49)</f>
        <v/>
      </c>
      <c r="J49" s="4">
        <f>IF(OR(G49="",H49=""),"",IF(G49*H49&gt;=15,"High",IF(G49*H49&gt;=8,"Medium","Low")))</f>
        <v/>
      </c>
      <c r="K49" s="4" t="n"/>
      <c r="L49" s="12" t="n"/>
      <c r="M49" s="4" t="n"/>
      <c r="N49" s="12" t="n"/>
      <c r="O49" s="12" t="n"/>
    </row>
    <row r="50">
      <c r="A50" s="4" t="n"/>
      <c r="B50" s="4" t="n"/>
      <c r="C50" s="4" t="n"/>
      <c r="D50" s="4" t="n"/>
      <c r="E50" s="4" t="n"/>
      <c r="F50" s="4" t="n"/>
      <c r="G50" s="4" t="n"/>
      <c r="H50" s="4" t="n"/>
      <c r="I50" s="4">
        <f>IF(OR(G50="",H50=""),"",G50*H50)</f>
        <v/>
      </c>
      <c r="J50" s="4">
        <f>IF(OR(G50="",H50=""),"",IF(G50*H50&gt;=15,"High",IF(G50*H50&gt;=8,"Medium","Low")))</f>
        <v/>
      </c>
      <c r="K50" s="4" t="n"/>
      <c r="L50" s="12" t="n"/>
      <c r="M50" s="4" t="n"/>
      <c r="N50" s="12" t="n"/>
      <c r="O50" s="12" t="n"/>
    </row>
    <row r="51">
      <c r="A51" s="4" t="n"/>
      <c r="B51" s="4" t="n"/>
      <c r="C51" s="4" t="n"/>
      <c r="D51" s="4" t="n"/>
      <c r="E51" s="4" t="n"/>
      <c r="F51" s="4" t="n"/>
      <c r="G51" s="4" t="n"/>
      <c r="H51" s="4" t="n"/>
      <c r="I51" s="4">
        <f>IF(OR(G51="",H51=""),"",G51*H51)</f>
        <v/>
      </c>
      <c r="J51" s="4">
        <f>IF(OR(G51="",H51=""),"",IF(G51*H51&gt;=15,"High",IF(G51*H51&gt;=8,"Medium","Low")))</f>
        <v/>
      </c>
      <c r="K51" s="4" t="n"/>
      <c r="L51" s="12" t="n"/>
      <c r="M51" s="4" t="n"/>
      <c r="N51" s="12" t="n"/>
      <c r="O51" s="12" t="n"/>
    </row>
    <row r="52">
      <c r="A52" s="4" t="n"/>
      <c r="B52" s="4" t="n"/>
      <c r="C52" s="4" t="n"/>
      <c r="D52" s="4" t="n"/>
      <c r="E52" s="4" t="n"/>
      <c r="F52" s="4" t="n"/>
      <c r="G52" s="4" t="n"/>
      <c r="H52" s="4" t="n"/>
      <c r="I52" s="4">
        <f>IF(OR(G52="",H52=""),"",G52*H52)</f>
        <v/>
      </c>
      <c r="J52" s="4">
        <f>IF(OR(G52="",H52=""),"",IF(G52*H52&gt;=15,"High",IF(G52*H52&gt;=8,"Medium","Low")))</f>
        <v/>
      </c>
      <c r="K52" s="4" t="n"/>
      <c r="L52" s="12" t="n"/>
      <c r="M52" s="4" t="n"/>
      <c r="N52" s="12" t="n"/>
      <c r="O52" s="12" t="n"/>
    </row>
    <row r="53">
      <c r="A53" s="4" t="n"/>
      <c r="B53" s="4" t="n"/>
      <c r="C53" s="4" t="n"/>
      <c r="D53" s="4" t="n"/>
      <c r="E53" s="4" t="n"/>
      <c r="F53" s="4" t="n"/>
      <c r="G53" s="4" t="n"/>
      <c r="H53" s="4" t="n"/>
      <c r="I53" s="4">
        <f>IF(OR(G53="",H53=""),"",G53*H53)</f>
        <v/>
      </c>
      <c r="J53" s="4">
        <f>IF(OR(G53="",H53=""),"",IF(G53*H53&gt;=15,"High",IF(G53*H53&gt;=8,"Medium","Low")))</f>
        <v/>
      </c>
      <c r="K53" s="4" t="n"/>
      <c r="L53" s="12" t="n"/>
      <c r="M53" s="4" t="n"/>
      <c r="N53" s="12" t="n"/>
      <c r="O53" s="12" t="n"/>
    </row>
    <row r="54">
      <c r="A54" s="4" t="n"/>
      <c r="B54" s="4" t="n"/>
      <c r="C54" s="4" t="n"/>
      <c r="D54" s="4" t="n"/>
      <c r="E54" s="4" t="n"/>
      <c r="F54" s="4" t="n"/>
      <c r="G54" s="4" t="n"/>
      <c r="H54" s="4" t="n"/>
      <c r="I54" s="4">
        <f>IF(OR(G54="",H54=""),"",G54*H54)</f>
        <v/>
      </c>
      <c r="J54" s="4">
        <f>IF(OR(G54="",H54=""),"",IF(G54*H54&gt;=15,"High",IF(G54*H54&gt;=8,"Medium","Low")))</f>
        <v/>
      </c>
      <c r="K54" s="4" t="n"/>
      <c r="L54" s="12" t="n"/>
      <c r="M54" s="4" t="n"/>
      <c r="N54" s="12" t="n"/>
      <c r="O54" s="12" t="n"/>
    </row>
    <row r="55">
      <c r="A55" s="4" t="n"/>
      <c r="B55" s="4" t="n"/>
      <c r="C55" s="4" t="n"/>
      <c r="D55" s="4" t="n"/>
      <c r="E55" s="4" t="n"/>
      <c r="F55" s="4" t="n"/>
      <c r="G55" s="4" t="n"/>
      <c r="H55" s="4" t="n"/>
      <c r="I55" s="4">
        <f>IF(OR(G55="",H55=""),"",G55*H55)</f>
        <v/>
      </c>
      <c r="J55" s="4">
        <f>IF(OR(G55="",H55=""),"",IF(G55*H55&gt;=15,"High",IF(G55*H55&gt;=8,"Medium","Low")))</f>
        <v/>
      </c>
      <c r="K55" s="4" t="n"/>
      <c r="L55" s="12" t="n"/>
      <c r="M55" s="4" t="n"/>
      <c r="N55" s="12" t="n"/>
      <c r="O55" s="12" t="n"/>
    </row>
    <row r="56">
      <c r="A56" s="4" t="n"/>
      <c r="B56" s="4" t="n"/>
      <c r="C56" s="4" t="n"/>
      <c r="D56" s="4" t="n"/>
      <c r="E56" s="4" t="n"/>
      <c r="F56" s="4" t="n"/>
      <c r="G56" s="4" t="n"/>
      <c r="H56" s="4" t="n"/>
      <c r="I56" s="4">
        <f>IF(OR(G56="",H56=""),"",G56*H56)</f>
        <v/>
      </c>
      <c r="J56" s="4">
        <f>IF(OR(G56="",H56=""),"",IF(G56*H56&gt;=15,"High",IF(G56*H56&gt;=8,"Medium","Low")))</f>
        <v/>
      </c>
      <c r="K56" s="4" t="n"/>
      <c r="L56" s="12" t="n"/>
      <c r="M56" s="4" t="n"/>
      <c r="N56" s="12" t="n"/>
      <c r="O56" s="12" t="n"/>
    </row>
    <row r="57">
      <c r="A57" s="4" t="n"/>
      <c r="B57" s="4" t="n"/>
      <c r="C57" s="4" t="n"/>
      <c r="D57" s="4" t="n"/>
      <c r="E57" s="4" t="n"/>
      <c r="F57" s="4" t="n"/>
      <c r="G57" s="4" t="n"/>
      <c r="H57" s="4" t="n"/>
      <c r="I57" s="4">
        <f>IF(OR(G57="",H57=""),"",G57*H57)</f>
        <v/>
      </c>
      <c r="J57" s="4">
        <f>IF(OR(G57="",H57=""),"",IF(G57*H57&gt;=15,"High",IF(G57*H57&gt;=8,"Medium","Low")))</f>
        <v/>
      </c>
      <c r="K57" s="4" t="n"/>
      <c r="L57" s="12" t="n"/>
      <c r="M57" s="4" t="n"/>
      <c r="N57" s="12" t="n"/>
      <c r="O57" s="12" t="n"/>
    </row>
    <row r="58">
      <c r="A58" s="4" t="n"/>
      <c r="B58" s="4" t="n"/>
      <c r="C58" s="4" t="n"/>
      <c r="D58" s="4" t="n"/>
      <c r="E58" s="4" t="n"/>
      <c r="F58" s="4" t="n"/>
      <c r="G58" s="4" t="n"/>
      <c r="H58" s="4" t="n"/>
      <c r="I58" s="4">
        <f>IF(OR(G58="",H58=""),"",G58*H58)</f>
        <v/>
      </c>
      <c r="J58" s="4">
        <f>IF(OR(G58="",H58=""),"",IF(G58*H58&gt;=15,"High",IF(G58*H58&gt;=8,"Medium","Low")))</f>
        <v/>
      </c>
      <c r="K58" s="4" t="n"/>
      <c r="L58" s="12" t="n"/>
      <c r="M58" s="4" t="n"/>
      <c r="N58" s="12" t="n"/>
      <c r="O58" s="12" t="n"/>
    </row>
    <row r="59">
      <c r="A59" s="4" t="n"/>
      <c r="B59" s="4" t="n"/>
      <c r="C59" s="4" t="n"/>
      <c r="D59" s="4" t="n"/>
      <c r="E59" s="4" t="n"/>
      <c r="F59" s="4" t="n"/>
      <c r="G59" s="4" t="n"/>
      <c r="H59" s="4" t="n"/>
      <c r="I59" s="4">
        <f>IF(OR(G59="",H59=""),"",G59*H59)</f>
        <v/>
      </c>
      <c r="J59" s="4">
        <f>IF(OR(G59="",H59=""),"",IF(G59*H59&gt;=15,"High",IF(G59*H59&gt;=8,"Medium","Low")))</f>
        <v/>
      </c>
      <c r="K59" s="4" t="n"/>
      <c r="L59" s="12" t="n"/>
      <c r="M59" s="4" t="n"/>
      <c r="N59" s="12" t="n"/>
      <c r="O59" s="12" t="n"/>
    </row>
    <row r="60">
      <c r="A60" s="4" t="n"/>
      <c r="B60" s="4" t="n"/>
      <c r="C60" s="4" t="n"/>
      <c r="D60" s="4" t="n"/>
      <c r="E60" s="4" t="n"/>
      <c r="F60" s="4" t="n"/>
      <c r="G60" s="4" t="n"/>
      <c r="H60" s="4" t="n"/>
      <c r="I60" s="4">
        <f>IF(OR(G60="",H60=""),"",G60*H60)</f>
        <v/>
      </c>
      <c r="J60" s="4">
        <f>IF(OR(G60="",H60=""),"",IF(G60*H60&gt;=15,"High",IF(G60*H60&gt;=8,"Medium","Low")))</f>
        <v/>
      </c>
      <c r="K60" s="4" t="n"/>
      <c r="L60" s="12" t="n"/>
      <c r="M60" s="4" t="n"/>
      <c r="N60" s="12" t="n"/>
      <c r="O60" s="12" t="n"/>
    </row>
    <row r="61">
      <c r="A61" s="4" t="n"/>
      <c r="B61" s="4" t="n"/>
      <c r="C61" s="4" t="n"/>
      <c r="D61" s="4" t="n"/>
      <c r="E61" s="4" t="n"/>
      <c r="F61" s="4" t="n"/>
      <c r="G61" s="4" t="n"/>
      <c r="H61" s="4" t="n"/>
      <c r="I61" s="4">
        <f>IF(OR(G61="",H61=""),"",G61*H61)</f>
        <v/>
      </c>
      <c r="J61" s="4">
        <f>IF(OR(G61="",H61=""),"",IF(G61*H61&gt;=15,"High",IF(G61*H61&gt;=8,"Medium","Low")))</f>
        <v/>
      </c>
      <c r="K61" s="4" t="n"/>
      <c r="L61" s="12" t="n"/>
      <c r="M61" s="4" t="n"/>
      <c r="N61" s="12" t="n"/>
      <c r="O61" s="12" t="n"/>
    </row>
    <row r="62">
      <c r="A62" s="4" t="n"/>
      <c r="B62" s="4" t="n"/>
      <c r="C62" s="4" t="n"/>
      <c r="D62" s="4" t="n"/>
      <c r="E62" s="4" t="n"/>
      <c r="F62" s="4" t="n"/>
      <c r="G62" s="4" t="n"/>
      <c r="H62" s="4" t="n"/>
      <c r="I62" s="4">
        <f>IF(OR(G62="",H62=""),"",G62*H62)</f>
        <v/>
      </c>
      <c r="J62" s="4">
        <f>IF(OR(G62="",H62=""),"",IF(G62*H62&gt;=15,"High",IF(G62*H62&gt;=8,"Medium","Low")))</f>
        <v/>
      </c>
      <c r="K62" s="4" t="n"/>
      <c r="L62" s="12" t="n"/>
      <c r="M62" s="4" t="n"/>
      <c r="N62" s="12" t="n"/>
      <c r="O62" s="12" t="n"/>
    </row>
    <row r="63">
      <c r="A63" s="4" t="n"/>
      <c r="B63" s="4" t="n"/>
      <c r="C63" s="4" t="n"/>
      <c r="D63" s="4" t="n"/>
      <c r="E63" s="4" t="n"/>
      <c r="F63" s="4" t="n"/>
      <c r="G63" s="4" t="n"/>
      <c r="H63" s="4" t="n"/>
      <c r="I63" s="4">
        <f>IF(OR(G63="",H63=""),"",G63*H63)</f>
        <v/>
      </c>
      <c r="J63" s="4">
        <f>IF(OR(G63="",H63=""),"",IF(G63*H63&gt;=15,"High",IF(G63*H63&gt;=8,"Medium","Low")))</f>
        <v/>
      </c>
      <c r="K63" s="4" t="n"/>
      <c r="L63" s="12" t="n"/>
      <c r="M63" s="4" t="n"/>
      <c r="N63" s="12" t="n"/>
      <c r="O63" s="12" t="n"/>
    </row>
    <row r="64">
      <c r="A64" s="4" t="n"/>
      <c r="B64" s="4" t="n"/>
      <c r="C64" s="4" t="n"/>
      <c r="D64" s="4" t="n"/>
      <c r="E64" s="4" t="n"/>
      <c r="F64" s="4" t="n"/>
      <c r="G64" s="4" t="n"/>
      <c r="H64" s="4" t="n"/>
      <c r="I64" s="4">
        <f>IF(OR(G64="",H64=""),"",G64*H64)</f>
        <v/>
      </c>
      <c r="J64" s="4">
        <f>IF(OR(G64="",H64=""),"",IF(G64*H64&gt;=15,"High",IF(G64*H64&gt;=8,"Medium","Low")))</f>
        <v/>
      </c>
      <c r="K64" s="4" t="n"/>
      <c r="L64" s="12" t="n"/>
      <c r="M64" s="4" t="n"/>
      <c r="N64" s="12" t="n"/>
      <c r="O64" s="12" t="n"/>
    </row>
    <row r="65">
      <c r="A65" s="4" t="n"/>
      <c r="B65" s="4" t="n"/>
      <c r="C65" s="4" t="n"/>
      <c r="D65" s="4" t="n"/>
      <c r="E65" s="4" t="n"/>
      <c r="F65" s="4" t="n"/>
      <c r="G65" s="4" t="n"/>
      <c r="H65" s="4" t="n"/>
      <c r="I65" s="4">
        <f>IF(OR(G65="",H65=""),"",G65*H65)</f>
        <v/>
      </c>
      <c r="J65" s="4">
        <f>IF(OR(G65="",H65=""),"",IF(G65*H65&gt;=15,"High",IF(G65*H65&gt;=8,"Medium","Low")))</f>
        <v/>
      </c>
      <c r="K65" s="4" t="n"/>
      <c r="L65" s="12" t="n"/>
      <c r="M65" s="4" t="n"/>
      <c r="N65" s="12" t="n"/>
      <c r="O65" s="12" t="n"/>
    </row>
    <row r="66">
      <c r="A66" s="4" t="n"/>
      <c r="B66" s="4" t="n"/>
      <c r="C66" s="4" t="n"/>
      <c r="D66" s="4" t="n"/>
      <c r="E66" s="4" t="n"/>
      <c r="F66" s="4" t="n"/>
      <c r="G66" s="4" t="n"/>
      <c r="H66" s="4" t="n"/>
      <c r="I66" s="4">
        <f>IF(OR(G66="",H66=""),"",G66*H66)</f>
        <v/>
      </c>
      <c r="J66" s="4">
        <f>IF(OR(G66="",H66=""),"",IF(G66*H66&gt;=15,"High",IF(G66*H66&gt;=8,"Medium","Low")))</f>
        <v/>
      </c>
      <c r="K66" s="4" t="n"/>
      <c r="L66" s="12" t="n"/>
      <c r="M66" s="4" t="n"/>
      <c r="N66" s="12" t="n"/>
      <c r="O66" s="12" t="n"/>
    </row>
    <row r="67">
      <c r="A67" s="4" t="n"/>
      <c r="B67" s="4" t="n"/>
      <c r="C67" s="4" t="n"/>
      <c r="D67" s="4" t="n"/>
      <c r="E67" s="4" t="n"/>
      <c r="F67" s="4" t="n"/>
      <c r="G67" s="4" t="n"/>
      <c r="H67" s="4" t="n"/>
      <c r="I67" s="4">
        <f>IF(OR(G67="",H67=""),"",G67*H67)</f>
        <v/>
      </c>
      <c r="J67" s="4">
        <f>IF(OR(G67="",H67=""),"",IF(G67*H67&gt;=15,"High",IF(G67*H67&gt;=8,"Medium","Low")))</f>
        <v/>
      </c>
      <c r="K67" s="4" t="n"/>
      <c r="L67" s="12" t="n"/>
      <c r="M67" s="4" t="n"/>
      <c r="N67" s="12" t="n"/>
      <c r="O67" s="12" t="n"/>
    </row>
    <row r="68">
      <c r="A68" s="4" t="n"/>
      <c r="B68" s="4" t="n"/>
      <c r="C68" s="4" t="n"/>
      <c r="D68" s="4" t="n"/>
      <c r="E68" s="4" t="n"/>
      <c r="F68" s="4" t="n"/>
      <c r="G68" s="4" t="n"/>
      <c r="H68" s="4" t="n"/>
      <c r="I68" s="4">
        <f>IF(OR(G68="",H68=""),"",G68*H68)</f>
        <v/>
      </c>
      <c r="J68" s="4">
        <f>IF(OR(G68="",H68=""),"",IF(G68*H68&gt;=15,"High",IF(G68*H68&gt;=8,"Medium","Low")))</f>
        <v/>
      </c>
      <c r="K68" s="4" t="n"/>
      <c r="L68" s="12" t="n"/>
      <c r="M68" s="4" t="n"/>
      <c r="N68" s="12" t="n"/>
      <c r="O68" s="12" t="n"/>
    </row>
    <row r="69">
      <c r="A69" s="4" t="n"/>
      <c r="B69" s="4" t="n"/>
      <c r="C69" s="4" t="n"/>
      <c r="D69" s="4" t="n"/>
      <c r="E69" s="4" t="n"/>
      <c r="F69" s="4" t="n"/>
      <c r="G69" s="4" t="n"/>
      <c r="H69" s="4" t="n"/>
      <c r="I69" s="4">
        <f>IF(OR(G69="",H69=""),"",G69*H69)</f>
        <v/>
      </c>
      <c r="J69" s="4">
        <f>IF(OR(G69="",H69=""),"",IF(G69*H69&gt;=15,"High",IF(G69*H69&gt;=8,"Medium","Low")))</f>
        <v/>
      </c>
      <c r="K69" s="4" t="n"/>
      <c r="L69" s="12" t="n"/>
      <c r="M69" s="4" t="n"/>
      <c r="N69" s="12" t="n"/>
      <c r="O69" s="12" t="n"/>
    </row>
    <row r="70">
      <c r="A70" s="4" t="n"/>
      <c r="B70" s="4" t="n"/>
      <c r="C70" s="4" t="n"/>
      <c r="D70" s="4" t="n"/>
      <c r="E70" s="4" t="n"/>
      <c r="F70" s="4" t="n"/>
      <c r="G70" s="4" t="n"/>
      <c r="H70" s="4" t="n"/>
      <c r="I70" s="4">
        <f>IF(OR(G70="",H70=""),"",G70*H70)</f>
        <v/>
      </c>
      <c r="J70" s="4">
        <f>IF(OR(G70="",H70=""),"",IF(G70*H70&gt;=15,"High",IF(G70*H70&gt;=8,"Medium","Low")))</f>
        <v/>
      </c>
      <c r="K70" s="4" t="n"/>
      <c r="L70" s="12" t="n"/>
      <c r="M70" s="4" t="n"/>
      <c r="N70" s="12" t="n"/>
      <c r="O70" s="12" t="n"/>
    </row>
    <row r="71">
      <c r="A71" s="4" t="n"/>
      <c r="B71" s="4" t="n"/>
      <c r="C71" s="4" t="n"/>
      <c r="D71" s="4" t="n"/>
      <c r="E71" s="4" t="n"/>
      <c r="F71" s="4" t="n"/>
      <c r="G71" s="4" t="n"/>
      <c r="H71" s="4" t="n"/>
      <c r="I71" s="4">
        <f>IF(OR(G71="",H71=""),"",G71*H71)</f>
        <v/>
      </c>
      <c r="J71" s="4">
        <f>IF(OR(G71="",H71=""),"",IF(G71*H71&gt;=15,"High",IF(G71*H71&gt;=8,"Medium","Low")))</f>
        <v/>
      </c>
      <c r="K71" s="4" t="n"/>
      <c r="L71" s="12" t="n"/>
      <c r="M71" s="4" t="n"/>
      <c r="N71" s="12" t="n"/>
      <c r="O71" s="12" t="n"/>
    </row>
    <row r="72">
      <c r="A72" s="4" t="n"/>
      <c r="B72" s="4" t="n"/>
      <c r="C72" s="4" t="n"/>
      <c r="D72" s="4" t="n"/>
      <c r="E72" s="4" t="n"/>
      <c r="F72" s="4" t="n"/>
      <c r="G72" s="4" t="n"/>
      <c r="H72" s="4" t="n"/>
      <c r="I72" s="4">
        <f>IF(OR(G72="",H72=""),"",G72*H72)</f>
        <v/>
      </c>
      <c r="J72" s="4">
        <f>IF(OR(G72="",H72=""),"",IF(G72*H72&gt;=15,"High",IF(G72*H72&gt;=8,"Medium","Low")))</f>
        <v/>
      </c>
      <c r="K72" s="4" t="n"/>
      <c r="L72" s="12" t="n"/>
      <c r="M72" s="4" t="n"/>
      <c r="N72" s="12" t="n"/>
      <c r="O72" s="12" t="n"/>
    </row>
    <row r="73">
      <c r="A73" s="4" t="n"/>
      <c r="B73" s="4" t="n"/>
      <c r="C73" s="4" t="n"/>
      <c r="D73" s="4" t="n"/>
      <c r="E73" s="4" t="n"/>
      <c r="F73" s="4" t="n"/>
      <c r="G73" s="4" t="n"/>
      <c r="H73" s="4" t="n"/>
      <c r="I73" s="4">
        <f>IF(OR(G73="",H73=""),"",G73*H73)</f>
        <v/>
      </c>
      <c r="J73" s="4">
        <f>IF(OR(G73="",H73=""),"",IF(G73*H73&gt;=15,"High",IF(G73*H73&gt;=8,"Medium","Low")))</f>
        <v/>
      </c>
      <c r="K73" s="4" t="n"/>
      <c r="L73" s="12" t="n"/>
      <c r="M73" s="4" t="n"/>
      <c r="N73" s="12" t="n"/>
      <c r="O73" s="12" t="n"/>
    </row>
    <row r="74">
      <c r="A74" s="4" t="n"/>
      <c r="B74" s="4" t="n"/>
      <c r="C74" s="4" t="n"/>
      <c r="D74" s="4" t="n"/>
      <c r="E74" s="4" t="n"/>
      <c r="F74" s="4" t="n"/>
      <c r="G74" s="4" t="n"/>
      <c r="H74" s="4" t="n"/>
      <c r="I74" s="4">
        <f>IF(OR(G74="",H74=""),"",G74*H74)</f>
        <v/>
      </c>
      <c r="J74" s="4">
        <f>IF(OR(G74="",H74=""),"",IF(G74*H74&gt;=15,"High",IF(G74*H74&gt;=8,"Medium","Low")))</f>
        <v/>
      </c>
      <c r="K74" s="4" t="n"/>
      <c r="L74" s="12" t="n"/>
      <c r="M74" s="4" t="n"/>
      <c r="N74" s="12" t="n"/>
      <c r="O74" s="12" t="n"/>
    </row>
    <row r="75">
      <c r="A75" s="4" t="n"/>
      <c r="B75" s="4" t="n"/>
      <c r="C75" s="4" t="n"/>
      <c r="D75" s="4" t="n"/>
      <c r="E75" s="4" t="n"/>
      <c r="F75" s="4" t="n"/>
      <c r="G75" s="4" t="n"/>
      <c r="H75" s="4" t="n"/>
      <c r="I75" s="4">
        <f>IF(OR(G75="",H75=""),"",G75*H75)</f>
        <v/>
      </c>
      <c r="J75" s="4">
        <f>IF(OR(G75="",H75=""),"",IF(G75*H75&gt;=15,"High",IF(G75*H75&gt;=8,"Medium","Low")))</f>
        <v/>
      </c>
      <c r="K75" s="4" t="n"/>
      <c r="L75" s="12" t="n"/>
      <c r="M75" s="4" t="n"/>
      <c r="N75" s="12" t="n"/>
      <c r="O75" s="12" t="n"/>
    </row>
    <row r="76">
      <c r="A76" s="4" t="n"/>
      <c r="B76" s="4" t="n"/>
      <c r="C76" s="4" t="n"/>
      <c r="D76" s="4" t="n"/>
      <c r="E76" s="4" t="n"/>
      <c r="F76" s="4" t="n"/>
      <c r="G76" s="4" t="n"/>
      <c r="H76" s="4" t="n"/>
      <c r="I76" s="4">
        <f>IF(OR(G76="",H76=""),"",G76*H76)</f>
        <v/>
      </c>
      <c r="J76" s="4">
        <f>IF(OR(G76="",H76=""),"",IF(G76*H76&gt;=15,"High",IF(G76*H76&gt;=8,"Medium","Low")))</f>
        <v/>
      </c>
      <c r="K76" s="4" t="n"/>
      <c r="L76" s="12" t="n"/>
      <c r="M76" s="4" t="n"/>
      <c r="N76" s="12" t="n"/>
      <c r="O76" s="12" t="n"/>
    </row>
    <row r="77">
      <c r="A77" s="4" t="n"/>
      <c r="B77" s="4" t="n"/>
      <c r="C77" s="4" t="n"/>
      <c r="D77" s="4" t="n"/>
      <c r="E77" s="4" t="n"/>
      <c r="F77" s="4" t="n"/>
      <c r="G77" s="4" t="n"/>
      <c r="H77" s="4" t="n"/>
      <c r="I77" s="4">
        <f>IF(OR(G77="",H77=""),"",G77*H77)</f>
        <v/>
      </c>
      <c r="J77" s="4">
        <f>IF(OR(G77="",H77=""),"",IF(G77*H77&gt;=15,"High",IF(G77*H77&gt;=8,"Medium","Low")))</f>
        <v/>
      </c>
      <c r="K77" s="4" t="n"/>
      <c r="L77" s="12" t="n"/>
      <c r="M77" s="4" t="n"/>
      <c r="N77" s="12" t="n"/>
      <c r="O77" s="12" t="n"/>
    </row>
    <row r="78">
      <c r="A78" s="4" t="n"/>
      <c r="B78" s="4" t="n"/>
      <c r="C78" s="4" t="n"/>
      <c r="D78" s="4" t="n"/>
      <c r="E78" s="4" t="n"/>
      <c r="F78" s="4" t="n"/>
      <c r="G78" s="4" t="n"/>
      <c r="H78" s="4" t="n"/>
      <c r="I78" s="4">
        <f>IF(OR(G78="",H78=""),"",G78*H78)</f>
        <v/>
      </c>
      <c r="J78" s="4">
        <f>IF(OR(G78="",H78=""),"",IF(G78*H78&gt;=15,"High",IF(G78*H78&gt;=8,"Medium","Low")))</f>
        <v/>
      </c>
      <c r="K78" s="4" t="n"/>
      <c r="L78" s="12" t="n"/>
      <c r="M78" s="4" t="n"/>
      <c r="N78" s="12" t="n"/>
      <c r="O78" s="12" t="n"/>
    </row>
    <row r="79">
      <c r="A79" s="4" t="n"/>
      <c r="B79" s="4" t="n"/>
      <c r="C79" s="4" t="n"/>
      <c r="D79" s="4" t="n"/>
      <c r="E79" s="4" t="n"/>
      <c r="F79" s="4" t="n"/>
      <c r="G79" s="4" t="n"/>
      <c r="H79" s="4" t="n"/>
      <c r="I79" s="4">
        <f>IF(OR(G79="",H79=""),"",G79*H79)</f>
        <v/>
      </c>
      <c r="J79" s="4">
        <f>IF(OR(G79="",H79=""),"",IF(G79*H79&gt;=15,"High",IF(G79*H79&gt;=8,"Medium","Low")))</f>
        <v/>
      </c>
      <c r="K79" s="4" t="n"/>
      <c r="L79" s="12" t="n"/>
      <c r="M79" s="4" t="n"/>
      <c r="N79" s="12" t="n"/>
      <c r="O79" s="12" t="n"/>
    </row>
    <row r="80">
      <c r="A80" s="4" t="n"/>
      <c r="B80" s="4" t="n"/>
      <c r="C80" s="4" t="n"/>
      <c r="D80" s="4" t="n"/>
      <c r="E80" s="4" t="n"/>
      <c r="F80" s="4" t="n"/>
      <c r="G80" s="4" t="n"/>
      <c r="H80" s="4" t="n"/>
      <c r="I80" s="4">
        <f>IF(OR(G80="",H80=""),"",G80*H80)</f>
        <v/>
      </c>
      <c r="J80" s="4">
        <f>IF(OR(G80="",H80=""),"",IF(G80*H80&gt;=15,"High",IF(G80*H80&gt;=8,"Medium","Low")))</f>
        <v/>
      </c>
      <c r="K80" s="4" t="n"/>
      <c r="L80" s="12" t="n"/>
      <c r="M80" s="4" t="n"/>
      <c r="N80" s="12" t="n"/>
      <c r="O80" s="12" t="n"/>
    </row>
    <row r="81">
      <c r="A81" s="4" t="n"/>
      <c r="B81" s="4" t="n"/>
      <c r="C81" s="4" t="n"/>
      <c r="D81" s="4" t="n"/>
      <c r="E81" s="4" t="n"/>
      <c r="F81" s="4" t="n"/>
      <c r="G81" s="4" t="n"/>
      <c r="H81" s="4" t="n"/>
      <c r="I81" s="4">
        <f>IF(OR(G81="",H81=""),"",G81*H81)</f>
        <v/>
      </c>
      <c r="J81" s="4">
        <f>IF(OR(G81="",H81=""),"",IF(G81*H81&gt;=15,"High",IF(G81*H81&gt;=8,"Medium","Low")))</f>
        <v/>
      </c>
      <c r="K81" s="4" t="n"/>
      <c r="L81" s="12" t="n"/>
      <c r="M81" s="4" t="n"/>
      <c r="N81" s="12" t="n"/>
      <c r="O81" s="12" t="n"/>
    </row>
    <row r="82">
      <c r="A82" s="4" t="n"/>
      <c r="B82" s="4" t="n"/>
      <c r="C82" s="4" t="n"/>
      <c r="D82" s="4" t="n"/>
      <c r="E82" s="4" t="n"/>
      <c r="F82" s="4" t="n"/>
      <c r="G82" s="4" t="n"/>
      <c r="H82" s="4" t="n"/>
      <c r="I82" s="4">
        <f>IF(OR(G82="",H82=""),"",G82*H82)</f>
        <v/>
      </c>
      <c r="J82" s="4">
        <f>IF(OR(G82="",H82=""),"",IF(G82*H82&gt;=15,"High",IF(G82*H82&gt;=8,"Medium","Low")))</f>
        <v/>
      </c>
      <c r="K82" s="4" t="n"/>
      <c r="L82" s="12" t="n"/>
      <c r="M82" s="4" t="n"/>
      <c r="N82" s="12" t="n"/>
      <c r="O82" s="12" t="n"/>
    </row>
    <row r="83">
      <c r="A83" s="4" t="n"/>
      <c r="B83" s="4" t="n"/>
      <c r="C83" s="4" t="n"/>
      <c r="D83" s="4" t="n"/>
      <c r="E83" s="4" t="n"/>
      <c r="F83" s="4" t="n"/>
      <c r="G83" s="4" t="n"/>
      <c r="H83" s="4" t="n"/>
      <c r="I83" s="4">
        <f>IF(OR(G83="",H83=""),"",G83*H83)</f>
        <v/>
      </c>
      <c r="J83" s="4">
        <f>IF(OR(G83="",H83=""),"",IF(G83*H83&gt;=15,"High",IF(G83*H83&gt;=8,"Medium","Low")))</f>
        <v/>
      </c>
      <c r="K83" s="4" t="n"/>
      <c r="L83" s="12" t="n"/>
      <c r="M83" s="4" t="n"/>
      <c r="N83" s="12" t="n"/>
      <c r="O83" s="12" t="n"/>
    </row>
    <row r="84">
      <c r="A84" s="4" t="n"/>
      <c r="B84" s="4" t="n"/>
      <c r="C84" s="4" t="n"/>
      <c r="D84" s="4" t="n"/>
      <c r="E84" s="4" t="n"/>
      <c r="F84" s="4" t="n"/>
      <c r="G84" s="4" t="n"/>
      <c r="H84" s="4" t="n"/>
      <c r="I84" s="4">
        <f>IF(OR(G84="",H84=""),"",G84*H84)</f>
        <v/>
      </c>
      <c r="J84" s="4">
        <f>IF(OR(G84="",H84=""),"",IF(G84*H84&gt;=15,"High",IF(G84*H84&gt;=8,"Medium","Low")))</f>
        <v/>
      </c>
      <c r="K84" s="4" t="n"/>
      <c r="L84" s="12" t="n"/>
      <c r="M84" s="4" t="n"/>
      <c r="N84" s="12" t="n"/>
      <c r="O84" s="12" t="n"/>
    </row>
    <row r="85">
      <c r="A85" s="4" t="n"/>
      <c r="B85" s="4" t="n"/>
      <c r="C85" s="4" t="n"/>
      <c r="D85" s="4" t="n"/>
      <c r="E85" s="4" t="n"/>
      <c r="F85" s="4" t="n"/>
      <c r="G85" s="4" t="n"/>
      <c r="H85" s="4" t="n"/>
      <c r="I85" s="4">
        <f>IF(OR(G85="",H85=""),"",G85*H85)</f>
        <v/>
      </c>
      <c r="J85" s="4">
        <f>IF(OR(G85="",H85=""),"",IF(G85*H85&gt;=15,"High",IF(G85*H85&gt;=8,"Medium","Low")))</f>
        <v/>
      </c>
      <c r="K85" s="4" t="n"/>
      <c r="L85" s="12" t="n"/>
      <c r="M85" s="4" t="n"/>
      <c r="N85" s="12" t="n"/>
      <c r="O85" s="12" t="n"/>
    </row>
    <row r="86">
      <c r="A86" s="4" t="n"/>
      <c r="B86" s="4" t="n"/>
      <c r="C86" s="4" t="n"/>
      <c r="D86" s="4" t="n"/>
      <c r="E86" s="4" t="n"/>
      <c r="F86" s="4" t="n"/>
      <c r="G86" s="4" t="n"/>
      <c r="H86" s="4" t="n"/>
      <c r="I86" s="4">
        <f>IF(OR(G86="",H86=""),"",G86*H86)</f>
        <v/>
      </c>
      <c r="J86" s="4">
        <f>IF(OR(G86="",H86=""),"",IF(G86*H86&gt;=15,"High",IF(G86*H86&gt;=8,"Medium","Low")))</f>
        <v/>
      </c>
      <c r="K86" s="4" t="n"/>
      <c r="L86" s="12" t="n"/>
      <c r="M86" s="4" t="n"/>
      <c r="N86" s="12" t="n"/>
      <c r="O86" s="12" t="n"/>
    </row>
    <row r="87">
      <c r="A87" s="4" t="n"/>
      <c r="B87" s="4" t="n"/>
      <c r="C87" s="4" t="n"/>
      <c r="D87" s="4" t="n"/>
      <c r="E87" s="4" t="n"/>
      <c r="F87" s="4" t="n"/>
      <c r="G87" s="4" t="n"/>
      <c r="H87" s="4" t="n"/>
      <c r="I87" s="4">
        <f>IF(OR(G87="",H87=""),"",G87*H87)</f>
        <v/>
      </c>
      <c r="J87" s="4">
        <f>IF(OR(G87="",H87=""),"",IF(G87*H87&gt;=15,"High",IF(G87*H87&gt;=8,"Medium","Low")))</f>
        <v/>
      </c>
      <c r="K87" s="4" t="n"/>
      <c r="L87" s="12" t="n"/>
      <c r="M87" s="4" t="n"/>
      <c r="N87" s="12" t="n"/>
      <c r="O87" s="12" t="n"/>
    </row>
    <row r="88">
      <c r="A88" s="4" t="n"/>
      <c r="B88" s="4" t="n"/>
      <c r="C88" s="4" t="n"/>
      <c r="D88" s="4" t="n"/>
      <c r="E88" s="4" t="n"/>
      <c r="F88" s="4" t="n"/>
      <c r="G88" s="4" t="n"/>
      <c r="H88" s="4" t="n"/>
      <c r="I88" s="4">
        <f>IF(OR(G88="",H88=""),"",G88*H88)</f>
        <v/>
      </c>
      <c r="J88" s="4">
        <f>IF(OR(G88="",H88=""),"",IF(G88*H88&gt;=15,"High",IF(G88*H88&gt;=8,"Medium","Low")))</f>
        <v/>
      </c>
      <c r="K88" s="4" t="n"/>
      <c r="L88" s="12" t="n"/>
      <c r="M88" s="4" t="n"/>
      <c r="N88" s="12" t="n"/>
      <c r="O88" s="12" t="n"/>
    </row>
    <row r="89">
      <c r="A89" s="4" t="n"/>
      <c r="B89" s="4" t="n"/>
      <c r="C89" s="4" t="n"/>
      <c r="D89" s="4" t="n"/>
      <c r="E89" s="4" t="n"/>
      <c r="F89" s="4" t="n"/>
      <c r="G89" s="4" t="n"/>
      <c r="H89" s="4" t="n"/>
      <c r="I89" s="4">
        <f>IF(OR(G89="",H89=""),"",G89*H89)</f>
        <v/>
      </c>
      <c r="J89" s="4">
        <f>IF(OR(G89="",H89=""),"",IF(G89*H89&gt;=15,"High",IF(G89*H89&gt;=8,"Medium","Low")))</f>
        <v/>
      </c>
      <c r="K89" s="4" t="n"/>
      <c r="L89" s="12" t="n"/>
      <c r="M89" s="4" t="n"/>
      <c r="N89" s="12" t="n"/>
      <c r="O89" s="12" t="n"/>
    </row>
    <row r="90">
      <c r="A90" s="4" t="n"/>
      <c r="B90" s="4" t="n"/>
      <c r="C90" s="4" t="n"/>
      <c r="D90" s="4" t="n"/>
      <c r="E90" s="4" t="n"/>
      <c r="F90" s="4" t="n"/>
      <c r="G90" s="4" t="n"/>
      <c r="H90" s="4" t="n"/>
      <c r="I90" s="4">
        <f>IF(OR(G90="",H90=""),"",G90*H90)</f>
        <v/>
      </c>
      <c r="J90" s="4">
        <f>IF(OR(G90="",H90=""),"",IF(G90*H90&gt;=15,"High",IF(G90*H90&gt;=8,"Medium","Low")))</f>
        <v/>
      </c>
      <c r="K90" s="4" t="n"/>
      <c r="L90" s="12" t="n"/>
      <c r="M90" s="4" t="n"/>
      <c r="N90" s="12" t="n"/>
      <c r="O90" s="12" t="n"/>
    </row>
    <row r="91">
      <c r="A91" s="4" t="n"/>
      <c r="B91" s="4" t="n"/>
      <c r="C91" s="4" t="n"/>
      <c r="D91" s="4" t="n"/>
      <c r="E91" s="4" t="n"/>
      <c r="F91" s="4" t="n"/>
      <c r="G91" s="4" t="n"/>
      <c r="H91" s="4" t="n"/>
      <c r="I91" s="4">
        <f>IF(OR(G91="",H91=""),"",G91*H91)</f>
        <v/>
      </c>
      <c r="J91" s="4">
        <f>IF(OR(G91="",H91=""),"",IF(G91*H91&gt;=15,"High",IF(G91*H91&gt;=8,"Medium","Low")))</f>
        <v/>
      </c>
      <c r="K91" s="4" t="n"/>
      <c r="L91" s="12" t="n"/>
      <c r="M91" s="4" t="n"/>
      <c r="N91" s="12" t="n"/>
      <c r="O91" s="12" t="n"/>
    </row>
    <row r="92">
      <c r="A92" s="4" t="n"/>
      <c r="B92" s="4" t="n"/>
      <c r="C92" s="4" t="n"/>
      <c r="D92" s="4" t="n"/>
      <c r="E92" s="4" t="n"/>
      <c r="F92" s="4" t="n"/>
      <c r="G92" s="4" t="n"/>
      <c r="H92" s="4" t="n"/>
      <c r="I92" s="4">
        <f>IF(OR(G92="",H92=""),"",G92*H92)</f>
        <v/>
      </c>
      <c r="J92" s="4">
        <f>IF(OR(G92="",H92=""),"",IF(G92*H92&gt;=15,"High",IF(G92*H92&gt;=8,"Medium","Low")))</f>
        <v/>
      </c>
      <c r="K92" s="4" t="n"/>
      <c r="L92" s="12" t="n"/>
      <c r="M92" s="4" t="n"/>
      <c r="N92" s="12" t="n"/>
      <c r="O92" s="12" t="n"/>
    </row>
    <row r="93">
      <c r="A93" s="4" t="n"/>
      <c r="B93" s="4" t="n"/>
      <c r="C93" s="4" t="n"/>
      <c r="D93" s="4" t="n"/>
      <c r="E93" s="4" t="n"/>
      <c r="F93" s="4" t="n"/>
      <c r="G93" s="4" t="n"/>
      <c r="H93" s="4" t="n"/>
      <c r="I93" s="4">
        <f>IF(OR(G93="",H93=""),"",G93*H93)</f>
        <v/>
      </c>
      <c r="J93" s="4">
        <f>IF(OR(G93="",H93=""),"",IF(G93*H93&gt;=15,"High",IF(G93*H93&gt;=8,"Medium","Low")))</f>
        <v/>
      </c>
      <c r="K93" s="4" t="n"/>
      <c r="L93" s="12" t="n"/>
      <c r="M93" s="4" t="n"/>
      <c r="N93" s="12" t="n"/>
      <c r="O93" s="12" t="n"/>
    </row>
    <row r="94">
      <c r="A94" s="4" t="n"/>
      <c r="B94" s="4" t="n"/>
      <c r="C94" s="4" t="n"/>
      <c r="D94" s="4" t="n"/>
      <c r="E94" s="4" t="n"/>
      <c r="F94" s="4" t="n"/>
      <c r="G94" s="4" t="n"/>
      <c r="H94" s="4" t="n"/>
      <c r="I94" s="4">
        <f>IF(OR(G94="",H94=""),"",G94*H94)</f>
        <v/>
      </c>
      <c r="J94" s="4">
        <f>IF(OR(G94="",H94=""),"",IF(G94*H94&gt;=15,"High",IF(G94*H94&gt;=8,"Medium","Low")))</f>
        <v/>
      </c>
      <c r="K94" s="4" t="n"/>
      <c r="L94" s="12" t="n"/>
      <c r="M94" s="4" t="n"/>
      <c r="N94" s="12" t="n"/>
      <c r="O94" s="12" t="n"/>
    </row>
    <row r="95">
      <c r="A95" s="4" t="n"/>
      <c r="B95" s="4" t="n"/>
      <c r="C95" s="4" t="n"/>
      <c r="D95" s="4" t="n"/>
      <c r="E95" s="4" t="n"/>
      <c r="F95" s="4" t="n"/>
      <c r="G95" s="4" t="n"/>
      <c r="H95" s="4" t="n"/>
      <c r="I95" s="4">
        <f>IF(OR(G95="",H95=""),"",G95*H95)</f>
        <v/>
      </c>
      <c r="J95" s="4">
        <f>IF(OR(G95="",H95=""),"",IF(G95*H95&gt;=15,"High",IF(G95*H95&gt;=8,"Medium","Low")))</f>
        <v/>
      </c>
      <c r="K95" s="4" t="n"/>
      <c r="L95" s="12" t="n"/>
      <c r="M95" s="4" t="n"/>
      <c r="N95" s="12" t="n"/>
      <c r="O95" s="12" t="n"/>
    </row>
    <row r="96">
      <c r="A96" s="4" t="n"/>
      <c r="B96" s="4" t="n"/>
      <c r="C96" s="4" t="n"/>
      <c r="D96" s="4" t="n"/>
      <c r="E96" s="4" t="n"/>
      <c r="F96" s="4" t="n"/>
      <c r="G96" s="4" t="n"/>
      <c r="H96" s="4" t="n"/>
      <c r="I96" s="4">
        <f>IF(OR(G96="",H96=""),"",G96*H96)</f>
        <v/>
      </c>
      <c r="J96" s="4">
        <f>IF(OR(G96="",H96=""),"",IF(G96*H96&gt;=15,"High",IF(G96*H96&gt;=8,"Medium","Low")))</f>
        <v/>
      </c>
      <c r="K96" s="4" t="n"/>
      <c r="L96" s="12" t="n"/>
      <c r="M96" s="4" t="n"/>
      <c r="N96" s="12" t="n"/>
      <c r="O96" s="12" t="n"/>
    </row>
    <row r="97">
      <c r="A97" s="4" t="n"/>
      <c r="B97" s="4" t="n"/>
      <c r="C97" s="4" t="n"/>
      <c r="D97" s="4" t="n"/>
      <c r="E97" s="4" t="n"/>
      <c r="F97" s="4" t="n"/>
      <c r="G97" s="4" t="n"/>
      <c r="H97" s="4" t="n"/>
      <c r="I97" s="4">
        <f>IF(OR(G97="",H97=""),"",G97*H97)</f>
        <v/>
      </c>
      <c r="J97" s="4">
        <f>IF(OR(G97="",H97=""),"",IF(G97*H97&gt;=15,"High",IF(G97*H97&gt;=8,"Medium","Low")))</f>
        <v/>
      </c>
      <c r="K97" s="4" t="n"/>
      <c r="L97" s="12" t="n"/>
      <c r="M97" s="4" t="n"/>
      <c r="N97" s="12" t="n"/>
      <c r="O97" s="12" t="n"/>
    </row>
    <row r="98">
      <c r="A98" s="4" t="n"/>
      <c r="B98" s="4" t="n"/>
      <c r="C98" s="4" t="n"/>
      <c r="D98" s="4" t="n"/>
      <c r="E98" s="4" t="n"/>
      <c r="F98" s="4" t="n"/>
      <c r="G98" s="4" t="n"/>
      <c r="H98" s="4" t="n"/>
      <c r="I98" s="4">
        <f>IF(OR(G98="",H98=""),"",G98*H98)</f>
        <v/>
      </c>
      <c r="J98" s="4">
        <f>IF(OR(G98="",H98=""),"",IF(G98*H98&gt;=15,"High",IF(G98*H98&gt;=8,"Medium","Low")))</f>
        <v/>
      </c>
      <c r="K98" s="4" t="n"/>
      <c r="L98" s="12" t="n"/>
      <c r="M98" s="4" t="n"/>
      <c r="N98" s="12" t="n"/>
      <c r="O98" s="12" t="n"/>
    </row>
    <row r="99">
      <c r="A99" s="4" t="n"/>
      <c r="B99" s="4" t="n"/>
      <c r="C99" s="4" t="n"/>
      <c r="D99" s="4" t="n"/>
      <c r="E99" s="4" t="n"/>
      <c r="F99" s="4" t="n"/>
      <c r="G99" s="4" t="n"/>
      <c r="H99" s="4" t="n"/>
      <c r="I99" s="4">
        <f>IF(OR(G99="",H99=""),"",G99*H99)</f>
        <v/>
      </c>
      <c r="J99" s="4">
        <f>IF(OR(G99="",H99=""),"",IF(G99*H99&gt;=15,"High",IF(G99*H99&gt;=8,"Medium","Low")))</f>
        <v/>
      </c>
      <c r="K99" s="4" t="n"/>
      <c r="L99" s="12" t="n"/>
      <c r="M99" s="4" t="n"/>
      <c r="N99" s="12" t="n"/>
      <c r="O99" s="12" t="n"/>
    </row>
    <row r="100">
      <c r="A100" s="4" t="n"/>
      <c r="B100" s="4" t="n"/>
      <c r="C100" s="4" t="n"/>
      <c r="D100" s="4" t="n"/>
      <c r="E100" s="4" t="n"/>
      <c r="F100" s="4" t="n"/>
      <c r="G100" s="4" t="n"/>
      <c r="H100" s="4" t="n"/>
      <c r="I100" s="4">
        <f>IF(OR(G100="",H100=""),"",G100*H100)</f>
        <v/>
      </c>
      <c r="J100" s="4">
        <f>IF(OR(G100="",H100=""),"",IF(G100*H100&gt;=15,"High",IF(G100*H100&gt;=8,"Medium","Low")))</f>
        <v/>
      </c>
      <c r="K100" s="4" t="n"/>
      <c r="L100" s="12" t="n"/>
      <c r="M100" s="4" t="n"/>
      <c r="N100" s="12" t="n"/>
      <c r="O100" s="12" t="n"/>
    </row>
    <row r="101">
      <c r="A101" s="4" t="n"/>
      <c r="B101" s="4" t="n"/>
      <c r="C101" s="4" t="n"/>
      <c r="D101" s="4" t="n"/>
      <c r="E101" s="4" t="n"/>
      <c r="F101" s="4" t="n"/>
      <c r="G101" s="4" t="n"/>
      <c r="H101" s="4" t="n"/>
      <c r="I101" s="4">
        <f>IF(OR(G101="",H101=""),"",G101*H101)</f>
        <v/>
      </c>
      <c r="J101" s="4">
        <f>IF(OR(G101="",H101=""),"",IF(G101*H101&gt;=15,"High",IF(G101*H101&gt;=8,"Medium","Low")))</f>
        <v/>
      </c>
      <c r="K101" s="4" t="n"/>
      <c r="L101" s="12" t="n"/>
      <c r="M101" s="4" t="n"/>
      <c r="N101" s="12" t="n"/>
      <c r="O101" s="12" t="n"/>
    </row>
    <row r="102">
      <c r="A102" s="4" t="n"/>
      <c r="B102" s="4" t="n"/>
      <c r="C102" s="4" t="n"/>
      <c r="D102" s="4" t="n"/>
      <c r="E102" s="4" t="n"/>
      <c r="F102" s="4" t="n"/>
      <c r="G102" s="4" t="n"/>
      <c r="H102" s="4" t="n"/>
      <c r="I102" s="4">
        <f>IF(OR(G102="",H102=""),"",G102*H102)</f>
        <v/>
      </c>
      <c r="J102" s="4">
        <f>IF(OR(G102="",H102=""),"",IF(G102*H102&gt;=15,"High",IF(G102*H102&gt;=8,"Medium","Low")))</f>
        <v/>
      </c>
      <c r="K102" s="4" t="n"/>
      <c r="L102" s="12" t="n"/>
      <c r="M102" s="4" t="n"/>
      <c r="N102" s="12" t="n"/>
      <c r="O102" s="12" t="n"/>
    </row>
    <row r="103">
      <c r="A103" s="4" t="n"/>
      <c r="B103" s="4" t="n"/>
      <c r="C103" s="4" t="n"/>
      <c r="D103" s="4" t="n"/>
      <c r="E103" s="4" t="n"/>
      <c r="F103" s="4" t="n"/>
      <c r="G103" s="4" t="n"/>
      <c r="H103" s="4" t="n"/>
      <c r="I103" s="4">
        <f>IF(OR(G103="",H103=""),"",G103*H103)</f>
        <v/>
      </c>
      <c r="J103" s="4">
        <f>IF(OR(G103="",H103=""),"",IF(G103*H103&gt;=15,"High",IF(G103*H103&gt;=8,"Medium","Low")))</f>
        <v/>
      </c>
      <c r="K103" s="4" t="n"/>
      <c r="L103" s="12" t="n"/>
      <c r="M103" s="4" t="n"/>
      <c r="N103" s="12" t="n"/>
      <c r="O103" s="12" t="n"/>
    </row>
    <row r="104">
      <c r="A104" s="4" t="n"/>
      <c r="B104" s="4" t="n"/>
      <c r="C104" s="4" t="n"/>
      <c r="D104" s="4" t="n"/>
      <c r="E104" s="4" t="n"/>
      <c r="F104" s="4" t="n"/>
      <c r="G104" s="4" t="n"/>
      <c r="H104" s="4" t="n"/>
      <c r="I104" s="4">
        <f>IF(OR(G104="",H104=""),"",G104*H104)</f>
        <v/>
      </c>
      <c r="J104" s="4">
        <f>IF(OR(G104="",H104=""),"",IF(G104*H104&gt;=15,"High",IF(G104*H104&gt;=8,"Medium","Low")))</f>
        <v/>
      </c>
      <c r="K104" s="4" t="n"/>
      <c r="L104" s="12" t="n"/>
      <c r="M104" s="4" t="n"/>
      <c r="N104" s="12" t="n"/>
      <c r="O104" s="12" t="n"/>
    </row>
    <row r="105">
      <c r="A105" s="4" t="n"/>
      <c r="B105" s="4" t="n"/>
      <c r="C105" s="4" t="n"/>
      <c r="D105" s="4" t="n"/>
      <c r="E105" s="4" t="n"/>
      <c r="F105" s="4" t="n"/>
      <c r="G105" s="4" t="n"/>
      <c r="H105" s="4" t="n"/>
      <c r="I105" s="4">
        <f>IF(OR(G105="",H105=""),"",G105*H105)</f>
        <v/>
      </c>
      <c r="J105" s="4">
        <f>IF(OR(G105="",H105=""),"",IF(G105*H105&gt;=15,"High",IF(G105*H105&gt;=8,"Medium","Low")))</f>
        <v/>
      </c>
      <c r="K105" s="4" t="n"/>
      <c r="L105" s="12" t="n"/>
      <c r="M105" s="4" t="n"/>
      <c r="N105" s="12" t="n"/>
      <c r="O105" s="12" t="n"/>
    </row>
    <row r="106">
      <c r="A106" s="4" t="n"/>
      <c r="B106" s="4" t="n"/>
      <c r="C106" s="4" t="n"/>
      <c r="D106" s="4" t="n"/>
      <c r="E106" s="4" t="n"/>
      <c r="F106" s="4" t="n"/>
      <c r="G106" s="4" t="n"/>
      <c r="H106" s="4" t="n"/>
      <c r="I106" s="4">
        <f>IF(OR(G106="",H106=""),"",G106*H106)</f>
        <v/>
      </c>
      <c r="J106" s="4">
        <f>IF(OR(G106="",H106=""),"",IF(G106*H106&gt;=15,"High",IF(G106*H106&gt;=8,"Medium","Low")))</f>
        <v/>
      </c>
      <c r="K106" s="4" t="n"/>
      <c r="L106" s="12" t="n"/>
      <c r="M106" s="4" t="n"/>
      <c r="N106" s="12" t="n"/>
      <c r="O106" s="12" t="n"/>
    </row>
    <row r="107">
      <c r="A107" s="4" t="n"/>
      <c r="B107" s="4" t="n"/>
      <c r="C107" s="4" t="n"/>
      <c r="D107" s="4" t="n"/>
      <c r="E107" s="4" t="n"/>
      <c r="F107" s="4" t="n"/>
      <c r="G107" s="4" t="n"/>
      <c r="H107" s="4" t="n"/>
      <c r="I107" s="4">
        <f>IF(OR(G107="",H107=""),"",G107*H107)</f>
        <v/>
      </c>
      <c r="J107" s="4">
        <f>IF(OR(G107="",H107=""),"",IF(G107*H107&gt;=15,"High",IF(G107*H107&gt;=8,"Medium","Low")))</f>
        <v/>
      </c>
      <c r="K107" s="4" t="n"/>
      <c r="L107" s="12" t="n"/>
      <c r="M107" s="4" t="n"/>
      <c r="N107" s="12" t="n"/>
      <c r="O107" s="12" t="n"/>
    </row>
    <row r="108">
      <c r="A108" s="4" t="n"/>
      <c r="B108" s="4" t="n"/>
      <c r="C108" s="4" t="n"/>
      <c r="D108" s="4" t="n"/>
      <c r="E108" s="4" t="n"/>
      <c r="F108" s="4" t="n"/>
      <c r="G108" s="4" t="n"/>
      <c r="H108" s="4" t="n"/>
      <c r="I108" s="4">
        <f>IF(OR(G108="",H108=""),"",G108*H108)</f>
        <v/>
      </c>
      <c r="J108" s="4">
        <f>IF(OR(G108="",H108=""),"",IF(G108*H108&gt;=15,"High",IF(G108*H108&gt;=8,"Medium","Low")))</f>
        <v/>
      </c>
      <c r="K108" s="4" t="n"/>
      <c r="L108" s="12" t="n"/>
      <c r="M108" s="4" t="n"/>
      <c r="N108" s="12" t="n"/>
      <c r="O108" s="12" t="n"/>
    </row>
    <row r="109">
      <c r="A109" s="4" t="n"/>
      <c r="B109" s="4" t="n"/>
      <c r="C109" s="4" t="n"/>
      <c r="D109" s="4" t="n"/>
      <c r="E109" s="4" t="n"/>
      <c r="F109" s="4" t="n"/>
      <c r="G109" s="4" t="n"/>
      <c r="H109" s="4" t="n"/>
      <c r="I109" s="4">
        <f>IF(OR(G109="",H109=""),"",G109*H109)</f>
        <v/>
      </c>
      <c r="J109" s="4">
        <f>IF(OR(G109="",H109=""),"",IF(G109*H109&gt;=15,"High",IF(G109*H109&gt;=8,"Medium","Low")))</f>
        <v/>
      </c>
      <c r="K109" s="4" t="n"/>
      <c r="L109" s="12" t="n"/>
      <c r="M109" s="4" t="n"/>
      <c r="N109" s="12" t="n"/>
      <c r="O109" s="12" t="n"/>
    </row>
    <row r="110">
      <c r="A110" s="4" t="n"/>
      <c r="B110" s="4" t="n"/>
      <c r="C110" s="4" t="n"/>
      <c r="D110" s="4" t="n"/>
      <c r="E110" s="4" t="n"/>
      <c r="F110" s="4" t="n"/>
      <c r="G110" s="4" t="n"/>
      <c r="H110" s="4" t="n"/>
      <c r="I110" s="4">
        <f>IF(OR(G110="",H110=""),"",G110*H110)</f>
        <v/>
      </c>
      <c r="J110" s="4">
        <f>IF(OR(G110="",H110=""),"",IF(G110*H110&gt;=15,"High",IF(G110*H110&gt;=8,"Medium","Low")))</f>
        <v/>
      </c>
      <c r="K110" s="4" t="n"/>
      <c r="L110" s="12" t="n"/>
      <c r="M110" s="4" t="n"/>
      <c r="N110" s="12" t="n"/>
      <c r="O110" s="12" t="n"/>
    </row>
    <row r="111">
      <c r="A111" s="4" t="n"/>
      <c r="B111" s="4" t="n"/>
      <c r="C111" s="4" t="n"/>
      <c r="D111" s="4" t="n"/>
      <c r="E111" s="4" t="n"/>
      <c r="F111" s="4" t="n"/>
      <c r="G111" s="4" t="n"/>
      <c r="H111" s="4" t="n"/>
      <c r="I111" s="4">
        <f>IF(OR(G111="",H111=""),"",G111*H111)</f>
        <v/>
      </c>
      <c r="J111" s="4">
        <f>IF(OR(G111="",H111=""),"",IF(G111*H111&gt;=15,"High",IF(G111*H111&gt;=8,"Medium","Low")))</f>
        <v/>
      </c>
      <c r="K111" s="4" t="n"/>
      <c r="L111" s="12" t="n"/>
      <c r="M111" s="4" t="n"/>
      <c r="N111" s="12" t="n"/>
      <c r="O111" s="12" t="n"/>
    </row>
    <row r="112">
      <c r="A112" s="4" t="n"/>
      <c r="B112" s="4" t="n"/>
      <c r="C112" s="4" t="n"/>
      <c r="D112" s="4" t="n"/>
      <c r="E112" s="4" t="n"/>
      <c r="F112" s="4" t="n"/>
      <c r="G112" s="4" t="n"/>
      <c r="H112" s="4" t="n"/>
      <c r="I112" s="4">
        <f>IF(OR(G112="",H112=""),"",G112*H112)</f>
        <v/>
      </c>
      <c r="J112" s="4">
        <f>IF(OR(G112="",H112=""),"",IF(G112*H112&gt;=15,"High",IF(G112*H112&gt;=8,"Medium","Low")))</f>
        <v/>
      </c>
      <c r="K112" s="4" t="n"/>
      <c r="L112" s="12" t="n"/>
      <c r="M112" s="4" t="n"/>
      <c r="N112" s="12" t="n"/>
      <c r="O112" s="12" t="n"/>
    </row>
    <row r="113">
      <c r="A113" s="4" t="n"/>
      <c r="B113" s="4" t="n"/>
      <c r="C113" s="4" t="n"/>
      <c r="D113" s="4" t="n"/>
      <c r="E113" s="4" t="n"/>
      <c r="F113" s="4" t="n"/>
      <c r="G113" s="4" t="n"/>
      <c r="H113" s="4" t="n"/>
      <c r="I113" s="4">
        <f>IF(OR(G113="",H113=""),"",G113*H113)</f>
        <v/>
      </c>
      <c r="J113" s="4">
        <f>IF(OR(G113="",H113=""),"",IF(G113*H113&gt;=15,"High",IF(G113*H113&gt;=8,"Medium","Low")))</f>
        <v/>
      </c>
      <c r="K113" s="4" t="n"/>
      <c r="L113" s="12" t="n"/>
      <c r="M113" s="4" t="n"/>
      <c r="N113" s="12" t="n"/>
      <c r="O113" s="12" t="n"/>
    </row>
    <row r="114">
      <c r="A114" s="4" t="n"/>
      <c r="B114" s="4" t="n"/>
      <c r="C114" s="4" t="n"/>
      <c r="D114" s="4" t="n"/>
      <c r="E114" s="4" t="n"/>
      <c r="F114" s="4" t="n"/>
      <c r="G114" s="4" t="n"/>
      <c r="H114" s="4" t="n"/>
      <c r="I114" s="4">
        <f>IF(OR(G114="",H114=""),"",G114*H114)</f>
        <v/>
      </c>
      <c r="J114" s="4">
        <f>IF(OR(G114="",H114=""),"",IF(G114*H114&gt;=15,"High",IF(G114*H114&gt;=8,"Medium","Low")))</f>
        <v/>
      </c>
      <c r="K114" s="4" t="n"/>
      <c r="L114" s="12" t="n"/>
      <c r="M114" s="4" t="n"/>
      <c r="N114" s="12" t="n"/>
      <c r="O114" s="12" t="n"/>
    </row>
    <row r="115">
      <c r="A115" s="4" t="n"/>
      <c r="B115" s="4" t="n"/>
      <c r="C115" s="4" t="n"/>
      <c r="D115" s="4" t="n"/>
      <c r="E115" s="4" t="n"/>
      <c r="F115" s="4" t="n"/>
      <c r="G115" s="4" t="n"/>
      <c r="H115" s="4" t="n"/>
      <c r="I115" s="4">
        <f>IF(OR(G115="",H115=""),"",G115*H115)</f>
        <v/>
      </c>
      <c r="J115" s="4">
        <f>IF(OR(G115="",H115=""),"",IF(G115*H115&gt;=15,"High",IF(G115*H115&gt;=8,"Medium","Low")))</f>
        <v/>
      </c>
      <c r="K115" s="4" t="n"/>
      <c r="L115" s="12" t="n"/>
      <c r="M115" s="4" t="n"/>
      <c r="N115" s="12" t="n"/>
      <c r="O115" s="12" t="n"/>
    </row>
    <row r="116">
      <c r="A116" s="4" t="n"/>
      <c r="B116" s="4" t="n"/>
      <c r="C116" s="4" t="n"/>
      <c r="D116" s="4" t="n"/>
      <c r="E116" s="4" t="n"/>
      <c r="F116" s="4" t="n"/>
      <c r="G116" s="4" t="n"/>
      <c r="H116" s="4" t="n"/>
      <c r="I116" s="4">
        <f>IF(OR(G116="",H116=""),"",G116*H116)</f>
        <v/>
      </c>
      <c r="J116" s="4">
        <f>IF(OR(G116="",H116=""),"",IF(G116*H116&gt;=15,"High",IF(G116*H116&gt;=8,"Medium","Low")))</f>
        <v/>
      </c>
      <c r="K116" s="4" t="n"/>
      <c r="L116" s="12" t="n"/>
      <c r="M116" s="4" t="n"/>
      <c r="N116" s="12" t="n"/>
      <c r="O116" s="12" t="n"/>
    </row>
    <row r="117">
      <c r="A117" s="4" t="n"/>
      <c r="B117" s="4" t="n"/>
      <c r="C117" s="4" t="n"/>
      <c r="D117" s="4" t="n"/>
      <c r="E117" s="4" t="n"/>
      <c r="F117" s="4" t="n"/>
      <c r="G117" s="4" t="n"/>
      <c r="H117" s="4" t="n"/>
      <c r="I117" s="4">
        <f>IF(OR(G117="",H117=""),"",G117*H117)</f>
        <v/>
      </c>
      <c r="J117" s="4">
        <f>IF(OR(G117="",H117=""),"",IF(G117*H117&gt;=15,"High",IF(G117*H117&gt;=8,"Medium","Low")))</f>
        <v/>
      </c>
      <c r="K117" s="4" t="n"/>
      <c r="L117" s="12" t="n"/>
      <c r="M117" s="4" t="n"/>
      <c r="N117" s="12" t="n"/>
      <c r="O117" s="12" t="n"/>
    </row>
    <row r="118">
      <c r="A118" s="4" t="n"/>
      <c r="B118" s="4" t="n"/>
      <c r="C118" s="4" t="n"/>
      <c r="D118" s="4" t="n"/>
      <c r="E118" s="4" t="n"/>
      <c r="F118" s="4" t="n"/>
      <c r="G118" s="4" t="n"/>
      <c r="H118" s="4" t="n"/>
      <c r="I118" s="4">
        <f>IF(OR(G118="",H118=""),"",G118*H118)</f>
        <v/>
      </c>
      <c r="J118" s="4">
        <f>IF(OR(G118="",H118=""),"",IF(G118*H118&gt;=15,"High",IF(G118*H118&gt;=8,"Medium","Low")))</f>
        <v/>
      </c>
      <c r="K118" s="4" t="n"/>
      <c r="L118" s="12" t="n"/>
      <c r="M118" s="4" t="n"/>
      <c r="N118" s="12" t="n"/>
      <c r="O118" s="12" t="n"/>
    </row>
    <row r="119">
      <c r="A119" s="4" t="n"/>
      <c r="B119" s="4" t="n"/>
      <c r="C119" s="4" t="n"/>
      <c r="D119" s="4" t="n"/>
      <c r="E119" s="4" t="n"/>
      <c r="F119" s="4" t="n"/>
      <c r="G119" s="4" t="n"/>
      <c r="H119" s="4" t="n"/>
      <c r="I119" s="4">
        <f>IF(OR(G119="",H119=""),"",G119*H119)</f>
        <v/>
      </c>
      <c r="J119" s="4">
        <f>IF(OR(G119="",H119=""),"",IF(G119*H119&gt;=15,"High",IF(G119*H119&gt;=8,"Medium","Low")))</f>
        <v/>
      </c>
      <c r="K119" s="4" t="n"/>
      <c r="L119" s="12" t="n"/>
      <c r="M119" s="4" t="n"/>
      <c r="N119" s="12" t="n"/>
      <c r="O119" s="12" t="n"/>
    </row>
    <row r="120">
      <c r="A120" s="4" t="n"/>
      <c r="B120" s="4" t="n"/>
      <c r="C120" s="4" t="n"/>
      <c r="D120" s="4" t="n"/>
      <c r="E120" s="4" t="n"/>
      <c r="F120" s="4" t="n"/>
      <c r="G120" s="4" t="n"/>
      <c r="H120" s="4" t="n"/>
      <c r="I120" s="4">
        <f>IF(OR(G120="",H120=""),"",G120*H120)</f>
        <v/>
      </c>
      <c r="J120" s="4">
        <f>IF(OR(G120="",H120=""),"",IF(G120*H120&gt;=15,"High",IF(G120*H120&gt;=8,"Medium","Low")))</f>
        <v/>
      </c>
      <c r="K120" s="4" t="n"/>
      <c r="L120" s="12" t="n"/>
      <c r="M120" s="4" t="n"/>
      <c r="N120" s="12" t="n"/>
      <c r="O120" s="12" t="n"/>
    </row>
    <row r="121">
      <c r="A121" s="4" t="n"/>
      <c r="B121" s="4" t="n"/>
      <c r="C121" s="4" t="n"/>
      <c r="D121" s="4" t="n"/>
      <c r="E121" s="4" t="n"/>
      <c r="F121" s="4" t="n"/>
      <c r="G121" s="4" t="n"/>
      <c r="H121" s="4" t="n"/>
      <c r="I121" s="4">
        <f>IF(OR(G121="",H121=""),"",G121*H121)</f>
        <v/>
      </c>
      <c r="J121" s="4">
        <f>IF(OR(G121="",H121=""),"",IF(G121*H121&gt;=15,"High",IF(G121*H121&gt;=8,"Medium","Low")))</f>
        <v/>
      </c>
      <c r="K121" s="4" t="n"/>
      <c r="L121" s="12" t="n"/>
      <c r="M121" s="4" t="n"/>
      <c r="N121" s="12" t="n"/>
      <c r="O121" s="12" t="n"/>
    </row>
    <row r="122">
      <c r="A122" s="4" t="n"/>
      <c r="B122" s="4" t="n"/>
      <c r="C122" s="4" t="n"/>
      <c r="D122" s="4" t="n"/>
      <c r="E122" s="4" t="n"/>
      <c r="F122" s="4" t="n"/>
      <c r="G122" s="4" t="n"/>
      <c r="H122" s="4" t="n"/>
      <c r="I122" s="4">
        <f>IF(OR(G122="",H122=""),"",G122*H122)</f>
        <v/>
      </c>
      <c r="J122" s="4">
        <f>IF(OR(G122="",H122=""),"",IF(G122*H122&gt;=15,"High",IF(G122*H122&gt;=8,"Medium","Low")))</f>
        <v/>
      </c>
      <c r="K122" s="4" t="n"/>
      <c r="L122" s="12" t="n"/>
      <c r="M122" s="4" t="n"/>
      <c r="N122" s="12" t="n"/>
      <c r="O122" s="12" t="n"/>
    </row>
    <row r="123">
      <c r="A123" s="4" t="n"/>
      <c r="B123" s="4" t="n"/>
      <c r="C123" s="4" t="n"/>
      <c r="D123" s="4" t="n"/>
      <c r="E123" s="4" t="n"/>
      <c r="F123" s="4" t="n"/>
      <c r="G123" s="4" t="n"/>
      <c r="H123" s="4" t="n"/>
      <c r="I123" s="4">
        <f>IF(OR(G123="",H123=""),"",G123*H123)</f>
        <v/>
      </c>
      <c r="J123" s="4">
        <f>IF(OR(G123="",H123=""),"",IF(G123*H123&gt;=15,"High",IF(G123*H123&gt;=8,"Medium","Low")))</f>
        <v/>
      </c>
      <c r="K123" s="4" t="n"/>
      <c r="L123" s="12" t="n"/>
      <c r="M123" s="4" t="n"/>
      <c r="N123" s="12" t="n"/>
      <c r="O123" s="12" t="n"/>
    </row>
    <row r="124">
      <c r="A124" s="4" t="n"/>
      <c r="B124" s="4" t="n"/>
      <c r="C124" s="4" t="n"/>
      <c r="D124" s="4" t="n"/>
      <c r="E124" s="4" t="n"/>
      <c r="F124" s="4" t="n"/>
      <c r="G124" s="4" t="n"/>
      <c r="H124" s="4" t="n"/>
      <c r="I124" s="4">
        <f>IF(OR(G124="",H124=""),"",G124*H124)</f>
        <v/>
      </c>
      <c r="J124" s="4">
        <f>IF(OR(G124="",H124=""),"",IF(G124*H124&gt;=15,"High",IF(G124*H124&gt;=8,"Medium","Low")))</f>
        <v/>
      </c>
      <c r="K124" s="4" t="n"/>
      <c r="L124" s="12" t="n"/>
      <c r="M124" s="4" t="n"/>
      <c r="N124" s="12" t="n"/>
      <c r="O124" s="12" t="n"/>
    </row>
    <row r="125">
      <c r="A125" s="4" t="n"/>
      <c r="B125" s="4" t="n"/>
      <c r="C125" s="4" t="n"/>
      <c r="D125" s="4" t="n"/>
      <c r="E125" s="4" t="n"/>
      <c r="F125" s="4" t="n"/>
      <c r="G125" s="4" t="n"/>
      <c r="H125" s="4" t="n"/>
      <c r="I125" s="4">
        <f>IF(OR(G125="",H125=""),"",G125*H125)</f>
        <v/>
      </c>
      <c r="J125" s="4">
        <f>IF(OR(G125="",H125=""),"",IF(G125*H125&gt;=15,"High",IF(G125*H125&gt;=8,"Medium","Low")))</f>
        <v/>
      </c>
      <c r="K125" s="4" t="n"/>
      <c r="L125" s="12" t="n"/>
      <c r="M125" s="4" t="n"/>
      <c r="N125" s="12" t="n"/>
      <c r="O125" s="12" t="n"/>
    </row>
    <row r="126">
      <c r="A126" s="4" t="n"/>
      <c r="B126" s="4" t="n"/>
      <c r="C126" s="4" t="n"/>
      <c r="D126" s="4" t="n"/>
      <c r="E126" s="4" t="n"/>
      <c r="F126" s="4" t="n"/>
      <c r="G126" s="4" t="n"/>
      <c r="H126" s="4" t="n"/>
      <c r="I126" s="4">
        <f>IF(OR(G126="",H126=""),"",G126*H126)</f>
        <v/>
      </c>
      <c r="J126" s="4">
        <f>IF(OR(G126="",H126=""),"",IF(G126*H126&gt;=15,"High",IF(G126*H126&gt;=8,"Medium","Low")))</f>
        <v/>
      </c>
      <c r="K126" s="4" t="n"/>
      <c r="L126" s="12" t="n"/>
      <c r="M126" s="4" t="n"/>
      <c r="N126" s="12" t="n"/>
      <c r="O126" s="12" t="n"/>
    </row>
    <row r="127">
      <c r="A127" s="4" t="n"/>
      <c r="B127" s="4" t="n"/>
      <c r="C127" s="4" t="n"/>
      <c r="D127" s="4" t="n"/>
      <c r="E127" s="4" t="n"/>
      <c r="F127" s="4" t="n"/>
      <c r="G127" s="4" t="n"/>
      <c r="H127" s="4" t="n"/>
      <c r="I127" s="4">
        <f>IF(OR(G127="",H127=""),"",G127*H127)</f>
        <v/>
      </c>
      <c r="J127" s="4">
        <f>IF(OR(G127="",H127=""),"",IF(G127*H127&gt;=15,"High",IF(G127*H127&gt;=8,"Medium","Low")))</f>
        <v/>
      </c>
      <c r="K127" s="4" t="n"/>
      <c r="L127" s="12" t="n"/>
      <c r="M127" s="4" t="n"/>
      <c r="N127" s="12" t="n"/>
      <c r="O127" s="12" t="n"/>
    </row>
    <row r="128">
      <c r="A128" s="4" t="n"/>
      <c r="B128" s="4" t="n"/>
      <c r="C128" s="4" t="n"/>
      <c r="D128" s="4" t="n"/>
      <c r="E128" s="4" t="n"/>
      <c r="F128" s="4" t="n"/>
      <c r="G128" s="4" t="n"/>
      <c r="H128" s="4" t="n"/>
      <c r="I128" s="4">
        <f>IF(OR(G128="",H128=""),"",G128*H128)</f>
        <v/>
      </c>
      <c r="J128" s="4">
        <f>IF(OR(G128="",H128=""),"",IF(G128*H128&gt;=15,"High",IF(G128*H128&gt;=8,"Medium","Low")))</f>
        <v/>
      </c>
      <c r="K128" s="4" t="n"/>
      <c r="L128" s="12" t="n"/>
      <c r="M128" s="4" t="n"/>
      <c r="N128" s="12" t="n"/>
      <c r="O128" s="12" t="n"/>
    </row>
    <row r="129">
      <c r="A129" s="4" t="n"/>
      <c r="B129" s="4" t="n"/>
      <c r="C129" s="4" t="n"/>
      <c r="D129" s="4" t="n"/>
      <c r="E129" s="4" t="n"/>
      <c r="F129" s="4" t="n"/>
      <c r="G129" s="4" t="n"/>
      <c r="H129" s="4" t="n"/>
      <c r="I129" s="4">
        <f>IF(OR(G129="",H129=""),"",G129*H129)</f>
        <v/>
      </c>
      <c r="J129" s="4">
        <f>IF(OR(G129="",H129=""),"",IF(G129*H129&gt;=15,"High",IF(G129*H129&gt;=8,"Medium","Low")))</f>
        <v/>
      </c>
      <c r="K129" s="4" t="n"/>
      <c r="L129" s="12" t="n"/>
      <c r="M129" s="4" t="n"/>
      <c r="N129" s="12" t="n"/>
      <c r="O129" s="12" t="n"/>
    </row>
    <row r="130">
      <c r="A130" s="4" t="n"/>
      <c r="B130" s="4" t="n"/>
      <c r="C130" s="4" t="n"/>
      <c r="D130" s="4" t="n"/>
      <c r="E130" s="4" t="n"/>
      <c r="F130" s="4" t="n"/>
      <c r="G130" s="4" t="n"/>
      <c r="H130" s="4" t="n"/>
      <c r="I130" s="4">
        <f>IF(OR(G130="",H130=""),"",G130*H130)</f>
        <v/>
      </c>
      <c r="J130" s="4">
        <f>IF(OR(G130="",H130=""),"",IF(G130*H130&gt;=15,"High",IF(G130*H130&gt;=8,"Medium","Low")))</f>
        <v/>
      </c>
      <c r="K130" s="4" t="n"/>
      <c r="L130" s="12" t="n"/>
      <c r="M130" s="4" t="n"/>
      <c r="N130" s="12" t="n"/>
      <c r="O130" s="12" t="n"/>
    </row>
    <row r="131">
      <c r="A131" s="4" t="n"/>
      <c r="B131" s="4" t="n"/>
      <c r="C131" s="4" t="n"/>
      <c r="D131" s="4" t="n"/>
      <c r="E131" s="4" t="n"/>
      <c r="F131" s="4" t="n"/>
      <c r="G131" s="4" t="n"/>
      <c r="H131" s="4" t="n"/>
      <c r="I131" s="4">
        <f>IF(OR(G131="",H131=""),"",G131*H131)</f>
        <v/>
      </c>
      <c r="J131" s="4">
        <f>IF(OR(G131="",H131=""),"",IF(G131*H131&gt;=15,"High",IF(G131*H131&gt;=8,"Medium","Low")))</f>
        <v/>
      </c>
      <c r="K131" s="4" t="n"/>
      <c r="L131" s="12" t="n"/>
      <c r="M131" s="4" t="n"/>
      <c r="N131" s="12" t="n"/>
      <c r="O131" s="12" t="n"/>
    </row>
    <row r="132">
      <c r="A132" s="4" t="n"/>
      <c r="B132" s="4" t="n"/>
      <c r="C132" s="4" t="n"/>
      <c r="D132" s="4" t="n"/>
      <c r="E132" s="4" t="n"/>
      <c r="F132" s="4" t="n"/>
      <c r="G132" s="4" t="n"/>
      <c r="H132" s="4" t="n"/>
      <c r="I132" s="4">
        <f>IF(OR(G132="",H132=""),"",G132*H132)</f>
        <v/>
      </c>
      <c r="J132" s="4">
        <f>IF(OR(G132="",H132=""),"",IF(G132*H132&gt;=15,"High",IF(G132*H132&gt;=8,"Medium","Low")))</f>
        <v/>
      </c>
      <c r="K132" s="4" t="n"/>
      <c r="L132" s="12" t="n"/>
      <c r="M132" s="4" t="n"/>
      <c r="N132" s="12" t="n"/>
      <c r="O132" s="12" t="n"/>
    </row>
    <row r="133">
      <c r="A133" s="4" t="n"/>
      <c r="B133" s="4" t="n"/>
      <c r="C133" s="4" t="n"/>
      <c r="D133" s="4" t="n"/>
      <c r="E133" s="4" t="n"/>
      <c r="F133" s="4" t="n"/>
      <c r="G133" s="4" t="n"/>
      <c r="H133" s="4" t="n"/>
      <c r="I133" s="4">
        <f>IF(OR(G133="",H133=""),"",G133*H133)</f>
        <v/>
      </c>
      <c r="J133" s="4">
        <f>IF(OR(G133="",H133=""),"",IF(G133*H133&gt;=15,"High",IF(G133*H133&gt;=8,"Medium","Low")))</f>
        <v/>
      </c>
      <c r="K133" s="4" t="n"/>
      <c r="L133" s="12" t="n"/>
      <c r="M133" s="4" t="n"/>
      <c r="N133" s="12" t="n"/>
      <c r="O133" s="12" t="n"/>
    </row>
    <row r="134">
      <c r="A134" s="4" t="n"/>
      <c r="B134" s="4" t="n"/>
      <c r="C134" s="4" t="n"/>
      <c r="D134" s="4" t="n"/>
      <c r="E134" s="4" t="n"/>
      <c r="F134" s="4" t="n"/>
      <c r="G134" s="4" t="n"/>
      <c r="H134" s="4" t="n"/>
      <c r="I134" s="4">
        <f>IF(OR(G134="",H134=""),"",G134*H134)</f>
        <v/>
      </c>
      <c r="J134" s="4">
        <f>IF(OR(G134="",H134=""),"",IF(G134*H134&gt;=15,"High",IF(G134*H134&gt;=8,"Medium","Low")))</f>
        <v/>
      </c>
      <c r="K134" s="4" t="n"/>
      <c r="L134" s="12" t="n"/>
      <c r="M134" s="4" t="n"/>
      <c r="N134" s="12" t="n"/>
      <c r="O134" s="12" t="n"/>
    </row>
    <row r="135">
      <c r="A135" s="4" t="n"/>
      <c r="B135" s="4" t="n"/>
      <c r="C135" s="4" t="n"/>
      <c r="D135" s="4" t="n"/>
      <c r="E135" s="4" t="n"/>
      <c r="F135" s="4" t="n"/>
      <c r="G135" s="4" t="n"/>
      <c r="H135" s="4" t="n"/>
      <c r="I135" s="4">
        <f>IF(OR(G135="",H135=""),"",G135*H135)</f>
        <v/>
      </c>
      <c r="J135" s="4">
        <f>IF(OR(G135="",H135=""),"",IF(G135*H135&gt;=15,"High",IF(G135*H135&gt;=8,"Medium","Low")))</f>
        <v/>
      </c>
      <c r="K135" s="4" t="n"/>
      <c r="L135" s="12" t="n"/>
      <c r="M135" s="4" t="n"/>
      <c r="N135" s="12" t="n"/>
      <c r="O135" s="12" t="n"/>
    </row>
    <row r="136">
      <c r="A136" s="4" t="n"/>
      <c r="B136" s="4" t="n"/>
      <c r="C136" s="4" t="n"/>
      <c r="D136" s="4" t="n"/>
      <c r="E136" s="4" t="n"/>
      <c r="F136" s="4" t="n"/>
      <c r="G136" s="4" t="n"/>
      <c r="H136" s="4" t="n"/>
      <c r="I136" s="4">
        <f>IF(OR(G136="",H136=""),"",G136*H136)</f>
        <v/>
      </c>
      <c r="J136" s="4">
        <f>IF(OR(G136="",H136=""),"",IF(G136*H136&gt;=15,"High",IF(G136*H136&gt;=8,"Medium","Low")))</f>
        <v/>
      </c>
      <c r="K136" s="4" t="n"/>
      <c r="L136" s="12" t="n"/>
      <c r="M136" s="4" t="n"/>
      <c r="N136" s="12" t="n"/>
      <c r="O136" s="12" t="n"/>
    </row>
    <row r="137">
      <c r="A137" s="4" t="n"/>
      <c r="B137" s="4" t="n"/>
      <c r="C137" s="4" t="n"/>
      <c r="D137" s="4" t="n"/>
      <c r="E137" s="4" t="n"/>
      <c r="F137" s="4" t="n"/>
      <c r="G137" s="4" t="n"/>
      <c r="H137" s="4" t="n"/>
      <c r="I137" s="4">
        <f>IF(OR(G137="",H137=""),"",G137*H137)</f>
        <v/>
      </c>
      <c r="J137" s="4">
        <f>IF(OR(G137="",H137=""),"",IF(G137*H137&gt;=15,"High",IF(G137*H137&gt;=8,"Medium","Low")))</f>
        <v/>
      </c>
      <c r="K137" s="4" t="n"/>
      <c r="L137" s="12" t="n"/>
      <c r="M137" s="4" t="n"/>
      <c r="N137" s="12" t="n"/>
      <c r="O137" s="12" t="n"/>
    </row>
    <row r="138">
      <c r="A138" s="4" t="n"/>
      <c r="B138" s="4" t="n"/>
      <c r="C138" s="4" t="n"/>
      <c r="D138" s="4" t="n"/>
      <c r="E138" s="4" t="n"/>
      <c r="F138" s="4" t="n"/>
      <c r="G138" s="4" t="n"/>
      <c r="H138" s="4" t="n"/>
      <c r="I138" s="4">
        <f>IF(OR(G138="",H138=""),"",G138*H138)</f>
        <v/>
      </c>
      <c r="J138" s="4">
        <f>IF(OR(G138="",H138=""),"",IF(G138*H138&gt;=15,"High",IF(G138*H138&gt;=8,"Medium","Low")))</f>
        <v/>
      </c>
      <c r="K138" s="4" t="n"/>
      <c r="L138" s="12" t="n"/>
      <c r="M138" s="4" t="n"/>
      <c r="N138" s="12" t="n"/>
      <c r="O138" s="12" t="n"/>
    </row>
    <row r="139">
      <c r="A139" s="4" t="n"/>
      <c r="B139" s="4" t="n"/>
      <c r="C139" s="4" t="n"/>
      <c r="D139" s="4" t="n"/>
      <c r="E139" s="4" t="n"/>
      <c r="F139" s="4" t="n"/>
      <c r="G139" s="4" t="n"/>
      <c r="H139" s="4" t="n"/>
      <c r="I139" s="4">
        <f>IF(OR(G139="",H139=""),"",G139*H139)</f>
        <v/>
      </c>
      <c r="J139" s="4">
        <f>IF(OR(G139="",H139=""),"",IF(G139*H139&gt;=15,"High",IF(G139*H139&gt;=8,"Medium","Low")))</f>
        <v/>
      </c>
      <c r="K139" s="4" t="n"/>
      <c r="L139" s="12" t="n"/>
      <c r="M139" s="4" t="n"/>
      <c r="N139" s="12" t="n"/>
      <c r="O139" s="12" t="n"/>
    </row>
    <row r="140">
      <c r="A140" s="4" t="n"/>
      <c r="B140" s="4" t="n"/>
      <c r="C140" s="4" t="n"/>
      <c r="D140" s="4" t="n"/>
      <c r="E140" s="4" t="n"/>
      <c r="F140" s="4" t="n"/>
      <c r="G140" s="4" t="n"/>
      <c r="H140" s="4" t="n"/>
      <c r="I140" s="4">
        <f>IF(OR(G140="",H140=""),"",G140*H140)</f>
        <v/>
      </c>
      <c r="J140" s="4">
        <f>IF(OR(G140="",H140=""),"",IF(G140*H140&gt;=15,"High",IF(G140*H140&gt;=8,"Medium","Low")))</f>
        <v/>
      </c>
      <c r="K140" s="4" t="n"/>
      <c r="L140" s="12" t="n"/>
      <c r="M140" s="4" t="n"/>
      <c r="N140" s="12" t="n"/>
      <c r="O140" s="12" t="n"/>
    </row>
    <row r="141">
      <c r="A141" s="4" t="n"/>
      <c r="B141" s="4" t="n"/>
      <c r="C141" s="4" t="n"/>
      <c r="D141" s="4" t="n"/>
      <c r="E141" s="4" t="n"/>
      <c r="F141" s="4" t="n"/>
      <c r="G141" s="4" t="n"/>
      <c r="H141" s="4" t="n"/>
      <c r="I141" s="4">
        <f>IF(OR(G141="",H141=""),"",G141*H141)</f>
        <v/>
      </c>
      <c r="J141" s="4">
        <f>IF(OR(G141="",H141=""),"",IF(G141*H141&gt;=15,"High",IF(G141*H141&gt;=8,"Medium","Low")))</f>
        <v/>
      </c>
      <c r="K141" s="4" t="n"/>
      <c r="L141" s="12" t="n"/>
      <c r="M141" s="4" t="n"/>
      <c r="N141" s="12" t="n"/>
      <c r="O141" s="12" t="n"/>
    </row>
    <row r="142">
      <c r="A142" s="4" t="n"/>
      <c r="B142" s="4" t="n"/>
      <c r="C142" s="4" t="n"/>
      <c r="D142" s="4" t="n"/>
      <c r="E142" s="4" t="n"/>
      <c r="F142" s="4" t="n"/>
      <c r="G142" s="4" t="n"/>
      <c r="H142" s="4" t="n"/>
      <c r="I142" s="4">
        <f>IF(OR(G142="",H142=""),"",G142*H142)</f>
        <v/>
      </c>
      <c r="J142" s="4">
        <f>IF(OR(G142="",H142=""),"",IF(G142*H142&gt;=15,"High",IF(G142*H142&gt;=8,"Medium","Low")))</f>
        <v/>
      </c>
      <c r="K142" s="4" t="n"/>
      <c r="L142" s="12" t="n"/>
      <c r="M142" s="4" t="n"/>
      <c r="N142" s="12" t="n"/>
      <c r="O142" s="12" t="n"/>
    </row>
    <row r="143">
      <c r="A143" s="4" t="n"/>
      <c r="B143" s="4" t="n"/>
      <c r="C143" s="4" t="n"/>
      <c r="D143" s="4" t="n"/>
      <c r="E143" s="4" t="n"/>
      <c r="F143" s="4" t="n"/>
      <c r="G143" s="4" t="n"/>
      <c r="H143" s="4" t="n"/>
      <c r="I143" s="4">
        <f>IF(OR(G143="",H143=""),"",G143*H143)</f>
        <v/>
      </c>
      <c r="J143" s="4">
        <f>IF(OR(G143="",H143=""),"",IF(G143*H143&gt;=15,"High",IF(G143*H143&gt;=8,"Medium","Low")))</f>
        <v/>
      </c>
      <c r="K143" s="4" t="n"/>
      <c r="L143" s="12" t="n"/>
      <c r="M143" s="4" t="n"/>
      <c r="N143" s="12" t="n"/>
      <c r="O143" s="12" t="n"/>
    </row>
    <row r="144">
      <c r="A144" s="4" t="n"/>
      <c r="B144" s="4" t="n"/>
      <c r="C144" s="4" t="n"/>
      <c r="D144" s="4" t="n"/>
      <c r="E144" s="4" t="n"/>
      <c r="F144" s="4" t="n"/>
      <c r="G144" s="4" t="n"/>
      <c r="H144" s="4" t="n"/>
      <c r="I144" s="4">
        <f>IF(OR(G144="",H144=""),"",G144*H144)</f>
        <v/>
      </c>
      <c r="J144" s="4">
        <f>IF(OR(G144="",H144=""),"",IF(G144*H144&gt;=15,"High",IF(G144*H144&gt;=8,"Medium","Low")))</f>
        <v/>
      </c>
      <c r="K144" s="4" t="n"/>
      <c r="L144" s="12" t="n"/>
      <c r="M144" s="4" t="n"/>
      <c r="N144" s="12" t="n"/>
      <c r="O144" s="12" t="n"/>
    </row>
    <row r="145">
      <c r="A145" s="4" t="n"/>
      <c r="B145" s="4" t="n"/>
      <c r="C145" s="4" t="n"/>
      <c r="D145" s="4" t="n"/>
      <c r="E145" s="4" t="n"/>
      <c r="F145" s="4" t="n"/>
      <c r="G145" s="4" t="n"/>
      <c r="H145" s="4" t="n"/>
      <c r="I145" s="4">
        <f>IF(OR(G145="",H145=""),"",G145*H145)</f>
        <v/>
      </c>
      <c r="J145" s="4">
        <f>IF(OR(G145="",H145=""),"",IF(G145*H145&gt;=15,"High",IF(G145*H145&gt;=8,"Medium","Low")))</f>
        <v/>
      </c>
      <c r="K145" s="4" t="n"/>
      <c r="L145" s="12" t="n"/>
      <c r="M145" s="4" t="n"/>
      <c r="N145" s="12" t="n"/>
      <c r="O145" s="12" t="n"/>
    </row>
    <row r="146">
      <c r="A146" s="4" t="n"/>
      <c r="B146" s="4" t="n"/>
      <c r="C146" s="4" t="n"/>
      <c r="D146" s="4" t="n"/>
      <c r="E146" s="4" t="n"/>
      <c r="F146" s="4" t="n"/>
      <c r="G146" s="4" t="n"/>
      <c r="H146" s="4" t="n"/>
      <c r="I146" s="4">
        <f>IF(OR(G146="",H146=""),"",G146*H146)</f>
        <v/>
      </c>
      <c r="J146" s="4">
        <f>IF(OR(G146="",H146=""),"",IF(G146*H146&gt;=15,"High",IF(G146*H146&gt;=8,"Medium","Low")))</f>
        <v/>
      </c>
      <c r="K146" s="4" t="n"/>
      <c r="L146" s="12" t="n"/>
      <c r="M146" s="4" t="n"/>
      <c r="N146" s="12" t="n"/>
      <c r="O146" s="12" t="n"/>
    </row>
    <row r="147">
      <c r="A147" s="4" t="n"/>
      <c r="B147" s="4" t="n"/>
      <c r="C147" s="4" t="n"/>
      <c r="D147" s="4" t="n"/>
      <c r="E147" s="4" t="n"/>
      <c r="F147" s="4" t="n"/>
      <c r="G147" s="4" t="n"/>
      <c r="H147" s="4" t="n"/>
      <c r="I147" s="4">
        <f>IF(OR(G147="",H147=""),"",G147*H147)</f>
        <v/>
      </c>
      <c r="J147" s="4">
        <f>IF(OR(G147="",H147=""),"",IF(G147*H147&gt;=15,"High",IF(G147*H147&gt;=8,"Medium","Low")))</f>
        <v/>
      </c>
      <c r="K147" s="4" t="n"/>
      <c r="L147" s="12" t="n"/>
      <c r="M147" s="4" t="n"/>
      <c r="N147" s="12" t="n"/>
      <c r="O147" s="12" t="n"/>
    </row>
    <row r="148">
      <c r="A148" s="4" t="n"/>
      <c r="B148" s="4" t="n"/>
      <c r="C148" s="4" t="n"/>
      <c r="D148" s="4" t="n"/>
      <c r="E148" s="4" t="n"/>
      <c r="F148" s="4" t="n"/>
      <c r="G148" s="4" t="n"/>
      <c r="H148" s="4" t="n"/>
      <c r="I148" s="4">
        <f>IF(OR(G148="",H148=""),"",G148*H148)</f>
        <v/>
      </c>
      <c r="J148" s="4">
        <f>IF(OR(G148="",H148=""),"",IF(G148*H148&gt;=15,"High",IF(G148*H148&gt;=8,"Medium","Low")))</f>
        <v/>
      </c>
      <c r="K148" s="4" t="n"/>
      <c r="L148" s="12" t="n"/>
      <c r="M148" s="4" t="n"/>
      <c r="N148" s="12" t="n"/>
      <c r="O148" s="12" t="n"/>
    </row>
    <row r="149">
      <c r="A149" s="4" t="n"/>
      <c r="B149" s="4" t="n"/>
      <c r="C149" s="4" t="n"/>
      <c r="D149" s="4" t="n"/>
      <c r="E149" s="4" t="n"/>
      <c r="F149" s="4" t="n"/>
      <c r="G149" s="4" t="n"/>
      <c r="H149" s="4" t="n"/>
      <c r="I149" s="4">
        <f>IF(OR(G149="",H149=""),"",G149*H149)</f>
        <v/>
      </c>
      <c r="J149" s="4">
        <f>IF(OR(G149="",H149=""),"",IF(G149*H149&gt;=15,"High",IF(G149*H149&gt;=8,"Medium","Low")))</f>
        <v/>
      </c>
      <c r="K149" s="4" t="n"/>
      <c r="L149" s="12" t="n"/>
      <c r="M149" s="4" t="n"/>
      <c r="N149" s="12" t="n"/>
      <c r="O149" s="12" t="n"/>
    </row>
    <row r="150">
      <c r="A150" s="4" t="n"/>
      <c r="B150" s="4" t="n"/>
      <c r="C150" s="4" t="n"/>
      <c r="D150" s="4" t="n"/>
      <c r="E150" s="4" t="n"/>
      <c r="F150" s="4" t="n"/>
      <c r="G150" s="4" t="n"/>
      <c r="H150" s="4" t="n"/>
      <c r="I150" s="4">
        <f>IF(OR(G150="",H150=""),"",G150*H150)</f>
        <v/>
      </c>
      <c r="J150" s="4">
        <f>IF(OR(G150="",H150=""),"",IF(G150*H150&gt;=15,"High",IF(G150*H150&gt;=8,"Medium","Low")))</f>
        <v/>
      </c>
      <c r="K150" s="4" t="n"/>
      <c r="L150" s="12" t="n"/>
      <c r="M150" s="4" t="n"/>
      <c r="N150" s="12" t="n"/>
      <c r="O150" s="12" t="n"/>
    </row>
    <row r="151">
      <c r="A151" s="4" t="n"/>
      <c r="B151" s="4" t="n"/>
      <c r="C151" s="4" t="n"/>
      <c r="D151" s="4" t="n"/>
      <c r="E151" s="4" t="n"/>
      <c r="F151" s="4" t="n"/>
      <c r="G151" s="4" t="n"/>
      <c r="H151" s="4" t="n"/>
      <c r="I151" s="4">
        <f>IF(OR(G151="",H151=""),"",G151*H151)</f>
        <v/>
      </c>
      <c r="J151" s="4">
        <f>IF(OR(G151="",H151=""),"",IF(G151*H151&gt;=15,"High",IF(G151*H151&gt;=8,"Medium","Low")))</f>
        <v/>
      </c>
      <c r="K151" s="4" t="n"/>
      <c r="L151" s="12" t="n"/>
      <c r="M151" s="4" t="n"/>
      <c r="N151" s="12" t="n"/>
      <c r="O151" s="12" t="n"/>
    </row>
    <row r="152">
      <c r="A152" s="4" t="n"/>
      <c r="B152" s="4" t="n"/>
      <c r="C152" s="4" t="n"/>
      <c r="D152" s="4" t="n"/>
      <c r="E152" s="4" t="n"/>
      <c r="F152" s="4" t="n"/>
      <c r="G152" s="4" t="n"/>
      <c r="H152" s="4" t="n"/>
      <c r="I152" s="4">
        <f>IF(OR(G152="",H152=""),"",G152*H152)</f>
        <v/>
      </c>
      <c r="J152" s="4">
        <f>IF(OR(G152="",H152=""),"",IF(G152*H152&gt;=15,"High",IF(G152*H152&gt;=8,"Medium","Low")))</f>
        <v/>
      </c>
      <c r="K152" s="4" t="n"/>
      <c r="L152" s="12" t="n"/>
      <c r="M152" s="4" t="n"/>
      <c r="N152" s="12" t="n"/>
      <c r="O152" s="12" t="n"/>
    </row>
    <row r="153">
      <c r="A153" s="4" t="n"/>
      <c r="B153" s="4" t="n"/>
      <c r="C153" s="4" t="n"/>
      <c r="D153" s="4" t="n"/>
      <c r="E153" s="4" t="n"/>
      <c r="F153" s="4" t="n"/>
      <c r="G153" s="4" t="n"/>
      <c r="H153" s="4" t="n"/>
      <c r="I153" s="4">
        <f>IF(OR(G153="",H153=""),"",G153*H153)</f>
        <v/>
      </c>
      <c r="J153" s="4">
        <f>IF(OR(G153="",H153=""),"",IF(G153*H153&gt;=15,"High",IF(G153*H153&gt;=8,"Medium","Low")))</f>
        <v/>
      </c>
      <c r="K153" s="4" t="n"/>
      <c r="L153" s="12" t="n"/>
      <c r="M153" s="4" t="n"/>
      <c r="N153" s="12" t="n"/>
      <c r="O153" s="12" t="n"/>
    </row>
    <row r="154">
      <c r="A154" s="4" t="n"/>
      <c r="B154" s="4" t="n"/>
      <c r="C154" s="4" t="n"/>
      <c r="D154" s="4" t="n"/>
      <c r="E154" s="4" t="n"/>
      <c r="F154" s="4" t="n"/>
      <c r="G154" s="4" t="n"/>
      <c r="H154" s="4" t="n"/>
      <c r="I154" s="4">
        <f>IF(OR(G154="",H154=""),"",G154*H154)</f>
        <v/>
      </c>
      <c r="J154" s="4">
        <f>IF(OR(G154="",H154=""),"",IF(G154*H154&gt;=15,"High",IF(G154*H154&gt;=8,"Medium","Low")))</f>
        <v/>
      </c>
      <c r="K154" s="4" t="n"/>
      <c r="L154" s="12" t="n"/>
      <c r="M154" s="4" t="n"/>
      <c r="N154" s="12" t="n"/>
      <c r="O154" s="12" t="n"/>
    </row>
    <row r="155">
      <c r="A155" s="4" t="n"/>
      <c r="B155" s="4" t="n"/>
      <c r="C155" s="4" t="n"/>
      <c r="D155" s="4" t="n"/>
      <c r="E155" s="4" t="n"/>
      <c r="F155" s="4" t="n"/>
      <c r="G155" s="4" t="n"/>
      <c r="H155" s="4" t="n"/>
      <c r="I155" s="4">
        <f>IF(OR(G155="",H155=""),"",G155*H155)</f>
        <v/>
      </c>
      <c r="J155" s="4">
        <f>IF(OR(G155="",H155=""),"",IF(G155*H155&gt;=15,"High",IF(G155*H155&gt;=8,"Medium","Low")))</f>
        <v/>
      </c>
      <c r="K155" s="4" t="n"/>
      <c r="L155" s="12" t="n"/>
      <c r="M155" s="4" t="n"/>
      <c r="N155" s="12" t="n"/>
      <c r="O155" s="12" t="n"/>
    </row>
    <row r="156">
      <c r="A156" s="4" t="n"/>
      <c r="B156" s="4" t="n"/>
      <c r="C156" s="4" t="n"/>
      <c r="D156" s="4" t="n"/>
      <c r="E156" s="4" t="n"/>
      <c r="F156" s="4" t="n"/>
      <c r="G156" s="4" t="n"/>
      <c r="H156" s="4" t="n"/>
      <c r="I156" s="4">
        <f>IF(OR(G156="",H156=""),"",G156*H156)</f>
        <v/>
      </c>
      <c r="J156" s="4">
        <f>IF(OR(G156="",H156=""),"",IF(G156*H156&gt;=15,"High",IF(G156*H156&gt;=8,"Medium","Low")))</f>
        <v/>
      </c>
      <c r="K156" s="4" t="n"/>
      <c r="L156" s="12" t="n"/>
      <c r="M156" s="4" t="n"/>
      <c r="N156" s="12" t="n"/>
      <c r="O156" s="12" t="n"/>
    </row>
    <row r="157">
      <c r="A157" s="4" t="n"/>
      <c r="B157" s="4" t="n"/>
      <c r="C157" s="4" t="n"/>
      <c r="D157" s="4" t="n"/>
      <c r="E157" s="4" t="n"/>
      <c r="F157" s="4" t="n"/>
      <c r="G157" s="4" t="n"/>
      <c r="H157" s="4" t="n"/>
      <c r="I157" s="4">
        <f>IF(OR(G157="",H157=""),"",G157*H157)</f>
        <v/>
      </c>
      <c r="J157" s="4">
        <f>IF(OR(G157="",H157=""),"",IF(G157*H157&gt;=15,"High",IF(G157*H157&gt;=8,"Medium","Low")))</f>
        <v/>
      </c>
      <c r="K157" s="4" t="n"/>
      <c r="L157" s="12" t="n"/>
      <c r="M157" s="4" t="n"/>
      <c r="N157" s="12" t="n"/>
      <c r="O157" s="12" t="n"/>
    </row>
    <row r="158">
      <c r="A158" s="4" t="n"/>
      <c r="B158" s="4" t="n"/>
      <c r="C158" s="4" t="n"/>
      <c r="D158" s="4" t="n"/>
      <c r="E158" s="4" t="n"/>
      <c r="F158" s="4" t="n"/>
      <c r="G158" s="4" t="n"/>
      <c r="H158" s="4" t="n"/>
      <c r="I158" s="4">
        <f>IF(OR(G158="",H158=""),"",G158*H158)</f>
        <v/>
      </c>
      <c r="J158" s="4">
        <f>IF(OR(G158="",H158=""),"",IF(G158*H158&gt;=15,"High",IF(G158*H158&gt;=8,"Medium","Low")))</f>
        <v/>
      </c>
      <c r="K158" s="4" t="n"/>
      <c r="L158" s="12" t="n"/>
      <c r="M158" s="4" t="n"/>
      <c r="N158" s="12" t="n"/>
      <c r="O158" s="12" t="n"/>
    </row>
    <row r="159">
      <c r="A159" s="4" t="n"/>
      <c r="B159" s="4" t="n"/>
      <c r="C159" s="4" t="n"/>
      <c r="D159" s="4" t="n"/>
      <c r="E159" s="4" t="n"/>
      <c r="F159" s="4" t="n"/>
      <c r="G159" s="4" t="n"/>
      <c r="H159" s="4" t="n"/>
      <c r="I159" s="4">
        <f>IF(OR(G159="",H159=""),"",G159*H159)</f>
        <v/>
      </c>
      <c r="J159" s="4">
        <f>IF(OR(G159="",H159=""),"",IF(G159*H159&gt;=15,"High",IF(G159*H159&gt;=8,"Medium","Low")))</f>
        <v/>
      </c>
      <c r="K159" s="4" t="n"/>
      <c r="L159" s="12" t="n"/>
      <c r="M159" s="4" t="n"/>
      <c r="N159" s="12" t="n"/>
      <c r="O159" s="12" t="n"/>
    </row>
    <row r="160">
      <c r="A160" s="4" t="n"/>
      <c r="B160" s="4" t="n"/>
      <c r="C160" s="4" t="n"/>
      <c r="D160" s="4" t="n"/>
      <c r="E160" s="4" t="n"/>
      <c r="F160" s="4" t="n"/>
      <c r="G160" s="4" t="n"/>
      <c r="H160" s="4" t="n"/>
      <c r="I160" s="4">
        <f>IF(OR(G160="",H160=""),"",G160*H160)</f>
        <v/>
      </c>
      <c r="J160" s="4">
        <f>IF(OR(G160="",H160=""),"",IF(G160*H160&gt;=15,"High",IF(G160*H160&gt;=8,"Medium","Low")))</f>
        <v/>
      </c>
      <c r="K160" s="4" t="n"/>
      <c r="L160" s="12" t="n"/>
      <c r="M160" s="4" t="n"/>
      <c r="N160" s="12" t="n"/>
      <c r="O160" s="12" t="n"/>
    </row>
    <row r="161">
      <c r="A161" s="4" t="n"/>
      <c r="B161" s="4" t="n"/>
      <c r="C161" s="4" t="n"/>
      <c r="D161" s="4" t="n"/>
      <c r="E161" s="4" t="n"/>
      <c r="F161" s="4" t="n"/>
      <c r="G161" s="4" t="n"/>
      <c r="H161" s="4" t="n"/>
      <c r="I161" s="4">
        <f>IF(OR(G161="",H161=""),"",G161*H161)</f>
        <v/>
      </c>
      <c r="J161" s="4">
        <f>IF(OR(G161="",H161=""),"",IF(G161*H161&gt;=15,"High",IF(G161*H161&gt;=8,"Medium","Low")))</f>
        <v/>
      </c>
      <c r="K161" s="4" t="n"/>
      <c r="L161" s="12" t="n"/>
      <c r="M161" s="4" t="n"/>
      <c r="N161" s="12" t="n"/>
      <c r="O161" s="12" t="n"/>
    </row>
    <row r="162">
      <c r="A162" s="4" t="n"/>
      <c r="B162" s="4" t="n"/>
      <c r="C162" s="4" t="n"/>
      <c r="D162" s="4" t="n"/>
      <c r="E162" s="4" t="n"/>
      <c r="F162" s="4" t="n"/>
      <c r="G162" s="4" t="n"/>
      <c r="H162" s="4" t="n"/>
      <c r="I162" s="4">
        <f>IF(OR(G162="",H162=""),"",G162*H162)</f>
        <v/>
      </c>
      <c r="J162" s="4">
        <f>IF(OR(G162="",H162=""),"",IF(G162*H162&gt;=15,"High",IF(G162*H162&gt;=8,"Medium","Low")))</f>
        <v/>
      </c>
      <c r="K162" s="4" t="n"/>
      <c r="L162" s="12" t="n"/>
      <c r="M162" s="4" t="n"/>
      <c r="N162" s="12" t="n"/>
      <c r="O162" s="12" t="n"/>
    </row>
    <row r="163">
      <c r="A163" s="4" t="n"/>
      <c r="B163" s="4" t="n"/>
      <c r="C163" s="4" t="n"/>
      <c r="D163" s="4" t="n"/>
      <c r="E163" s="4" t="n"/>
      <c r="F163" s="4" t="n"/>
      <c r="G163" s="4" t="n"/>
      <c r="H163" s="4" t="n"/>
      <c r="I163" s="4">
        <f>IF(OR(G163="",H163=""),"",G163*H163)</f>
        <v/>
      </c>
      <c r="J163" s="4">
        <f>IF(OR(G163="",H163=""),"",IF(G163*H163&gt;=15,"High",IF(G163*H163&gt;=8,"Medium","Low")))</f>
        <v/>
      </c>
      <c r="K163" s="4" t="n"/>
      <c r="L163" s="12" t="n"/>
      <c r="M163" s="4" t="n"/>
      <c r="N163" s="12" t="n"/>
      <c r="O163" s="12" t="n"/>
    </row>
    <row r="164">
      <c r="A164" s="4" t="n"/>
      <c r="B164" s="4" t="n"/>
      <c r="C164" s="4" t="n"/>
      <c r="D164" s="4" t="n"/>
      <c r="E164" s="4" t="n"/>
      <c r="F164" s="4" t="n"/>
      <c r="G164" s="4" t="n"/>
      <c r="H164" s="4" t="n"/>
      <c r="I164" s="4">
        <f>IF(OR(G164="",H164=""),"",G164*H164)</f>
        <v/>
      </c>
      <c r="J164" s="4">
        <f>IF(OR(G164="",H164=""),"",IF(G164*H164&gt;=15,"High",IF(G164*H164&gt;=8,"Medium","Low")))</f>
        <v/>
      </c>
      <c r="K164" s="4" t="n"/>
      <c r="L164" s="12" t="n"/>
      <c r="M164" s="4" t="n"/>
      <c r="N164" s="12" t="n"/>
      <c r="O164" s="12" t="n"/>
    </row>
    <row r="165">
      <c r="A165" s="4" t="n"/>
      <c r="B165" s="4" t="n"/>
      <c r="C165" s="4" t="n"/>
      <c r="D165" s="4" t="n"/>
      <c r="E165" s="4" t="n"/>
      <c r="F165" s="4" t="n"/>
      <c r="G165" s="4" t="n"/>
      <c r="H165" s="4" t="n"/>
      <c r="I165" s="4">
        <f>IF(OR(G165="",H165=""),"",G165*H165)</f>
        <v/>
      </c>
      <c r="J165" s="4">
        <f>IF(OR(G165="",H165=""),"",IF(G165*H165&gt;=15,"High",IF(G165*H165&gt;=8,"Medium","Low")))</f>
        <v/>
      </c>
      <c r="K165" s="4" t="n"/>
      <c r="L165" s="12" t="n"/>
      <c r="M165" s="4" t="n"/>
      <c r="N165" s="12" t="n"/>
      <c r="O165" s="12" t="n"/>
    </row>
    <row r="166">
      <c r="A166" s="4" t="n"/>
      <c r="B166" s="4" t="n"/>
      <c r="C166" s="4" t="n"/>
      <c r="D166" s="4" t="n"/>
      <c r="E166" s="4" t="n"/>
      <c r="F166" s="4" t="n"/>
      <c r="G166" s="4" t="n"/>
      <c r="H166" s="4" t="n"/>
      <c r="I166" s="4">
        <f>IF(OR(G166="",H166=""),"",G166*H166)</f>
        <v/>
      </c>
      <c r="J166" s="4">
        <f>IF(OR(G166="",H166=""),"",IF(G166*H166&gt;=15,"High",IF(G166*H166&gt;=8,"Medium","Low")))</f>
        <v/>
      </c>
      <c r="K166" s="4" t="n"/>
      <c r="L166" s="12" t="n"/>
      <c r="M166" s="4" t="n"/>
      <c r="N166" s="12" t="n"/>
      <c r="O166" s="12" t="n"/>
    </row>
    <row r="167">
      <c r="A167" s="4" t="n"/>
      <c r="B167" s="4" t="n"/>
      <c r="C167" s="4" t="n"/>
      <c r="D167" s="4" t="n"/>
      <c r="E167" s="4" t="n"/>
      <c r="F167" s="4" t="n"/>
      <c r="G167" s="4" t="n"/>
      <c r="H167" s="4" t="n"/>
      <c r="I167" s="4">
        <f>IF(OR(G167="",H167=""),"",G167*H167)</f>
        <v/>
      </c>
      <c r="J167" s="4">
        <f>IF(OR(G167="",H167=""),"",IF(G167*H167&gt;=15,"High",IF(G167*H167&gt;=8,"Medium","Low")))</f>
        <v/>
      </c>
      <c r="K167" s="4" t="n"/>
      <c r="L167" s="12" t="n"/>
      <c r="M167" s="4" t="n"/>
      <c r="N167" s="12" t="n"/>
      <c r="O167" s="12" t="n"/>
    </row>
    <row r="168">
      <c r="A168" s="4" t="n"/>
      <c r="B168" s="4" t="n"/>
      <c r="C168" s="4" t="n"/>
      <c r="D168" s="4" t="n"/>
      <c r="E168" s="4" t="n"/>
      <c r="F168" s="4" t="n"/>
      <c r="G168" s="4" t="n"/>
      <c r="H168" s="4" t="n"/>
      <c r="I168" s="4">
        <f>IF(OR(G168="",H168=""),"",G168*H168)</f>
        <v/>
      </c>
      <c r="J168" s="4">
        <f>IF(OR(G168="",H168=""),"",IF(G168*H168&gt;=15,"High",IF(G168*H168&gt;=8,"Medium","Low")))</f>
        <v/>
      </c>
      <c r="K168" s="4" t="n"/>
      <c r="L168" s="12" t="n"/>
      <c r="M168" s="4" t="n"/>
      <c r="N168" s="12" t="n"/>
      <c r="O168" s="12" t="n"/>
    </row>
    <row r="169">
      <c r="A169" s="4" t="n"/>
      <c r="B169" s="4" t="n"/>
      <c r="C169" s="4" t="n"/>
      <c r="D169" s="4" t="n"/>
      <c r="E169" s="4" t="n"/>
      <c r="F169" s="4" t="n"/>
      <c r="G169" s="4" t="n"/>
      <c r="H169" s="4" t="n"/>
      <c r="I169" s="4">
        <f>IF(OR(G169="",H169=""),"",G169*H169)</f>
        <v/>
      </c>
      <c r="J169" s="4">
        <f>IF(OR(G169="",H169=""),"",IF(G169*H169&gt;=15,"High",IF(G169*H169&gt;=8,"Medium","Low")))</f>
        <v/>
      </c>
      <c r="K169" s="4" t="n"/>
      <c r="L169" s="12" t="n"/>
      <c r="M169" s="4" t="n"/>
      <c r="N169" s="12" t="n"/>
      <c r="O169" s="12" t="n"/>
    </row>
    <row r="170">
      <c r="A170" s="4" t="n"/>
      <c r="B170" s="4" t="n"/>
      <c r="C170" s="4" t="n"/>
      <c r="D170" s="4" t="n"/>
      <c r="E170" s="4" t="n"/>
      <c r="F170" s="4" t="n"/>
      <c r="G170" s="4" t="n"/>
      <c r="H170" s="4" t="n"/>
      <c r="I170" s="4">
        <f>IF(OR(G170="",H170=""),"",G170*H170)</f>
        <v/>
      </c>
      <c r="J170" s="4">
        <f>IF(OR(G170="",H170=""),"",IF(G170*H170&gt;=15,"High",IF(G170*H170&gt;=8,"Medium","Low")))</f>
        <v/>
      </c>
      <c r="K170" s="4" t="n"/>
      <c r="L170" s="12" t="n"/>
      <c r="M170" s="4" t="n"/>
      <c r="N170" s="12" t="n"/>
      <c r="O170" s="12" t="n"/>
    </row>
    <row r="171">
      <c r="A171" s="4" t="n"/>
      <c r="B171" s="4" t="n"/>
      <c r="C171" s="4" t="n"/>
      <c r="D171" s="4" t="n"/>
      <c r="E171" s="4" t="n"/>
      <c r="F171" s="4" t="n"/>
      <c r="G171" s="4" t="n"/>
      <c r="H171" s="4" t="n"/>
      <c r="I171" s="4">
        <f>IF(OR(G171="",H171=""),"",G171*H171)</f>
        <v/>
      </c>
      <c r="J171" s="4">
        <f>IF(OR(G171="",H171=""),"",IF(G171*H171&gt;=15,"High",IF(G171*H171&gt;=8,"Medium","Low")))</f>
        <v/>
      </c>
      <c r="K171" s="4" t="n"/>
      <c r="L171" s="12" t="n"/>
      <c r="M171" s="4" t="n"/>
      <c r="N171" s="12" t="n"/>
      <c r="O171" s="12" t="n"/>
    </row>
    <row r="172">
      <c r="A172" s="4" t="n"/>
      <c r="B172" s="4" t="n"/>
      <c r="C172" s="4" t="n"/>
      <c r="D172" s="4" t="n"/>
      <c r="E172" s="4" t="n"/>
      <c r="F172" s="4" t="n"/>
      <c r="G172" s="4" t="n"/>
      <c r="H172" s="4" t="n"/>
      <c r="I172" s="4">
        <f>IF(OR(G172="",H172=""),"",G172*H172)</f>
        <v/>
      </c>
      <c r="J172" s="4">
        <f>IF(OR(G172="",H172=""),"",IF(G172*H172&gt;=15,"High",IF(G172*H172&gt;=8,"Medium","Low")))</f>
        <v/>
      </c>
      <c r="K172" s="4" t="n"/>
      <c r="L172" s="12" t="n"/>
      <c r="M172" s="4" t="n"/>
      <c r="N172" s="12" t="n"/>
      <c r="O172" s="12" t="n"/>
    </row>
    <row r="173">
      <c r="A173" s="4" t="n"/>
      <c r="B173" s="4" t="n"/>
      <c r="C173" s="4" t="n"/>
      <c r="D173" s="4" t="n"/>
      <c r="E173" s="4" t="n"/>
      <c r="F173" s="4" t="n"/>
      <c r="G173" s="4" t="n"/>
      <c r="H173" s="4" t="n"/>
      <c r="I173" s="4">
        <f>IF(OR(G173="",H173=""),"",G173*H173)</f>
        <v/>
      </c>
      <c r="J173" s="4">
        <f>IF(OR(G173="",H173=""),"",IF(G173*H173&gt;=15,"High",IF(G173*H173&gt;=8,"Medium","Low")))</f>
        <v/>
      </c>
      <c r="K173" s="4" t="n"/>
      <c r="L173" s="12" t="n"/>
      <c r="M173" s="4" t="n"/>
      <c r="N173" s="12" t="n"/>
      <c r="O173" s="12" t="n"/>
    </row>
    <row r="174">
      <c r="A174" s="4" t="n"/>
      <c r="B174" s="4" t="n"/>
      <c r="C174" s="4" t="n"/>
      <c r="D174" s="4" t="n"/>
      <c r="E174" s="4" t="n"/>
      <c r="F174" s="4" t="n"/>
      <c r="G174" s="4" t="n"/>
      <c r="H174" s="4" t="n"/>
      <c r="I174" s="4">
        <f>IF(OR(G174="",H174=""),"",G174*H174)</f>
        <v/>
      </c>
      <c r="J174" s="4">
        <f>IF(OR(G174="",H174=""),"",IF(G174*H174&gt;=15,"High",IF(G174*H174&gt;=8,"Medium","Low")))</f>
        <v/>
      </c>
      <c r="K174" s="4" t="n"/>
      <c r="L174" s="12" t="n"/>
      <c r="M174" s="4" t="n"/>
      <c r="N174" s="12" t="n"/>
      <c r="O174" s="12" t="n"/>
    </row>
    <row r="175">
      <c r="A175" s="4" t="n"/>
      <c r="B175" s="4" t="n"/>
      <c r="C175" s="4" t="n"/>
      <c r="D175" s="4" t="n"/>
      <c r="E175" s="4" t="n"/>
      <c r="F175" s="4" t="n"/>
      <c r="G175" s="4" t="n"/>
      <c r="H175" s="4" t="n"/>
      <c r="I175" s="4">
        <f>IF(OR(G175="",H175=""),"",G175*H175)</f>
        <v/>
      </c>
      <c r="J175" s="4">
        <f>IF(OR(G175="",H175=""),"",IF(G175*H175&gt;=15,"High",IF(G175*H175&gt;=8,"Medium","Low")))</f>
        <v/>
      </c>
      <c r="K175" s="4" t="n"/>
      <c r="L175" s="12" t="n"/>
      <c r="M175" s="4" t="n"/>
      <c r="N175" s="12" t="n"/>
      <c r="O175" s="12" t="n"/>
    </row>
    <row r="176">
      <c r="A176" s="4" t="n"/>
      <c r="B176" s="4" t="n"/>
      <c r="C176" s="4" t="n"/>
      <c r="D176" s="4" t="n"/>
      <c r="E176" s="4" t="n"/>
      <c r="F176" s="4" t="n"/>
      <c r="G176" s="4" t="n"/>
      <c r="H176" s="4" t="n"/>
      <c r="I176" s="4">
        <f>IF(OR(G176="",H176=""),"",G176*H176)</f>
        <v/>
      </c>
      <c r="J176" s="4">
        <f>IF(OR(G176="",H176=""),"",IF(G176*H176&gt;=15,"High",IF(G176*H176&gt;=8,"Medium","Low")))</f>
        <v/>
      </c>
      <c r="K176" s="4" t="n"/>
      <c r="L176" s="12" t="n"/>
      <c r="M176" s="4" t="n"/>
      <c r="N176" s="12" t="n"/>
      <c r="O176" s="12" t="n"/>
    </row>
    <row r="177">
      <c r="A177" s="4" t="n"/>
      <c r="B177" s="4" t="n"/>
      <c r="C177" s="4" t="n"/>
      <c r="D177" s="4" t="n"/>
      <c r="E177" s="4" t="n"/>
      <c r="F177" s="4" t="n"/>
      <c r="G177" s="4" t="n"/>
      <c r="H177" s="4" t="n"/>
      <c r="I177" s="4">
        <f>IF(OR(G177="",H177=""),"",G177*H177)</f>
        <v/>
      </c>
      <c r="J177" s="4">
        <f>IF(OR(G177="",H177=""),"",IF(G177*H177&gt;=15,"High",IF(G177*H177&gt;=8,"Medium","Low")))</f>
        <v/>
      </c>
      <c r="K177" s="4" t="n"/>
      <c r="L177" s="12" t="n"/>
      <c r="M177" s="4" t="n"/>
      <c r="N177" s="12" t="n"/>
      <c r="O177" s="12" t="n"/>
    </row>
    <row r="178">
      <c r="A178" s="4" t="n"/>
      <c r="B178" s="4" t="n"/>
      <c r="C178" s="4" t="n"/>
      <c r="D178" s="4" t="n"/>
      <c r="E178" s="4" t="n"/>
      <c r="F178" s="4" t="n"/>
      <c r="G178" s="4" t="n"/>
      <c r="H178" s="4" t="n"/>
      <c r="I178" s="4">
        <f>IF(OR(G178="",H178=""),"",G178*H178)</f>
        <v/>
      </c>
      <c r="J178" s="4">
        <f>IF(OR(G178="",H178=""),"",IF(G178*H178&gt;=15,"High",IF(G178*H178&gt;=8,"Medium","Low")))</f>
        <v/>
      </c>
      <c r="K178" s="4" t="n"/>
      <c r="L178" s="12" t="n"/>
      <c r="M178" s="4" t="n"/>
      <c r="N178" s="12" t="n"/>
      <c r="O178" s="12" t="n"/>
    </row>
    <row r="179">
      <c r="A179" s="4" t="n"/>
      <c r="B179" s="4" t="n"/>
      <c r="C179" s="4" t="n"/>
      <c r="D179" s="4" t="n"/>
      <c r="E179" s="4" t="n"/>
      <c r="F179" s="4" t="n"/>
      <c r="G179" s="4" t="n"/>
      <c r="H179" s="4" t="n"/>
      <c r="I179" s="4">
        <f>IF(OR(G179="",H179=""),"",G179*H179)</f>
        <v/>
      </c>
      <c r="J179" s="4">
        <f>IF(OR(G179="",H179=""),"",IF(G179*H179&gt;=15,"High",IF(G179*H179&gt;=8,"Medium","Low")))</f>
        <v/>
      </c>
      <c r="K179" s="4" t="n"/>
      <c r="L179" s="12" t="n"/>
      <c r="M179" s="4" t="n"/>
      <c r="N179" s="12" t="n"/>
      <c r="O179" s="12" t="n"/>
    </row>
    <row r="180">
      <c r="A180" s="4" t="n"/>
      <c r="B180" s="4" t="n"/>
      <c r="C180" s="4" t="n"/>
      <c r="D180" s="4" t="n"/>
      <c r="E180" s="4" t="n"/>
      <c r="F180" s="4" t="n"/>
      <c r="G180" s="4" t="n"/>
      <c r="H180" s="4" t="n"/>
      <c r="I180" s="4">
        <f>IF(OR(G180="",H180=""),"",G180*H180)</f>
        <v/>
      </c>
      <c r="J180" s="4">
        <f>IF(OR(G180="",H180=""),"",IF(G180*H180&gt;=15,"High",IF(G180*H180&gt;=8,"Medium","Low")))</f>
        <v/>
      </c>
      <c r="K180" s="4" t="n"/>
      <c r="L180" s="12" t="n"/>
      <c r="M180" s="4" t="n"/>
      <c r="N180" s="12" t="n"/>
      <c r="O180" s="12" t="n"/>
    </row>
    <row r="181">
      <c r="A181" s="4" t="n"/>
      <c r="B181" s="4" t="n"/>
      <c r="C181" s="4" t="n"/>
      <c r="D181" s="4" t="n"/>
      <c r="E181" s="4" t="n"/>
      <c r="F181" s="4" t="n"/>
      <c r="G181" s="4" t="n"/>
      <c r="H181" s="4" t="n"/>
      <c r="I181" s="4">
        <f>IF(OR(G181="",H181=""),"",G181*H181)</f>
        <v/>
      </c>
      <c r="J181" s="4">
        <f>IF(OR(G181="",H181=""),"",IF(G181*H181&gt;=15,"High",IF(G181*H181&gt;=8,"Medium","Low")))</f>
        <v/>
      </c>
      <c r="K181" s="4" t="n"/>
      <c r="L181" s="12" t="n"/>
      <c r="M181" s="4" t="n"/>
      <c r="N181" s="12" t="n"/>
      <c r="O181" s="12" t="n"/>
    </row>
    <row r="182">
      <c r="A182" s="4" t="n"/>
      <c r="B182" s="4" t="n"/>
      <c r="C182" s="4" t="n"/>
      <c r="D182" s="4" t="n"/>
      <c r="E182" s="4" t="n"/>
      <c r="F182" s="4" t="n"/>
      <c r="G182" s="4" t="n"/>
      <c r="H182" s="4" t="n"/>
      <c r="I182" s="4">
        <f>IF(OR(G182="",H182=""),"",G182*H182)</f>
        <v/>
      </c>
      <c r="J182" s="4">
        <f>IF(OR(G182="",H182=""),"",IF(G182*H182&gt;=15,"High",IF(G182*H182&gt;=8,"Medium","Low")))</f>
        <v/>
      </c>
      <c r="K182" s="4" t="n"/>
      <c r="L182" s="12" t="n"/>
      <c r="M182" s="4" t="n"/>
      <c r="N182" s="12" t="n"/>
      <c r="O182" s="12" t="n"/>
    </row>
    <row r="183">
      <c r="A183" s="4" t="n"/>
      <c r="B183" s="4" t="n"/>
      <c r="C183" s="4" t="n"/>
      <c r="D183" s="4" t="n"/>
      <c r="E183" s="4" t="n"/>
      <c r="F183" s="4" t="n"/>
      <c r="G183" s="4" t="n"/>
      <c r="H183" s="4" t="n"/>
      <c r="I183" s="4">
        <f>IF(OR(G183="",H183=""),"",G183*H183)</f>
        <v/>
      </c>
      <c r="J183" s="4">
        <f>IF(OR(G183="",H183=""),"",IF(G183*H183&gt;=15,"High",IF(G183*H183&gt;=8,"Medium","Low")))</f>
        <v/>
      </c>
      <c r="K183" s="4" t="n"/>
      <c r="L183" s="12" t="n"/>
      <c r="M183" s="4" t="n"/>
      <c r="N183" s="12" t="n"/>
      <c r="O183" s="12" t="n"/>
    </row>
    <row r="184">
      <c r="A184" s="4" t="n"/>
      <c r="B184" s="4" t="n"/>
      <c r="C184" s="4" t="n"/>
      <c r="D184" s="4" t="n"/>
      <c r="E184" s="4" t="n"/>
      <c r="F184" s="4" t="n"/>
      <c r="G184" s="4" t="n"/>
      <c r="H184" s="4" t="n"/>
      <c r="I184" s="4">
        <f>IF(OR(G184="",H184=""),"",G184*H184)</f>
        <v/>
      </c>
      <c r="J184" s="4">
        <f>IF(OR(G184="",H184=""),"",IF(G184*H184&gt;=15,"High",IF(G184*H184&gt;=8,"Medium","Low")))</f>
        <v/>
      </c>
      <c r="K184" s="4" t="n"/>
      <c r="L184" s="12" t="n"/>
      <c r="M184" s="4" t="n"/>
      <c r="N184" s="12" t="n"/>
      <c r="O184" s="12" t="n"/>
    </row>
    <row r="185">
      <c r="A185" s="4" t="n"/>
      <c r="B185" s="4" t="n"/>
      <c r="C185" s="4" t="n"/>
      <c r="D185" s="4" t="n"/>
      <c r="E185" s="4" t="n"/>
      <c r="F185" s="4" t="n"/>
      <c r="G185" s="4" t="n"/>
      <c r="H185" s="4" t="n"/>
      <c r="I185" s="4">
        <f>IF(OR(G185="",H185=""),"",G185*H185)</f>
        <v/>
      </c>
      <c r="J185" s="4">
        <f>IF(OR(G185="",H185=""),"",IF(G185*H185&gt;=15,"High",IF(G185*H185&gt;=8,"Medium","Low")))</f>
        <v/>
      </c>
      <c r="K185" s="4" t="n"/>
      <c r="L185" s="12" t="n"/>
      <c r="M185" s="4" t="n"/>
      <c r="N185" s="12" t="n"/>
      <c r="O185" s="12" t="n"/>
    </row>
    <row r="186">
      <c r="A186" s="4" t="n"/>
      <c r="B186" s="4" t="n"/>
      <c r="C186" s="4" t="n"/>
      <c r="D186" s="4" t="n"/>
      <c r="E186" s="4" t="n"/>
      <c r="F186" s="4" t="n"/>
      <c r="G186" s="4" t="n"/>
      <c r="H186" s="4" t="n"/>
      <c r="I186" s="4">
        <f>IF(OR(G186="",H186=""),"",G186*H186)</f>
        <v/>
      </c>
      <c r="J186" s="4">
        <f>IF(OR(G186="",H186=""),"",IF(G186*H186&gt;=15,"High",IF(G186*H186&gt;=8,"Medium","Low")))</f>
        <v/>
      </c>
      <c r="K186" s="4" t="n"/>
      <c r="L186" s="12" t="n"/>
      <c r="M186" s="4" t="n"/>
      <c r="N186" s="12" t="n"/>
      <c r="O186" s="12" t="n"/>
    </row>
    <row r="187">
      <c r="A187" s="4" t="n"/>
      <c r="B187" s="4" t="n"/>
      <c r="C187" s="4" t="n"/>
      <c r="D187" s="4" t="n"/>
      <c r="E187" s="4" t="n"/>
      <c r="F187" s="4" t="n"/>
      <c r="G187" s="4" t="n"/>
      <c r="H187" s="4" t="n"/>
      <c r="I187" s="4">
        <f>IF(OR(G187="",H187=""),"",G187*H187)</f>
        <v/>
      </c>
      <c r="J187" s="4">
        <f>IF(OR(G187="",H187=""),"",IF(G187*H187&gt;=15,"High",IF(G187*H187&gt;=8,"Medium","Low")))</f>
        <v/>
      </c>
      <c r="K187" s="4" t="n"/>
      <c r="L187" s="12" t="n"/>
      <c r="M187" s="4" t="n"/>
      <c r="N187" s="12" t="n"/>
      <c r="O187" s="12" t="n"/>
    </row>
    <row r="188">
      <c r="A188" s="4" t="n"/>
      <c r="B188" s="4" t="n"/>
      <c r="C188" s="4" t="n"/>
      <c r="D188" s="4" t="n"/>
      <c r="E188" s="4" t="n"/>
      <c r="F188" s="4" t="n"/>
      <c r="G188" s="4" t="n"/>
      <c r="H188" s="4" t="n"/>
      <c r="I188" s="4">
        <f>IF(OR(G188="",H188=""),"",G188*H188)</f>
        <v/>
      </c>
      <c r="J188" s="4">
        <f>IF(OR(G188="",H188=""),"",IF(G188*H188&gt;=15,"High",IF(G188*H188&gt;=8,"Medium","Low")))</f>
        <v/>
      </c>
      <c r="K188" s="4" t="n"/>
      <c r="L188" s="12" t="n"/>
      <c r="M188" s="4" t="n"/>
      <c r="N188" s="12" t="n"/>
      <c r="O188" s="12" t="n"/>
    </row>
    <row r="189">
      <c r="A189" s="4" t="n"/>
      <c r="B189" s="4" t="n"/>
      <c r="C189" s="4" t="n"/>
      <c r="D189" s="4" t="n"/>
      <c r="E189" s="4" t="n"/>
      <c r="F189" s="4" t="n"/>
      <c r="G189" s="4" t="n"/>
      <c r="H189" s="4" t="n"/>
      <c r="I189" s="4">
        <f>IF(OR(G189="",H189=""),"",G189*H189)</f>
        <v/>
      </c>
      <c r="J189" s="4">
        <f>IF(OR(G189="",H189=""),"",IF(G189*H189&gt;=15,"High",IF(G189*H189&gt;=8,"Medium","Low")))</f>
        <v/>
      </c>
      <c r="K189" s="4" t="n"/>
      <c r="L189" s="12" t="n"/>
      <c r="M189" s="4" t="n"/>
      <c r="N189" s="12" t="n"/>
      <c r="O189" s="12" t="n"/>
    </row>
    <row r="190">
      <c r="A190" s="4" t="n"/>
      <c r="B190" s="4" t="n"/>
      <c r="C190" s="4" t="n"/>
      <c r="D190" s="4" t="n"/>
      <c r="E190" s="4" t="n"/>
      <c r="F190" s="4" t="n"/>
      <c r="G190" s="4" t="n"/>
      <c r="H190" s="4" t="n"/>
      <c r="I190" s="4">
        <f>IF(OR(G190="",H190=""),"",G190*H190)</f>
        <v/>
      </c>
      <c r="J190" s="4">
        <f>IF(OR(G190="",H190=""),"",IF(G190*H190&gt;=15,"High",IF(G190*H190&gt;=8,"Medium","Low")))</f>
        <v/>
      </c>
      <c r="K190" s="4" t="n"/>
      <c r="L190" s="12" t="n"/>
      <c r="M190" s="4" t="n"/>
      <c r="N190" s="12" t="n"/>
      <c r="O190" s="12" t="n"/>
    </row>
    <row r="191">
      <c r="A191" s="4" t="n"/>
      <c r="B191" s="4" t="n"/>
      <c r="C191" s="4" t="n"/>
      <c r="D191" s="4" t="n"/>
      <c r="E191" s="4" t="n"/>
      <c r="F191" s="4" t="n"/>
      <c r="G191" s="4" t="n"/>
      <c r="H191" s="4" t="n"/>
      <c r="I191" s="4">
        <f>IF(OR(G191="",H191=""),"",G191*H191)</f>
        <v/>
      </c>
      <c r="J191" s="4">
        <f>IF(OR(G191="",H191=""),"",IF(G191*H191&gt;=15,"High",IF(G191*H191&gt;=8,"Medium","Low")))</f>
        <v/>
      </c>
      <c r="K191" s="4" t="n"/>
      <c r="L191" s="12" t="n"/>
      <c r="M191" s="4" t="n"/>
      <c r="N191" s="12" t="n"/>
      <c r="O191" s="12" t="n"/>
    </row>
    <row r="192">
      <c r="A192" s="4" t="n"/>
      <c r="B192" s="4" t="n"/>
      <c r="C192" s="4" t="n"/>
      <c r="D192" s="4" t="n"/>
      <c r="E192" s="4" t="n"/>
      <c r="F192" s="4" t="n"/>
      <c r="G192" s="4" t="n"/>
      <c r="H192" s="4" t="n"/>
      <c r="I192" s="4">
        <f>IF(OR(G192="",H192=""),"",G192*H192)</f>
        <v/>
      </c>
      <c r="J192" s="4">
        <f>IF(OR(G192="",H192=""),"",IF(G192*H192&gt;=15,"High",IF(G192*H192&gt;=8,"Medium","Low")))</f>
        <v/>
      </c>
      <c r="K192" s="4" t="n"/>
      <c r="L192" s="12" t="n"/>
      <c r="M192" s="4" t="n"/>
      <c r="N192" s="12" t="n"/>
      <c r="O192" s="12" t="n"/>
    </row>
    <row r="193">
      <c r="A193" s="4" t="n"/>
      <c r="B193" s="4" t="n"/>
      <c r="C193" s="4" t="n"/>
      <c r="D193" s="4" t="n"/>
      <c r="E193" s="4" t="n"/>
      <c r="F193" s="4" t="n"/>
      <c r="G193" s="4" t="n"/>
      <c r="H193" s="4" t="n"/>
      <c r="I193" s="4">
        <f>IF(OR(G193="",H193=""),"",G193*H193)</f>
        <v/>
      </c>
      <c r="J193" s="4">
        <f>IF(OR(G193="",H193=""),"",IF(G193*H193&gt;=15,"High",IF(G193*H193&gt;=8,"Medium","Low")))</f>
        <v/>
      </c>
      <c r="K193" s="4" t="n"/>
      <c r="L193" s="12" t="n"/>
      <c r="M193" s="4" t="n"/>
      <c r="N193" s="12" t="n"/>
      <c r="O193" s="12" t="n"/>
    </row>
    <row r="194">
      <c r="A194" s="4" t="n"/>
      <c r="B194" s="4" t="n"/>
      <c r="C194" s="4" t="n"/>
      <c r="D194" s="4" t="n"/>
      <c r="E194" s="4" t="n"/>
      <c r="F194" s="4" t="n"/>
      <c r="G194" s="4" t="n"/>
      <c r="H194" s="4" t="n"/>
      <c r="I194" s="4">
        <f>IF(OR(G194="",H194=""),"",G194*H194)</f>
        <v/>
      </c>
      <c r="J194" s="4">
        <f>IF(OR(G194="",H194=""),"",IF(G194*H194&gt;=15,"High",IF(G194*H194&gt;=8,"Medium","Low")))</f>
        <v/>
      </c>
      <c r="K194" s="4" t="n"/>
      <c r="L194" s="12" t="n"/>
      <c r="M194" s="4" t="n"/>
      <c r="N194" s="12" t="n"/>
      <c r="O194" s="12" t="n"/>
    </row>
    <row r="195">
      <c r="A195" s="4" t="n"/>
      <c r="B195" s="4" t="n"/>
      <c r="C195" s="4" t="n"/>
      <c r="D195" s="4" t="n"/>
      <c r="E195" s="4" t="n"/>
      <c r="F195" s="4" t="n"/>
      <c r="G195" s="4" t="n"/>
      <c r="H195" s="4" t="n"/>
      <c r="I195" s="4">
        <f>IF(OR(G195="",H195=""),"",G195*H195)</f>
        <v/>
      </c>
      <c r="J195" s="4">
        <f>IF(OR(G195="",H195=""),"",IF(G195*H195&gt;=15,"High",IF(G195*H195&gt;=8,"Medium","Low")))</f>
        <v/>
      </c>
      <c r="K195" s="4" t="n"/>
      <c r="L195" s="12" t="n"/>
      <c r="M195" s="4" t="n"/>
      <c r="N195" s="12" t="n"/>
      <c r="O195" s="12" t="n"/>
    </row>
    <row r="196">
      <c r="A196" s="4" t="n"/>
      <c r="B196" s="4" t="n"/>
      <c r="C196" s="4" t="n"/>
      <c r="D196" s="4" t="n"/>
      <c r="E196" s="4" t="n"/>
      <c r="F196" s="4" t="n"/>
      <c r="G196" s="4" t="n"/>
      <c r="H196" s="4" t="n"/>
      <c r="I196" s="4">
        <f>IF(OR(G196="",H196=""),"",G196*H196)</f>
        <v/>
      </c>
      <c r="J196" s="4">
        <f>IF(OR(G196="",H196=""),"",IF(G196*H196&gt;=15,"High",IF(G196*H196&gt;=8,"Medium","Low")))</f>
        <v/>
      </c>
      <c r="K196" s="4" t="n"/>
      <c r="L196" s="12" t="n"/>
      <c r="M196" s="4" t="n"/>
      <c r="N196" s="12" t="n"/>
      <c r="O196" s="12" t="n"/>
    </row>
    <row r="197">
      <c r="A197" s="4" t="n"/>
      <c r="B197" s="4" t="n"/>
      <c r="C197" s="4" t="n"/>
      <c r="D197" s="4" t="n"/>
      <c r="E197" s="4" t="n"/>
      <c r="F197" s="4" t="n"/>
      <c r="G197" s="4" t="n"/>
      <c r="H197" s="4" t="n"/>
      <c r="I197" s="4">
        <f>IF(OR(G197="",H197=""),"",G197*H197)</f>
        <v/>
      </c>
      <c r="J197" s="4">
        <f>IF(OR(G197="",H197=""),"",IF(G197*H197&gt;=15,"High",IF(G197*H197&gt;=8,"Medium","Low")))</f>
        <v/>
      </c>
      <c r="K197" s="4" t="n"/>
      <c r="L197" s="12" t="n"/>
      <c r="M197" s="4" t="n"/>
      <c r="N197" s="12" t="n"/>
      <c r="O197" s="12" t="n"/>
    </row>
    <row r="198">
      <c r="A198" s="4" t="n"/>
      <c r="B198" s="4" t="n"/>
      <c r="C198" s="4" t="n"/>
      <c r="D198" s="4" t="n"/>
      <c r="E198" s="4" t="n"/>
      <c r="F198" s="4" t="n"/>
      <c r="G198" s="4" t="n"/>
      <c r="H198" s="4" t="n"/>
      <c r="I198" s="4">
        <f>IF(OR(G198="",H198=""),"",G198*H198)</f>
        <v/>
      </c>
      <c r="J198" s="4">
        <f>IF(OR(G198="",H198=""),"",IF(G198*H198&gt;=15,"High",IF(G198*H198&gt;=8,"Medium","Low")))</f>
        <v/>
      </c>
      <c r="K198" s="4" t="n"/>
      <c r="L198" s="12" t="n"/>
      <c r="M198" s="4" t="n"/>
      <c r="N198" s="12" t="n"/>
      <c r="O198" s="12" t="n"/>
    </row>
    <row r="199">
      <c r="A199" s="4" t="n"/>
      <c r="B199" s="4" t="n"/>
      <c r="C199" s="4" t="n"/>
      <c r="D199" s="4" t="n"/>
      <c r="E199" s="4" t="n"/>
      <c r="F199" s="4" t="n"/>
      <c r="G199" s="4" t="n"/>
      <c r="H199" s="4" t="n"/>
      <c r="I199" s="4">
        <f>IF(OR(G199="",H199=""),"",G199*H199)</f>
        <v/>
      </c>
      <c r="J199" s="4">
        <f>IF(OR(G199="",H199=""),"",IF(G199*H199&gt;=15,"High",IF(G199*H199&gt;=8,"Medium","Low")))</f>
        <v/>
      </c>
      <c r="K199" s="4" t="n"/>
      <c r="L199" s="12" t="n"/>
      <c r="M199" s="4" t="n"/>
      <c r="N199" s="12" t="n"/>
      <c r="O199" s="12" t="n"/>
    </row>
    <row r="200">
      <c r="A200" s="4" t="n"/>
      <c r="B200" s="4" t="n"/>
      <c r="C200" s="4" t="n"/>
      <c r="D200" s="4" t="n"/>
      <c r="E200" s="4" t="n"/>
      <c r="F200" s="4" t="n"/>
      <c r="G200" s="4" t="n"/>
      <c r="H200" s="4" t="n"/>
      <c r="I200" s="4">
        <f>IF(OR(G200="",H200=""),"",G200*H200)</f>
        <v/>
      </c>
      <c r="J200" s="4">
        <f>IF(OR(G200="",H200=""),"",IF(G200*H200&gt;=15,"High",IF(G200*H200&gt;=8,"Medium","Low")))</f>
        <v/>
      </c>
      <c r="K200" s="4" t="n"/>
      <c r="L200" s="12" t="n"/>
      <c r="M200" s="4" t="n"/>
      <c r="N200" s="12" t="n"/>
      <c r="O200" s="12" t="n"/>
    </row>
    <row r="201">
      <c r="A201" s="4" t="n"/>
      <c r="B201" s="4" t="n"/>
      <c r="C201" s="4" t="n"/>
      <c r="D201" s="4" t="n"/>
      <c r="E201" s="4" t="n"/>
      <c r="F201" s="4" t="n"/>
      <c r="G201" s="4" t="n"/>
      <c r="H201" s="4" t="n"/>
      <c r="I201" s="4">
        <f>IF(OR(G201="",H201=""),"",G201*H201)</f>
        <v/>
      </c>
      <c r="J201" s="4">
        <f>IF(OR(G201="",H201=""),"",IF(G201*H201&gt;=15,"High",IF(G201*H201&gt;=8,"Medium","Low")))</f>
        <v/>
      </c>
      <c r="K201" s="4" t="n"/>
      <c r="L201" s="12" t="n"/>
      <c r="M201" s="4" t="n"/>
      <c r="N201" s="12" t="n"/>
      <c r="O201" s="12" t="n"/>
    </row>
  </sheetData>
  <autoFilter ref="A1:O211"/>
  <conditionalFormatting sqref="J2:J201">
    <cfRule type="cellIs" priority="1" operator="equal" dxfId="0">
      <formula>"High"</formula>
    </cfRule>
    <cfRule type="cellIs" priority="2" operator="equal" dxfId="1">
      <formula>"Medium"</formula>
    </cfRule>
    <cfRule type="cellIs" priority="3" operator="equal" dxfId="2">
      <formula>"Low"</formula>
    </cfRule>
  </conditionalFormatting>
  <dataValidations count="4">
    <dataValidation sqref="G2:G201" showDropDown="0" showInputMessage="0" showErrorMessage="0" allowBlank="1" type="whole" operator="between">
      <formula1>1</formula1>
      <formula2>5</formula2>
    </dataValidation>
    <dataValidation sqref="H2:H201" showDropDown="0" showInputMessage="0" showErrorMessage="0" allowBlank="1" type="whole" operator="between">
      <formula1>1</formula1>
      <formula2>5</formula2>
    </dataValidation>
    <dataValidation sqref="E2:E201" showDropDown="0" showInputMessage="0" showErrorMessage="0" allowBlank="1" type="list">
      <formula1>=Lists!$C$2:$C$10</formula1>
    </dataValidation>
    <dataValidation sqref="M2:M201" showDropDown="0" showInputMessage="0" showErrorMessage="0" allowBlank="1" type="list">
      <formula1>=Lists!$A$2:$A$4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30" customWidth="1" min="3" max="3"/>
    <col width="34" customWidth="1" min="4" max="4"/>
    <col width="18" customWidth="1" min="5" max="5"/>
    <col width="13" customWidth="1" min="6" max="6"/>
    <col width="11" customWidth="1" min="7" max="7"/>
    <col width="12" customWidth="1" min="8" max="8"/>
    <col width="30" customWidth="1" min="9" max="9"/>
  </cols>
  <sheetData>
    <row r="1" ht="32" customHeight="1">
      <c r="A1" s="3" t="inlineStr">
        <is>
          <t>ID</t>
        </is>
      </c>
      <c r="B1" s="3" t="inlineStr">
        <is>
          <t>Assumption</t>
        </is>
      </c>
      <c r="C1" s="3" t="inlineStr">
        <is>
          <t>Basis</t>
        </is>
      </c>
      <c r="D1" s="3" t="inlineStr">
        <is>
          <t>Effect if false</t>
        </is>
      </c>
      <c r="E1" s="3" t="inlineStr">
        <is>
          <t>Owner</t>
        </is>
      </c>
      <c r="F1" s="3" t="inlineStr">
        <is>
          <t>Validate by</t>
        </is>
      </c>
      <c r="G1" s="3" t="inlineStr">
        <is>
          <t>Validated</t>
        </is>
      </c>
      <c r="H1" s="3" t="inlineStr">
        <is>
          <t>Status</t>
        </is>
      </c>
      <c r="I1" s="3" t="inlineStr">
        <is>
          <t>Remarks</t>
        </is>
      </c>
    </row>
    <row r="2">
      <c r="A2" s="4" t="inlineStr">
        <is>
          <t>A-001</t>
        </is>
      </c>
      <c r="B2" s="4" t="inlineStr">
        <is>
          <t>The size of the implementation (Small, Medium or Large) agreed at mobilisation stays valid once the data volumes are known.</t>
        </is>
      </c>
      <c r="C2" s="4" t="inlineStr">
        <is>
          <t>Implementation Approach and Plan, sizing</t>
        </is>
      </c>
      <c r="D2" s="4" t="inlineStr">
        <is>
          <t>Plan and price re-baselined</t>
        </is>
      </c>
      <c r="E2" s="4" t="inlineStr">
        <is>
          <t>[PM]</t>
        </is>
      </c>
      <c r="F2" s="12" t="n"/>
      <c r="G2" s="4" t="inlineStr"/>
      <c r="H2" s="4" t="inlineStr">
        <is>
          <t>Open</t>
        </is>
      </c>
      <c r="I2" s="4" t="inlineStr"/>
    </row>
    <row r="3">
      <c r="A3" s="4" t="inlineStr">
        <is>
          <t>A-002</t>
        </is>
      </c>
      <c r="B3" s="4" t="inlineStr">
        <is>
          <t>The broker provides its SMTP mailbox before the integrations phase.</t>
        </is>
      </c>
      <c r="C3" s="4" t="inlineStr">
        <is>
          <t>Dependencies on the broker</t>
        </is>
      </c>
      <c r="D3" s="4" t="inlineStr">
        <is>
          <t>E-mails stay queued in the outbox</t>
        </is>
      </c>
      <c r="E3" s="4" t="inlineStr">
        <is>
          <t>[IT head]</t>
        </is>
      </c>
      <c r="F3" s="12" t="n"/>
      <c r="G3" s="4" t="inlineStr"/>
      <c r="H3" s="4" t="inlineStr">
        <is>
          <t>Open</t>
        </is>
      </c>
      <c r="I3" s="4" t="inlineStr"/>
    </row>
    <row r="4">
      <c r="A4" s="4" t="inlineStr">
        <is>
          <t>A-003</t>
        </is>
      </c>
      <c r="B4" s="4" t="inlineStr">
        <is>
          <t>The delivered chart of accounts is used with the accountant's mapping, not replaced.</t>
        </is>
      </c>
      <c r="C4" s="4" t="inlineStr">
        <is>
          <t>Configure-first principle</t>
        </is>
      </c>
      <c r="D4" s="4" t="inlineStr">
        <is>
          <t>Posting rules and account determination redone</t>
        </is>
      </c>
      <c r="E4" s="4" t="inlineStr">
        <is>
          <t>[Accounting Manager]</t>
        </is>
      </c>
      <c r="F4" s="12" t="n"/>
      <c r="G4" s="4" t="inlineStr"/>
      <c r="H4" s="4" t="inlineStr">
        <is>
          <t>Open</t>
        </is>
      </c>
      <c r="I4" s="4" t="inlineStr"/>
    </row>
    <row r="5">
      <c r="A5" s="4" t="n"/>
      <c r="B5" s="4" t="n"/>
      <c r="C5" s="4" t="n"/>
      <c r="D5" s="4" t="n"/>
      <c r="E5" s="4" t="n"/>
      <c r="F5" s="12" t="n"/>
      <c r="G5" s="4" t="n"/>
      <c r="H5" s="4" t="n"/>
      <c r="I5" s="4" t="n"/>
    </row>
    <row r="6">
      <c r="A6" s="4" t="n"/>
      <c r="B6" s="4" t="n"/>
      <c r="C6" s="4" t="n"/>
      <c r="D6" s="4" t="n"/>
      <c r="E6" s="4" t="n"/>
      <c r="F6" s="12" t="n"/>
      <c r="G6" s="4" t="n"/>
      <c r="H6" s="4" t="n"/>
      <c r="I6" s="4" t="n"/>
    </row>
    <row r="7">
      <c r="A7" s="4" t="n"/>
      <c r="B7" s="4" t="n"/>
      <c r="C7" s="4" t="n"/>
      <c r="D7" s="4" t="n"/>
      <c r="E7" s="4" t="n"/>
      <c r="F7" s="12" t="n"/>
      <c r="G7" s="4" t="n"/>
      <c r="H7" s="4" t="n"/>
      <c r="I7" s="4" t="n"/>
    </row>
    <row r="8">
      <c r="A8" s="4" t="n"/>
      <c r="B8" s="4" t="n"/>
      <c r="C8" s="4" t="n"/>
      <c r="D8" s="4" t="n"/>
      <c r="E8" s="4" t="n"/>
      <c r="F8" s="12" t="n"/>
      <c r="G8" s="4" t="n"/>
      <c r="H8" s="4" t="n"/>
      <c r="I8" s="4" t="n"/>
    </row>
    <row r="9">
      <c r="A9" s="4" t="n"/>
      <c r="B9" s="4" t="n"/>
      <c r="C9" s="4" t="n"/>
      <c r="D9" s="4" t="n"/>
      <c r="E9" s="4" t="n"/>
      <c r="F9" s="12" t="n"/>
      <c r="G9" s="4" t="n"/>
      <c r="H9" s="4" t="n"/>
      <c r="I9" s="4" t="n"/>
    </row>
    <row r="10">
      <c r="A10" s="4" t="n"/>
      <c r="B10" s="4" t="n"/>
      <c r="C10" s="4" t="n"/>
      <c r="D10" s="4" t="n"/>
      <c r="E10" s="4" t="n"/>
      <c r="F10" s="12" t="n"/>
      <c r="G10" s="4" t="n"/>
      <c r="H10" s="4" t="n"/>
      <c r="I10" s="4" t="n"/>
    </row>
    <row r="11">
      <c r="A11" s="4" t="n"/>
      <c r="B11" s="4" t="n"/>
      <c r="C11" s="4" t="n"/>
      <c r="D11" s="4" t="n"/>
      <c r="E11" s="4" t="n"/>
      <c r="F11" s="12" t="n"/>
      <c r="G11" s="4" t="n"/>
      <c r="H11" s="4" t="n"/>
      <c r="I11" s="4" t="n"/>
    </row>
    <row r="12">
      <c r="A12" s="4" t="n"/>
      <c r="B12" s="4" t="n"/>
      <c r="C12" s="4" t="n"/>
      <c r="D12" s="4" t="n"/>
      <c r="E12" s="4" t="n"/>
      <c r="F12" s="12" t="n"/>
      <c r="G12" s="4" t="n"/>
      <c r="H12" s="4" t="n"/>
      <c r="I12" s="4" t="n"/>
    </row>
    <row r="13">
      <c r="A13" s="4" t="n"/>
      <c r="B13" s="4" t="n"/>
      <c r="C13" s="4" t="n"/>
      <c r="D13" s="4" t="n"/>
      <c r="E13" s="4" t="n"/>
      <c r="F13" s="12" t="n"/>
      <c r="G13" s="4" t="n"/>
      <c r="H13" s="4" t="n"/>
      <c r="I13" s="4" t="n"/>
    </row>
    <row r="14">
      <c r="A14" s="4" t="n"/>
      <c r="B14" s="4" t="n"/>
      <c r="C14" s="4" t="n"/>
      <c r="D14" s="4" t="n"/>
      <c r="E14" s="4" t="n"/>
      <c r="F14" s="12" t="n"/>
      <c r="G14" s="4" t="n"/>
      <c r="H14" s="4" t="n"/>
      <c r="I14" s="4" t="n"/>
    </row>
    <row r="15">
      <c r="A15" s="4" t="n"/>
      <c r="B15" s="4" t="n"/>
      <c r="C15" s="4" t="n"/>
      <c r="D15" s="4" t="n"/>
      <c r="E15" s="4" t="n"/>
      <c r="F15" s="12" t="n"/>
      <c r="G15" s="4" t="n"/>
      <c r="H15" s="4" t="n"/>
      <c r="I15" s="4" t="n"/>
    </row>
    <row r="16">
      <c r="A16" s="4" t="n"/>
      <c r="B16" s="4" t="n"/>
      <c r="C16" s="4" t="n"/>
      <c r="D16" s="4" t="n"/>
      <c r="E16" s="4" t="n"/>
      <c r="F16" s="12" t="n"/>
      <c r="G16" s="4" t="n"/>
      <c r="H16" s="4" t="n"/>
      <c r="I16" s="4" t="n"/>
    </row>
    <row r="17">
      <c r="A17" s="4" t="n"/>
      <c r="B17" s="4" t="n"/>
      <c r="C17" s="4" t="n"/>
      <c r="D17" s="4" t="n"/>
      <c r="E17" s="4" t="n"/>
      <c r="F17" s="12" t="n"/>
      <c r="G17" s="4" t="n"/>
      <c r="H17" s="4" t="n"/>
      <c r="I17" s="4" t="n"/>
    </row>
    <row r="18">
      <c r="A18" s="4" t="n"/>
      <c r="B18" s="4" t="n"/>
      <c r="C18" s="4" t="n"/>
      <c r="D18" s="4" t="n"/>
      <c r="E18" s="4" t="n"/>
      <c r="F18" s="12" t="n"/>
      <c r="G18" s="4" t="n"/>
      <c r="H18" s="4" t="n"/>
      <c r="I18" s="4" t="n"/>
    </row>
    <row r="19">
      <c r="A19" s="4" t="n"/>
      <c r="B19" s="4" t="n"/>
      <c r="C19" s="4" t="n"/>
      <c r="D19" s="4" t="n"/>
      <c r="E19" s="4" t="n"/>
      <c r="F19" s="12" t="n"/>
      <c r="G19" s="4" t="n"/>
      <c r="H19" s="4" t="n"/>
      <c r="I19" s="4" t="n"/>
    </row>
    <row r="20">
      <c r="A20" s="4" t="n"/>
      <c r="B20" s="4" t="n"/>
      <c r="C20" s="4" t="n"/>
      <c r="D20" s="4" t="n"/>
      <c r="E20" s="4" t="n"/>
      <c r="F20" s="12" t="n"/>
      <c r="G20" s="4" t="n"/>
      <c r="H20" s="4" t="n"/>
      <c r="I20" s="4" t="n"/>
    </row>
    <row r="21">
      <c r="A21" s="4" t="n"/>
      <c r="B21" s="4" t="n"/>
      <c r="C21" s="4" t="n"/>
      <c r="D21" s="4" t="n"/>
      <c r="E21" s="4" t="n"/>
      <c r="F21" s="12" t="n"/>
      <c r="G21" s="4" t="n"/>
      <c r="H21" s="4" t="n"/>
      <c r="I21" s="4" t="n"/>
    </row>
    <row r="22">
      <c r="A22" s="4" t="n"/>
      <c r="B22" s="4" t="n"/>
      <c r="C22" s="4" t="n"/>
      <c r="D22" s="4" t="n"/>
      <c r="E22" s="4" t="n"/>
      <c r="F22" s="12" t="n"/>
      <c r="G22" s="4" t="n"/>
      <c r="H22" s="4" t="n"/>
      <c r="I22" s="4" t="n"/>
    </row>
    <row r="23">
      <c r="A23" s="4" t="n"/>
      <c r="B23" s="4" t="n"/>
      <c r="C23" s="4" t="n"/>
      <c r="D23" s="4" t="n"/>
      <c r="E23" s="4" t="n"/>
      <c r="F23" s="12" t="n"/>
      <c r="G23" s="4" t="n"/>
      <c r="H23" s="4" t="n"/>
      <c r="I23" s="4" t="n"/>
    </row>
    <row r="24">
      <c r="A24" s="4" t="n"/>
      <c r="B24" s="4" t="n"/>
      <c r="C24" s="4" t="n"/>
      <c r="D24" s="4" t="n"/>
      <c r="E24" s="4" t="n"/>
      <c r="F24" s="12" t="n"/>
      <c r="G24" s="4" t="n"/>
      <c r="H24" s="4" t="n"/>
      <c r="I24" s="4" t="n"/>
    </row>
    <row r="25">
      <c r="A25" s="4" t="n"/>
      <c r="B25" s="4" t="n"/>
      <c r="C25" s="4" t="n"/>
      <c r="D25" s="4" t="n"/>
      <c r="E25" s="4" t="n"/>
      <c r="F25" s="12" t="n"/>
      <c r="G25" s="4" t="n"/>
      <c r="H25" s="4" t="n"/>
      <c r="I25" s="4" t="n"/>
    </row>
    <row r="26">
      <c r="A26" s="4" t="n"/>
      <c r="B26" s="4" t="n"/>
      <c r="C26" s="4" t="n"/>
      <c r="D26" s="4" t="n"/>
      <c r="E26" s="4" t="n"/>
      <c r="F26" s="12" t="n"/>
      <c r="G26" s="4" t="n"/>
      <c r="H26" s="4" t="n"/>
      <c r="I26" s="4" t="n"/>
    </row>
    <row r="27">
      <c r="A27" s="4" t="n"/>
      <c r="B27" s="4" t="n"/>
      <c r="C27" s="4" t="n"/>
      <c r="D27" s="4" t="n"/>
      <c r="E27" s="4" t="n"/>
      <c r="F27" s="12" t="n"/>
      <c r="G27" s="4" t="n"/>
      <c r="H27" s="4" t="n"/>
      <c r="I27" s="4" t="n"/>
    </row>
    <row r="28">
      <c r="A28" s="4" t="n"/>
      <c r="B28" s="4" t="n"/>
      <c r="C28" s="4" t="n"/>
      <c r="D28" s="4" t="n"/>
      <c r="E28" s="4" t="n"/>
      <c r="F28" s="12" t="n"/>
      <c r="G28" s="4" t="n"/>
      <c r="H28" s="4" t="n"/>
      <c r="I28" s="4" t="n"/>
    </row>
    <row r="29">
      <c r="A29" s="4" t="n"/>
      <c r="B29" s="4" t="n"/>
      <c r="C29" s="4" t="n"/>
      <c r="D29" s="4" t="n"/>
      <c r="E29" s="4" t="n"/>
      <c r="F29" s="12" t="n"/>
      <c r="G29" s="4" t="n"/>
      <c r="H29" s="4" t="n"/>
      <c r="I29" s="4" t="n"/>
    </row>
    <row r="30">
      <c r="A30" s="4" t="n"/>
      <c r="B30" s="4" t="n"/>
      <c r="C30" s="4" t="n"/>
      <c r="D30" s="4" t="n"/>
      <c r="E30" s="4" t="n"/>
      <c r="F30" s="12" t="n"/>
      <c r="G30" s="4" t="n"/>
      <c r="H30" s="4" t="n"/>
      <c r="I30" s="4" t="n"/>
    </row>
    <row r="31">
      <c r="A31" s="4" t="n"/>
      <c r="B31" s="4" t="n"/>
      <c r="C31" s="4" t="n"/>
      <c r="D31" s="4" t="n"/>
      <c r="E31" s="4" t="n"/>
      <c r="F31" s="12" t="n"/>
      <c r="G31" s="4" t="n"/>
      <c r="H31" s="4" t="n"/>
      <c r="I31" s="4" t="n"/>
    </row>
    <row r="32">
      <c r="A32" s="4" t="n"/>
      <c r="B32" s="4" t="n"/>
      <c r="C32" s="4" t="n"/>
      <c r="D32" s="4" t="n"/>
      <c r="E32" s="4" t="n"/>
      <c r="F32" s="12" t="n"/>
      <c r="G32" s="4" t="n"/>
      <c r="H32" s="4" t="n"/>
      <c r="I32" s="4" t="n"/>
    </row>
    <row r="33">
      <c r="A33" s="4" t="n"/>
      <c r="B33" s="4" t="n"/>
      <c r="C33" s="4" t="n"/>
      <c r="D33" s="4" t="n"/>
      <c r="E33" s="4" t="n"/>
      <c r="F33" s="12" t="n"/>
      <c r="G33" s="4" t="n"/>
      <c r="H33" s="4" t="n"/>
      <c r="I33" s="4" t="n"/>
    </row>
    <row r="34">
      <c r="A34" s="4" t="n"/>
      <c r="B34" s="4" t="n"/>
      <c r="C34" s="4" t="n"/>
      <c r="D34" s="4" t="n"/>
      <c r="E34" s="4" t="n"/>
      <c r="F34" s="12" t="n"/>
      <c r="G34" s="4" t="n"/>
      <c r="H34" s="4" t="n"/>
      <c r="I34" s="4" t="n"/>
    </row>
    <row r="35">
      <c r="A35" s="4" t="n"/>
      <c r="B35" s="4" t="n"/>
      <c r="C35" s="4" t="n"/>
      <c r="D35" s="4" t="n"/>
      <c r="E35" s="4" t="n"/>
      <c r="F35" s="12" t="n"/>
      <c r="G35" s="4" t="n"/>
      <c r="H35" s="4" t="n"/>
      <c r="I35" s="4" t="n"/>
    </row>
    <row r="36">
      <c r="A36" s="4" t="n"/>
      <c r="B36" s="4" t="n"/>
      <c r="C36" s="4" t="n"/>
      <c r="D36" s="4" t="n"/>
      <c r="E36" s="4" t="n"/>
      <c r="F36" s="12" t="n"/>
      <c r="G36" s="4" t="n"/>
      <c r="H36" s="4" t="n"/>
      <c r="I36" s="4" t="n"/>
    </row>
    <row r="37">
      <c r="A37" s="4" t="n"/>
      <c r="B37" s="4" t="n"/>
      <c r="C37" s="4" t="n"/>
      <c r="D37" s="4" t="n"/>
      <c r="E37" s="4" t="n"/>
      <c r="F37" s="12" t="n"/>
      <c r="G37" s="4" t="n"/>
      <c r="H37" s="4" t="n"/>
      <c r="I37" s="4" t="n"/>
    </row>
    <row r="38">
      <c r="A38" s="4" t="n"/>
      <c r="B38" s="4" t="n"/>
      <c r="C38" s="4" t="n"/>
      <c r="D38" s="4" t="n"/>
      <c r="E38" s="4" t="n"/>
      <c r="F38" s="12" t="n"/>
      <c r="G38" s="4" t="n"/>
      <c r="H38" s="4" t="n"/>
      <c r="I38" s="4" t="n"/>
    </row>
    <row r="39">
      <c r="A39" s="4" t="n"/>
      <c r="B39" s="4" t="n"/>
      <c r="C39" s="4" t="n"/>
      <c r="D39" s="4" t="n"/>
      <c r="E39" s="4" t="n"/>
      <c r="F39" s="12" t="n"/>
      <c r="G39" s="4" t="n"/>
      <c r="H39" s="4" t="n"/>
      <c r="I39" s="4" t="n"/>
    </row>
    <row r="40">
      <c r="A40" s="4" t="n"/>
      <c r="B40" s="4" t="n"/>
      <c r="C40" s="4" t="n"/>
      <c r="D40" s="4" t="n"/>
      <c r="E40" s="4" t="n"/>
      <c r="F40" s="12" t="n"/>
      <c r="G40" s="4" t="n"/>
      <c r="H40" s="4" t="n"/>
      <c r="I40" s="4" t="n"/>
    </row>
    <row r="41">
      <c r="A41" s="4" t="n"/>
      <c r="B41" s="4" t="n"/>
      <c r="C41" s="4" t="n"/>
      <c r="D41" s="4" t="n"/>
      <c r="E41" s="4" t="n"/>
      <c r="F41" s="12" t="n"/>
      <c r="G41" s="4" t="n"/>
      <c r="H41" s="4" t="n"/>
      <c r="I41" s="4" t="n"/>
    </row>
    <row r="42">
      <c r="A42" s="4" t="n"/>
      <c r="B42" s="4" t="n"/>
      <c r="C42" s="4" t="n"/>
      <c r="D42" s="4" t="n"/>
      <c r="E42" s="4" t="n"/>
      <c r="F42" s="12" t="n"/>
      <c r="G42" s="4" t="n"/>
      <c r="H42" s="4" t="n"/>
      <c r="I42" s="4" t="n"/>
    </row>
    <row r="43">
      <c r="A43" s="4" t="n"/>
      <c r="B43" s="4" t="n"/>
      <c r="C43" s="4" t="n"/>
      <c r="D43" s="4" t="n"/>
      <c r="E43" s="4" t="n"/>
      <c r="F43" s="12" t="n"/>
      <c r="G43" s="4" t="n"/>
      <c r="H43" s="4" t="n"/>
      <c r="I43" s="4" t="n"/>
    </row>
    <row r="44">
      <c r="A44" s="4" t="n"/>
      <c r="B44" s="4" t="n"/>
      <c r="C44" s="4" t="n"/>
      <c r="D44" s="4" t="n"/>
      <c r="E44" s="4" t="n"/>
      <c r="F44" s="12" t="n"/>
      <c r="G44" s="4" t="n"/>
      <c r="H44" s="4" t="n"/>
      <c r="I44" s="4" t="n"/>
    </row>
    <row r="45">
      <c r="A45" s="4" t="n"/>
      <c r="B45" s="4" t="n"/>
      <c r="C45" s="4" t="n"/>
      <c r="D45" s="4" t="n"/>
      <c r="E45" s="4" t="n"/>
      <c r="F45" s="12" t="n"/>
      <c r="G45" s="4" t="n"/>
      <c r="H45" s="4" t="n"/>
      <c r="I45" s="4" t="n"/>
    </row>
    <row r="46">
      <c r="A46" s="4" t="n"/>
      <c r="B46" s="4" t="n"/>
      <c r="C46" s="4" t="n"/>
      <c r="D46" s="4" t="n"/>
      <c r="E46" s="4" t="n"/>
      <c r="F46" s="12" t="n"/>
      <c r="G46" s="4" t="n"/>
      <c r="H46" s="4" t="n"/>
      <c r="I46" s="4" t="n"/>
    </row>
    <row r="47">
      <c r="A47" s="4" t="n"/>
      <c r="B47" s="4" t="n"/>
      <c r="C47" s="4" t="n"/>
      <c r="D47" s="4" t="n"/>
      <c r="E47" s="4" t="n"/>
      <c r="F47" s="12" t="n"/>
      <c r="G47" s="4" t="n"/>
      <c r="H47" s="4" t="n"/>
      <c r="I47" s="4" t="n"/>
    </row>
    <row r="48">
      <c r="A48" s="4" t="n"/>
      <c r="B48" s="4" t="n"/>
      <c r="C48" s="4" t="n"/>
      <c r="D48" s="4" t="n"/>
      <c r="E48" s="4" t="n"/>
      <c r="F48" s="12" t="n"/>
      <c r="G48" s="4" t="n"/>
      <c r="H48" s="4" t="n"/>
      <c r="I48" s="4" t="n"/>
    </row>
    <row r="49">
      <c r="A49" s="4" t="n"/>
      <c r="B49" s="4" t="n"/>
      <c r="C49" s="4" t="n"/>
      <c r="D49" s="4" t="n"/>
      <c r="E49" s="4" t="n"/>
      <c r="F49" s="12" t="n"/>
      <c r="G49" s="4" t="n"/>
      <c r="H49" s="4" t="n"/>
      <c r="I49" s="4" t="n"/>
    </row>
    <row r="50">
      <c r="A50" s="4" t="n"/>
      <c r="B50" s="4" t="n"/>
      <c r="C50" s="4" t="n"/>
      <c r="D50" s="4" t="n"/>
      <c r="E50" s="4" t="n"/>
      <c r="F50" s="12" t="n"/>
      <c r="G50" s="4" t="n"/>
      <c r="H50" s="4" t="n"/>
      <c r="I50" s="4" t="n"/>
    </row>
    <row r="51">
      <c r="A51" s="4" t="n"/>
      <c r="B51" s="4" t="n"/>
      <c r="C51" s="4" t="n"/>
      <c r="D51" s="4" t="n"/>
      <c r="E51" s="4" t="n"/>
      <c r="F51" s="12" t="n"/>
      <c r="G51" s="4" t="n"/>
      <c r="H51" s="4" t="n"/>
      <c r="I51" s="4" t="n"/>
    </row>
    <row r="52">
      <c r="A52" s="4" t="n"/>
      <c r="B52" s="4" t="n"/>
      <c r="C52" s="4" t="n"/>
      <c r="D52" s="4" t="n"/>
      <c r="E52" s="4" t="n"/>
      <c r="F52" s="12" t="n"/>
      <c r="G52" s="4" t="n"/>
      <c r="H52" s="4" t="n"/>
      <c r="I52" s="4" t="n"/>
    </row>
    <row r="53">
      <c r="A53" s="4" t="n"/>
      <c r="B53" s="4" t="n"/>
      <c r="C53" s="4" t="n"/>
      <c r="D53" s="4" t="n"/>
      <c r="E53" s="4" t="n"/>
      <c r="F53" s="12" t="n"/>
      <c r="G53" s="4" t="n"/>
      <c r="H53" s="4" t="n"/>
      <c r="I53" s="4" t="n"/>
    </row>
    <row r="54">
      <c r="A54" s="4" t="n"/>
      <c r="B54" s="4" t="n"/>
      <c r="C54" s="4" t="n"/>
      <c r="D54" s="4" t="n"/>
      <c r="E54" s="4" t="n"/>
      <c r="F54" s="12" t="n"/>
      <c r="G54" s="4" t="n"/>
      <c r="H54" s="4" t="n"/>
      <c r="I54" s="4" t="n"/>
    </row>
    <row r="55">
      <c r="A55" s="4" t="n"/>
      <c r="B55" s="4" t="n"/>
      <c r="C55" s="4" t="n"/>
      <c r="D55" s="4" t="n"/>
      <c r="E55" s="4" t="n"/>
      <c r="F55" s="12" t="n"/>
      <c r="G55" s="4" t="n"/>
      <c r="H55" s="4" t="n"/>
      <c r="I55" s="4" t="n"/>
    </row>
    <row r="56">
      <c r="A56" s="4" t="n"/>
      <c r="B56" s="4" t="n"/>
      <c r="C56" s="4" t="n"/>
      <c r="D56" s="4" t="n"/>
      <c r="E56" s="4" t="n"/>
      <c r="F56" s="12" t="n"/>
      <c r="G56" s="4" t="n"/>
      <c r="H56" s="4" t="n"/>
      <c r="I56" s="4" t="n"/>
    </row>
    <row r="57">
      <c r="A57" s="4" t="n"/>
      <c r="B57" s="4" t="n"/>
      <c r="C57" s="4" t="n"/>
      <c r="D57" s="4" t="n"/>
      <c r="E57" s="4" t="n"/>
      <c r="F57" s="12" t="n"/>
      <c r="G57" s="4" t="n"/>
      <c r="H57" s="4" t="n"/>
      <c r="I57" s="4" t="n"/>
    </row>
    <row r="58">
      <c r="A58" s="4" t="n"/>
      <c r="B58" s="4" t="n"/>
      <c r="C58" s="4" t="n"/>
      <c r="D58" s="4" t="n"/>
      <c r="E58" s="4" t="n"/>
      <c r="F58" s="12" t="n"/>
      <c r="G58" s="4" t="n"/>
      <c r="H58" s="4" t="n"/>
      <c r="I58" s="4" t="n"/>
    </row>
    <row r="59">
      <c r="A59" s="4" t="n"/>
      <c r="B59" s="4" t="n"/>
      <c r="C59" s="4" t="n"/>
      <c r="D59" s="4" t="n"/>
      <c r="E59" s="4" t="n"/>
      <c r="F59" s="12" t="n"/>
      <c r="G59" s="4" t="n"/>
      <c r="H59" s="4" t="n"/>
      <c r="I59" s="4" t="n"/>
    </row>
    <row r="60">
      <c r="A60" s="4" t="n"/>
      <c r="B60" s="4" t="n"/>
      <c r="C60" s="4" t="n"/>
      <c r="D60" s="4" t="n"/>
      <c r="E60" s="4" t="n"/>
      <c r="F60" s="12" t="n"/>
      <c r="G60" s="4" t="n"/>
      <c r="H60" s="4" t="n"/>
      <c r="I60" s="4" t="n"/>
    </row>
    <row r="61">
      <c r="A61" s="4" t="n"/>
      <c r="B61" s="4" t="n"/>
      <c r="C61" s="4" t="n"/>
      <c r="D61" s="4" t="n"/>
      <c r="E61" s="4" t="n"/>
      <c r="F61" s="12" t="n"/>
      <c r="G61" s="4" t="n"/>
      <c r="H61" s="4" t="n"/>
      <c r="I61" s="4" t="n"/>
    </row>
    <row r="62">
      <c r="A62" s="4" t="n"/>
      <c r="B62" s="4" t="n"/>
      <c r="C62" s="4" t="n"/>
      <c r="D62" s="4" t="n"/>
      <c r="E62" s="4" t="n"/>
      <c r="F62" s="12" t="n"/>
      <c r="G62" s="4" t="n"/>
      <c r="H62" s="4" t="n"/>
      <c r="I62" s="4" t="n"/>
    </row>
    <row r="63">
      <c r="A63" s="4" t="n"/>
      <c r="B63" s="4" t="n"/>
      <c r="C63" s="4" t="n"/>
      <c r="D63" s="4" t="n"/>
      <c r="E63" s="4" t="n"/>
      <c r="F63" s="12" t="n"/>
      <c r="G63" s="4" t="n"/>
      <c r="H63" s="4" t="n"/>
      <c r="I63" s="4" t="n"/>
    </row>
    <row r="64">
      <c r="A64" s="4" t="n"/>
      <c r="B64" s="4" t="n"/>
      <c r="C64" s="4" t="n"/>
      <c r="D64" s="4" t="n"/>
      <c r="E64" s="4" t="n"/>
      <c r="F64" s="12" t="n"/>
      <c r="G64" s="4" t="n"/>
      <c r="H64" s="4" t="n"/>
      <c r="I64" s="4" t="n"/>
    </row>
    <row r="65">
      <c r="A65" s="4" t="n"/>
      <c r="B65" s="4" t="n"/>
      <c r="C65" s="4" t="n"/>
      <c r="D65" s="4" t="n"/>
      <c r="E65" s="4" t="n"/>
      <c r="F65" s="12" t="n"/>
      <c r="G65" s="4" t="n"/>
      <c r="H65" s="4" t="n"/>
      <c r="I65" s="4" t="n"/>
    </row>
    <row r="66">
      <c r="A66" s="4" t="n"/>
      <c r="B66" s="4" t="n"/>
      <c r="C66" s="4" t="n"/>
      <c r="D66" s="4" t="n"/>
      <c r="E66" s="4" t="n"/>
      <c r="F66" s="12" t="n"/>
      <c r="G66" s="4" t="n"/>
      <c r="H66" s="4" t="n"/>
      <c r="I66" s="4" t="n"/>
    </row>
    <row r="67">
      <c r="A67" s="4" t="n"/>
      <c r="B67" s="4" t="n"/>
      <c r="C67" s="4" t="n"/>
      <c r="D67" s="4" t="n"/>
      <c r="E67" s="4" t="n"/>
      <c r="F67" s="12" t="n"/>
      <c r="G67" s="4" t="n"/>
      <c r="H67" s="4" t="n"/>
      <c r="I67" s="4" t="n"/>
    </row>
    <row r="68">
      <c r="A68" s="4" t="n"/>
      <c r="B68" s="4" t="n"/>
      <c r="C68" s="4" t="n"/>
      <c r="D68" s="4" t="n"/>
      <c r="E68" s="4" t="n"/>
      <c r="F68" s="12" t="n"/>
      <c r="G68" s="4" t="n"/>
      <c r="H68" s="4" t="n"/>
      <c r="I68" s="4" t="n"/>
    </row>
    <row r="69">
      <c r="A69" s="4" t="n"/>
      <c r="B69" s="4" t="n"/>
      <c r="C69" s="4" t="n"/>
      <c r="D69" s="4" t="n"/>
      <c r="E69" s="4" t="n"/>
      <c r="F69" s="12" t="n"/>
      <c r="G69" s="4" t="n"/>
      <c r="H69" s="4" t="n"/>
      <c r="I69" s="4" t="n"/>
    </row>
    <row r="70">
      <c r="A70" s="4" t="n"/>
      <c r="B70" s="4" t="n"/>
      <c r="C70" s="4" t="n"/>
      <c r="D70" s="4" t="n"/>
      <c r="E70" s="4" t="n"/>
      <c r="F70" s="12" t="n"/>
      <c r="G70" s="4" t="n"/>
      <c r="H70" s="4" t="n"/>
      <c r="I70" s="4" t="n"/>
    </row>
    <row r="71">
      <c r="A71" s="4" t="n"/>
      <c r="B71" s="4" t="n"/>
      <c r="C71" s="4" t="n"/>
      <c r="D71" s="4" t="n"/>
      <c r="E71" s="4" t="n"/>
      <c r="F71" s="12" t="n"/>
      <c r="G71" s="4" t="n"/>
      <c r="H71" s="4" t="n"/>
      <c r="I71" s="4" t="n"/>
    </row>
    <row r="72">
      <c r="A72" s="4" t="n"/>
      <c r="B72" s="4" t="n"/>
      <c r="C72" s="4" t="n"/>
      <c r="D72" s="4" t="n"/>
      <c r="E72" s="4" t="n"/>
      <c r="F72" s="12" t="n"/>
      <c r="G72" s="4" t="n"/>
      <c r="H72" s="4" t="n"/>
      <c r="I72" s="4" t="n"/>
    </row>
    <row r="73">
      <c r="A73" s="4" t="n"/>
      <c r="B73" s="4" t="n"/>
      <c r="C73" s="4" t="n"/>
      <c r="D73" s="4" t="n"/>
      <c r="E73" s="4" t="n"/>
      <c r="F73" s="12" t="n"/>
      <c r="G73" s="4" t="n"/>
      <c r="H73" s="4" t="n"/>
      <c r="I73" s="4" t="n"/>
    </row>
    <row r="74">
      <c r="A74" s="4" t="n"/>
      <c r="B74" s="4" t="n"/>
      <c r="C74" s="4" t="n"/>
      <c r="D74" s="4" t="n"/>
      <c r="E74" s="4" t="n"/>
      <c r="F74" s="12" t="n"/>
      <c r="G74" s="4" t="n"/>
      <c r="H74" s="4" t="n"/>
      <c r="I74" s="4" t="n"/>
    </row>
    <row r="75">
      <c r="A75" s="4" t="n"/>
      <c r="B75" s="4" t="n"/>
      <c r="C75" s="4" t="n"/>
      <c r="D75" s="4" t="n"/>
      <c r="E75" s="4" t="n"/>
      <c r="F75" s="12" t="n"/>
      <c r="G75" s="4" t="n"/>
      <c r="H75" s="4" t="n"/>
      <c r="I75" s="4" t="n"/>
    </row>
    <row r="76">
      <c r="A76" s="4" t="n"/>
      <c r="B76" s="4" t="n"/>
      <c r="C76" s="4" t="n"/>
      <c r="D76" s="4" t="n"/>
      <c r="E76" s="4" t="n"/>
      <c r="F76" s="12" t="n"/>
      <c r="G76" s="4" t="n"/>
      <c r="H76" s="4" t="n"/>
      <c r="I76" s="4" t="n"/>
    </row>
    <row r="77">
      <c r="A77" s="4" t="n"/>
      <c r="B77" s="4" t="n"/>
      <c r="C77" s="4" t="n"/>
      <c r="D77" s="4" t="n"/>
      <c r="E77" s="4" t="n"/>
      <c r="F77" s="12" t="n"/>
      <c r="G77" s="4" t="n"/>
      <c r="H77" s="4" t="n"/>
      <c r="I77" s="4" t="n"/>
    </row>
    <row r="78">
      <c r="A78" s="4" t="n"/>
      <c r="B78" s="4" t="n"/>
      <c r="C78" s="4" t="n"/>
      <c r="D78" s="4" t="n"/>
      <c r="E78" s="4" t="n"/>
      <c r="F78" s="12" t="n"/>
      <c r="G78" s="4" t="n"/>
      <c r="H78" s="4" t="n"/>
      <c r="I78" s="4" t="n"/>
    </row>
    <row r="79">
      <c r="A79" s="4" t="n"/>
      <c r="B79" s="4" t="n"/>
      <c r="C79" s="4" t="n"/>
      <c r="D79" s="4" t="n"/>
      <c r="E79" s="4" t="n"/>
      <c r="F79" s="12" t="n"/>
      <c r="G79" s="4" t="n"/>
      <c r="H79" s="4" t="n"/>
      <c r="I79" s="4" t="n"/>
    </row>
    <row r="80">
      <c r="A80" s="4" t="n"/>
      <c r="B80" s="4" t="n"/>
      <c r="C80" s="4" t="n"/>
      <c r="D80" s="4" t="n"/>
      <c r="E80" s="4" t="n"/>
      <c r="F80" s="12" t="n"/>
      <c r="G80" s="4" t="n"/>
      <c r="H80" s="4" t="n"/>
      <c r="I80" s="4" t="n"/>
    </row>
    <row r="81">
      <c r="A81" s="4" t="n"/>
      <c r="B81" s="4" t="n"/>
      <c r="C81" s="4" t="n"/>
      <c r="D81" s="4" t="n"/>
      <c r="E81" s="4" t="n"/>
      <c r="F81" s="12" t="n"/>
      <c r="G81" s="4" t="n"/>
      <c r="H81" s="4" t="n"/>
      <c r="I81" s="4" t="n"/>
    </row>
    <row r="82">
      <c r="A82" s="4" t="n"/>
      <c r="B82" s="4" t="n"/>
      <c r="C82" s="4" t="n"/>
      <c r="D82" s="4" t="n"/>
      <c r="E82" s="4" t="n"/>
      <c r="F82" s="12" t="n"/>
      <c r="G82" s="4" t="n"/>
      <c r="H82" s="4" t="n"/>
      <c r="I82" s="4" t="n"/>
    </row>
    <row r="83">
      <c r="A83" s="4" t="n"/>
      <c r="B83" s="4" t="n"/>
      <c r="C83" s="4" t="n"/>
      <c r="D83" s="4" t="n"/>
      <c r="E83" s="4" t="n"/>
      <c r="F83" s="12" t="n"/>
      <c r="G83" s="4" t="n"/>
      <c r="H83" s="4" t="n"/>
      <c r="I83" s="4" t="n"/>
    </row>
    <row r="84">
      <c r="A84" s="4" t="n"/>
      <c r="B84" s="4" t="n"/>
      <c r="C84" s="4" t="n"/>
      <c r="D84" s="4" t="n"/>
      <c r="E84" s="4" t="n"/>
      <c r="F84" s="12" t="n"/>
      <c r="G84" s="4" t="n"/>
      <c r="H84" s="4" t="n"/>
      <c r="I84" s="4" t="n"/>
    </row>
    <row r="85">
      <c r="A85" s="4" t="n"/>
      <c r="B85" s="4" t="n"/>
      <c r="C85" s="4" t="n"/>
      <c r="D85" s="4" t="n"/>
      <c r="E85" s="4" t="n"/>
      <c r="F85" s="12" t="n"/>
      <c r="G85" s="4" t="n"/>
      <c r="H85" s="4" t="n"/>
      <c r="I85" s="4" t="n"/>
    </row>
    <row r="86">
      <c r="A86" s="4" t="n"/>
      <c r="B86" s="4" t="n"/>
      <c r="C86" s="4" t="n"/>
      <c r="D86" s="4" t="n"/>
      <c r="E86" s="4" t="n"/>
      <c r="F86" s="12" t="n"/>
      <c r="G86" s="4" t="n"/>
      <c r="H86" s="4" t="n"/>
      <c r="I86" s="4" t="n"/>
    </row>
    <row r="87">
      <c r="A87" s="4" t="n"/>
      <c r="B87" s="4" t="n"/>
      <c r="C87" s="4" t="n"/>
      <c r="D87" s="4" t="n"/>
      <c r="E87" s="4" t="n"/>
      <c r="F87" s="12" t="n"/>
      <c r="G87" s="4" t="n"/>
      <c r="H87" s="4" t="n"/>
      <c r="I87" s="4" t="n"/>
    </row>
    <row r="88">
      <c r="A88" s="4" t="n"/>
      <c r="B88" s="4" t="n"/>
      <c r="C88" s="4" t="n"/>
      <c r="D88" s="4" t="n"/>
      <c r="E88" s="4" t="n"/>
      <c r="F88" s="12" t="n"/>
      <c r="G88" s="4" t="n"/>
      <c r="H88" s="4" t="n"/>
      <c r="I88" s="4" t="n"/>
    </row>
    <row r="89">
      <c r="A89" s="4" t="n"/>
      <c r="B89" s="4" t="n"/>
      <c r="C89" s="4" t="n"/>
      <c r="D89" s="4" t="n"/>
      <c r="E89" s="4" t="n"/>
      <c r="F89" s="12" t="n"/>
      <c r="G89" s="4" t="n"/>
      <c r="H89" s="4" t="n"/>
      <c r="I89" s="4" t="n"/>
    </row>
    <row r="90">
      <c r="A90" s="4" t="n"/>
      <c r="B90" s="4" t="n"/>
      <c r="C90" s="4" t="n"/>
      <c r="D90" s="4" t="n"/>
      <c r="E90" s="4" t="n"/>
      <c r="F90" s="12" t="n"/>
      <c r="G90" s="4" t="n"/>
      <c r="H90" s="4" t="n"/>
      <c r="I90" s="4" t="n"/>
    </row>
    <row r="91">
      <c r="A91" s="4" t="n"/>
      <c r="B91" s="4" t="n"/>
      <c r="C91" s="4" t="n"/>
      <c r="D91" s="4" t="n"/>
      <c r="E91" s="4" t="n"/>
      <c r="F91" s="12" t="n"/>
      <c r="G91" s="4" t="n"/>
      <c r="H91" s="4" t="n"/>
      <c r="I91" s="4" t="n"/>
    </row>
    <row r="92">
      <c r="A92" s="4" t="n"/>
      <c r="B92" s="4" t="n"/>
      <c r="C92" s="4" t="n"/>
      <c r="D92" s="4" t="n"/>
      <c r="E92" s="4" t="n"/>
      <c r="F92" s="12" t="n"/>
      <c r="G92" s="4" t="n"/>
      <c r="H92" s="4" t="n"/>
      <c r="I92" s="4" t="n"/>
    </row>
    <row r="93">
      <c r="A93" s="4" t="n"/>
      <c r="B93" s="4" t="n"/>
      <c r="C93" s="4" t="n"/>
      <c r="D93" s="4" t="n"/>
      <c r="E93" s="4" t="n"/>
      <c r="F93" s="12" t="n"/>
      <c r="G93" s="4" t="n"/>
      <c r="H93" s="4" t="n"/>
      <c r="I93" s="4" t="n"/>
    </row>
    <row r="94">
      <c r="A94" s="4" t="n"/>
      <c r="B94" s="4" t="n"/>
      <c r="C94" s="4" t="n"/>
      <c r="D94" s="4" t="n"/>
      <c r="E94" s="4" t="n"/>
      <c r="F94" s="12" t="n"/>
      <c r="G94" s="4" t="n"/>
      <c r="H94" s="4" t="n"/>
      <c r="I94" s="4" t="n"/>
    </row>
    <row r="95">
      <c r="A95" s="4" t="n"/>
      <c r="B95" s="4" t="n"/>
      <c r="C95" s="4" t="n"/>
      <c r="D95" s="4" t="n"/>
      <c r="E95" s="4" t="n"/>
      <c r="F95" s="12" t="n"/>
      <c r="G95" s="4" t="n"/>
      <c r="H95" s="4" t="n"/>
      <c r="I95" s="4" t="n"/>
    </row>
    <row r="96">
      <c r="A96" s="4" t="n"/>
      <c r="B96" s="4" t="n"/>
      <c r="C96" s="4" t="n"/>
      <c r="D96" s="4" t="n"/>
      <c r="E96" s="4" t="n"/>
      <c r="F96" s="12" t="n"/>
      <c r="G96" s="4" t="n"/>
      <c r="H96" s="4" t="n"/>
      <c r="I96" s="4" t="n"/>
    </row>
    <row r="97">
      <c r="A97" s="4" t="n"/>
      <c r="B97" s="4" t="n"/>
      <c r="C97" s="4" t="n"/>
      <c r="D97" s="4" t="n"/>
      <c r="E97" s="4" t="n"/>
      <c r="F97" s="12" t="n"/>
      <c r="G97" s="4" t="n"/>
      <c r="H97" s="4" t="n"/>
      <c r="I97" s="4" t="n"/>
    </row>
    <row r="98">
      <c r="A98" s="4" t="n"/>
      <c r="B98" s="4" t="n"/>
      <c r="C98" s="4" t="n"/>
      <c r="D98" s="4" t="n"/>
      <c r="E98" s="4" t="n"/>
      <c r="F98" s="12" t="n"/>
      <c r="G98" s="4" t="n"/>
      <c r="H98" s="4" t="n"/>
      <c r="I98" s="4" t="n"/>
    </row>
    <row r="99">
      <c r="A99" s="4" t="n"/>
      <c r="B99" s="4" t="n"/>
      <c r="C99" s="4" t="n"/>
      <c r="D99" s="4" t="n"/>
      <c r="E99" s="4" t="n"/>
      <c r="F99" s="12" t="n"/>
      <c r="G99" s="4" t="n"/>
      <c r="H99" s="4" t="n"/>
      <c r="I99" s="4" t="n"/>
    </row>
    <row r="100">
      <c r="A100" s="4" t="n"/>
      <c r="B100" s="4" t="n"/>
      <c r="C100" s="4" t="n"/>
      <c r="D100" s="4" t="n"/>
      <c r="E100" s="4" t="n"/>
      <c r="F100" s="12" t="n"/>
      <c r="G100" s="4" t="n"/>
      <c r="H100" s="4" t="n"/>
      <c r="I100" s="4" t="n"/>
    </row>
    <row r="101">
      <c r="A101" s="4" t="n"/>
      <c r="B101" s="4" t="n"/>
      <c r="C101" s="4" t="n"/>
      <c r="D101" s="4" t="n"/>
      <c r="E101" s="4" t="n"/>
      <c r="F101" s="12" t="n"/>
      <c r="G101" s="4" t="n"/>
      <c r="H101" s="4" t="n"/>
      <c r="I101" s="4" t="n"/>
    </row>
    <row r="102">
      <c r="A102" s="4" t="n"/>
      <c r="B102" s="4" t="n"/>
      <c r="C102" s="4" t="n"/>
      <c r="D102" s="4" t="n"/>
      <c r="E102" s="4" t="n"/>
      <c r="F102" s="12" t="n"/>
      <c r="G102" s="4" t="n"/>
      <c r="H102" s="4" t="n"/>
      <c r="I102" s="4" t="n"/>
    </row>
    <row r="103">
      <c r="A103" s="4" t="n"/>
      <c r="B103" s="4" t="n"/>
      <c r="C103" s="4" t="n"/>
      <c r="D103" s="4" t="n"/>
      <c r="E103" s="4" t="n"/>
      <c r="F103" s="12" t="n"/>
      <c r="G103" s="4" t="n"/>
      <c r="H103" s="4" t="n"/>
      <c r="I103" s="4" t="n"/>
    </row>
    <row r="104">
      <c r="A104" s="4" t="n"/>
      <c r="B104" s="4" t="n"/>
      <c r="C104" s="4" t="n"/>
      <c r="D104" s="4" t="n"/>
      <c r="E104" s="4" t="n"/>
      <c r="F104" s="12" t="n"/>
      <c r="G104" s="4" t="n"/>
      <c r="H104" s="4" t="n"/>
      <c r="I104" s="4" t="n"/>
    </row>
    <row r="105">
      <c r="A105" s="4" t="n"/>
      <c r="B105" s="4" t="n"/>
      <c r="C105" s="4" t="n"/>
      <c r="D105" s="4" t="n"/>
      <c r="E105" s="4" t="n"/>
      <c r="F105" s="12" t="n"/>
      <c r="G105" s="4" t="n"/>
      <c r="H105" s="4" t="n"/>
      <c r="I105" s="4" t="n"/>
    </row>
    <row r="106">
      <c r="A106" s="4" t="n"/>
      <c r="B106" s="4" t="n"/>
      <c r="C106" s="4" t="n"/>
      <c r="D106" s="4" t="n"/>
      <c r="E106" s="4" t="n"/>
      <c r="F106" s="12" t="n"/>
      <c r="G106" s="4" t="n"/>
      <c r="H106" s="4" t="n"/>
      <c r="I106" s="4" t="n"/>
    </row>
    <row r="107">
      <c r="A107" s="4" t="n"/>
      <c r="B107" s="4" t="n"/>
      <c r="C107" s="4" t="n"/>
      <c r="D107" s="4" t="n"/>
      <c r="E107" s="4" t="n"/>
      <c r="F107" s="12" t="n"/>
      <c r="G107" s="4" t="n"/>
      <c r="H107" s="4" t="n"/>
      <c r="I107" s="4" t="n"/>
    </row>
    <row r="108">
      <c r="A108" s="4" t="n"/>
      <c r="B108" s="4" t="n"/>
      <c r="C108" s="4" t="n"/>
      <c r="D108" s="4" t="n"/>
      <c r="E108" s="4" t="n"/>
      <c r="F108" s="12" t="n"/>
      <c r="G108" s="4" t="n"/>
      <c r="H108" s="4" t="n"/>
      <c r="I108" s="4" t="n"/>
    </row>
    <row r="109">
      <c r="A109" s="4" t="n"/>
      <c r="B109" s="4" t="n"/>
      <c r="C109" s="4" t="n"/>
      <c r="D109" s="4" t="n"/>
      <c r="E109" s="4" t="n"/>
      <c r="F109" s="12" t="n"/>
      <c r="G109" s="4" t="n"/>
      <c r="H109" s="4" t="n"/>
      <c r="I109" s="4" t="n"/>
    </row>
    <row r="110">
      <c r="A110" s="4" t="n"/>
      <c r="B110" s="4" t="n"/>
      <c r="C110" s="4" t="n"/>
      <c r="D110" s="4" t="n"/>
      <c r="E110" s="4" t="n"/>
      <c r="F110" s="12" t="n"/>
      <c r="G110" s="4" t="n"/>
      <c r="H110" s="4" t="n"/>
      <c r="I110" s="4" t="n"/>
    </row>
    <row r="111">
      <c r="A111" s="4" t="n"/>
      <c r="B111" s="4" t="n"/>
      <c r="C111" s="4" t="n"/>
      <c r="D111" s="4" t="n"/>
      <c r="E111" s="4" t="n"/>
      <c r="F111" s="12" t="n"/>
      <c r="G111" s="4" t="n"/>
      <c r="H111" s="4" t="n"/>
      <c r="I111" s="4" t="n"/>
    </row>
    <row r="112">
      <c r="A112" s="4" t="n"/>
      <c r="B112" s="4" t="n"/>
      <c r="C112" s="4" t="n"/>
      <c r="D112" s="4" t="n"/>
      <c r="E112" s="4" t="n"/>
      <c r="F112" s="12" t="n"/>
      <c r="G112" s="4" t="n"/>
      <c r="H112" s="4" t="n"/>
      <c r="I112" s="4" t="n"/>
    </row>
    <row r="113">
      <c r="A113" s="4" t="n"/>
      <c r="B113" s="4" t="n"/>
      <c r="C113" s="4" t="n"/>
      <c r="D113" s="4" t="n"/>
      <c r="E113" s="4" t="n"/>
      <c r="F113" s="12" t="n"/>
      <c r="G113" s="4" t="n"/>
      <c r="H113" s="4" t="n"/>
      <c r="I113" s="4" t="n"/>
    </row>
    <row r="114">
      <c r="A114" s="4" t="n"/>
      <c r="B114" s="4" t="n"/>
      <c r="C114" s="4" t="n"/>
      <c r="D114" s="4" t="n"/>
      <c r="E114" s="4" t="n"/>
      <c r="F114" s="12" t="n"/>
      <c r="G114" s="4" t="n"/>
      <c r="H114" s="4" t="n"/>
      <c r="I114" s="4" t="n"/>
    </row>
    <row r="115">
      <c r="A115" s="4" t="n"/>
      <c r="B115" s="4" t="n"/>
      <c r="C115" s="4" t="n"/>
      <c r="D115" s="4" t="n"/>
      <c r="E115" s="4" t="n"/>
      <c r="F115" s="12" t="n"/>
      <c r="G115" s="4" t="n"/>
      <c r="H115" s="4" t="n"/>
      <c r="I115" s="4" t="n"/>
    </row>
    <row r="116">
      <c r="A116" s="4" t="n"/>
      <c r="B116" s="4" t="n"/>
      <c r="C116" s="4" t="n"/>
      <c r="D116" s="4" t="n"/>
      <c r="E116" s="4" t="n"/>
      <c r="F116" s="12" t="n"/>
      <c r="G116" s="4" t="n"/>
      <c r="H116" s="4" t="n"/>
      <c r="I116" s="4" t="n"/>
    </row>
    <row r="117">
      <c r="A117" s="4" t="n"/>
      <c r="B117" s="4" t="n"/>
      <c r="C117" s="4" t="n"/>
      <c r="D117" s="4" t="n"/>
      <c r="E117" s="4" t="n"/>
      <c r="F117" s="12" t="n"/>
      <c r="G117" s="4" t="n"/>
      <c r="H117" s="4" t="n"/>
      <c r="I117" s="4" t="n"/>
    </row>
    <row r="118">
      <c r="A118" s="4" t="n"/>
      <c r="B118" s="4" t="n"/>
      <c r="C118" s="4" t="n"/>
      <c r="D118" s="4" t="n"/>
      <c r="E118" s="4" t="n"/>
      <c r="F118" s="12" t="n"/>
      <c r="G118" s="4" t="n"/>
      <c r="H118" s="4" t="n"/>
      <c r="I118" s="4" t="n"/>
    </row>
    <row r="119">
      <c r="A119" s="4" t="n"/>
      <c r="B119" s="4" t="n"/>
      <c r="C119" s="4" t="n"/>
      <c r="D119" s="4" t="n"/>
      <c r="E119" s="4" t="n"/>
      <c r="F119" s="12" t="n"/>
      <c r="G119" s="4" t="n"/>
      <c r="H119" s="4" t="n"/>
      <c r="I119" s="4" t="n"/>
    </row>
    <row r="120">
      <c r="A120" s="4" t="n"/>
      <c r="B120" s="4" t="n"/>
      <c r="C120" s="4" t="n"/>
      <c r="D120" s="4" t="n"/>
      <c r="E120" s="4" t="n"/>
      <c r="F120" s="12" t="n"/>
      <c r="G120" s="4" t="n"/>
      <c r="H120" s="4" t="n"/>
      <c r="I120" s="4" t="n"/>
    </row>
    <row r="121">
      <c r="A121" s="4" t="n"/>
      <c r="B121" s="4" t="n"/>
      <c r="C121" s="4" t="n"/>
      <c r="D121" s="4" t="n"/>
      <c r="E121" s="4" t="n"/>
      <c r="F121" s="12" t="n"/>
      <c r="G121" s="4" t="n"/>
      <c r="H121" s="4" t="n"/>
      <c r="I121" s="4" t="n"/>
    </row>
    <row r="122">
      <c r="A122" s="4" t="n"/>
      <c r="B122" s="4" t="n"/>
      <c r="C122" s="4" t="n"/>
      <c r="D122" s="4" t="n"/>
      <c r="E122" s="4" t="n"/>
      <c r="F122" s="12" t="n"/>
      <c r="G122" s="4" t="n"/>
      <c r="H122" s="4" t="n"/>
      <c r="I122" s="4" t="n"/>
    </row>
    <row r="123">
      <c r="A123" s="4" t="n"/>
      <c r="B123" s="4" t="n"/>
      <c r="C123" s="4" t="n"/>
      <c r="D123" s="4" t="n"/>
      <c r="E123" s="4" t="n"/>
      <c r="F123" s="12" t="n"/>
      <c r="G123" s="4" t="n"/>
      <c r="H123" s="4" t="n"/>
      <c r="I123" s="4" t="n"/>
    </row>
    <row r="124">
      <c r="A124" s="4" t="n"/>
      <c r="B124" s="4" t="n"/>
      <c r="C124" s="4" t="n"/>
      <c r="D124" s="4" t="n"/>
      <c r="E124" s="4" t="n"/>
      <c r="F124" s="12" t="n"/>
      <c r="G124" s="4" t="n"/>
      <c r="H124" s="4" t="n"/>
      <c r="I124" s="4" t="n"/>
    </row>
    <row r="125">
      <c r="A125" s="4" t="n"/>
      <c r="B125" s="4" t="n"/>
      <c r="C125" s="4" t="n"/>
      <c r="D125" s="4" t="n"/>
      <c r="E125" s="4" t="n"/>
      <c r="F125" s="12" t="n"/>
      <c r="G125" s="4" t="n"/>
      <c r="H125" s="4" t="n"/>
      <c r="I125" s="4" t="n"/>
    </row>
    <row r="126">
      <c r="A126" s="4" t="n"/>
      <c r="B126" s="4" t="n"/>
      <c r="C126" s="4" t="n"/>
      <c r="D126" s="4" t="n"/>
      <c r="E126" s="4" t="n"/>
      <c r="F126" s="12" t="n"/>
      <c r="G126" s="4" t="n"/>
      <c r="H126" s="4" t="n"/>
      <c r="I126" s="4" t="n"/>
    </row>
    <row r="127">
      <c r="A127" s="4" t="n"/>
      <c r="B127" s="4" t="n"/>
      <c r="C127" s="4" t="n"/>
      <c r="D127" s="4" t="n"/>
      <c r="E127" s="4" t="n"/>
      <c r="F127" s="12" t="n"/>
      <c r="G127" s="4" t="n"/>
      <c r="H127" s="4" t="n"/>
      <c r="I127" s="4" t="n"/>
    </row>
    <row r="128">
      <c r="A128" s="4" t="n"/>
      <c r="B128" s="4" t="n"/>
      <c r="C128" s="4" t="n"/>
      <c r="D128" s="4" t="n"/>
      <c r="E128" s="4" t="n"/>
      <c r="F128" s="12" t="n"/>
      <c r="G128" s="4" t="n"/>
      <c r="H128" s="4" t="n"/>
      <c r="I128" s="4" t="n"/>
    </row>
    <row r="129">
      <c r="A129" s="4" t="n"/>
      <c r="B129" s="4" t="n"/>
      <c r="C129" s="4" t="n"/>
      <c r="D129" s="4" t="n"/>
      <c r="E129" s="4" t="n"/>
      <c r="F129" s="12" t="n"/>
      <c r="G129" s="4" t="n"/>
      <c r="H129" s="4" t="n"/>
      <c r="I129" s="4" t="n"/>
    </row>
    <row r="130">
      <c r="A130" s="4" t="n"/>
      <c r="B130" s="4" t="n"/>
      <c r="C130" s="4" t="n"/>
      <c r="D130" s="4" t="n"/>
      <c r="E130" s="4" t="n"/>
      <c r="F130" s="12" t="n"/>
      <c r="G130" s="4" t="n"/>
      <c r="H130" s="4" t="n"/>
      <c r="I130" s="4" t="n"/>
    </row>
    <row r="131">
      <c r="A131" s="4" t="n"/>
      <c r="B131" s="4" t="n"/>
      <c r="C131" s="4" t="n"/>
      <c r="D131" s="4" t="n"/>
      <c r="E131" s="4" t="n"/>
      <c r="F131" s="12" t="n"/>
      <c r="G131" s="4" t="n"/>
      <c r="H131" s="4" t="n"/>
      <c r="I131" s="4" t="n"/>
    </row>
    <row r="132">
      <c r="A132" s="4" t="n"/>
      <c r="B132" s="4" t="n"/>
      <c r="C132" s="4" t="n"/>
      <c r="D132" s="4" t="n"/>
      <c r="E132" s="4" t="n"/>
      <c r="F132" s="12" t="n"/>
      <c r="G132" s="4" t="n"/>
      <c r="H132" s="4" t="n"/>
      <c r="I132" s="4" t="n"/>
    </row>
    <row r="133">
      <c r="A133" s="4" t="n"/>
      <c r="B133" s="4" t="n"/>
      <c r="C133" s="4" t="n"/>
      <c r="D133" s="4" t="n"/>
      <c r="E133" s="4" t="n"/>
      <c r="F133" s="12" t="n"/>
      <c r="G133" s="4" t="n"/>
      <c r="H133" s="4" t="n"/>
      <c r="I133" s="4" t="n"/>
    </row>
    <row r="134">
      <c r="A134" s="4" t="n"/>
      <c r="B134" s="4" t="n"/>
      <c r="C134" s="4" t="n"/>
      <c r="D134" s="4" t="n"/>
      <c r="E134" s="4" t="n"/>
      <c r="F134" s="12" t="n"/>
      <c r="G134" s="4" t="n"/>
      <c r="H134" s="4" t="n"/>
      <c r="I134" s="4" t="n"/>
    </row>
    <row r="135">
      <c r="A135" s="4" t="n"/>
      <c r="B135" s="4" t="n"/>
      <c r="C135" s="4" t="n"/>
      <c r="D135" s="4" t="n"/>
      <c r="E135" s="4" t="n"/>
      <c r="F135" s="12" t="n"/>
      <c r="G135" s="4" t="n"/>
      <c r="H135" s="4" t="n"/>
      <c r="I135" s="4" t="n"/>
    </row>
    <row r="136">
      <c r="A136" s="4" t="n"/>
      <c r="B136" s="4" t="n"/>
      <c r="C136" s="4" t="n"/>
      <c r="D136" s="4" t="n"/>
      <c r="E136" s="4" t="n"/>
      <c r="F136" s="12" t="n"/>
      <c r="G136" s="4" t="n"/>
      <c r="H136" s="4" t="n"/>
      <c r="I136" s="4" t="n"/>
    </row>
    <row r="137">
      <c r="A137" s="4" t="n"/>
      <c r="B137" s="4" t="n"/>
      <c r="C137" s="4" t="n"/>
      <c r="D137" s="4" t="n"/>
      <c r="E137" s="4" t="n"/>
      <c r="F137" s="12" t="n"/>
      <c r="G137" s="4" t="n"/>
      <c r="H137" s="4" t="n"/>
      <c r="I137" s="4" t="n"/>
    </row>
    <row r="138">
      <c r="A138" s="4" t="n"/>
      <c r="B138" s="4" t="n"/>
      <c r="C138" s="4" t="n"/>
      <c r="D138" s="4" t="n"/>
      <c r="E138" s="4" t="n"/>
      <c r="F138" s="12" t="n"/>
      <c r="G138" s="4" t="n"/>
      <c r="H138" s="4" t="n"/>
      <c r="I138" s="4" t="n"/>
    </row>
    <row r="139">
      <c r="A139" s="4" t="n"/>
      <c r="B139" s="4" t="n"/>
      <c r="C139" s="4" t="n"/>
      <c r="D139" s="4" t="n"/>
      <c r="E139" s="4" t="n"/>
      <c r="F139" s="12" t="n"/>
      <c r="G139" s="4" t="n"/>
      <c r="H139" s="4" t="n"/>
      <c r="I139" s="4" t="n"/>
    </row>
    <row r="140">
      <c r="A140" s="4" t="n"/>
      <c r="B140" s="4" t="n"/>
      <c r="C140" s="4" t="n"/>
      <c r="D140" s="4" t="n"/>
      <c r="E140" s="4" t="n"/>
      <c r="F140" s="12" t="n"/>
      <c r="G140" s="4" t="n"/>
      <c r="H140" s="4" t="n"/>
      <c r="I140" s="4" t="n"/>
    </row>
    <row r="141">
      <c r="A141" s="4" t="n"/>
      <c r="B141" s="4" t="n"/>
      <c r="C141" s="4" t="n"/>
      <c r="D141" s="4" t="n"/>
      <c r="E141" s="4" t="n"/>
      <c r="F141" s="12" t="n"/>
      <c r="G141" s="4" t="n"/>
      <c r="H141" s="4" t="n"/>
      <c r="I141" s="4" t="n"/>
    </row>
    <row r="142">
      <c r="A142" s="4" t="n"/>
      <c r="B142" s="4" t="n"/>
      <c r="C142" s="4" t="n"/>
      <c r="D142" s="4" t="n"/>
      <c r="E142" s="4" t="n"/>
      <c r="F142" s="12" t="n"/>
      <c r="G142" s="4" t="n"/>
      <c r="H142" s="4" t="n"/>
      <c r="I142" s="4" t="n"/>
    </row>
    <row r="143">
      <c r="A143" s="4" t="n"/>
      <c r="B143" s="4" t="n"/>
      <c r="C143" s="4" t="n"/>
      <c r="D143" s="4" t="n"/>
      <c r="E143" s="4" t="n"/>
      <c r="F143" s="12" t="n"/>
      <c r="G143" s="4" t="n"/>
      <c r="H143" s="4" t="n"/>
      <c r="I143" s="4" t="n"/>
    </row>
    <row r="144">
      <c r="A144" s="4" t="n"/>
      <c r="B144" s="4" t="n"/>
      <c r="C144" s="4" t="n"/>
      <c r="D144" s="4" t="n"/>
      <c r="E144" s="4" t="n"/>
      <c r="F144" s="12" t="n"/>
      <c r="G144" s="4" t="n"/>
      <c r="H144" s="4" t="n"/>
      <c r="I144" s="4" t="n"/>
    </row>
    <row r="145">
      <c r="A145" s="4" t="n"/>
      <c r="B145" s="4" t="n"/>
      <c r="C145" s="4" t="n"/>
      <c r="D145" s="4" t="n"/>
      <c r="E145" s="4" t="n"/>
      <c r="F145" s="12" t="n"/>
      <c r="G145" s="4" t="n"/>
      <c r="H145" s="4" t="n"/>
      <c r="I145" s="4" t="n"/>
    </row>
    <row r="146">
      <c r="A146" s="4" t="n"/>
      <c r="B146" s="4" t="n"/>
      <c r="C146" s="4" t="n"/>
      <c r="D146" s="4" t="n"/>
      <c r="E146" s="4" t="n"/>
      <c r="F146" s="12" t="n"/>
      <c r="G146" s="4" t="n"/>
      <c r="H146" s="4" t="n"/>
      <c r="I146" s="4" t="n"/>
    </row>
    <row r="147">
      <c r="A147" s="4" t="n"/>
      <c r="B147" s="4" t="n"/>
      <c r="C147" s="4" t="n"/>
      <c r="D147" s="4" t="n"/>
      <c r="E147" s="4" t="n"/>
      <c r="F147" s="12" t="n"/>
      <c r="G147" s="4" t="n"/>
      <c r="H147" s="4" t="n"/>
      <c r="I147" s="4" t="n"/>
    </row>
    <row r="148">
      <c r="A148" s="4" t="n"/>
      <c r="B148" s="4" t="n"/>
      <c r="C148" s="4" t="n"/>
      <c r="D148" s="4" t="n"/>
      <c r="E148" s="4" t="n"/>
      <c r="F148" s="12" t="n"/>
      <c r="G148" s="4" t="n"/>
      <c r="H148" s="4" t="n"/>
      <c r="I148" s="4" t="n"/>
    </row>
    <row r="149">
      <c r="A149" s="4" t="n"/>
      <c r="B149" s="4" t="n"/>
      <c r="C149" s="4" t="n"/>
      <c r="D149" s="4" t="n"/>
      <c r="E149" s="4" t="n"/>
      <c r="F149" s="12" t="n"/>
      <c r="G149" s="4" t="n"/>
      <c r="H149" s="4" t="n"/>
      <c r="I149" s="4" t="n"/>
    </row>
    <row r="150">
      <c r="A150" s="4" t="n"/>
      <c r="B150" s="4" t="n"/>
      <c r="C150" s="4" t="n"/>
      <c r="D150" s="4" t="n"/>
      <c r="E150" s="4" t="n"/>
      <c r="F150" s="12" t="n"/>
      <c r="G150" s="4" t="n"/>
      <c r="H150" s="4" t="n"/>
      <c r="I150" s="4" t="n"/>
    </row>
    <row r="151">
      <c r="A151" s="4" t="n"/>
      <c r="B151" s="4" t="n"/>
      <c r="C151" s="4" t="n"/>
      <c r="D151" s="4" t="n"/>
      <c r="E151" s="4" t="n"/>
      <c r="F151" s="12" t="n"/>
      <c r="G151" s="4" t="n"/>
      <c r="H151" s="4" t="n"/>
      <c r="I151" s="4" t="n"/>
    </row>
    <row r="152">
      <c r="A152" s="4" t="n"/>
      <c r="B152" s="4" t="n"/>
      <c r="C152" s="4" t="n"/>
      <c r="D152" s="4" t="n"/>
      <c r="E152" s="4" t="n"/>
      <c r="F152" s="12" t="n"/>
      <c r="G152" s="4" t="n"/>
      <c r="H152" s="4" t="n"/>
      <c r="I152" s="4" t="n"/>
    </row>
    <row r="153">
      <c r="A153" s="4" t="n"/>
      <c r="B153" s="4" t="n"/>
      <c r="C153" s="4" t="n"/>
      <c r="D153" s="4" t="n"/>
      <c r="E153" s="4" t="n"/>
      <c r="F153" s="12" t="n"/>
      <c r="G153" s="4" t="n"/>
      <c r="H153" s="4" t="n"/>
      <c r="I153" s="4" t="n"/>
    </row>
    <row r="154">
      <c r="A154" s="4" t="n"/>
      <c r="B154" s="4" t="n"/>
      <c r="C154" s="4" t="n"/>
      <c r="D154" s="4" t="n"/>
      <c r="E154" s="4" t="n"/>
      <c r="F154" s="12" t="n"/>
      <c r="G154" s="4" t="n"/>
      <c r="H154" s="4" t="n"/>
      <c r="I154" s="4" t="n"/>
    </row>
    <row r="155">
      <c r="A155" s="4" t="n"/>
      <c r="B155" s="4" t="n"/>
      <c r="C155" s="4" t="n"/>
      <c r="D155" s="4" t="n"/>
      <c r="E155" s="4" t="n"/>
      <c r="F155" s="12" t="n"/>
      <c r="G155" s="4" t="n"/>
      <c r="H155" s="4" t="n"/>
      <c r="I155" s="4" t="n"/>
    </row>
    <row r="156">
      <c r="A156" s="4" t="n"/>
      <c r="B156" s="4" t="n"/>
      <c r="C156" s="4" t="n"/>
      <c r="D156" s="4" t="n"/>
      <c r="E156" s="4" t="n"/>
      <c r="F156" s="12" t="n"/>
      <c r="G156" s="4" t="n"/>
      <c r="H156" s="4" t="n"/>
      <c r="I156" s="4" t="n"/>
    </row>
    <row r="157">
      <c r="A157" s="4" t="n"/>
      <c r="B157" s="4" t="n"/>
      <c r="C157" s="4" t="n"/>
      <c r="D157" s="4" t="n"/>
      <c r="E157" s="4" t="n"/>
      <c r="F157" s="12" t="n"/>
      <c r="G157" s="4" t="n"/>
      <c r="H157" s="4" t="n"/>
      <c r="I157" s="4" t="n"/>
    </row>
    <row r="158">
      <c r="A158" s="4" t="n"/>
      <c r="B158" s="4" t="n"/>
      <c r="C158" s="4" t="n"/>
      <c r="D158" s="4" t="n"/>
      <c r="E158" s="4" t="n"/>
      <c r="F158" s="12" t="n"/>
      <c r="G158" s="4" t="n"/>
      <c r="H158" s="4" t="n"/>
      <c r="I158" s="4" t="n"/>
    </row>
    <row r="159">
      <c r="A159" s="4" t="n"/>
      <c r="B159" s="4" t="n"/>
      <c r="C159" s="4" t="n"/>
      <c r="D159" s="4" t="n"/>
      <c r="E159" s="4" t="n"/>
      <c r="F159" s="12" t="n"/>
      <c r="G159" s="4" t="n"/>
      <c r="H159" s="4" t="n"/>
      <c r="I159" s="4" t="n"/>
    </row>
    <row r="160">
      <c r="A160" s="4" t="n"/>
      <c r="B160" s="4" t="n"/>
      <c r="C160" s="4" t="n"/>
      <c r="D160" s="4" t="n"/>
      <c r="E160" s="4" t="n"/>
      <c r="F160" s="12" t="n"/>
      <c r="G160" s="4" t="n"/>
      <c r="H160" s="4" t="n"/>
      <c r="I160" s="4" t="n"/>
    </row>
    <row r="161">
      <c r="A161" s="4" t="n"/>
      <c r="B161" s="4" t="n"/>
      <c r="C161" s="4" t="n"/>
      <c r="D161" s="4" t="n"/>
      <c r="E161" s="4" t="n"/>
      <c r="F161" s="12" t="n"/>
      <c r="G161" s="4" t="n"/>
      <c r="H161" s="4" t="n"/>
      <c r="I161" s="4" t="n"/>
    </row>
    <row r="162">
      <c r="A162" s="4" t="n"/>
      <c r="B162" s="4" t="n"/>
      <c r="C162" s="4" t="n"/>
      <c r="D162" s="4" t="n"/>
      <c r="E162" s="4" t="n"/>
      <c r="F162" s="12" t="n"/>
      <c r="G162" s="4" t="n"/>
      <c r="H162" s="4" t="n"/>
      <c r="I162" s="4" t="n"/>
    </row>
    <row r="163">
      <c r="A163" s="4" t="n"/>
      <c r="B163" s="4" t="n"/>
      <c r="C163" s="4" t="n"/>
      <c r="D163" s="4" t="n"/>
      <c r="E163" s="4" t="n"/>
      <c r="F163" s="12" t="n"/>
      <c r="G163" s="4" t="n"/>
      <c r="H163" s="4" t="n"/>
      <c r="I163" s="4" t="n"/>
    </row>
    <row r="164">
      <c r="A164" s="4" t="n"/>
      <c r="B164" s="4" t="n"/>
      <c r="C164" s="4" t="n"/>
      <c r="D164" s="4" t="n"/>
      <c r="E164" s="4" t="n"/>
      <c r="F164" s="12" t="n"/>
      <c r="G164" s="4" t="n"/>
      <c r="H164" s="4" t="n"/>
      <c r="I164" s="4" t="n"/>
    </row>
    <row r="165">
      <c r="A165" s="4" t="n"/>
      <c r="B165" s="4" t="n"/>
      <c r="C165" s="4" t="n"/>
      <c r="D165" s="4" t="n"/>
      <c r="E165" s="4" t="n"/>
      <c r="F165" s="12" t="n"/>
      <c r="G165" s="4" t="n"/>
      <c r="H165" s="4" t="n"/>
      <c r="I165" s="4" t="n"/>
    </row>
    <row r="166">
      <c r="A166" s="4" t="n"/>
      <c r="B166" s="4" t="n"/>
      <c r="C166" s="4" t="n"/>
      <c r="D166" s="4" t="n"/>
      <c r="E166" s="4" t="n"/>
      <c r="F166" s="12" t="n"/>
      <c r="G166" s="4" t="n"/>
      <c r="H166" s="4" t="n"/>
      <c r="I166" s="4" t="n"/>
    </row>
    <row r="167">
      <c r="A167" s="4" t="n"/>
      <c r="B167" s="4" t="n"/>
      <c r="C167" s="4" t="n"/>
      <c r="D167" s="4" t="n"/>
      <c r="E167" s="4" t="n"/>
      <c r="F167" s="12" t="n"/>
      <c r="G167" s="4" t="n"/>
      <c r="H167" s="4" t="n"/>
      <c r="I167" s="4" t="n"/>
    </row>
    <row r="168">
      <c r="A168" s="4" t="n"/>
      <c r="B168" s="4" t="n"/>
      <c r="C168" s="4" t="n"/>
      <c r="D168" s="4" t="n"/>
      <c r="E168" s="4" t="n"/>
      <c r="F168" s="12" t="n"/>
      <c r="G168" s="4" t="n"/>
      <c r="H168" s="4" t="n"/>
      <c r="I168" s="4" t="n"/>
    </row>
    <row r="169">
      <c r="A169" s="4" t="n"/>
      <c r="B169" s="4" t="n"/>
      <c r="C169" s="4" t="n"/>
      <c r="D169" s="4" t="n"/>
      <c r="E169" s="4" t="n"/>
      <c r="F169" s="12" t="n"/>
      <c r="G169" s="4" t="n"/>
      <c r="H169" s="4" t="n"/>
      <c r="I169" s="4" t="n"/>
    </row>
    <row r="170">
      <c r="A170" s="4" t="n"/>
      <c r="B170" s="4" t="n"/>
      <c r="C170" s="4" t="n"/>
      <c r="D170" s="4" t="n"/>
      <c r="E170" s="4" t="n"/>
      <c r="F170" s="12" t="n"/>
      <c r="G170" s="4" t="n"/>
      <c r="H170" s="4" t="n"/>
      <c r="I170" s="4" t="n"/>
    </row>
    <row r="171">
      <c r="A171" s="4" t="n"/>
      <c r="B171" s="4" t="n"/>
      <c r="C171" s="4" t="n"/>
      <c r="D171" s="4" t="n"/>
      <c r="E171" s="4" t="n"/>
      <c r="F171" s="12" t="n"/>
      <c r="G171" s="4" t="n"/>
      <c r="H171" s="4" t="n"/>
      <c r="I171" s="4" t="n"/>
    </row>
    <row r="172">
      <c r="A172" s="4" t="n"/>
      <c r="B172" s="4" t="n"/>
      <c r="C172" s="4" t="n"/>
      <c r="D172" s="4" t="n"/>
      <c r="E172" s="4" t="n"/>
      <c r="F172" s="12" t="n"/>
      <c r="G172" s="4" t="n"/>
      <c r="H172" s="4" t="n"/>
      <c r="I172" s="4" t="n"/>
    </row>
    <row r="173">
      <c r="A173" s="4" t="n"/>
      <c r="B173" s="4" t="n"/>
      <c r="C173" s="4" t="n"/>
      <c r="D173" s="4" t="n"/>
      <c r="E173" s="4" t="n"/>
      <c r="F173" s="12" t="n"/>
      <c r="G173" s="4" t="n"/>
      <c r="H173" s="4" t="n"/>
      <c r="I173" s="4" t="n"/>
    </row>
    <row r="174">
      <c r="A174" s="4" t="n"/>
      <c r="B174" s="4" t="n"/>
      <c r="C174" s="4" t="n"/>
      <c r="D174" s="4" t="n"/>
      <c r="E174" s="4" t="n"/>
      <c r="F174" s="12" t="n"/>
      <c r="G174" s="4" t="n"/>
      <c r="H174" s="4" t="n"/>
      <c r="I174" s="4" t="n"/>
    </row>
    <row r="175">
      <c r="A175" s="4" t="n"/>
      <c r="B175" s="4" t="n"/>
      <c r="C175" s="4" t="n"/>
      <c r="D175" s="4" t="n"/>
      <c r="E175" s="4" t="n"/>
      <c r="F175" s="12" t="n"/>
      <c r="G175" s="4" t="n"/>
      <c r="H175" s="4" t="n"/>
      <c r="I175" s="4" t="n"/>
    </row>
    <row r="176">
      <c r="A176" s="4" t="n"/>
      <c r="B176" s="4" t="n"/>
      <c r="C176" s="4" t="n"/>
      <c r="D176" s="4" t="n"/>
      <c r="E176" s="4" t="n"/>
      <c r="F176" s="12" t="n"/>
      <c r="G176" s="4" t="n"/>
      <c r="H176" s="4" t="n"/>
      <c r="I176" s="4" t="n"/>
    </row>
    <row r="177">
      <c r="A177" s="4" t="n"/>
      <c r="B177" s="4" t="n"/>
      <c r="C177" s="4" t="n"/>
      <c r="D177" s="4" t="n"/>
      <c r="E177" s="4" t="n"/>
      <c r="F177" s="12" t="n"/>
      <c r="G177" s="4" t="n"/>
      <c r="H177" s="4" t="n"/>
      <c r="I177" s="4" t="n"/>
    </row>
    <row r="178">
      <c r="A178" s="4" t="n"/>
      <c r="B178" s="4" t="n"/>
      <c r="C178" s="4" t="n"/>
      <c r="D178" s="4" t="n"/>
      <c r="E178" s="4" t="n"/>
      <c r="F178" s="12" t="n"/>
      <c r="G178" s="4" t="n"/>
      <c r="H178" s="4" t="n"/>
      <c r="I178" s="4" t="n"/>
    </row>
    <row r="179">
      <c r="A179" s="4" t="n"/>
      <c r="B179" s="4" t="n"/>
      <c r="C179" s="4" t="n"/>
      <c r="D179" s="4" t="n"/>
      <c r="E179" s="4" t="n"/>
      <c r="F179" s="12" t="n"/>
      <c r="G179" s="4" t="n"/>
      <c r="H179" s="4" t="n"/>
      <c r="I179" s="4" t="n"/>
    </row>
    <row r="180">
      <c r="A180" s="4" t="n"/>
      <c r="B180" s="4" t="n"/>
      <c r="C180" s="4" t="n"/>
      <c r="D180" s="4" t="n"/>
      <c r="E180" s="4" t="n"/>
      <c r="F180" s="12" t="n"/>
      <c r="G180" s="4" t="n"/>
      <c r="H180" s="4" t="n"/>
      <c r="I180" s="4" t="n"/>
    </row>
    <row r="181">
      <c r="A181" s="4" t="n"/>
      <c r="B181" s="4" t="n"/>
      <c r="C181" s="4" t="n"/>
      <c r="D181" s="4" t="n"/>
      <c r="E181" s="4" t="n"/>
      <c r="F181" s="12" t="n"/>
      <c r="G181" s="4" t="n"/>
      <c r="H181" s="4" t="n"/>
      <c r="I181" s="4" t="n"/>
    </row>
    <row r="182">
      <c r="A182" s="4" t="n"/>
      <c r="B182" s="4" t="n"/>
      <c r="C182" s="4" t="n"/>
      <c r="D182" s="4" t="n"/>
      <c r="E182" s="4" t="n"/>
      <c r="F182" s="12" t="n"/>
      <c r="G182" s="4" t="n"/>
      <c r="H182" s="4" t="n"/>
      <c r="I182" s="4" t="n"/>
    </row>
    <row r="183">
      <c r="A183" s="4" t="n"/>
      <c r="B183" s="4" t="n"/>
      <c r="C183" s="4" t="n"/>
      <c r="D183" s="4" t="n"/>
      <c r="E183" s="4" t="n"/>
      <c r="F183" s="12" t="n"/>
      <c r="G183" s="4" t="n"/>
      <c r="H183" s="4" t="n"/>
      <c r="I183" s="4" t="n"/>
    </row>
    <row r="184">
      <c r="A184" s="4" t="n"/>
      <c r="B184" s="4" t="n"/>
      <c r="C184" s="4" t="n"/>
      <c r="D184" s="4" t="n"/>
      <c r="E184" s="4" t="n"/>
      <c r="F184" s="12" t="n"/>
      <c r="G184" s="4" t="n"/>
      <c r="H184" s="4" t="n"/>
      <c r="I184" s="4" t="n"/>
    </row>
    <row r="185">
      <c r="A185" s="4" t="n"/>
      <c r="B185" s="4" t="n"/>
      <c r="C185" s="4" t="n"/>
      <c r="D185" s="4" t="n"/>
      <c r="E185" s="4" t="n"/>
      <c r="F185" s="12" t="n"/>
      <c r="G185" s="4" t="n"/>
      <c r="H185" s="4" t="n"/>
      <c r="I185" s="4" t="n"/>
    </row>
    <row r="186">
      <c r="A186" s="4" t="n"/>
      <c r="B186" s="4" t="n"/>
      <c r="C186" s="4" t="n"/>
      <c r="D186" s="4" t="n"/>
      <c r="E186" s="4" t="n"/>
      <c r="F186" s="12" t="n"/>
      <c r="G186" s="4" t="n"/>
      <c r="H186" s="4" t="n"/>
      <c r="I186" s="4" t="n"/>
    </row>
    <row r="187">
      <c r="A187" s="4" t="n"/>
      <c r="B187" s="4" t="n"/>
      <c r="C187" s="4" t="n"/>
      <c r="D187" s="4" t="n"/>
      <c r="E187" s="4" t="n"/>
      <c r="F187" s="12" t="n"/>
      <c r="G187" s="4" t="n"/>
      <c r="H187" s="4" t="n"/>
      <c r="I187" s="4" t="n"/>
    </row>
    <row r="188">
      <c r="A188" s="4" t="n"/>
      <c r="B188" s="4" t="n"/>
      <c r="C188" s="4" t="n"/>
      <c r="D188" s="4" t="n"/>
      <c r="E188" s="4" t="n"/>
      <c r="F188" s="12" t="n"/>
      <c r="G188" s="4" t="n"/>
      <c r="H188" s="4" t="n"/>
      <c r="I188" s="4" t="n"/>
    </row>
    <row r="189">
      <c r="A189" s="4" t="n"/>
      <c r="B189" s="4" t="n"/>
      <c r="C189" s="4" t="n"/>
      <c r="D189" s="4" t="n"/>
      <c r="E189" s="4" t="n"/>
      <c r="F189" s="12" t="n"/>
      <c r="G189" s="4" t="n"/>
      <c r="H189" s="4" t="n"/>
      <c r="I189" s="4" t="n"/>
    </row>
    <row r="190">
      <c r="A190" s="4" t="n"/>
      <c r="B190" s="4" t="n"/>
      <c r="C190" s="4" t="n"/>
      <c r="D190" s="4" t="n"/>
      <c r="E190" s="4" t="n"/>
      <c r="F190" s="12" t="n"/>
      <c r="G190" s="4" t="n"/>
      <c r="H190" s="4" t="n"/>
      <c r="I190" s="4" t="n"/>
    </row>
    <row r="191">
      <c r="A191" s="4" t="n"/>
      <c r="B191" s="4" t="n"/>
      <c r="C191" s="4" t="n"/>
      <c r="D191" s="4" t="n"/>
      <c r="E191" s="4" t="n"/>
      <c r="F191" s="12" t="n"/>
      <c r="G191" s="4" t="n"/>
      <c r="H191" s="4" t="n"/>
      <c r="I191" s="4" t="n"/>
    </row>
    <row r="192">
      <c r="A192" s="4" t="n"/>
      <c r="B192" s="4" t="n"/>
      <c r="C192" s="4" t="n"/>
      <c r="D192" s="4" t="n"/>
      <c r="E192" s="4" t="n"/>
      <c r="F192" s="12" t="n"/>
      <c r="G192" s="4" t="n"/>
      <c r="H192" s="4" t="n"/>
      <c r="I192" s="4" t="n"/>
    </row>
    <row r="193">
      <c r="A193" s="4" t="n"/>
      <c r="B193" s="4" t="n"/>
      <c r="C193" s="4" t="n"/>
      <c r="D193" s="4" t="n"/>
      <c r="E193" s="4" t="n"/>
      <c r="F193" s="12" t="n"/>
      <c r="G193" s="4" t="n"/>
      <c r="H193" s="4" t="n"/>
      <c r="I193" s="4" t="n"/>
    </row>
    <row r="194">
      <c r="A194" s="4" t="n"/>
      <c r="B194" s="4" t="n"/>
      <c r="C194" s="4" t="n"/>
      <c r="D194" s="4" t="n"/>
      <c r="E194" s="4" t="n"/>
      <c r="F194" s="12" t="n"/>
      <c r="G194" s="4" t="n"/>
      <c r="H194" s="4" t="n"/>
      <c r="I194" s="4" t="n"/>
    </row>
    <row r="195">
      <c r="A195" s="4" t="n"/>
      <c r="B195" s="4" t="n"/>
      <c r="C195" s="4" t="n"/>
      <c r="D195" s="4" t="n"/>
      <c r="E195" s="4" t="n"/>
      <c r="F195" s="12" t="n"/>
      <c r="G195" s="4" t="n"/>
      <c r="H195" s="4" t="n"/>
      <c r="I195" s="4" t="n"/>
    </row>
    <row r="196">
      <c r="A196" s="4" t="n"/>
      <c r="B196" s="4" t="n"/>
      <c r="C196" s="4" t="n"/>
      <c r="D196" s="4" t="n"/>
      <c r="E196" s="4" t="n"/>
      <c r="F196" s="12" t="n"/>
      <c r="G196" s="4" t="n"/>
      <c r="H196" s="4" t="n"/>
      <c r="I196" s="4" t="n"/>
    </row>
    <row r="197">
      <c r="A197" s="4" t="n"/>
      <c r="B197" s="4" t="n"/>
      <c r="C197" s="4" t="n"/>
      <c r="D197" s="4" t="n"/>
      <c r="E197" s="4" t="n"/>
      <c r="F197" s="12" t="n"/>
      <c r="G197" s="4" t="n"/>
      <c r="H197" s="4" t="n"/>
      <c r="I197" s="4" t="n"/>
    </row>
    <row r="198">
      <c r="A198" s="4" t="n"/>
      <c r="B198" s="4" t="n"/>
      <c r="C198" s="4" t="n"/>
      <c r="D198" s="4" t="n"/>
      <c r="E198" s="4" t="n"/>
      <c r="F198" s="12" t="n"/>
      <c r="G198" s="4" t="n"/>
      <c r="H198" s="4" t="n"/>
      <c r="I198" s="4" t="n"/>
    </row>
    <row r="199">
      <c r="A199" s="4" t="n"/>
      <c r="B199" s="4" t="n"/>
      <c r="C199" s="4" t="n"/>
      <c r="D199" s="4" t="n"/>
      <c r="E199" s="4" t="n"/>
      <c r="F199" s="12" t="n"/>
      <c r="G199" s="4" t="n"/>
      <c r="H199" s="4" t="n"/>
      <c r="I199" s="4" t="n"/>
    </row>
    <row r="200">
      <c r="A200" s="4" t="n"/>
      <c r="B200" s="4" t="n"/>
      <c r="C200" s="4" t="n"/>
      <c r="D200" s="4" t="n"/>
      <c r="E200" s="4" t="n"/>
      <c r="F200" s="12" t="n"/>
      <c r="G200" s="4" t="n"/>
      <c r="H200" s="4" t="n"/>
      <c r="I200" s="4" t="n"/>
    </row>
    <row r="201">
      <c r="A201" s="4" t="n"/>
      <c r="B201" s="4" t="n"/>
      <c r="C201" s="4" t="n"/>
      <c r="D201" s="4" t="n"/>
      <c r="E201" s="4" t="n"/>
      <c r="F201" s="12" t="n"/>
      <c r="G201" s="4" t="n"/>
      <c r="H201" s="4" t="n"/>
      <c r="I201" s="4" t="n"/>
    </row>
  </sheetData>
  <autoFilter ref="A1:I204"/>
  <dataValidations count="1">
    <dataValidation sqref="H2:H201" showDropDown="0" showInputMessage="0" showErrorMessage="0" allowBlank="1" type="list">
      <formula1>=Lists!$A$2:$A$4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32" customWidth="1" min="3" max="3"/>
    <col width="13" customWidth="1" min="4" max="4"/>
    <col width="18" customWidth="1" min="5" max="5"/>
    <col width="8" customWidth="1" min="6" max="6"/>
    <col width="10" customWidth="1" min="7" max="7"/>
    <col width="44" customWidth="1" min="8" max="8"/>
    <col width="12" customWidth="1" min="9" max="9"/>
    <col width="12" customWidth="1" min="10" max="10"/>
    <col width="12" customWidth="1" min="11" max="11"/>
    <col width="12" customWidth="1" min="12" max="12"/>
    <col width="10" customWidth="1" min="13" max="13"/>
  </cols>
  <sheetData>
    <row r="1" ht="32" customHeight="1">
      <c r="A1" s="3" t="inlineStr">
        <is>
          <t>ID</t>
        </is>
      </c>
      <c r="B1" s="3" t="inlineStr">
        <is>
          <t>Issue</t>
        </is>
      </c>
      <c r="C1" s="3" t="inlineStr">
        <is>
          <t>Effect</t>
        </is>
      </c>
      <c r="D1" s="3" t="inlineStr">
        <is>
          <t>Category</t>
        </is>
      </c>
      <c r="E1" s="3" t="inlineStr">
        <is>
          <t>Owner</t>
        </is>
      </c>
      <c r="F1" s="3" t="inlineStr">
        <is>
          <t>Impact</t>
        </is>
      </c>
      <c r="G1" s="3" t="inlineStr">
        <is>
          <t>Priority</t>
        </is>
      </c>
      <c r="H1" s="3" t="inlineStr">
        <is>
          <t>Action</t>
        </is>
      </c>
      <c r="I1" s="3" t="inlineStr">
        <is>
          <t>Due date</t>
        </is>
      </c>
      <c r="J1" s="3" t="inlineStr">
        <is>
          <t>Status</t>
        </is>
      </c>
      <c r="K1" s="3" t="inlineStr">
        <is>
          <t>Raised on</t>
        </is>
      </c>
      <c r="L1" s="3" t="inlineStr">
        <is>
          <t>Closed on</t>
        </is>
      </c>
      <c r="M1" s="3" t="inlineStr">
        <is>
          <t>From risk</t>
        </is>
      </c>
    </row>
    <row r="2">
      <c r="A2" s="4" t="inlineStr">
        <is>
          <t>I-001</t>
        </is>
      </c>
      <c r="B2" s="4" t="inlineStr">
        <is>
          <t>[Example: bank statement export of one bank does not match the delivered formats]</t>
        </is>
      </c>
      <c r="C2" s="4" t="inlineStr">
        <is>
          <t>[Bank reconciliation not testable in SIT]</t>
        </is>
      </c>
      <c r="D2" s="4" t="inlineStr">
        <is>
          <t>Integration</t>
        </is>
      </c>
      <c r="E2" s="4" t="inlineStr">
        <is>
          <t>[owner]</t>
        </is>
      </c>
      <c r="F2" s="4" t="n">
        <v>3</v>
      </c>
      <c r="G2" s="4">
        <f>IF(F2="","",IF(F2&gt;=4,"High",IF(F2=3,"Medium","Low")))</f>
        <v/>
      </c>
      <c r="H2" s="4" t="inlineStr">
        <is>
          <t>[Add an insurer or bank statement format in Master &gt; Finance]</t>
        </is>
      </c>
      <c r="I2" s="12" t="n"/>
      <c r="J2" s="4" t="inlineStr">
        <is>
          <t>Open</t>
        </is>
      </c>
      <c r="K2" s="12" t="n"/>
      <c r="L2" s="12" t="n"/>
      <c r="M2" s="4" t="inlineStr"/>
    </row>
    <row r="3">
      <c r="A3" s="4" t="n"/>
      <c r="B3" s="4" t="n"/>
      <c r="C3" s="4" t="n"/>
      <c r="D3" s="4" t="n"/>
      <c r="E3" s="4" t="n"/>
      <c r="F3" s="4" t="n"/>
      <c r="G3" s="4">
        <f>IF(F3="","",IF(F3&gt;=4,"High",IF(F3=3,"Medium","Low")))</f>
        <v/>
      </c>
      <c r="H3" s="4" t="n"/>
      <c r="I3" s="12" t="n"/>
      <c r="J3" s="4" t="n"/>
      <c r="K3" s="12" t="n"/>
      <c r="L3" s="12" t="n"/>
      <c r="M3" s="4" t="n"/>
    </row>
    <row r="4">
      <c r="A4" s="4" t="n"/>
      <c r="B4" s="4" t="n"/>
      <c r="C4" s="4" t="n"/>
      <c r="D4" s="4" t="n"/>
      <c r="E4" s="4" t="n"/>
      <c r="F4" s="4" t="n"/>
      <c r="G4" s="4">
        <f>IF(F4="","",IF(F4&gt;=4,"High",IF(F4=3,"Medium","Low")))</f>
        <v/>
      </c>
      <c r="H4" s="4" t="n"/>
      <c r="I4" s="12" t="n"/>
      <c r="J4" s="4" t="n"/>
      <c r="K4" s="12" t="n"/>
      <c r="L4" s="12" t="n"/>
      <c r="M4" s="4" t="n"/>
    </row>
    <row r="5">
      <c r="A5" s="4" t="n"/>
      <c r="B5" s="4" t="n"/>
      <c r="C5" s="4" t="n"/>
      <c r="D5" s="4" t="n"/>
      <c r="E5" s="4" t="n"/>
      <c r="F5" s="4" t="n"/>
      <c r="G5" s="4">
        <f>IF(F5="","",IF(F5&gt;=4,"High",IF(F5=3,"Medium","Low")))</f>
        <v/>
      </c>
      <c r="H5" s="4" t="n"/>
      <c r="I5" s="12" t="n"/>
      <c r="J5" s="4" t="n"/>
      <c r="K5" s="12" t="n"/>
      <c r="L5" s="12" t="n"/>
      <c r="M5" s="4" t="n"/>
    </row>
    <row r="6">
      <c r="A6" s="4" t="n"/>
      <c r="B6" s="4" t="n"/>
      <c r="C6" s="4" t="n"/>
      <c r="D6" s="4" t="n"/>
      <c r="E6" s="4" t="n"/>
      <c r="F6" s="4" t="n"/>
      <c r="G6" s="4">
        <f>IF(F6="","",IF(F6&gt;=4,"High",IF(F6=3,"Medium","Low")))</f>
        <v/>
      </c>
      <c r="H6" s="4" t="n"/>
      <c r="I6" s="12" t="n"/>
      <c r="J6" s="4" t="n"/>
      <c r="K6" s="12" t="n"/>
      <c r="L6" s="12" t="n"/>
      <c r="M6" s="4" t="n"/>
    </row>
    <row r="7">
      <c r="A7" s="4" t="n"/>
      <c r="B7" s="4" t="n"/>
      <c r="C7" s="4" t="n"/>
      <c r="D7" s="4" t="n"/>
      <c r="E7" s="4" t="n"/>
      <c r="F7" s="4" t="n"/>
      <c r="G7" s="4">
        <f>IF(F7="","",IF(F7&gt;=4,"High",IF(F7=3,"Medium","Low")))</f>
        <v/>
      </c>
      <c r="H7" s="4" t="n"/>
      <c r="I7" s="12" t="n"/>
      <c r="J7" s="4" t="n"/>
      <c r="K7" s="12" t="n"/>
      <c r="L7" s="12" t="n"/>
      <c r="M7" s="4" t="n"/>
    </row>
    <row r="8">
      <c r="A8" s="4" t="n"/>
      <c r="B8" s="4" t="n"/>
      <c r="C8" s="4" t="n"/>
      <c r="D8" s="4" t="n"/>
      <c r="E8" s="4" t="n"/>
      <c r="F8" s="4" t="n"/>
      <c r="G8" s="4">
        <f>IF(F8="","",IF(F8&gt;=4,"High",IF(F8=3,"Medium","Low")))</f>
        <v/>
      </c>
      <c r="H8" s="4" t="n"/>
      <c r="I8" s="12" t="n"/>
      <c r="J8" s="4" t="n"/>
      <c r="K8" s="12" t="n"/>
      <c r="L8" s="12" t="n"/>
      <c r="M8" s="4" t="n"/>
    </row>
    <row r="9">
      <c r="A9" s="4" t="n"/>
      <c r="B9" s="4" t="n"/>
      <c r="C9" s="4" t="n"/>
      <c r="D9" s="4" t="n"/>
      <c r="E9" s="4" t="n"/>
      <c r="F9" s="4" t="n"/>
      <c r="G9" s="4">
        <f>IF(F9="","",IF(F9&gt;=4,"High",IF(F9=3,"Medium","Low")))</f>
        <v/>
      </c>
      <c r="H9" s="4" t="n"/>
      <c r="I9" s="12" t="n"/>
      <c r="J9" s="4" t="n"/>
      <c r="K9" s="12" t="n"/>
      <c r="L9" s="12" t="n"/>
      <c r="M9" s="4" t="n"/>
    </row>
    <row r="10">
      <c r="A10" s="4" t="n"/>
      <c r="B10" s="4" t="n"/>
      <c r="C10" s="4" t="n"/>
      <c r="D10" s="4" t="n"/>
      <c r="E10" s="4" t="n"/>
      <c r="F10" s="4" t="n"/>
      <c r="G10" s="4">
        <f>IF(F10="","",IF(F10&gt;=4,"High",IF(F10=3,"Medium","Low")))</f>
        <v/>
      </c>
      <c r="H10" s="4" t="n"/>
      <c r="I10" s="12" t="n"/>
      <c r="J10" s="4" t="n"/>
      <c r="K10" s="12" t="n"/>
      <c r="L10" s="12" t="n"/>
      <c r="M10" s="4" t="n"/>
    </row>
    <row r="11">
      <c r="A11" s="4" t="n"/>
      <c r="B11" s="4" t="n"/>
      <c r="C11" s="4" t="n"/>
      <c r="D11" s="4" t="n"/>
      <c r="E11" s="4" t="n"/>
      <c r="F11" s="4" t="n"/>
      <c r="G11" s="4">
        <f>IF(F11="","",IF(F11&gt;=4,"High",IF(F11=3,"Medium","Low")))</f>
        <v/>
      </c>
      <c r="H11" s="4" t="n"/>
      <c r="I11" s="12" t="n"/>
      <c r="J11" s="4" t="n"/>
      <c r="K11" s="12" t="n"/>
      <c r="L11" s="12" t="n"/>
      <c r="M11" s="4" t="n"/>
    </row>
    <row r="12">
      <c r="A12" s="4" t="n"/>
      <c r="B12" s="4" t="n"/>
      <c r="C12" s="4" t="n"/>
      <c r="D12" s="4" t="n"/>
      <c r="E12" s="4" t="n"/>
      <c r="F12" s="4" t="n"/>
      <c r="G12" s="4">
        <f>IF(F12="","",IF(F12&gt;=4,"High",IF(F12=3,"Medium","Low")))</f>
        <v/>
      </c>
      <c r="H12" s="4" t="n"/>
      <c r="I12" s="12" t="n"/>
      <c r="J12" s="4" t="n"/>
      <c r="K12" s="12" t="n"/>
      <c r="L12" s="12" t="n"/>
      <c r="M12" s="4" t="n"/>
    </row>
    <row r="13">
      <c r="A13" s="4" t="n"/>
      <c r="B13" s="4" t="n"/>
      <c r="C13" s="4" t="n"/>
      <c r="D13" s="4" t="n"/>
      <c r="E13" s="4" t="n"/>
      <c r="F13" s="4" t="n"/>
      <c r="G13" s="4">
        <f>IF(F13="","",IF(F13&gt;=4,"High",IF(F13=3,"Medium","Low")))</f>
        <v/>
      </c>
      <c r="H13" s="4" t="n"/>
      <c r="I13" s="12" t="n"/>
      <c r="J13" s="4" t="n"/>
      <c r="K13" s="12" t="n"/>
      <c r="L13" s="12" t="n"/>
      <c r="M13" s="4" t="n"/>
    </row>
    <row r="14">
      <c r="A14" s="4" t="n"/>
      <c r="B14" s="4" t="n"/>
      <c r="C14" s="4" t="n"/>
      <c r="D14" s="4" t="n"/>
      <c r="E14" s="4" t="n"/>
      <c r="F14" s="4" t="n"/>
      <c r="G14" s="4">
        <f>IF(F14="","",IF(F14&gt;=4,"High",IF(F14=3,"Medium","Low")))</f>
        <v/>
      </c>
      <c r="H14" s="4" t="n"/>
      <c r="I14" s="12" t="n"/>
      <c r="J14" s="4" t="n"/>
      <c r="K14" s="12" t="n"/>
      <c r="L14" s="12" t="n"/>
      <c r="M14" s="4" t="n"/>
    </row>
    <row r="15">
      <c r="A15" s="4" t="n"/>
      <c r="B15" s="4" t="n"/>
      <c r="C15" s="4" t="n"/>
      <c r="D15" s="4" t="n"/>
      <c r="E15" s="4" t="n"/>
      <c r="F15" s="4" t="n"/>
      <c r="G15" s="4">
        <f>IF(F15="","",IF(F15&gt;=4,"High",IF(F15=3,"Medium","Low")))</f>
        <v/>
      </c>
      <c r="H15" s="4" t="n"/>
      <c r="I15" s="12" t="n"/>
      <c r="J15" s="4" t="n"/>
      <c r="K15" s="12" t="n"/>
      <c r="L15" s="12" t="n"/>
      <c r="M15" s="4" t="n"/>
    </row>
    <row r="16">
      <c r="A16" s="4" t="n"/>
      <c r="B16" s="4" t="n"/>
      <c r="C16" s="4" t="n"/>
      <c r="D16" s="4" t="n"/>
      <c r="E16" s="4" t="n"/>
      <c r="F16" s="4" t="n"/>
      <c r="G16" s="4">
        <f>IF(F16="","",IF(F16&gt;=4,"High",IF(F16=3,"Medium","Low")))</f>
        <v/>
      </c>
      <c r="H16" s="4" t="n"/>
      <c r="I16" s="12" t="n"/>
      <c r="J16" s="4" t="n"/>
      <c r="K16" s="12" t="n"/>
      <c r="L16" s="12" t="n"/>
      <c r="M16" s="4" t="n"/>
    </row>
    <row r="17">
      <c r="A17" s="4" t="n"/>
      <c r="B17" s="4" t="n"/>
      <c r="C17" s="4" t="n"/>
      <c r="D17" s="4" t="n"/>
      <c r="E17" s="4" t="n"/>
      <c r="F17" s="4" t="n"/>
      <c r="G17" s="4">
        <f>IF(F17="","",IF(F17&gt;=4,"High",IF(F17=3,"Medium","Low")))</f>
        <v/>
      </c>
      <c r="H17" s="4" t="n"/>
      <c r="I17" s="12" t="n"/>
      <c r="J17" s="4" t="n"/>
      <c r="K17" s="12" t="n"/>
      <c r="L17" s="12" t="n"/>
      <c r="M17" s="4" t="n"/>
    </row>
    <row r="18">
      <c r="A18" s="4" t="n"/>
      <c r="B18" s="4" t="n"/>
      <c r="C18" s="4" t="n"/>
      <c r="D18" s="4" t="n"/>
      <c r="E18" s="4" t="n"/>
      <c r="F18" s="4" t="n"/>
      <c r="G18" s="4">
        <f>IF(F18="","",IF(F18&gt;=4,"High",IF(F18=3,"Medium","Low")))</f>
        <v/>
      </c>
      <c r="H18" s="4" t="n"/>
      <c r="I18" s="12" t="n"/>
      <c r="J18" s="4" t="n"/>
      <c r="K18" s="12" t="n"/>
      <c r="L18" s="12" t="n"/>
      <c r="M18" s="4" t="n"/>
    </row>
    <row r="19">
      <c r="A19" s="4" t="n"/>
      <c r="B19" s="4" t="n"/>
      <c r="C19" s="4" t="n"/>
      <c r="D19" s="4" t="n"/>
      <c r="E19" s="4" t="n"/>
      <c r="F19" s="4" t="n"/>
      <c r="G19" s="4">
        <f>IF(F19="","",IF(F19&gt;=4,"High",IF(F19=3,"Medium","Low")))</f>
        <v/>
      </c>
      <c r="H19" s="4" t="n"/>
      <c r="I19" s="12" t="n"/>
      <c r="J19" s="4" t="n"/>
      <c r="K19" s="12" t="n"/>
      <c r="L19" s="12" t="n"/>
      <c r="M19" s="4" t="n"/>
    </row>
    <row r="20">
      <c r="A20" s="4" t="n"/>
      <c r="B20" s="4" t="n"/>
      <c r="C20" s="4" t="n"/>
      <c r="D20" s="4" t="n"/>
      <c r="E20" s="4" t="n"/>
      <c r="F20" s="4" t="n"/>
      <c r="G20" s="4">
        <f>IF(F20="","",IF(F20&gt;=4,"High",IF(F20=3,"Medium","Low")))</f>
        <v/>
      </c>
      <c r="H20" s="4" t="n"/>
      <c r="I20" s="12" t="n"/>
      <c r="J20" s="4" t="n"/>
      <c r="K20" s="12" t="n"/>
      <c r="L20" s="12" t="n"/>
      <c r="M20" s="4" t="n"/>
    </row>
    <row r="21">
      <c r="A21" s="4" t="n"/>
      <c r="B21" s="4" t="n"/>
      <c r="C21" s="4" t="n"/>
      <c r="D21" s="4" t="n"/>
      <c r="E21" s="4" t="n"/>
      <c r="F21" s="4" t="n"/>
      <c r="G21" s="4">
        <f>IF(F21="","",IF(F21&gt;=4,"High",IF(F21=3,"Medium","Low")))</f>
        <v/>
      </c>
      <c r="H21" s="4" t="n"/>
      <c r="I21" s="12" t="n"/>
      <c r="J21" s="4" t="n"/>
      <c r="K21" s="12" t="n"/>
      <c r="L21" s="12" t="n"/>
      <c r="M21" s="4" t="n"/>
    </row>
    <row r="22">
      <c r="A22" s="4" t="n"/>
      <c r="B22" s="4" t="n"/>
      <c r="C22" s="4" t="n"/>
      <c r="D22" s="4" t="n"/>
      <c r="E22" s="4" t="n"/>
      <c r="F22" s="4" t="n"/>
      <c r="G22" s="4">
        <f>IF(F22="","",IF(F22&gt;=4,"High",IF(F22=3,"Medium","Low")))</f>
        <v/>
      </c>
      <c r="H22" s="4" t="n"/>
      <c r="I22" s="12" t="n"/>
      <c r="J22" s="4" t="n"/>
      <c r="K22" s="12" t="n"/>
      <c r="L22" s="12" t="n"/>
      <c r="M22" s="4" t="n"/>
    </row>
    <row r="23">
      <c r="A23" s="4" t="n"/>
      <c r="B23" s="4" t="n"/>
      <c r="C23" s="4" t="n"/>
      <c r="D23" s="4" t="n"/>
      <c r="E23" s="4" t="n"/>
      <c r="F23" s="4" t="n"/>
      <c r="G23" s="4">
        <f>IF(F23="","",IF(F23&gt;=4,"High",IF(F23=3,"Medium","Low")))</f>
        <v/>
      </c>
      <c r="H23" s="4" t="n"/>
      <c r="I23" s="12" t="n"/>
      <c r="J23" s="4" t="n"/>
      <c r="K23" s="12" t="n"/>
      <c r="L23" s="12" t="n"/>
      <c r="M23" s="4" t="n"/>
    </row>
    <row r="24">
      <c r="A24" s="4" t="n"/>
      <c r="B24" s="4" t="n"/>
      <c r="C24" s="4" t="n"/>
      <c r="D24" s="4" t="n"/>
      <c r="E24" s="4" t="n"/>
      <c r="F24" s="4" t="n"/>
      <c r="G24" s="4">
        <f>IF(F24="","",IF(F24&gt;=4,"High",IF(F24=3,"Medium","Low")))</f>
        <v/>
      </c>
      <c r="H24" s="4" t="n"/>
      <c r="I24" s="12" t="n"/>
      <c r="J24" s="4" t="n"/>
      <c r="K24" s="12" t="n"/>
      <c r="L24" s="12" t="n"/>
      <c r="M24" s="4" t="n"/>
    </row>
    <row r="25">
      <c r="A25" s="4" t="n"/>
      <c r="B25" s="4" t="n"/>
      <c r="C25" s="4" t="n"/>
      <c r="D25" s="4" t="n"/>
      <c r="E25" s="4" t="n"/>
      <c r="F25" s="4" t="n"/>
      <c r="G25" s="4">
        <f>IF(F25="","",IF(F25&gt;=4,"High",IF(F25=3,"Medium","Low")))</f>
        <v/>
      </c>
      <c r="H25" s="4" t="n"/>
      <c r="I25" s="12" t="n"/>
      <c r="J25" s="4" t="n"/>
      <c r="K25" s="12" t="n"/>
      <c r="L25" s="12" t="n"/>
      <c r="M25" s="4" t="n"/>
    </row>
    <row r="26">
      <c r="A26" s="4" t="n"/>
      <c r="B26" s="4" t="n"/>
      <c r="C26" s="4" t="n"/>
      <c r="D26" s="4" t="n"/>
      <c r="E26" s="4" t="n"/>
      <c r="F26" s="4" t="n"/>
      <c r="G26" s="4">
        <f>IF(F26="","",IF(F26&gt;=4,"High",IF(F26=3,"Medium","Low")))</f>
        <v/>
      </c>
      <c r="H26" s="4" t="n"/>
      <c r="I26" s="12" t="n"/>
      <c r="J26" s="4" t="n"/>
      <c r="K26" s="12" t="n"/>
      <c r="L26" s="12" t="n"/>
      <c r="M26" s="4" t="n"/>
    </row>
    <row r="27">
      <c r="A27" s="4" t="n"/>
      <c r="B27" s="4" t="n"/>
      <c r="C27" s="4" t="n"/>
      <c r="D27" s="4" t="n"/>
      <c r="E27" s="4" t="n"/>
      <c r="F27" s="4" t="n"/>
      <c r="G27" s="4">
        <f>IF(F27="","",IF(F27&gt;=4,"High",IF(F27=3,"Medium","Low")))</f>
        <v/>
      </c>
      <c r="H27" s="4" t="n"/>
      <c r="I27" s="12" t="n"/>
      <c r="J27" s="4" t="n"/>
      <c r="K27" s="12" t="n"/>
      <c r="L27" s="12" t="n"/>
      <c r="M27" s="4" t="n"/>
    </row>
    <row r="28">
      <c r="A28" s="4" t="n"/>
      <c r="B28" s="4" t="n"/>
      <c r="C28" s="4" t="n"/>
      <c r="D28" s="4" t="n"/>
      <c r="E28" s="4" t="n"/>
      <c r="F28" s="4" t="n"/>
      <c r="G28" s="4">
        <f>IF(F28="","",IF(F28&gt;=4,"High",IF(F28=3,"Medium","Low")))</f>
        <v/>
      </c>
      <c r="H28" s="4" t="n"/>
      <c r="I28" s="12" t="n"/>
      <c r="J28" s="4" t="n"/>
      <c r="K28" s="12" t="n"/>
      <c r="L28" s="12" t="n"/>
      <c r="M28" s="4" t="n"/>
    </row>
    <row r="29">
      <c r="A29" s="4" t="n"/>
      <c r="B29" s="4" t="n"/>
      <c r="C29" s="4" t="n"/>
      <c r="D29" s="4" t="n"/>
      <c r="E29" s="4" t="n"/>
      <c r="F29" s="4" t="n"/>
      <c r="G29" s="4">
        <f>IF(F29="","",IF(F29&gt;=4,"High",IF(F29=3,"Medium","Low")))</f>
        <v/>
      </c>
      <c r="H29" s="4" t="n"/>
      <c r="I29" s="12" t="n"/>
      <c r="J29" s="4" t="n"/>
      <c r="K29" s="12" t="n"/>
      <c r="L29" s="12" t="n"/>
      <c r="M29" s="4" t="n"/>
    </row>
    <row r="30">
      <c r="A30" s="4" t="n"/>
      <c r="B30" s="4" t="n"/>
      <c r="C30" s="4" t="n"/>
      <c r="D30" s="4" t="n"/>
      <c r="E30" s="4" t="n"/>
      <c r="F30" s="4" t="n"/>
      <c r="G30" s="4">
        <f>IF(F30="","",IF(F30&gt;=4,"High",IF(F30=3,"Medium","Low")))</f>
        <v/>
      </c>
      <c r="H30" s="4" t="n"/>
      <c r="I30" s="12" t="n"/>
      <c r="J30" s="4" t="n"/>
      <c r="K30" s="12" t="n"/>
      <c r="L30" s="12" t="n"/>
      <c r="M30" s="4" t="n"/>
    </row>
    <row r="31">
      <c r="A31" s="4" t="n"/>
      <c r="B31" s="4" t="n"/>
      <c r="C31" s="4" t="n"/>
      <c r="D31" s="4" t="n"/>
      <c r="E31" s="4" t="n"/>
      <c r="F31" s="4" t="n"/>
      <c r="G31" s="4">
        <f>IF(F31="","",IF(F31&gt;=4,"High",IF(F31=3,"Medium","Low")))</f>
        <v/>
      </c>
      <c r="H31" s="4" t="n"/>
      <c r="I31" s="12" t="n"/>
      <c r="J31" s="4" t="n"/>
      <c r="K31" s="12" t="n"/>
      <c r="L31" s="12" t="n"/>
      <c r="M31" s="4" t="n"/>
    </row>
    <row r="32">
      <c r="A32" s="4" t="n"/>
      <c r="B32" s="4" t="n"/>
      <c r="C32" s="4" t="n"/>
      <c r="D32" s="4" t="n"/>
      <c r="E32" s="4" t="n"/>
      <c r="F32" s="4" t="n"/>
      <c r="G32" s="4">
        <f>IF(F32="","",IF(F32&gt;=4,"High",IF(F32=3,"Medium","Low")))</f>
        <v/>
      </c>
      <c r="H32" s="4" t="n"/>
      <c r="I32" s="12" t="n"/>
      <c r="J32" s="4" t="n"/>
      <c r="K32" s="12" t="n"/>
      <c r="L32" s="12" t="n"/>
      <c r="M32" s="4" t="n"/>
    </row>
    <row r="33">
      <c r="A33" s="4" t="n"/>
      <c r="B33" s="4" t="n"/>
      <c r="C33" s="4" t="n"/>
      <c r="D33" s="4" t="n"/>
      <c r="E33" s="4" t="n"/>
      <c r="F33" s="4" t="n"/>
      <c r="G33" s="4">
        <f>IF(F33="","",IF(F33&gt;=4,"High",IF(F33=3,"Medium","Low")))</f>
        <v/>
      </c>
      <c r="H33" s="4" t="n"/>
      <c r="I33" s="12" t="n"/>
      <c r="J33" s="4" t="n"/>
      <c r="K33" s="12" t="n"/>
      <c r="L33" s="12" t="n"/>
      <c r="M33" s="4" t="n"/>
    </row>
    <row r="34">
      <c r="A34" s="4" t="n"/>
      <c r="B34" s="4" t="n"/>
      <c r="C34" s="4" t="n"/>
      <c r="D34" s="4" t="n"/>
      <c r="E34" s="4" t="n"/>
      <c r="F34" s="4" t="n"/>
      <c r="G34" s="4">
        <f>IF(F34="","",IF(F34&gt;=4,"High",IF(F34=3,"Medium","Low")))</f>
        <v/>
      </c>
      <c r="H34" s="4" t="n"/>
      <c r="I34" s="12" t="n"/>
      <c r="J34" s="4" t="n"/>
      <c r="K34" s="12" t="n"/>
      <c r="L34" s="12" t="n"/>
      <c r="M34" s="4" t="n"/>
    </row>
    <row r="35">
      <c r="A35" s="4" t="n"/>
      <c r="B35" s="4" t="n"/>
      <c r="C35" s="4" t="n"/>
      <c r="D35" s="4" t="n"/>
      <c r="E35" s="4" t="n"/>
      <c r="F35" s="4" t="n"/>
      <c r="G35" s="4">
        <f>IF(F35="","",IF(F35&gt;=4,"High",IF(F35=3,"Medium","Low")))</f>
        <v/>
      </c>
      <c r="H35" s="4" t="n"/>
      <c r="I35" s="12" t="n"/>
      <c r="J35" s="4" t="n"/>
      <c r="K35" s="12" t="n"/>
      <c r="L35" s="12" t="n"/>
      <c r="M35" s="4" t="n"/>
    </row>
    <row r="36">
      <c r="A36" s="4" t="n"/>
      <c r="B36" s="4" t="n"/>
      <c r="C36" s="4" t="n"/>
      <c r="D36" s="4" t="n"/>
      <c r="E36" s="4" t="n"/>
      <c r="F36" s="4" t="n"/>
      <c r="G36" s="4">
        <f>IF(F36="","",IF(F36&gt;=4,"High",IF(F36=3,"Medium","Low")))</f>
        <v/>
      </c>
      <c r="H36" s="4" t="n"/>
      <c r="I36" s="12" t="n"/>
      <c r="J36" s="4" t="n"/>
      <c r="K36" s="12" t="n"/>
      <c r="L36" s="12" t="n"/>
      <c r="M36" s="4" t="n"/>
    </row>
    <row r="37">
      <c r="A37" s="4" t="n"/>
      <c r="B37" s="4" t="n"/>
      <c r="C37" s="4" t="n"/>
      <c r="D37" s="4" t="n"/>
      <c r="E37" s="4" t="n"/>
      <c r="F37" s="4" t="n"/>
      <c r="G37" s="4">
        <f>IF(F37="","",IF(F37&gt;=4,"High",IF(F37=3,"Medium","Low")))</f>
        <v/>
      </c>
      <c r="H37" s="4" t="n"/>
      <c r="I37" s="12" t="n"/>
      <c r="J37" s="4" t="n"/>
      <c r="K37" s="12" t="n"/>
      <c r="L37" s="12" t="n"/>
      <c r="M37" s="4" t="n"/>
    </row>
    <row r="38">
      <c r="A38" s="4" t="n"/>
      <c r="B38" s="4" t="n"/>
      <c r="C38" s="4" t="n"/>
      <c r="D38" s="4" t="n"/>
      <c r="E38" s="4" t="n"/>
      <c r="F38" s="4" t="n"/>
      <c r="G38" s="4">
        <f>IF(F38="","",IF(F38&gt;=4,"High",IF(F38=3,"Medium","Low")))</f>
        <v/>
      </c>
      <c r="H38" s="4" t="n"/>
      <c r="I38" s="12" t="n"/>
      <c r="J38" s="4" t="n"/>
      <c r="K38" s="12" t="n"/>
      <c r="L38" s="12" t="n"/>
      <c r="M38" s="4" t="n"/>
    </row>
    <row r="39">
      <c r="A39" s="4" t="n"/>
      <c r="B39" s="4" t="n"/>
      <c r="C39" s="4" t="n"/>
      <c r="D39" s="4" t="n"/>
      <c r="E39" s="4" t="n"/>
      <c r="F39" s="4" t="n"/>
      <c r="G39" s="4">
        <f>IF(F39="","",IF(F39&gt;=4,"High",IF(F39=3,"Medium","Low")))</f>
        <v/>
      </c>
      <c r="H39" s="4" t="n"/>
      <c r="I39" s="12" t="n"/>
      <c r="J39" s="4" t="n"/>
      <c r="K39" s="12" t="n"/>
      <c r="L39" s="12" t="n"/>
      <c r="M39" s="4" t="n"/>
    </row>
    <row r="40">
      <c r="A40" s="4" t="n"/>
      <c r="B40" s="4" t="n"/>
      <c r="C40" s="4" t="n"/>
      <c r="D40" s="4" t="n"/>
      <c r="E40" s="4" t="n"/>
      <c r="F40" s="4" t="n"/>
      <c r="G40" s="4">
        <f>IF(F40="","",IF(F40&gt;=4,"High",IF(F40=3,"Medium","Low")))</f>
        <v/>
      </c>
      <c r="H40" s="4" t="n"/>
      <c r="I40" s="12" t="n"/>
      <c r="J40" s="4" t="n"/>
      <c r="K40" s="12" t="n"/>
      <c r="L40" s="12" t="n"/>
      <c r="M40" s="4" t="n"/>
    </row>
    <row r="41">
      <c r="A41" s="4" t="n"/>
      <c r="B41" s="4" t="n"/>
      <c r="C41" s="4" t="n"/>
      <c r="D41" s="4" t="n"/>
      <c r="E41" s="4" t="n"/>
      <c r="F41" s="4" t="n"/>
      <c r="G41" s="4">
        <f>IF(F41="","",IF(F41&gt;=4,"High",IF(F41=3,"Medium","Low")))</f>
        <v/>
      </c>
      <c r="H41" s="4" t="n"/>
      <c r="I41" s="12" t="n"/>
      <c r="J41" s="4" t="n"/>
      <c r="K41" s="12" t="n"/>
      <c r="L41" s="12" t="n"/>
      <c r="M41" s="4" t="n"/>
    </row>
    <row r="42">
      <c r="A42" s="4" t="n"/>
      <c r="B42" s="4" t="n"/>
      <c r="C42" s="4" t="n"/>
      <c r="D42" s="4" t="n"/>
      <c r="E42" s="4" t="n"/>
      <c r="F42" s="4" t="n"/>
      <c r="G42" s="4">
        <f>IF(F42="","",IF(F42&gt;=4,"High",IF(F42=3,"Medium","Low")))</f>
        <v/>
      </c>
      <c r="H42" s="4" t="n"/>
      <c r="I42" s="12" t="n"/>
      <c r="J42" s="4" t="n"/>
      <c r="K42" s="12" t="n"/>
      <c r="L42" s="12" t="n"/>
      <c r="M42" s="4" t="n"/>
    </row>
    <row r="43">
      <c r="A43" s="4" t="n"/>
      <c r="B43" s="4" t="n"/>
      <c r="C43" s="4" t="n"/>
      <c r="D43" s="4" t="n"/>
      <c r="E43" s="4" t="n"/>
      <c r="F43" s="4" t="n"/>
      <c r="G43" s="4">
        <f>IF(F43="","",IF(F43&gt;=4,"High",IF(F43=3,"Medium","Low")))</f>
        <v/>
      </c>
      <c r="H43" s="4" t="n"/>
      <c r="I43" s="12" t="n"/>
      <c r="J43" s="4" t="n"/>
      <c r="K43" s="12" t="n"/>
      <c r="L43" s="12" t="n"/>
      <c r="M43" s="4" t="n"/>
    </row>
    <row r="44">
      <c r="A44" s="4" t="n"/>
      <c r="B44" s="4" t="n"/>
      <c r="C44" s="4" t="n"/>
      <c r="D44" s="4" t="n"/>
      <c r="E44" s="4" t="n"/>
      <c r="F44" s="4" t="n"/>
      <c r="G44" s="4">
        <f>IF(F44="","",IF(F44&gt;=4,"High",IF(F44=3,"Medium","Low")))</f>
        <v/>
      </c>
      <c r="H44" s="4" t="n"/>
      <c r="I44" s="12" t="n"/>
      <c r="J44" s="4" t="n"/>
      <c r="K44" s="12" t="n"/>
      <c r="L44" s="12" t="n"/>
      <c r="M44" s="4" t="n"/>
    </row>
    <row r="45">
      <c r="A45" s="4" t="n"/>
      <c r="B45" s="4" t="n"/>
      <c r="C45" s="4" t="n"/>
      <c r="D45" s="4" t="n"/>
      <c r="E45" s="4" t="n"/>
      <c r="F45" s="4" t="n"/>
      <c r="G45" s="4">
        <f>IF(F45="","",IF(F45&gt;=4,"High",IF(F45=3,"Medium","Low")))</f>
        <v/>
      </c>
      <c r="H45" s="4" t="n"/>
      <c r="I45" s="12" t="n"/>
      <c r="J45" s="4" t="n"/>
      <c r="K45" s="12" t="n"/>
      <c r="L45" s="12" t="n"/>
      <c r="M45" s="4" t="n"/>
    </row>
    <row r="46">
      <c r="A46" s="4" t="n"/>
      <c r="B46" s="4" t="n"/>
      <c r="C46" s="4" t="n"/>
      <c r="D46" s="4" t="n"/>
      <c r="E46" s="4" t="n"/>
      <c r="F46" s="4" t="n"/>
      <c r="G46" s="4">
        <f>IF(F46="","",IF(F46&gt;=4,"High",IF(F46=3,"Medium","Low")))</f>
        <v/>
      </c>
      <c r="H46" s="4" t="n"/>
      <c r="I46" s="12" t="n"/>
      <c r="J46" s="4" t="n"/>
      <c r="K46" s="12" t="n"/>
      <c r="L46" s="12" t="n"/>
      <c r="M46" s="4" t="n"/>
    </row>
    <row r="47">
      <c r="A47" s="4" t="n"/>
      <c r="B47" s="4" t="n"/>
      <c r="C47" s="4" t="n"/>
      <c r="D47" s="4" t="n"/>
      <c r="E47" s="4" t="n"/>
      <c r="F47" s="4" t="n"/>
      <c r="G47" s="4">
        <f>IF(F47="","",IF(F47&gt;=4,"High",IF(F47=3,"Medium","Low")))</f>
        <v/>
      </c>
      <c r="H47" s="4" t="n"/>
      <c r="I47" s="12" t="n"/>
      <c r="J47" s="4" t="n"/>
      <c r="K47" s="12" t="n"/>
      <c r="L47" s="12" t="n"/>
      <c r="M47" s="4" t="n"/>
    </row>
    <row r="48">
      <c r="A48" s="4" t="n"/>
      <c r="B48" s="4" t="n"/>
      <c r="C48" s="4" t="n"/>
      <c r="D48" s="4" t="n"/>
      <c r="E48" s="4" t="n"/>
      <c r="F48" s="4" t="n"/>
      <c r="G48" s="4">
        <f>IF(F48="","",IF(F48&gt;=4,"High",IF(F48=3,"Medium","Low")))</f>
        <v/>
      </c>
      <c r="H48" s="4" t="n"/>
      <c r="I48" s="12" t="n"/>
      <c r="J48" s="4" t="n"/>
      <c r="K48" s="12" t="n"/>
      <c r="L48" s="12" t="n"/>
      <c r="M48" s="4" t="n"/>
    </row>
    <row r="49">
      <c r="A49" s="4" t="n"/>
      <c r="B49" s="4" t="n"/>
      <c r="C49" s="4" t="n"/>
      <c r="D49" s="4" t="n"/>
      <c r="E49" s="4" t="n"/>
      <c r="F49" s="4" t="n"/>
      <c r="G49" s="4">
        <f>IF(F49="","",IF(F49&gt;=4,"High",IF(F49=3,"Medium","Low")))</f>
        <v/>
      </c>
      <c r="H49" s="4" t="n"/>
      <c r="I49" s="12" t="n"/>
      <c r="J49" s="4" t="n"/>
      <c r="K49" s="12" t="n"/>
      <c r="L49" s="12" t="n"/>
      <c r="M49" s="4" t="n"/>
    </row>
    <row r="50">
      <c r="A50" s="4" t="n"/>
      <c r="B50" s="4" t="n"/>
      <c r="C50" s="4" t="n"/>
      <c r="D50" s="4" t="n"/>
      <c r="E50" s="4" t="n"/>
      <c r="F50" s="4" t="n"/>
      <c r="G50" s="4">
        <f>IF(F50="","",IF(F50&gt;=4,"High",IF(F50=3,"Medium","Low")))</f>
        <v/>
      </c>
      <c r="H50" s="4" t="n"/>
      <c r="I50" s="12" t="n"/>
      <c r="J50" s="4" t="n"/>
      <c r="K50" s="12" t="n"/>
      <c r="L50" s="12" t="n"/>
      <c r="M50" s="4" t="n"/>
    </row>
    <row r="51">
      <c r="A51" s="4" t="n"/>
      <c r="B51" s="4" t="n"/>
      <c r="C51" s="4" t="n"/>
      <c r="D51" s="4" t="n"/>
      <c r="E51" s="4" t="n"/>
      <c r="F51" s="4" t="n"/>
      <c r="G51" s="4">
        <f>IF(F51="","",IF(F51&gt;=4,"High",IF(F51=3,"Medium","Low")))</f>
        <v/>
      </c>
      <c r="H51" s="4" t="n"/>
      <c r="I51" s="12" t="n"/>
      <c r="J51" s="4" t="n"/>
      <c r="K51" s="12" t="n"/>
      <c r="L51" s="12" t="n"/>
      <c r="M51" s="4" t="n"/>
    </row>
    <row r="52">
      <c r="A52" s="4" t="n"/>
      <c r="B52" s="4" t="n"/>
      <c r="C52" s="4" t="n"/>
      <c r="D52" s="4" t="n"/>
      <c r="E52" s="4" t="n"/>
      <c r="F52" s="4" t="n"/>
      <c r="G52" s="4">
        <f>IF(F52="","",IF(F52&gt;=4,"High",IF(F52=3,"Medium","Low")))</f>
        <v/>
      </c>
      <c r="H52" s="4" t="n"/>
      <c r="I52" s="12" t="n"/>
      <c r="J52" s="4" t="n"/>
      <c r="K52" s="12" t="n"/>
      <c r="L52" s="12" t="n"/>
      <c r="M52" s="4" t="n"/>
    </row>
    <row r="53">
      <c r="A53" s="4" t="n"/>
      <c r="B53" s="4" t="n"/>
      <c r="C53" s="4" t="n"/>
      <c r="D53" s="4" t="n"/>
      <c r="E53" s="4" t="n"/>
      <c r="F53" s="4" t="n"/>
      <c r="G53" s="4">
        <f>IF(F53="","",IF(F53&gt;=4,"High",IF(F53=3,"Medium","Low")))</f>
        <v/>
      </c>
      <c r="H53" s="4" t="n"/>
      <c r="I53" s="12" t="n"/>
      <c r="J53" s="4" t="n"/>
      <c r="K53" s="12" t="n"/>
      <c r="L53" s="12" t="n"/>
      <c r="M53" s="4" t="n"/>
    </row>
    <row r="54">
      <c r="A54" s="4" t="n"/>
      <c r="B54" s="4" t="n"/>
      <c r="C54" s="4" t="n"/>
      <c r="D54" s="4" t="n"/>
      <c r="E54" s="4" t="n"/>
      <c r="F54" s="4" t="n"/>
      <c r="G54" s="4">
        <f>IF(F54="","",IF(F54&gt;=4,"High",IF(F54=3,"Medium","Low")))</f>
        <v/>
      </c>
      <c r="H54" s="4" t="n"/>
      <c r="I54" s="12" t="n"/>
      <c r="J54" s="4" t="n"/>
      <c r="K54" s="12" t="n"/>
      <c r="L54" s="12" t="n"/>
      <c r="M54" s="4" t="n"/>
    </row>
    <row r="55">
      <c r="A55" s="4" t="n"/>
      <c r="B55" s="4" t="n"/>
      <c r="C55" s="4" t="n"/>
      <c r="D55" s="4" t="n"/>
      <c r="E55" s="4" t="n"/>
      <c r="F55" s="4" t="n"/>
      <c r="G55" s="4">
        <f>IF(F55="","",IF(F55&gt;=4,"High",IF(F55=3,"Medium","Low")))</f>
        <v/>
      </c>
      <c r="H55" s="4" t="n"/>
      <c r="I55" s="12" t="n"/>
      <c r="J55" s="4" t="n"/>
      <c r="K55" s="12" t="n"/>
      <c r="L55" s="12" t="n"/>
      <c r="M55" s="4" t="n"/>
    </row>
    <row r="56">
      <c r="A56" s="4" t="n"/>
      <c r="B56" s="4" t="n"/>
      <c r="C56" s="4" t="n"/>
      <c r="D56" s="4" t="n"/>
      <c r="E56" s="4" t="n"/>
      <c r="F56" s="4" t="n"/>
      <c r="G56" s="4">
        <f>IF(F56="","",IF(F56&gt;=4,"High",IF(F56=3,"Medium","Low")))</f>
        <v/>
      </c>
      <c r="H56" s="4" t="n"/>
      <c r="I56" s="12" t="n"/>
      <c r="J56" s="4" t="n"/>
      <c r="K56" s="12" t="n"/>
      <c r="L56" s="12" t="n"/>
      <c r="M56" s="4" t="n"/>
    </row>
    <row r="57">
      <c r="A57" s="4" t="n"/>
      <c r="B57" s="4" t="n"/>
      <c r="C57" s="4" t="n"/>
      <c r="D57" s="4" t="n"/>
      <c r="E57" s="4" t="n"/>
      <c r="F57" s="4" t="n"/>
      <c r="G57" s="4">
        <f>IF(F57="","",IF(F57&gt;=4,"High",IF(F57=3,"Medium","Low")))</f>
        <v/>
      </c>
      <c r="H57" s="4" t="n"/>
      <c r="I57" s="12" t="n"/>
      <c r="J57" s="4" t="n"/>
      <c r="K57" s="12" t="n"/>
      <c r="L57" s="12" t="n"/>
      <c r="M57" s="4" t="n"/>
    </row>
    <row r="58">
      <c r="A58" s="4" t="n"/>
      <c r="B58" s="4" t="n"/>
      <c r="C58" s="4" t="n"/>
      <c r="D58" s="4" t="n"/>
      <c r="E58" s="4" t="n"/>
      <c r="F58" s="4" t="n"/>
      <c r="G58" s="4">
        <f>IF(F58="","",IF(F58&gt;=4,"High",IF(F58=3,"Medium","Low")))</f>
        <v/>
      </c>
      <c r="H58" s="4" t="n"/>
      <c r="I58" s="12" t="n"/>
      <c r="J58" s="4" t="n"/>
      <c r="K58" s="12" t="n"/>
      <c r="L58" s="12" t="n"/>
      <c r="M58" s="4" t="n"/>
    </row>
    <row r="59">
      <c r="A59" s="4" t="n"/>
      <c r="B59" s="4" t="n"/>
      <c r="C59" s="4" t="n"/>
      <c r="D59" s="4" t="n"/>
      <c r="E59" s="4" t="n"/>
      <c r="F59" s="4" t="n"/>
      <c r="G59" s="4">
        <f>IF(F59="","",IF(F59&gt;=4,"High",IF(F59=3,"Medium","Low")))</f>
        <v/>
      </c>
      <c r="H59" s="4" t="n"/>
      <c r="I59" s="12" t="n"/>
      <c r="J59" s="4" t="n"/>
      <c r="K59" s="12" t="n"/>
      <c r="L59" s="12" t="n"/>
      <c r="M59" s="4" t="n"/>
    </row>
    <row r="60">
      <c r="A60" s="4" t="n"/>
      <c r="B60" s="4" t="n"/>
      <c r="C60" s="4" t="n"/>
      <c r="D60" s="4" t="n"/>
      <c r="E60" s="4" t="n"/>
      <c r="F60" s="4" t="n"/>
      <c r="G60" s="4">
        <f>IF(F60="","",IF(F60&gt;=4,"High",IF(F60=3,"Medium","Low")))</f>
        <v/>
      </c>
      <c r="H60" s="4" t="n"/>
      <c r="I60" s="12" t="n"/>
      <c r="J60" s="4" t="n"/>
      <c r="K60" s="12" t="n"/>
      <c r="L60" s="12" t="n"/>
      <c r="M60" s="4" t="n"/>
    </row>
    <row r="61">
      <c r="A61" s="4" t="n"/>
      <c r="B61" s="4" t="n"/>
      <c r="C61" s="4" t="n"/>
      <c r="D61" s="4" t="n"/>
      <c r="E61" s="4" t="n"/>
      <c r="F61" s="4" t="n"/>
      <c r="G61" s="4">
        <f>IF(F61="","",IF(F61&gt;=4,"High",IF(F61=3,"Medium","Low")))</f>
        <v/>
      </c>
      <c r="H61" s="4" t="n"/>
      <c r="I61" s="12" t="n"/>
      <c r="J61" s="4" t="n"/>
      <c r="K61" s="12" t="n"/>
      <c r="L61" s="12" t="n"/>
      <c r="M61" s="4" t="n"/>
    </row>
    <row r="62">
      <c r="A62" s="4" t="n"/>
      <c r="B62" s="4" t="n"/>
      <c r="C62" s="4" t="n"/>
      <c r="D62" s="4" t="n"/>
      <c r="E62" s="4" t="n"/>
      <c r="F62" s="4" t="n"/>
      <c r="G62" s="4">
        <f>IF(F62="","",IF(F62&gt;=4,"High",IF(F62=3,"Medium","Low")))</f>
        <v/>
      </c>
      <c r="H62" s="4" t="n"/>
      <c r="I62" s="12" t="n"/>
      <c r="J62" s="4" t="n"/>
      <c r="K62" s="12" t="n"/>
      <c r="L62" s="12" t="n"/>
      <c r="M62" s="4" t="n"/>
    </row>
    <row r="63">
      <c r="A63" s="4" t="n"/>
      <c r="B63" s="4" t="n"/>
      <c r="C63" s="4" t="n"/>
      <c r="D63" s="4" t="n"/>
      <c r="E63" s="4" t="n"/>
      <c r="F63" s="4" t="n"/>
      <c r="G63" s="4">
        <f>IF(F63="","",IF(F63&gt;=4,"High",IF(F63=3,"Medium","Low")))</f>
        <v/>
      </c>
      <c r="H63" s="4" t="n"/>
      <c r="I63" s="12" t="n"/>
      <c r="J63" s="4" t="n"/>
      <c r="K63" s="12" t="n"/>
      <c r="L63" s="12" t="n"/>
      <c r="M63" s="4" t="n"/>
    </row>
    <row r="64">
      <c r="A64" s="4" t="n"/>
      <c r="B64" s="4" t="n"/>
      <c r="C64" s="4" t="n"/>
      <c r="D64" s="4" t="n"/>
      <c r="E64" s="4" t="n"/>
      <c r="F64" s="4" t="n"/>
      <c r="G64" s="4">
        <f>IF(F64="","",IF(F64&gt;=4,"High",IF(F64=3,"Medium","Low")))</f>
        <v/>
      </c>
      <c r="H64" s="4" t="n"/>
      <c r="I64" s="12" t="n"/>
      <c r="J64" s="4" t="n"/>
      <c r="K64" s="12" t="n"/>
      <c r="L64" s="12" t="n"/>
      <c r="M64" s="4" t="n"/>
    </row>
    <row r="65">
      <c r="A65" s="4" t="n"/>
      <c r="B65" s="4" t="n"/>
      <c r="C65" s="4" t="n"/>
      <c r="D65" s="4" t="n"/>
      <c r="E65" s="4" t="n"/>
      <c r="F65" s="4" t="n"/>
      <c r="G65" s="4">
        <f>IF(F65="","",IF(F65&gt;=4,"High",IF(F65=3,"Medium","Low")))</f>
        <v/>
      </c>
      <c r="H65" s="4" t="n"/>
      <c r="I65" s="12" t="n"/>
      <c r="J65" s="4" t="n"/>
      <c r="K65" s="12" t="n"/>
      <c r="L65" s="12" t="n"/>
      <c r="M65" s="4" t="n"/>
    </row>
    <row r="66">
      <c r="A66" s="4" t="n"/>
      <c r="B66" s="4" t="n"/>
      <c r="C66" s="4" t="n"/>
      <c r="D66" s="4" t="n"/>
      <c r="E66" s="4" t="n"/>
      <c r="F66" s="4" t="n"/>
      <c r="G66" s="4">
        <f>IF(F66="","",IF(F66&gt;=4,"High",IF(F66=3,"Medium","Low")))</f>
        <v/>
      </c>
      <c r="H66" s="4" t="n"/>
      <c r="I66" s="12" t="n"/>
      <c r="J66" s="4" t="n"/>
      <c r="K66" s="12" t="n"/>
      <c r="L66" s="12" t="n"/>
      <c r="M66" s="4" t="n"/>
    </row>
    <row r="67">
      <c r="A67" s="4" t="n"/>
      <c r="B67" s="4" t="n"/>
      <c r="C67" s="4" t="n"/>
      <c r="D67" s="4" t="n"/>
      <c r="E67" s="4" t="n"/>
      <c r="F67" s="4" t="n"/>
      <c r="G67" s="4">
        <f>IF(F67="","",IF(F67&gt;=4,"High",IF(F67=3,"Medium","Low")))</f>
        <v/>
      </c>
      <c r="H67" s="4" t="n"/>
      <c r="I67" s="12" t="n"/>
      <c r="J67" s="4" t="n"/>
      <c r="K67" s="12" t="n"/>
      <c r="L67" s="12" t="n"/>
      <c r="M67" s="4" t="n"/>
    </row>
    <row r="68">
      <c r="A68" s="4" t="n"/>
      <c r="B68" s="4" t="n"/>
      <c r="C68" s="4" t="n"/>
      <c r="D68" s="4" t="n"/>
      <c r="E68" s="4" t="n"/>
      <c r="F68" s="4" t="n"/>
      <c r="G68" s="4">
        <f>IF(F68="","",IF(F68&gt;=4,"High",IF(F68=3,"Medium","Low")))</f>
        <v/>
      </c>
      <c r="H68" s="4" t="n"/>
      <c r="I68" s="12" t="n"/>
      <c r="J68" s="4" t="n"/>
      <c r="K68" s="12" t="n"/>
      <c r="L68" s="12" t="n"/>
      <c r="M68" s="4" t="n"/>
    </row>
    <row r="69">
      <c r="A69" s="4" t="n"/>
      <c r="B69" s="4" t="n"/>
      <c r="C69" s="4" t="n"/>
      <c r="D69" s="4" t="n"/>
      <c r="E69" s="4" t="n"/>
      <c r="F69" s="4" t="n"/>
      <c r="G69" s="4">
        <f>IF(F69="","",IF(F69&gt;=4,"High",IF(F69=3,"Medium","Low")))</f>
        <v/>
      </c>
      <c r="H69" s="4" t="n"/>
      <c r="I69" s="12" t="n"/>
      <c r="J69" s="4" t="n"/>
      <c r="K69" s="12" t="n"/>
      <c r="L69" s="12" t="n"/>
      <c r="M69" s="4" t="n"/>
    </row>
    <row r="70">
      <c r="A70" s="4" t="n"/>
      <c r="B70" s="4" t="n"/>
      <c r="C70" s="4" t="n"/>
      <c r="D70" s="4" t="n"/>
      <c r="E70" s="4" t="n"/>
      <c r="F70" s="4" t="n"/>
      <c r="G70" s="4">
        <f>IF(F70="","",IF(F70&gt;=4,"High",IF(F70=3,"Medium","Low")))</f>
        <v/>
      </c>
      <c r="H70" s="4" t="n"/>
      <c r="I70" s="12" t="n"/>
      <c r="J70" s="4" t="n"/>
      <c r="K70" s="12" t="n"/>
      <c r="L70" s="12" t="n"/>
      <c r="M70" s="4" t="n"/>
    </row>
    <row r="71">
      <c r="A71" s="4" t="n"/>
      <c r="B71" s="4" t="n"/>
      <c r="C71" s="4" t="n"/>
      <c r="D71" s="4" t="n"/>
      <c r="E71" s="4" t="n"/>
      <c r="F71" s="4" t="n"/>
      <c r="G71" s="4">
        <f>IF(F71="","",IF(F71&gt;=4,"High",IF(F71=3,"Medium","Low")))</f>
        <v/>
      </c>
      <c r="H71" s="4" t="n"/>
      <c r="I71" s="12" t="n"/>
      <c r="J71" s="4" t="n"/>
      <c r="K71" s="12" t="n"/>
      <c r="L71" s="12" t="n"/>
      <c r="M71" s="4" t="n"/>
    </row>
    <row r="72">
      <c r="A72" s="4" t="n"/>
      <c r="B72" s="4" t="n"/>
      <c r="C72" s="4" t="n"/>
      <c r="D72" s="4" t="n"/>
      <c r="E72" s="4" t="n"/>
      <c r="F72" s="4" t="n"/>
      <c r="G72" s="4">
        <f>IF(F72="","",IF(F72&gt;=4,"High",IF(F72=3,"Medium","Low")))</f>
        <v/>
      </c>
      <c r="H72" s="4" t="n"/>
      <c r="I72" s="12" t="n"/>
      <c r="J72" s="4" t="n"/>
      <c r="K72" s="12" t="n"/>
      <c r="L72" s="12" t="n"/>
      <c r="M72" s="4" t="n"/>
    </row>
    <row r="73">
      <c r="A73" s="4" t="n"/>
      <c r="B73" s="4" t="n"/>
      <c r="C73" s="4" t="n"/>
      <c r="D73" s="4" t="n"/>
      <c r="E73" s="4" t="n"/>
      <c r="F73" s="4" t="n"/>
      <c r="G73" s="4">
        <f>IF(F73="","",IF(F73&gt;=4,"High",IF(F73=3,"Medium","Low")))</f>
        <v/>
      </c>
      <c r="H73" s="4" t="n"/>
      <c r="I73" s="12" t="n"/>
      <c r="J73" s="4" t="n"/>
      <c r="K73" s="12" t="n"/>
      <c r="L73" s="12" t="n"/>
      <c r="M73" s="4" t="n"/>
    </row>
    <row r="74">
      <c r="A74" s="4" t="n"/>
      <c r="B74" s="4" t="n"/>
      <c r="C74" s="4" t="n"/>
      <c r="D74" s="4" t="n"/>
      <c r="E74" s="4" t="n"/>
      <c r="F74" s="4" t="n"/>
      <c r="G74" s="4">
        <f>IF(F74="","",IF(F74&gt;=4,"High",IF(F74=3,"Medium","Low")))</f>
        <v/>
      </c>
      <c r="H74" s="4" t="n"/>
      <c r="I74" s="12" t="n"/>
      <c r="J74" s="4" t="n"/>
      <c r="K74" s="12" t="n"/>
      <c r="L74" s="12" t="n"/>
      <c r="M74" s="4" t="n"/>
    </row>
    <row r="75">
      <c r="A75" s="4" t="n"/>
      <c r="B75" s="4" t="n"/>
      <c r="C75" s="4" t="n"/>
      <c r="D75" s="4" t="n"/>
      <c r="E75" s="4" t="n"/>
      <c r="F75" s="4" t="n"/>
      <c r="G75" s="4">
        <f>IF(F75="","",IF(F75&gt;=4,"High",IF(F75=3,"Medium","Low")))</f>
        <v/>
      </c>
      <c r="H75" s="4" t="n"/>
      <c r="I75" s="12" t="n"/>
      <c r="J75" s="4" t="n"/>
      <c r="K75" s="12" t="n"/>
      <c r="L75" s="12" t="n"/>
      <c r="M75" s="4" t="n"/>
    </row>
    <row r="76">
      <c r="A76" s="4" t="n"/>
      <c r="B76" s="4" t="n"/>
      <c r="C76" s="4" t="n"/>
      <c r="D76" s="4" t="n"/>
      <c r="E76" s="4" t="n"/>
      <c r="F76" s="4" t="n"/>
      <c r="G76" s="4">
        <f>IF(F76="","",IF(F76&gt;=4,"High",IF(F76=3,"Medium","Low")))</f>
        <v/>
      </c>
      <c r="H76" s="4" t="n"/>
      <c r="I76" s="12" t="n"/>
      <c r="J76" s="4" t="n"/>
      <c r="K76" s="12" t="n"/>
      <c r="L76" s="12" t="n"/>
      <c r="M76" s="4" t="n"/>
    </row>
    <row r="77">
      <c r="A77" s="4" t="n"/>
      <c r="B77" s="4" t="n"/>
      <c r="C77" s="4" t="n"/>
      <c r="D77" s="4" t="n"/>
      <c r="E77" s="4" t="n"/>
      <c r="F77" s="4" t="n"/>
      <c r="G77" s="4">
        <f>IF(F77="","",IF(F77&gt;=4,"High",IF(F77=3,"Medium","Low")))</f>
        <v/>
      </c>
      <c r="H77" s="4" t="n"/>
      <c r="I77" s="12" t="n"/>
      <c r="J77" s="4" t="n"/>
      <c r="K77" s="12" t="n"/>
      <c r="L77" s="12" t="n"/>
      <c r="M77" s="4" t="n"/>
    </row>
    <row r="78">
      <c r="A78" s="4" t="n"/>
      <c r="B78" s="4" t="n"/>
      <c r="C78" s="4" t="n"/>
      <c r="D78" s="4" t="n"/>
      <c r="E78" s="4" t="n"/>
      <c r="F78" s="4" t="n"/>
      <c r="G78" s="4">
        <f>IF(F78="","",IF(F78&gt;=4,"High",IF(F78=3,"Medium","Low")))</f>
        <v/>
      </c>
      <c r="H78" s="4" t="n"/>
      <c r="I78" s="12" t="n"/>
      <c r="J78" s="4" t="n"/>
      <c r="K78" s="12" t="n"/>
      <c r="L78" s="12" t="n"/>
      <c r="M78" s="4" t="n"/>
    </row>
    <row r="79">
      <c r="A79" s="4" t="n"/>
      <c r="B79" s="4" t="n"/>
      <c r="C79" s="4" t="n"/>
      <c r="D79" s="4" t="n"/>
      <c r="E79" s="4" t="n"/>
      <c r="F79" s="4" t="n"/>
      <c r="G79" s="4">
        <f>IF(F79="","",IF(F79&gt;=4,"High",IF(F79=3,"Medium","Low")))</f>
        <v/>
      </c>
      <c r="H79" s="4" t="n"/>
      <c r="I79" s="12" t="n"/>
      <c r="J79" s="4" t="n"/>
      <c r="K79" s="12" t="n"/>
      <c r="L79" s="12" t="n"/>
      <c r="M79" s="4" t="n"/>
    </row>
    <row r="80">
      <c r="A80" s="4" t="n"/>
      <c r="B80" s="4" t="n"/>
      <c r="C80" s="4" t="n"/>
      <c r="D80" s="4" t="n"/>
      <c r="E80" s="4" t="n"/>
      <c r="F80" s="4" t="n"/>
      <c r="G80" s="4">
        <f>IF(F80="","",IF(F80&gt;=4,"High",IF(F80=3,"Medium","Low")))</f>
        <v/>
      </c>
      <c r="H80" s="4" t="n"/>
      <c r="I80" s="12" t="n"/>
      <c r="J80" s="4" t="n"/>
      <c r="K80" s="12" t="n"/>
      <c r="L80" s="12" t="n"/>
      <c r="M80" s="4" t="n"/>
    </row>
    <row r="81">
      <c r="A81" s="4" t="n"/>
      <c r="B81" s="4" t="n"/>
      <c r="C81" s="4" t="n"/>
      <c r="D81" s="4" t="n"/>
      <c r="E81" s="4" t="n"/>
      <c r="F81" s="4" t="n"/>
      <c r="G81" s="4">
        <f>IF(F81="","",IF(F81&gt;=4,"High",IF(F81=3,"Medium","Low")))</f>
        <v/>
      </c>
      <c r="H81" s="4" t="n"/>
      <c r="I81" s="12" t="n"/>
      <c r="J81" s="4" t="n"/>
      <c r="K81" s="12" t="n"/>
      <c r="L81" s="12" t="n"/>
      <c r="M81" s="4" t="n"/>
    </row>
    <row r="82">
      <c r="A82" s="4" t="n"/>
      <c r="B82" s="4" t="n"/>
      <c r="C82" s="4" t="n"/>
      <c r="D82" s="4" t="n"/>
      <c r="E82" s="4" t="n"/>
      <c r="F82" s="4" t="n"/>
      <c r="G82" s="4">
        <f>IF(F82="","",IF(F82&gt;=4,"High",IF(F82=3,"Medium","Low")))</f>
        <v/>
      </c>
      <c r="H82" s="4" t="n"/>
      <c r="I82" s="12" t="n"/>
      <c r="J82" s="4" t="n"/>
      <c r="K82" s="12" t="n"/>
      <c r="L82" s="12" t="n"/>
      <c r="M82" s="4" t="n"/>
    </row>
    <row r="83">
      <c r="A83" s="4" t="n"/>
      <c r="B83" s="4" t="n"/>
      <c r="C83" s="4" t="n"/>
      <c r="D83" s="4" t="n"/>
      <c r="E83" s="4" t="n"/>
      <c r="F83" s="4" t="n"/>
      <c r="G83" s="4">
        <f>IF(F83="","",IF(F83&gt;=4,"High",IF(F83=3,"Medium","Low")))</f>
        <v/>
      </c>
      <c r="H83" s="4" t="n"/>
      <c r="I83" s="12" t="n"/>
      <c r="J83" s="4" t="n"/>
      <c r="K83" s="12" t="n"/>
      <c r="L83" s="12" t="n"/>
      <c r="M83" s="4" t="n"/>
    </row>
    <row r="84">
      <c r="A84" s="4" t="n"/>
      <c r="B84" s="4" t="n"/>
      <c r="C84" s="4" t="n"/>
      <c r="D84" s="4" t="n"/>
      <c r="E84" s="4" t="n"/>
      <c r="F84" s="4" t="n"/>
      <c r="G84" s="4">
        <f>IF(F84="","",IF(F84&gt;=4,"High",IF(F84=3,"Medium","Low")))</f>
        <v/>
      </c>
      <c r="H84" s="4" t="n"/>
      <c r="I84" s="12" t="n"/>
      <c r="J84" s="4" t="n"/>
      <c r="K84" s="12" t="n"/>
      <c r="L84" s="12" t="n"/>
      <c r="M84" s="4" t="n"/>
    </row>
    <row r="85">
      <c r="A85" s="4" t="n"/>
      <c r="B85" s="4" t="n"/>
      <c r="C85" s="4" t="n"/>
      <c r="D85" s="4" t="n"/>
      <c r="E85" s="4" t="n"/>
      <c r="F85" s="4" t="n"/>
      <c r="G85" s="4">
        <f>IF(F85="","",IF(F85&gt;=4,"High",IF(F85=3,"Medium","Low")))</f>
        <v/>
      </c>
      <c r="H85" s="4" t="n"/>
      <c r="I85" s="12" t="n"/>
      <c r="J85" s="4" t="n"/>
      <c r="K85" s="12" t="n"/>
      <c r="L85" s="12" t="n"/>
      <c r="M85" s="4" t="n"/>
    </row>
    <row r="86">
      <c r="A86" s="4" t="n"/>
      <c r="B86" s="4" t="n"/>
      <c r="C86" s="4" t="n"/>
      <c r="D86" s="4" t="n"/>
      <c r="E86" s="4" t="n"/>
      <c r="F86" s="4" t="n"/>
      <c r="G86" s="4">
        <f>IF(F86="","",IF(F86&gt;=4,"High",IF(F86=3,"Medium","Low")))</f>
        <v/>
      </c>
      <c r="H86" s="4" t="n"/>
      <c r="I86" s="12" t="n"/>
      <c r="J86" s="4" t="n"/>
      <c r="K86" s="12" t="n"/>
      <c r="L86" s="12" t="n"/>
      <c r="M86" s="4" t="n"/>
    </row>
    <row r="87">
      <c r="A87" s="4" t="n"/>
      <c r="B87" s="4" t="n"/>
      <c r="C87" s="4" t="n"/>
      <c r="D87" s="4" t="n"/>
      <c r="E87" s="4" t="n"/>
      <c r="F87" s="4" t="n"/>
      <c r="G87" s="4">
        <f>IF(F87="","",IF(F87&gt;=4,"High",IF(F87=3,"Medium","Low")))</f>
        <v/>
      </c>
      <c r="H87" s="4" t="n"/>
      <c r="I87" s="12" t="n"/>
      <c r="J87" s="4" t="n"/>
      <c r="K87" s="12" t="n"/>
      <c r="L87" s="12" t="n"/>
      <c r="M87" s="4" t="n"/>
    </row>
    <row r="88">
      <c r="A88" s="4" t="n"/>
      <c r="B88" s="4" t="n"/>
      <c r="C88" s="4" t="n"/>
      <c r="D88" s="4" t="n"/>
      <c r="E88" s="4" t="n"/>
      <c r="F88" s="4" t="n"/>
      <c r="G88" s="4">
        <f>IF(F88="","",IF(F88&gt;=4,"High",IF(F88=3,"Medium","Low")))</f>
        <v/>
      </c>
      <c r="H88" s="4" t="n"/>
      <c r="I88" s="12" t="n"/>
      <c r="J88" s="4" t="n"/>
      <c r="K88" s="12" t="n"/>
      <c r="L88" s="12" t="n"/>
      <c r="M88" s="4" t="n"/>
    </row>
    <row r="89">
      <c r="A89" s="4" t="n"/>
      <c r="B89" s="4" t="n"/>
      <c r="C89" s="4" t="n"/>
      <c r="D89" s="4" t="n"/>
      <c r="E89" s="4" t="n"/>
      <c r="F89" s="4" t="n"/>
      <c r="G89" s="4">
        <f>IF(F89="","",IF(F89&gt;=4,"High",IF(F89=3,"Medium","Low")))</f>
        <v/>
      </c>
      <c r="H89" s="4" t="n"/>
      <c r="I89" s="12" t="n"/>
      <c r="J89" s="4" t="n"/>
      <c r="K89" s="12" t="n"/>
      <c r="L89" s="12" t="n"/>
      <c r="M89" s="4" t="n"/>
    </row>
    <row r="90">
      <c r="A90" s="4" t="n"/>
      <c r="B90" s="4" t="n"/>
      <c r="C90" s="4" t="n"/>
      <c r="D90" s="4" t="n"/>
      <c r="E90" s="4" t="n"/>
      <c r="F90" s="4" t="n"/>
      <c r="G90" s="4">
        <f>IF(F90="","",IF(F90&gt;=4,"High",IF(F90=3,"Medium","Low")))</f>
        <v/>
      </c>
      <c r="H90" s="4" t="n"/>
      <c r="I90" s="12" t="n"/>
      <c r="J90" s="4" t="n"/>
      <c r="K90" s="12" t="n"/>
      <c r="L90" s="12" t="n"/>
      <c r="M90" s="4" t="n"/>
    </row>
    <row r="91">
      <c r="A91" s="4" t="n"/>
      <c r="B91" s="4" t="n"/>
      <c r="C91" s="4" t="n"/>
      <c r="D91" s="4" t="n"/>
      <c r="E91" s="4" t="n"/>
      <c r="F91" s="4" t="n"/>
      <c r="G91" s="4">
        <f>IF(F91="","",IF(F91&gt;=4,"High",IF(F91=3,"Medium","Low")))</f>
        <v/>
      </c>
      <c r="H91" s="4" t="n"/>
      <c r="I91" s="12" t="n"/>
      <c r="J91" s="4" t="n"/>
      <c r="K91" s="12" t="n"/>
      <c r="L91" s="12" t="n"/>
      <c r="M91" s="4" t="n"/>
    </row>
    <row r="92">
      <c r="A92" s="4" t="n"/>
      <c r="B92" s="4" t="n"/>
      <c r="C92" s="4" t="n"/>
      <c r="D92" s="4" t="n"/>
      <c r="E92" s="4" t="n"/>
      <c r="F92" s="4" t="n"/>
      <c r="G92" s="4">
        <f>IF(F92="","",IF(F92&gt;=4,"High",IF(F92=3,"Medium","Low")))</f>
        <v/>
      </c>
      <c r="H92" s="4" t="n"/>
      <c r="I92" s="12" t="n"/>
      <c r="J92" s="4" t="n"/>
      <c r="K92" s="12" t="n"/>
      <c r="L92" s="12" t="n"/>
      <c r="M92" s="4" t="n"/>
    </row>
    <row r="93">
      <c r="A93" s="4" t="n"/>
      <c r="B93" s="4" t="n"/>
      <c r="C93" s="4" t="n"/>
      <c r="D93" s="4" t="n"/>
      <c r="E93" s="4" t="n"/>
      <c r="F93" s="4" t="n"/>
      <c r="G93" s="4">
        <f>IF(F93="","",IF(F93&gt;=4,"High",IF(F93=3,"Medium","Low")))</f>
        <v/>
      </c>
      <c r="H93" s="4" t="n"/>
      <c r="I93" s="12" t="n"/>
      <c r="J93" s="4" t="n"/>
      <c r="K93" s="12" t="n"/>
      <c r="L93" s="12" t="n"/>
      <c r="M93" s="4" t="n"/>
    </row>
    <row r="94">
      <c r="A94" s="4" t="n"/>
      <c r="B94" s="4" t="n"/>
      <c r="C94" s="4" t="n"/>
      <c r="D94" s="4" t="n"/>
      <c r="E94" s="4" t="n"/>
      <c r="F94" s="4" t="n"/>
      <c r="G94" s="4">
        <f>IF(F94="","",IF(F94&gt;=4,"High",IF(F94=3,"Medium","Low")))</f>
        <v/>
      </c>
      <c r="H94" s="4" t="n"/>
      <c r="I94" s="12" t="n"/>
      <c r="J94" s="4" t="n"/>
      <c r="K94" s="12" t="n"/>
      <c r="L94" s="12" t="n"/>
      <c r="M94" s="4" t="n"/>
    </row>
    <row r="95">
      <c r="A95" s="4" t="n"/>
      <c r="B95" s="4" t="n"/>
      <c r="C95" s="4" t="n"/>
      <c r="D95" s="4" t="n"/>
      <c r="E95" s="4" t="n"/>
      <c r="F95" s="4" t="n"/>
      <c r="G95" s="4">
        <f>IF(F95="","",IF(F95&gt;=4,"High",IF(F95=3,"Medium","Low")))</f>
        <v/>
      </c>
      <c r="H95" s="4" t="n"/>
      <c r="I95" s="12" t="n"/>
      <c r="J95" s="4" t="n"/>
      <c r="K95" s="12" t="n"/>
      <c r="L95" s="12" t="n"/>
      <c r="M95" s="4" t="n"/>
    </row>
    <row r="96">
      <c r="A96" s="4" t="n"/>
      <c r="B96" s="4" t="n"/>
      <c r="C96" s="4" t="n"/>
      <c r="D96" s="4" t="n"/>
      <c r="E96" s="4" t="n"/>
      <c r="F96" s="4" t="n"/>
      <c r="G96" s="4">
        <f>IF(F96="","",IF(F96&gt;=4,"High",IF(F96=3,"Medium","Low")))</f>
        <v/>
      </c>
      <c r="H96" s="4" t="n"/>
      <c r="I96" s="12" t="n"/>
      <c r="J96" s="4" t="n"/>
      <c r="K96" s="12" t="n"/>
      <c r="L96" s="12" t="n"/>
      <c r="M96" s="4" t="n"/>
    </row>
    <row r="97">
      <c r="A97" s="4" t="n"/>
      <c r="B97" s="4" t="n"/>
      <c r="C97" s="4" t="n"/>
      <c r="D97" s="4" t="n"/>
      <c r="E97" s="4" t="n"/>
      <c r="F97" s="4" t="n"/>
      <c r="G97" s="4">
        <f>IF(F97="","",IF(F97&gt;=4,"High",IF(F97=3,"Medium","Low")))</f>
        <v/>
      </c>
      <c r="H97" s="4" t="n"/>
      <c r="I97" s="12" t="n"/>
      <c r="J97" s="4" t="n"/>
      <c r="K97" s="12" t="n"/>
      <c r="L97" s="12" t="n"/>
      <c r="M97" s="4" t="n"/>
    </row>
    <row r="98">
      <c r="A98" s="4" t="n"/>
      <c r="B98" s="4" t="n"/>
      <c r="C98" s="4" t="n"/>
      <c r="D98" s="4" t="n"/>
      <c r="E98" s="4" t="n"/>
      <c r="F98" s="4" t="n"/>
      <c r="G98" s="4">
        <f>IF(F98="","",IF(F98&gt;=4,"High",IF(F98=3,"Medium","Low")))</f>
        <v/>
      </c>
      <c r="H98" s="4" t="n"/>
      <c r="I98" s="12" t="n"/>
      <c r="J98" s="4" t="n"/>
      <c r="K98" s="12" t="n"/>
      <c r="L98" s="12" t="n"/>
      <c r="M98" s="4" t="n"/>
    </row>
    <row r="99">
      <c r="A99" s="4" t="n"/>
      <c r="B99" s="4" t="n"/>
      <c r="C99" s="4" t="n"/>
      <c r="D99" s="4" t="n"/>
      <c r="E99" s="4" t="n"/>
      <c r="F99" s="4" t="n"/>
      <c r="G99" s="4">
        <f>IF(F99="","",IF(F99&gt;=4,"High",IF(F99=3,"Medium","Low")))</f>
        <v/>
      </c>
      <c r="H99" s="4" t="n"/>
      <c r="I99" s="12" t="n"/>
      <c r="J99" s="4" t="n"/>
      <c r="K99" s="12" t="n"/>
      <c r="L99" s="12" t="n"/>
      <c r="M99" s="4" t="n"/>
    </row>
    <row r="100">
      <c r="A100" s="4" t="n"/>
      <c r="B100" s="4" t="n"/>
      <c r="C100" s="4" t="n"/>
      <c r="D100" s="4" t="n"/>
      <c r="E100" s="4" t="n"/>
      <c r="F100" s="4" t="n"/>
      <c r="G100" s="4">
        <f>IF(F100="","",IF(F100&gt;=4,"High",IF(F100=3,"Medium","Low")))</f>
        <v/>
      </c>
      <c r="H100" s="4" t="n"/>
      <c r="I100" s="12" t="n"/>
      <c r="J100" s="4" t="n"/>
      <c r="K100" s="12" t="n"/>
      <c r="L100" s="12" t="n"/>
      <c r="M100" s="4" t="n"/>
    </row>
    <row r="101">
      <c r="A101" s="4" t="n"/>
      <c r="B101" s="4" t="n"/>
      <c r="C101" s="4" t="n"/>
      <c r="D101" s="4" t="n"/>
      <c r="E101" s="4" t="n"/>
      <c r="F101" s="4" t="n"/>
      <c r="G101" s="4">
        <f>IF(F101="","",IF(F101&gt;=4,"High",IF(F101=3,"Medium","Low")))</f>
        <v/>
      </c>
      <c r="H101" s="4" t="n"/>
      <c r="I101" s="12" t="n"/>
      <c r="J101" s="4" t="n"/>
      <c r="K101" s="12" t="n"/>
      <c r="L101" s="12" t="n"/>
      <c r="M101" s="4" t="n"/>
    </row>
    <row r="102">
      <c r="A102" s="4" t="n"/>
      <c r="B102" s="4" t="n"/>
      <c r="C102" s="4" t="n"/>
      <c r="D102" s="4" t="n"/>
      <c r="E102" s="4" t="n"/>
      <c r="F102" s="4" t="n"/>
      <c r="G102" s="4">
        <f>IF(F102="","",IF(F102&gt;=4,"High",IF(F102=3,"Medium","Low")))</f>
        <v/>
      </c>
      <c r="H102" s="4" t="n"/>
      <c r="I102" s="12" t="n"/>
      <c r="J102" s="4" t="n"/>
      <c r="K102" s="12" t="n"/>
      <c r="L102" s="12" t="n"/>
      <c r="M102" s="4" t="n"/>
    </row>
    <row r="103">
      <c r="A103" s="4" t="n"/>
      <c r="B103" s="4" t="n"/>
      <c r="C103" s="4" t="n"/>
      <c r="D103" s="4" t="n"/>
      <c r="E103" s="4" t="n"/>
      <c r="F103" s="4" t="n"/>
      <c r="G103" s="4">
        <f>IF(F103="","",IF(F103&gt;=4,"High",IF(F103=3,"Medium","Low")))</f>
        <v/>
      </c>
      <c r="H103" s="4" t="n"/>
      <c r="I103" s="12" t="n"/>
      <c r="J103" s="4" t="n"/>
      <c r="K103" s="12" t="n"/>
      <c r="L103" s="12" t="n"/>
      <c r="M103" s="4" t="n"/>
    </row>
    <row r="104">
      <c r="A104" s="4" t="n"/>
      <c r="B104" s="4" t="n"/>
      <c r="C104" s="4" t="n"/>
      <c r="D104" s="4" t="n"/>
      <c r="E104" s="4" t="n"/>
      <c r="F104" s="4" t="n"/>
      <c r="G104" s="4">
        <f>IF(F104="","",IF(F104&gt;=4,"High",IF(F104=3,"Medium","Low")))</f>
        <v/>
      </c>
      <c r="H104" s="4" t="n"/>
      <c r="I104" s="12" t="n"/>
      <c r="J104" s="4" t="n"/>
      <c r="K104" s="12" t="n"/>
      <c r="L104" s="12" t="n"/>
      <c r="M104" s="4" t="n"/>
    </row>
    <row r="105">
      <c r="A105" s="4" t="n"/>
      <c r="B105" s="4" t="n"/>
      <c r="C105" s="4" t="n"/>
      <c r="D105" s="4" t="n"/>
      <c r="E105" s="4" t="n"/>
      <c r="F105" s="4" t="n"/>
      <c r="G105" s="4">
        <f>IF(F105="","",IF(F105&gt;=4,"High",IF(F105=3,"Medium","Low")))</f>
        <v/>
      </c>
      <c r="H105" s="4" t="n"/>
      <c r="I105" s="12" t="n"/>
      <c r="J105" s="4" t="n"/>
      <c r="K105" s="12" t="n"/>
      <c r="L105" s="12" t="n"/>
      <c r="M105" s="4" t="n"/>
    </row>
    <row r="106">
      <c r="A106" s="4" t="n"/>
      <c r="B106" s="4" t="n"/>
      <c r="C106" s="4" t="n"/>
      <c r="D106" s="4" t="n"/>
      <c r="E106" s="4" t="n"/>
      <c r="F106" s="4" t="n"/>
      <c r="G106" s="4">
        <f>IF(F106="","",IF(F106&gt;=4,"High",IF(F106=3,"Medium","Low")))</f>
        <v/>
      </c>
      <c r="H106" s="4" t="n"/>
      <c r="I106" s="12" t="n"/>
      <c r="J106" s="4" t="n"/>
      <c r="K106" s="12" t="n"/>
      <c r="L106" s="12" t="n"/>
      <c r="M106" s="4" t="n"/>
    </row>
    <row r="107">
      <c r="A107" s="4" t="n"/>
      <c r="B107" s="4" t="n"/>
      <c r="C107" s="4" t="n"/>
      <c r="D107" s="4" t="n"/>
      <c r="E107" s="4" t="n"/>
      <c r="F107" s="4" t="n"/>
      <c r="G107" s="4">
        <f>IF(F107="","",IF(F107&gt;=4,"High",IF(F107=3,"Medium","Low")))</f>
        <v/>
      </c>
      <c r="H107" s="4" t="n"/>
      <c r="I107" s="12" t="n"/>
      <c r="J107" s="4" t="n"/>
      <c r="K107" s="12" t="n"/>
      <c r="L107" s="12" t="n"/>
      <c r="M107" s="4" t="n"/>
    </row>
    <row r="108">
      <c r="A108" s="4" t="n"/>
      <c r="B108" s="4" t="n"/>
      <c r="C108" s="4" t="n"/>
      <c r="D108" s="4" t="n"/>
      <c r="E108" s="4" t="n"/>
      <c r="F108" s="4" t="n"/>
      <c r="G108" s="4">
        <f>IF(F108="","",IF(F108&gt;=4,"High",IF(F108=3,"Medium","Low")))</f>
        <v/>
      </c>
      <c r="H108" s="4" t="n"/>
      <c r="I108" s="12" t="n"/>
      <c r="J108" s="4" t="n"/>
      <c r="K108" s="12" t="n"/>
      <c r="L108" s="12" t="n"/>
      <c r="M108" s="4" t="n"/>
    </row>
    <row r="109">
      <c r="A109" s="4" t="n"/>
      <c r="B109" s="4" t="n"/>
      <c r="C109" s="4" t="n"/>
      <c r="D109" s="4" t="n"/>
      <c r="E109" s="4" t="n"/>
      <c r="F109" s="4" t="n"/>
      <c r="G109" s="4">
        <f>IF(F109="","",IF(F109&gt;=4,"High",IF(F109=3,"Medium","Low")))</f>
        <v/>
      </c>
      <c r="H109" s="4" t="n"/>
      <c r="I109" s="12" t="n"/>
      <c r="J109" s="4" t="n"/>
      <c r="K109" s="12" t="n"/>
      <c r="L109" s="12" t="n"/>
      <c r="M109" s="4" t="n"/>
    </row>
    <row r="110">
      <c r="A110" s="4" t="n"/>
      <c r="B110" s="4" t="n"/>
      <c r="C110" s="4" t="n"/>
      <c r="D110" s="4" t="n"/>
      <c r="E110" s="4" t="n"/>
      <c r="F110" s="4" t="n"/>
      <c r="G110" s="4">
        <f>IF(F110="","",IF(F110&gt;=4,"High",IF(F110=3,"Medium","Low")))</f>
        <v/>
      </c>
      <c r="H110" s="4" t="n"/>
      <c r="I110" s="12" t="n"/>
      <c r="J110" s="4" t="n"/>
      <c r="K110" s="12" t="n"/>
      <c r="L110" s="12" t="n"/>
      <c r="M110" s="4" t="n"/>
    </row>
    <row r="111">
      <c r="A111" s="4" t="n"/>
      <c r="B111" s="4" t="n"/>
      <c r="C111" s="4" t="n"/>
      <c r="D111" s="4" t="n"/>
      <c r="E111" s="4" t="n"/>
      <c r="F111" s="4" t="n"/>
      <c r="G111" s="4">
        <f>IF(F111="","",IF(F111&gt;=4,"High",IF(F111=3,"Medium","Low")))</f>
        <v/>
      </c>
      <c r="H111" s="4" t="n"/>
      <c r="I111" s="12" t="n"/>
      <c r="J111" s="4" t="n"/>
      <c r="K111" s="12" t="n"/>
      <c r="L111" s="12" t="n"/>
      <c r="M111" s="4" t="n"/>
    </row>
    <row r="112">
      <c r="A112" s="4" t="n"/>
      <c r="B112" s="4" t="n"/>
      <c r="C112" s="4" t="n"/>
      <c r="D112" s="4" t="n"/>
      <c r="E112" s="4" t="n"/>
      <c r="F112" s="4" t="n"/>
      <c r="G112" s="4">
        <f>IF(F112="","",IF(F112&gt;=4,"High",IF(F112=3,"Medium","Low")))</f>
        <v/>
      </c>
      <c r="H112" s="4" t="n"/>
      <c r="I112" s="12" t="n"/>
      <c r="J112" s="4" t="n"/>
      <c r="K112" s="12" t="n"/>
      <c r="L112" s="12" t="n"/>
      <c r="M112" s="4" t="n"/>
    </row>
    <row r="113">
      <c r="A113" s="4" t="n"/>
      <c r="B113" s="4" t="n"/>
      <c r="C113" s="4" t="n"/>
      <c r="D113" s="4" t="n"/>
      <c r="E113" s="4" t="n"/>
      <c r="F113" s="4" t="n"/>
      <c r="G113" s="4">
        <f>IF(F113="","",IF(F113&gt;=4,"High",IF(F113=3,"Medium","Low")))</f>
        <v/>
      </c>
      <c r="H113" s="4" t="n"/>
      <c r="I113" s="12" t="n"/>
      <c r="J113" s="4" t="n"/>
      <c r="K113" s="12" t="n"/>
      <c r="L113" s="12" t="n"/>
      <c r="M113" s="4" t="n"/>
    </row>
    <row r="114">
      <c r="A114" s="4" t="n"/>
      <c r="B114" s="4" t="n"/>
      <c r="C114" s="4" t="n"/>
      <c r="D114" s="4" t="n"/>
      <c r="E114" s="4" t="n"/>
      <c r="F114" s="4" t="n"/>
      <c r="G114" s="4">
        <f>IF(F114="","",IF(F114&gt;=4,"High",IF(F114=3,"Medium","Low")))</f>
        <v/>
      </c>
      <c r="H114" s="4" t="n"/>
      <c r="I114" s="12" t="n"/>
      <c r="J114" s="4" t="n"/>
      <c r="K114" s="12" t="n"/>
      <c r="L114" s="12" t="n"/>
      <c r="M114" s="4" t="n"/>
    </row>
    <row r="115">
      <c r="A115" s="4" t="n"/>
      <c r="B115" s="4" t="n"/>
      <c r="C115" s="4" t="n"/>
      <c r="D115" s="4" t="n"/>
      <c r="E115" s="4" t="n"/>
      <c r="F115" s="4" t="n"/>
      <c r="G115" s="4">
        <f>IF(F115="","",IF(F115&gt;=4,"High",IF(F115=3,"Medium","Low")))</f>
        <v/>
      </c>
      <c r="H115" s="4" t="n"/>
      <c r="I115" s="12" t="n"/>
      <c r="J115" s="4" t="n"/>
      <c r="K115" s="12" t="n"/>
      <c r="L115" s="12" t="n"/>
      <c r="M115" s="4" t="n"/>
    </row>
    <row r="116">
      <c r="A116" s="4" t="n"/>
      <c r="B116" s="4" t="n"/>
      <c r="C116" s="4" t="n"/>
      <c r="D116" s="4" t="n"/>
      <c r="E116" s="4" t="n"/>
      <c r="F116" s="4" t="n"/>
      <c r="G116" s="4">
        <f>IF(F116="","",IF(F116&gt;=4,"High",IF(F116=3,"Medium","Low")))</f>
        <v/>
      </c>
      <c r="H116" s="4" t="n"/>
      <c r="I116" s="12" t="n"/>
      <c r="J116" s="4" t="n"/>
      <c r="K116" s="12" t="n"/>
      <c r="L116" s="12" t="n"/>
      <c r="M116" s="4" t="n"/>
    </row>
    <row r="117">
      <c r="A117" s="4" t="n"/>
      <c r="B117" s="4" t="n"/>
      <c r="C117" s="4" t="n"/>
      <c r="D117" s="4" t="n"/>
      <c r="E117" s="4" t="n"/>
      <c r="F117" s="4" t="n"/>
      <c r="G117" s="4">
        <f>IF(F117="","",IF(F117&gt;=4,"High",IF(F117=3,"Medium","Low")))</f>
        <v/>
      </c>
      <c r="H117" s="4" t="n"/>
      <c r="I117" s="12" t="n"/>
      <c r="J117" s="4" t="n"/>
      <c r="K117" s="12" t="n"/>
      <c r="L117" s="12" t="n"/>
      <c r="M117" s="4" t="n"/>
    </row>
    <row r="118">
      <c r="A118" s="4" t="n"/>
      <c r="B118" s="4" t="n"/>
      <c r="C118" s="4" t="n"/>
      <c r="D118" s="4" t="n"/>
      <c r="E118" s="4" t="n"/>
      <c r="F118" s="4" t="n"/>
      <c r="G118" s="4">
        <f>IF(F118="","",IF(F118&gt;=4,"High",IF(F118=3,"Medium","Low")))</f>
        <v/>
      </c>
      <c r="H118" s="4" t="n"/>
      <c r="I118" s="12" t="n"/>
      <c r="J118" s="4" t="n"/>
      <c r="K118" s="12" t="n"/>
      <c r="L118" s="12" t="n"/>
      <c r="M118" s="4" t="n"/>
    </row>
    <row r="119">
      <c r="A119" s="4" t="n"/>
      <c r="B119" s="4" t="n"/>
      <c r="C119" s="4" t="n"/>
      <c r="D119" s="4" t="n"/>
      <c r="E119" s="4" t="n"/>
      <c r="F119" s="4" t="n"/>
      <c r="G119" s="4">
        <f>IF(F119="","",IF(F119&gt;=4,"High",IF(F119=3,"Medium","Low")))</f>
        <v/>
      </c>
      <c r="H119" s="4" t="n"/>
      <c r="I119" s="12" t="n"/>
      <c r="J119" s="4" t="n"/>
      <c r="K119" s="12" t="n"/>
      <c r="L119" s="12" t="n"/>
      <c r="M119" s="4" t="n"/>
    </row>
    <row r="120">
      <c r="A120" s="4" t="n"/>
      <c r="B120" s="4" t="n"/>
      <c r="C120" s="4" t="n"/>
      <c r="D120" s="4" t="n"/>
      <c r="E120" s="4" t="n"/>
      <c r="F120" s="4" t="n"/>
      <c r="G120" s="4">
        <f>IF(F120="","",IF(F120&gt;=4,"High",IF(F120=3,"Medium","Low")))</f>
        <v/>
      </c>
      <c r="H120" s="4" t="n"/>
      <c r="I120" s="12" t="n"/>
      <c r="J120" s="4" t="n"/>
      <c r="K120" s="12" t="n"/>
      <c r="L120" s="12" t="n"/>
      <c r="M120" s="4" t="n"/>
    </row>
    <row r="121">
      <c r="A121" s="4" t="n"/>
      <c r="B121" s="4" t="n"/>
      <c r="C121" s="4" t="n"/>
      <c r="D121" s="4" t="n"/>
      <c r="E121" s="4" t="n"/>
      <c r="F121" s="4" t="n"/>
      <c r="G121" s="4">
        <f>IF(F121="","",IF(F121&gt;=4,"High",IF(F121=3,"Medium","Low")))</f>
        <v/>
      </c>
      <c r="H121" s="4" t="n"/>
      <c r="I121" s="12" t="n"/>
      <c r="J121" s="4" t="n"/>
      <c r="K121" s="12" t="n"/>
      <c r="L121" s="12" t="n"/>
      <c r="M121" s="4" t="n"/>
    </row>
    <row r="122">
      <c r="A122" s="4" t="n"/>
      <c r="B122" s="4" t="n"/>
      <c r="C122" s="4" t="n"/>
      <c r="D122" s="4" t="n"/>
      <c r="E122" s="4" t="n"/>
      <c r="F122" s="4" t="n"/>
      <c r="G122" s="4">
        <f>IF(F122="","",IF(F122&gt;=4,"High",IF(F122=3,"Medium","Low")))</f>
        <v/>
      </c>
      <c r="H122" s="4" t="n"/>
      <c r="I122" s="12" t="n"/>
      <c r="J122" s="4" t="n"/>
      <c r="K122" s="12" t="n"/>
      <c r="L122" s="12" t="n"/>
      <c r="M122" s="4" t="n"/>
    </row>
    <row r="123">
      <c r="A123" s="4" t="n"/>
      <c r="B123" s="4" t="n"/>
      <c r="C123" s="4" t="n"/>
      <c r="D123" s="4" t="n"/>
      <c r="E123" s="4" t="n"/>
      <c r="F123" s="4" t="n"/>
      <c r="G123" s="4">
        <f>IF(F123="","",IF(F123&gt;=4,"High",IF(F123=3,"Medium","Low")))</f>
        <v/>
      </c>
      <c r="H123" s="4" t="n"/>
      <c r="I123" s="12" t="n"/>
      <c r="J123" s="4" t="n"/>
      <c r="K123" s="12" t="n"/>
      <c r="L123" s="12" t="n"/>
      <c r="M123" s="4" t="n"/>
    </row>
    <row r="124">
      <c r="A124" s="4" t="n"/>
      <c r="B124" s="4" t="n"/>
      <c r="C124" s="4" t="n"/>
      <c r="D124" s="4" t="n"/>
      <c r="E124" s="4" t="n"/>
      <c r="F124" s="4" t="n"/>
      <c r="G124" s="4">
        <f>IF(F124="","",IF(F124&gt;=4,"High",IF(F124=3,"Medium","Low")))</f>
        <v/>
      </c>
      <c r="H124" s="4" t="n"/>
      <c r="I124" s="12" t="n"/>
      <c r="J124" s="4" t="n"/>
      <c r="K124" s="12" t="n"/>
      <c r="L124" s="12" t="n"/>
      <c r="M124" s="4" t="n"/>
    </row>
    <row r="125">
      <c r="A125" s="4" t="n"/>
      <c r="B125" s="4" t="n"/>
      <c r="C125" s="4" t="n"/>
      <c r="D125" s="4" t="n"/>
      <c r="E125" s="4" t="n"/>
      <c r="F125" s="4" t="n"/>
      <c r="G125" s="4">
        <f>IF(F125="","",IF(F125&gt;=4,"High",IF(F125=3,"Medium","Low")))</f>
        <v/>
      </c>
      <c r="H125" s="4" t="n"/>
      <c r="I125" s="12" t="n"/>
      <c r="J125" s="4" t="n"/>
      <c r="K125" s="12" t="n"/>
      <c r="L125" s="12" t="n"/>
      <c r="M125" s="4" t="n"/>
    </row>
    <row r="126">
      <c r="A126" s="4" t="n"/>
      <c r="B126" s="4" t="n"/>
      <c r="C126" s="4" t="n"/>
      <c r="D126" s="4" t="n"/>
      <c r="E126" s="4" t="n"/>
      <c r="F126" s="4" t="n"/>
      <c r="G126" s="4">
        <f>IF(F126="","",IF(F126&gt;=4,"High",IF(F126=3,"Medium","Low")))</f>
        <v/>
      </c>
      <c r="H126" s="4" t="n"/>
      <c r="I126" s="12" t="n"/>
      <c r="J126" s="4" t="n"/>
      <c r="K126" s="12" t="n"/>
      <c r="L126" s="12" t="n"/>
      <c r="M126" s="4" t="n"/>
    </row>
    <row r="127">
      <c r="A127" s="4" t="n"/>
      <c r="B127" s="4" t="n"/>
      <c r="C127" s="4" t="n"/>
      <c r="D127" s="4" t="n"/>
      <c r="E127" s="4" t="n"/>
      <c r="F127" s="4" t="n"/>
      <c r="G127" s="4">
        <f>IF(F127="","",IF(F127&gt;=4,"High",IF(F127=3,"Medium","Low")))</f>
        <v/>
      </c>
      <c r="H127" s="4" t="n"/>
      <c r="I127" s="12" t="n"/>
      <c r="J127" s="4" t="n"/>
      <c r="K127" s="12" t="n"/>
      <c r="L127" s="12" t="n"/>
      <c r="M127" s="4" t="n"/>
    </row>
    <row r="128">
      <c r="A128" s="4" t="n"/>
      <c r="B128" s="4" t="n"/>
      <c r="C128" s="4" t="n"/>
      <c r="D128" s="4" t="n"/>
      <c r="E128" s="4" t="n"/>
      <c r="F128" s="4" t="n"/>
      <c r="G128" s="4">
        <f>IF(F128="","",IF(F128&gt;=4,"High",IF(F128=3,"Medium","Low")))</f>
        <v/>
      </c>
      <c r="H128" s="4" t="n"/>
      <c r="I128" s="12" t="n"/>
      <c r="J128" s="4" t="n"/>
      <c r="K128" s="12" t="n"/>
      <c r="L128" s="12" t="n"/>
      <c r="M128" s="4" t="n"/>
    </row>
    <row r="129">
      <c r="A129" s="4" t="n"/>
      <c r="B129" s="4" t="n"/>
      <c r="C129" s="4" t="n"/>
      <c r="D129" s="4" t="n"/>
      <c r="E129" s="4" t="n"/>
      <c r="F129" s="4" t="n"/>
      <c r="G129" s="4">
        <f>IF(F129="","",IF(F129&gt;=4,"High",IF(F129=3,"Medium","Low")))</f>
        <v/>
      </c>
      <c r="H129" s="4" t="n"/>
      <c r="I129" s="12" t="n"/>
      <c r="J129" s="4" t="n"/>
      <c r="K129" s="12" t="n"/>
      <c r="L129" s="12" t="n"/>
      <c r="M129" s="4" t="n"/>
    </row>
    <row r="130">
      <c r="A130" s="4" t="n"/>
      <c r="B130" s="4" t="n"/>
      <c r="C130" s="4" t="n"/>
      <c r="D130" s="4" t="n"/>
      <c r="E130" s="4" t="n"/>
      <c r="F130" s="4" t="n"/>
      <c r="G130" s="4">
        <f>IF(F130="","",IF(F130&gt;=4,"High",IF(F130=3,"Medium","Low")))</f>
        <v/>
      </c>
      <c r="H130" s="4" t="n"/>
      <c r="I130" s="12" t="n"/>
      <c r="J130" s="4" t="n"/>
      <c r="K130" s="12" t="n"/>
      <c r="L130" s="12" t="n"/>
      <c r="M130" s="4" t="n"/>
    </row>
    <row r="131">
      <c r="A131" s="4" t="n"/>
      <c r="B131" s="4" t="n"/>
      <c r="C131" s="4" t="n"/>
      <c r="D131" s="4" t="n"/>
      <c r="E131" s="4" t="n"/>
      <c r="F131" s="4" t="n"/>
      <c r="G131" s="4">
        <f>IF(F131="","",IF(F131&gt;=4,"High",IF(F131=3,"Medium","Low")))</f>
        <v/>
      </c>
      <c r="H131" s="4" t="n"/>
      <c r="I131" s="12" t="n"/>
      <c r="J131" s="4" t="n"/>
      <c r="K131" s="12" t="n"/>
      <c r="L131" s="12" t="n"/>
      <c r="M131" s="4" t="n"/>
    </row>
    <row r="132">
      <c r="A132" s="4" t="n"/>
      <c r="B132" s="4" t="n"/>
      <c r="C132" s="4" t="n"/>
      <c r="D132" s="4" t="n"/>
      <c r="E132" s="4" t="n"/>
      <c r="F132" s="4" t="n"/>
      <c r="G132" s="4">
        <f>IF(F132="","",IF(F132&gt;=4,"High",IF(F132=3,"Medium","Low")))</f>
        <v/>
      </c>
      <c r="H132" s="4" t="n"/>
      <c r="I132" s="12" t="n"/>
      <c r="J132" s="4" t="n"/>
      <c r="K132" s="12" t="n"/>
      <c r="L132" s="12" t="n"/>
      <c r="M132" s="4" t="n"/>
    </row>
    <row r="133">
      <c r="A133" s="4" t="n"/>
      <c r="B133" s="4" t="n"/>
      <c r="C133" s="4" t="n"/>
      <c r="D133" s="4" t="n"/>
      <c r="E133" s="4" t="n"/>
      <c r="F133" s="4" t="n"/>
      <c r="G133" s="4">
        <f>IF(F133="","",IF(F133&gt;=4,"High",IF(F133=3,"Medium","Low")))</f>
        <v/>
      </c>
      <c r="H133" s="4" t="n"/>
      <c r="I133" s="12" t="n"/>
      <c r="J133" s="4" t="n"/>
      <c r="K133" s="12" t="n"/>
      <c r="L133" s="12" t="n"/>
      <c r="M133" s="4" t="n"/>
    </row>
    <row r="134">
      <c r="A134" s="4" t="n"/>
      <c r="B134" s="4" t="n"/>
      <c r="C134" s="4" t="n"/>
      <c r="D134" s="4" t="n"/>
      <c r="E134" s="4" t="n"/>
      <c r="F134" s="4" t="n"/>
      <c r="G134" s="4">
        <f>IF(F134="","",IF(F134&gt;=4,"High",IF(F134=3,"Medium","Low")))</f>
        <v/>
      </c>
      <c r="H134" s="4" t="n"/>
      <c r="I134" s="12" t="n"/>
      <c r="J134" s="4" t="n"/>
      <c r="K134" s="12" t="n"/>
      <c r="L134" s="12" t="n"/>
      <c r="M134" s="4" t="n"/>
    </row>
    <row r="135">
      <c r="A135" s="4" t="n"/>
      <c r="B135" s="4" t="n"/>
      <c r="C135" s="4" t="n"/>
      <c r="D135" s="4" t="n"/>
      <c r="E135" s="4" t="n"/>
      <c r="F135" s="4" t="n"/>
      <c r="G135" s="4">
        <f>IF(F135="","",IF(F135&gt;=4,"High",IF(F135=3,"Medium","Low")))</f>
        <v/>
      </c>
      <c r="H135" s="4" t="n"/>
      <c r="I135" s="12" t="n"/>
      <c r="J135" s="4" t="n"/>
      <c r="K135" s="12" t="n"/>
      <c r="L135" s="12" t="n"/>
      <c r="M135" s="4" t="n"/>
    </row>
    <row r="136">
      <c r="A136" s="4" t="n"/>
      <c r="B136" s="4" t="n"/>
      <c r="C136" s="4" t="n"/>
      <c r="D136" s="4" t="n"/>
      <c r="E136" s="4" t="n"/>
      <c r="F136" s="4" t="n"/>
      <c r="G136" s="4">
        <f>IF(F136="","",IF(F136&gt;=4,"High",IF(F136=3,"Medium","Low")))</f>
        <v/>
      </c>
      <c r="H136" s="4" t="n"/>
      <c r="I136" s="12" t="n"/>
      <c r="J136" s="4" t="n"/>
      <c r="K136" s="12" t="n"/>
      <c r="L136" s="12" t="n"/>
      <c r="M136" s="4" t="n"/>
    </row>
    <row r="137">
      <c r="A137" s="4" t="n"/>
      <c r="B137" s="4" t="n"/>
      <c r="C137" s="4" t="n"/>
      <c r="D137" s="4" t="n"/>
      <c r="E137" s="4" t="n"/>
      <c r="F137" s="4" t="n"/>
      <c r="G137" s="4">
        <f>IF(F137="","",IF(F137&gt;=4,"High",IF(F137=3,"Medium","Low")))</f>
        <v/>
      </c>
      <c r="H137" s="4" t="n"/>
      <c r="I137" s="12" t="n"/>
      <c r="J137" s="4" t="n"/>
      <c r="K137" s="12" t="n"/>
      <c r="L137" s="12" t="n"/>
      <c r="M137" s="4" t="n"/>
    </row>
    <row r="138">
      <c r="A138" s="4" t="n"/>
      <c r="B138" s="4" t="n"/>
      <c r="C138" s="4" t="n"/>
      <c r="D138" s="4" t="n"/>
      <c r="E138" s="4" t="n"/>
      <c r="F138" s="4" t="n"/>
      <c r="G138" s="4">
        <f>IF(F138="","",IF(F138&gt;=4,"High",IF(F138=3,"Medium","Low")))</f>
        <v/>
      </c>
      <c r="H138" s="4" t="n"/>
      <c r="I138" s="12" t="n"/>
      <c r="J138" s="4" t="n"/>
      <c r="K138" s="12" t="n"/>
      <c r="L138" s="12" t="n"/>
      <c r="M138" s="4" t="n"/>
    </row>
    <row r="139">
      <c r="A139" s="4" t="n"/>
      <c r="B139" s="4" t="n"/>
      <c r="C139" s="4" t="n"/>
      <c r="D139" s="4" t="n"/>
      <c r="E139" s="4" t="n"/>
      <c r="F139" s="4" t="n"/>
      <c r="G139" s="4">
        <f>IF(F139="","",IF(F139&gt;=4,"High",IF(F139=3,"Medium","Low")))</f>
        <v/>
      </c>
      <c r="H139" s="4" t="n"/>
      <c r="I139" s="12" t="n"/>
      <c r="J139" s="4" t="n"/>
      <c r="K139" s="12" t="n"/>
      <c r="L139" s="12" t="n"/>
      <c r="M139" s="4" t="n"/>
    </row>
    <row r="140">
      <c r="A140" s="4" t="n"/>
      <c r="B140" s="4" t="n"/>
      <c r="C140" s="4" t="n"/>
      <c r="D140" s="4" t="n"/>
      <c r="E140" s="4" t="n"/>
      <c r="F140" s="4" t="n"/>
      <c r="G140" s="4">
        <f>IF(F140="","",IF(F140&gt;=4,"High",IF(F140=3,"Medium","Low")))</f>
        <v/>
      </c>
      <c r="H140" s="4" t="n"/>
      <c r="I140" s="12" t="n"/>
      <c r="J140" s="4" t="n"/>
      <c r="K140" s="12" t="n"/>
      <c r="L140" s="12" t="n"/>
      <c r="M140" s="4" t="n"/>
    </row>
    <row r="141">
      <c r="A141" s="4" t="n"/>
      <c r="B141" s="4" t="n"/>
      <c r="C141" s="4" t="n"/>
      <c r="D141" s="4" t="n"/>
      <c r="E141" s="4" t="n"/>
      <c r="F141" s="4" t="n"/>
      <c r="G141" s="4">
        <f>IF(F141="","",IF(F141&gt;=4,"High",IF(F141=3,"Medium","Low")))</f>
        <v/>
      </c>
      <c r="H141" s="4" t="n"/>
      <c r="I141" s="12" t="n"/>
      <c r="J141" s="4" t="n"/>
      <c r="K141" s="12" t="n"/>
      <c r="L141" s="12" t="n"/>
      <c r="M141" s="4" t="n"/>
    </row>
    <row r="142">
      <c r="A142" s="4" t="n"/>
      <c r="B142" s="4" t="n"/>
      <c r="C142" s="4" t="n"/>
      <c r="D142" s="4" t="n"/>
      <c r="E142" s="4" t="n"/>
      <c r="F142" s="4" t="n"/>
      <c r="G142" s="4">
        <f>IF(F142="","",IF(F142&gt;=4,"High",IF(F142=3,"Medium","Low")))</f>
        <v/>
      </c>
      <c r="H142" s="4" t="n"/>
      <c r="I142" s="12" t="n"/>
      <c r="J142" s="4" t="n"/>
      <c r="K142" s="12" t="n"/>
      <c r="L142" s="12" t="n"/>
      <c r="M142" s="4" t="n"/>
    </row>
    <row r="143">
      <c r="A143" s="4" t="n"/>
      <c r="B143" s="4" t="n"/>
      <c r="C143" s="4" t="n"/>
      <c r="D143" s="4" t="n"/>
      <c r="E143" s="4" t="n"/>
      <c r="F143" s="4" t="n"/>
      <c r="G143" s="4">
        <f>IF(F143="","",IF(F143&gt;=4,"High",IF(F143=3,"Medium","Low")))</f>
        <v/>
      </c>
      <c r="H143" s="4" t="n"/>
      <c r="I143" s="12" t="n"/>
      <c r="J143" s="4" t="n"/>
      <c r="K143" s="12" t="n"/>
      <c r="L143" s="12" t="n"/>
      <c r="M143" s="4" t="n"/>
    </row>
    <row r="144">
      <c r="A144" s="4" t="n"/>
      <c r="B144" s="4" t="n"/>
      <c r="C144" s="4" t="n"/>
      <c r="D144" s="4" t="n"/>
      <c r="E144" s="4" t="n"/>
      <c r="F144" s="4" t="n"/>
      <c r="G144" s="4">
        <f>IF(F144="","",IF(F144&gt;=4,"High",IF(F144=3,"Medium","Low")))</f>
        <v/>
      </c>
      <c r="H144" s="4" t="n"/>
      <c r="I144" s="12" t="n"/>
      <c r="J144" s="4" t="n"/>
      <c r="K144" s="12" t="n"/>
      <c r="L144" s="12" t="n"/>
      <c r="M144" s="4" t="n"/>
    </row>
    <row r="145">
      <c r="A145" s="4" t="n"/>
      <c r="B145" s="4" t="n"/>
      <c r="C145" s="4" t="n"/>
      <c r="D145" s="4" t="n"/>
      <c r="E145" s="4" t="n"/>
      <c r="F145" s="4" t="n"/>
      <c r="G145" s="4">
        <f>IF(F145="","",IF(F145&gt;=4,"High",IF(F145=3,"Medium","Low")))</f>
        <v/>
      </c>
      <c r="H145" s="4" t="n"/>
      <c r="I145" s="12" t="n"/>
      <c r="J145" s="4" t="n"/>
      <c r="K145" s="12" t="n"/>
      <c r="L145" s="12" t="n"/>
      <c r="M145" s="4" t="n"/>
    </row>
    <row r="146">
      <c r="A146" s="4" t="n"/>
      <c r="B146" s="4" t="n"/>
      <c r="C146" s="4" t="n"/>
      <c r="D146" s="4" t="n"/>
      <c r="E146" s="4" t="n"/>
      <c r="F146" s="4" t="n"/>
      <c r="G146" s="4">
        <f>IF(F146="","",IF(F146&gt;=4,"High",IF(F146=3,"Medium","Low")))</f>
        <v/>
      </c>
      <c r="H146" s="4" t="n"/>
      <c r="I146" s="12" t="n"/>
      <c r="J146" s="4" t="n"/>
      <c r="K146" s="12" t="n"/>
      <c r="L146" s="12" t="n"/>
      <c r="M146" s="4" t="n"/>
    </row>
    <row r="147">
      <c r="A147" s="4" t="n"/>
      <c r="B147" s="4" t="n"/>
      <c r="C147" s="4" t="n"/>
      <c r="D147" s="4" t="n"/>
      <c r="E147" s="4" t="n"/>
      <c r="F147" s="4" t="n"/>
      <c r="G147" s="4">
        <f>IF(F147="","",IF(F147&gt;=4,"High",IF(F147=3,"Medium","Low")))</f>
        <v/>
      </c>
      <c r="H147" s="4" t="n"/>
      <c r="I147" s="12" t="n"/>
      <c r="J147" s="4" t="n"/>
      <c r="K147" s="12" t="n"/>
      <c r="L147" s="12" t="n"/>
      <c r="M147" s="4" t="n"/>
    </row>
    <row r="148">
      <c r="A148" s="4" t="n"/>
      <c r="B148" s="4" t="n"/>
      <c r="C148" s="4" t="n"/>
      <c r="D148" s="4" t="n"/>
      <c r="E148" s="4" t="n"/>
      <c r="F148" s="4" t="n"/>
      <c r="G148" s="4">
        <f>IF(F148="","",IF(F148&gt;=4,"High",IF(F148=3,"Medium","Low")))</f>
        <v/>
      </c>
      <c r="H148" s="4" t="n"/>
      <c r="I148" s="12" t="n"/>
      <c r="J148" s="4" t="n"/>
      <c r="K148" s="12" t="n"/>
      <c r="L148" s="12" t="n"/>
      <c r="M148" s="4" t="n"/>
    </row>
    <row r="149">
      <c r="A149" s="4" t="n"/>
      <c r="B149" s="4" t="n"/>
      <c r="C149" s="4" t="n"/>
      <c r="D149" s="4" t="n"/>
      <c r="E149" s="4" t="n"/>
      <c r="F149" s="4" t="n"/>
      <c r="G149" s="4">
        <f>IF(F149="","",IF(F149&gt;=4,"High",IF(F149=3,"Medium","Low")))</f>
        <v/>
      </c>
      <c r="H149" s="4" t="n"/>
      <c r="I149" s="12" t="n"/>
      <c r="J149" s="4" t="n"/>
      <c r="K149" s="12" t="n"/>
      <c r="L149" s="12" t="n"/>
      <c r="M149" s="4" t="n"/>
    </row>
    <row r="150">
      <c r="A150" s="4" t="n"/>
      <c r="B150" s="4" t="n"/>
      <c r="C150" s="4" t="n"/>
      <c r="D150" s="4" t="n"/>
      <c r="E150" s="4" t="n"/>
      <c r="F150" s="4" t="n"/>
      <c r="G150" s="4">
        <f>IF(F150="","",IF(F150&gt;=4,"High",IF(F150=3,"Medium","Low")))</f>
        <v/>
      </c>
      <c r="H150" s="4" t="n"/>
      <c r="I150" s="12" t="n"/>
      <c r="J150" s="4" t="n"/>
      <c r="K150" s="12" t="n"/>
      <c r="L150" s="12" t="n"/>
      <c r="M150" s="4" t="n"/>
    </row>
    <row r="151">
      <c r="A151" s="4" t="n"/>
      <c r="B151" s="4" t="n"/>
      <c r="C151" s="4" t="n"/>
      <c r="D151" s="4" t="n"/>
      <c r="E151" s="4" t="n"/>
      <c r="F151" s="4" t="n"/>
      <c r="G151" s="4">
        <f>IF(F151="","",IF(F151&gt;=4,"High",IF(F151=3,"Medium","Low")))</f>
        <v/>
      </c>
      <c r="H151" s="4" t="n"/>
      <c r="I151" s="12" t="n"/>
      <c r="J151" s="4" t="n"/>
      <c r="K151" s="12" t="n"/>
      <c r="L151" s="12" t="n"/>
      <c r="M151" s="4" t="n"/>
    </row>
    <row r="152">
      <c r="A152" s="4" t="n"/>
      <c r="B152" s="4" t="n"/>
      <c r="C152" s="4" t="n"/>
      <c r="D152" s="4" t="n"/>
      <c r="E152" s="4" t="n"/>
      <c r="F152" s="4" t="n"/>
      <c r="G152" s="4">
        <f>IF(F152="","",IF(F152&gt;=4,"High",IF(F152=3,"Medium","Low")))</f>
        <v/>
      </c>
      <c r="H152" s="4" t="n"/>
      <c r="I152" s="12" t="n"/>
      <c r="J152" s="4" t="n"/>
      <c r="K152" s="12" t="n"/>
      <c r="L152" s="12" t="n"/>
      <c r="M152" s="4" t="n"/>
    </row>
    <row r="153">
      <c r="A153" s="4" t="n"/>
      <c r="B153" s="4" t="n"/>
      <c r="C153" s="4" t="n"/>
      <c r="D153" s="4" t="n"/>
      <c r="E153" s="4" t="n"/>
      <c r="F153" s="4" t="n"/>
      <c r="G153" s="4">
        <f>IF(F153="","",IF(F153&gt;=4,"High",IF(F153=3,"Medium","Low")))</f>
        <v/>
      </c>
      <c r="H153" s="4" t="n"/>
      <c r="I153" s="12" t="n"/>
      <c r="J153" s="4" t="n"/>
      <c r="K153" s="12" t="n"/>
      <c r="L153" s="12" t="n"/>
      <c r="M153" s="4" t="n"/>
    </row>
    <row r="154">
      <c r="A154" s="4" t="n"/>
      <c r="B154" s="4" t="n"/>
      <c r="C154" s="4" t="n"/>
      <c r="D154" s="4" t="n"/>
      <c r="E154" s="4" t="n"/>
      <c r="F154" s="4" t="n"/>
      <c r="G154" s="4">
        <f>IF(F154="","",IF(F154&gt;=4,"High",IF(F154=3,"Medium","Low")))</f>
        <v/>
      </c>
      <c r="H154" s="4" t="n"/>
      <c r="I154" s="12" t="n"/>
      <c r="J154" s="4" t="n"/>
      <c r="K154" s="12" t="n"/>
      <c r="L154" s="12" t="n"/>
      <c r="M154" s="4" t="n"/>
    </row>
    <row r="155">
      <c r="A155" s="4" t="n"/>
      <c r="B155" s="4" t="n"/>
      <c r="C155" s="4" t="n"/>
      <c r="D155" s="4" t="n"/>
      <c r="E155" s="4" t="n"/>
      <c r="F155" s="4" t="n"/>
      <c r="G155" s="4">
        <f>IF(F155="","",IF(F155&gt;=4,"High",IF(F155=3,"Medium","Low")))</f>
        <v/>
      </c>
      <c r="H155" s="4" t="n"/>
      <c r="I155" s="12" t="n"/>
      <c r="J155" s="4" t="n"/>
      <c r="K155" s="12" t="n"/>
      <c r="L155" s="12" t="n"/>
      <c r="M155" s="4" t="n"/>
    </row>
    <row r="156">
      <c r="A156" s="4" t="n"/>
      <c r="B156" s="4" t="n"/>
      <c r="C156" s="4" t="n"/>
      <c r="D156" s="4" t="n"/>
      <c r="E156" s="4" t="n"/>
      <c r="F156" s="4" t="n"/>
      <c r="G156" s="4">
        <f>IF(F156="","",IF(F156&gt;=4,"High",IF(F156=3,"Medium","Low")))</f>
        <v/>
      </c>
      <c r="H156" s="4" t="n"/>
      <c r="I156" s="12" t="n"/>
      <c r="J156" s="4" t="n"/>
      <c r="K156" s="12" t="n"/>
      <c r="L156" s="12" t="n"/>
      <c r="M156" s="4" t="n"/>
    </row>
    <row r="157">
      <c r="A157" s="4" t="n"/>
      <c r="B157" s="4" t="n"/>
      <c r="C157" s="4" t="n"/>
      <c r="D157" s="4" t="n"/>
      <c r="E157" s="4" t="n"/>
      <c r="F157" s="4" t="n"/>
      <c r="G157" s="4">
        <f>IF(F157="","",IF(F157&gt;=4,"High",IF(F157=3,"Medium","Low")))</f>
        <v/>
      </c>
      <c r="H157" s="4" t="n"/>
      <c r="I157" s="12" t="n"/>
      <c r="J157" s="4" t="n"/>
      <c r="K157" s="12" t="n"/>
      <c r="L157" s="12" t="n"/>
      <c r="M157" s="4" t="n"/>
    </row>
    <row r="158">
      <c r="A158" s="4" t="n"/>
      <c r="B158" s="4" t="n"/>
      <c r="C158" s="4" t="n"/>
      <c r="D158" s="4" t="n"/>
      <c r="E158" s="4" t="n"/>
      <c r="F158" s="4" t="n"/>
      <c r="G158" s="4">
        <f>IF(F158="","",IF(F158&gt;=4,"High",IF(F158=3,"Medium","Low")))</f>
        <v/>
      </c>
      <c r="H158" s="4" t="n"/>
      <c r="I158" s="12" t="n"/>
      <c r="J158" s="4" t="n"/>
      <c r="K158" s="12" t="n"/>
      <c r="L158" s="12" t="n"/>
      <c r="M158" s="4" t="n"/>
    </row>
    <row r="159">
      <c r="A159" s="4" t="n"/>
      <c r="B159" s="4" t="n"/>
      <c r="C159" s="4" t="n"/>
      <c r="D159" s="4" t="n"/>
      <c r="E159" s="4" t="n"/>
      <c r="F159" s="4" t="n"/>
      <c r="G159" s="4">
        <f>IF(F159="","",IF(F159&gt;=4,"High",IF(F159=3,"Medium","Low")))</f>
        <v/>
      </c>
      <c r="H159" s="4" t="n"/>
      <c r="I159" s="12" t="n"/>
      <c r="J159" s="4" t="n"/>
      <c r="K159" s="12" t="n"/>
      <c r="L159" s="12" t="n"/>
      <c r="M159" s="4" t="n"/>
    </row>
    <row r="160">
      <c r="A160" s="4" t="n"/>
      <c r="B160" s="4" t="n"/>
      <c r="C160" s="4" t="n"/>
      <c r="D160" s="4" t="n"/>
      <c r="E160" s="4" t="n"/>
      <c r="F160" s="4" t="n"/>
      <c r="G160" s="4">
        <f>IF(F160="","",IF(F160&gt;=4,"High",IF(F160=3,"Medium","Low")))</f>
        <v/>
      </c>
      <c r="H160" s="4" t="n"/>
      <c r="I160" s="12" t="n"/>
      <c r="J160" s="4" t="n"/>
      <c r="K160" s="12" t="n"/>
      <c r="L160" s="12" t="n"/>
      <c r="M160" s="4" t="n"/>
    </row>
    <row r="161">
      <c r="A161" s="4" t="n"/>
      <c r="B161" s="4" t="n"/>
      <c r="C161" s="4" t="n"/>
      <c r="D161" s="4" t="n"/>
      <c r="E161" s="4" t="n"/>
      <c r="F161" s="4" t="n"/>
      <c r="G161" s="4">
        <f>IF(F161="","",IF(F161&gt;=4,"High",IF(F161=3,"Medium","Low")))</f>
        <v/>
      </c>
      <c r="H161" s="4" t="n"/>
      <c r="I161" s="12" t="n"/>
      <c r="J161" s="4" t="n"/>
      <c r="K161" s="12" t="n"/>
      <c r="L161" s="12" t="n"/>
      <c r="M161" s="4" t="n"/>
    </row>
    <row r="162">
      <c r="A162" s="4" t="n"/>
      <c r="B162" s="4" t="n"/>
      <c r="C162" s="4" t="n"/>
      <c r="D162" s="4" t="n"/>
      <c r="E162" s="4" t="n"/>
      <c r="F162" s="4" t="n"/>
      <c r="G162" s="4">
        <f>IF(F162="","",IF(F162&gt;=4,"High",IF(F162=3,"Medium","Low")))</f>
        <v/>
      </c>
      <c r="H162" s="4" t="n"/>
      <c r="I162" s="12" t="n"/>
      <c r="J162" s="4" t="n"/>
      <c r="K162" s="12" t="n"/>
      <c r="L162" s="12" t="n"/>
      <c r="M162" s="4" t="n"/>
    </row>
    <row r="163">
      <c r="A163" s="4" t="n"/>
      <c r="B163" s="4" t="n"/>
      <c r="C163" s="4" t="n"/>
      <c r="D163" s="4" t="n"/>
      <c r="E163" s="4" t="n"/>
      <c r="F163" s="4" t="n"/>
      <c r="G163" s="4">
        <f>IF(F163="","",IF(F163&gt;=4,"High",IF(F163=3,"Medium","Low")))</f>
        <v/>
      </c>
      <c r="H163" s="4" t="n"/>
      <c r="I163" s="12" t="n"/>
      <c r="J163" s="4" t="n"/>
      <c r="K163" s="12" t="n"/>
      <c r="L163" s="12" t="n"/>
      <c r="M163" s="4" t="n"/>
    </row>
    <row r="164">
      <c r="A164" s="4" t="n"/>
      <c r="B164" s="4" t="n"/>
      <c r="C164" s="4" t="n"/>
      <c r="D164" s="4" t="n"/>
      <c r="E164" s="4" t="n"/>
      <c r="F164" s="4" t="n"/>
      <c r="G164" s="4">
        <f>IF(F164="","",IF(F164&gt;=4,"High",IF(F164=3,"Medium","Low")))</f>
        <v/>
      </c>
      <c r="H164" s="4" t="n"/>
      <c r="I164" s="12" t="n"/>
      <c r="J164" s="4" t="n"/>
      <c r="K164" s="12" t="n"/>
      <c r="L164" s="12" t="n"/>
      <c r="M164" s="4" t="n"/>
    </row>
    <row r="165">
      <c r="A165" s="4" t="n"/>
      <c r="B165" s="4" t="n"/>
      <c r="C165" s="4" t="n"/>
      <c r="D165" s="4" t="n"/>
      <c r="E165" s="4" t="n"/>
      <c r="F165" s="4" t="n"/>
      <c r="G165" s="4">
        <f>IF(F165="","",IF(F165&gt;=4,"High",IF(F165=3,"Medium","Low")))</f>
        <v/>
      </c>
      <c r="H165" s="4" t="n"/>
      <c r="I165" s="12" t="n"/>
      <c r="J165" s="4" t="n"/>
      <c r="K165" s="12" t="n"/>
      <c r="L165" s="12" t="n"/>
      <c r="M165" s="4" t="n"/>
    </row>
    <row r="166">
      <c r="A166" s="4" t="n"/>
      <c r="B166" s="4" t="n"/>
      <c r="C166" s="4" t="n"/>
      <c r="D166" s="4" t="n"/>
      <c r="E166" s="4" t="n"/>
      <c r="F166" s="4" t="n"/>
      <c r="G166" s="4">
        <f>IF(F166="","",IF(F166&gt;=4,"High",IF(F166=3,"Medium","Low")))</f>
        <v/>
      </c>
      <c r="H166" s="4" t="n"/>
      <c r="I166" s="12" t="n"/>
      <c r="J166" s="4" t="n"/>
      <c r="K166" s="12" t="n"/>
      <c r="L166" s="12" t="n"/>
      <c r="M166" s="4" t="n"/>
    </row>
    <row r="167">
      <c r="A167" s="4" t="n"/>
      <c r="B167" s="4" t="n"/>
      <c r="C167" s="4" t="n"/>
      <c r="D167" s="4" t="n"/>
      <c r="E167" s="4" t="n"/>
      <c r="F167" s="4" t="n"/>
      <c r="G167" s="4">
        <f>IF(F167="","",IF(F167&gt;=4,"High",IF(F167=3,"Medium","Low")))</f>
        <v/>
      </c>
      <c r="H167" s="4" t="n"/>
      <c r="I167" s="12" t="n"/>
      <c r="J167" s="4" t="n"/>
      <c r="K167" s="12" t="n"/>
      <c r="L167" s="12" t="n"/>
      <c r="M167" s="4" t="n"/>
    </row>
    <row r="168">
      <c r="A168" s="4" t="n"/>
      <c r="B168" s="4" t="n"/>
      <c r="C168" s="4" t="n"/>
      <c r="D168" s="4" t="n"/>
      <c r="E168" s="4" t="n"/>
      <c r="F168" s="4" t="n"/>
      <c r="G168" s="4">
        <f>IF(F168="","",IF(F168&gt;=4,"High",IF(F168=3,"Medium","Low")))</f>
        <v/>
      </c>
      <c r="H168" s="4" t="n"/>
      <c r="I168" s="12" t="n"/>
      <c r="J168" s="4" t="n"/>
      <c r="K168" s="12" t="n"/>
      <c r="L168" s="12" t="n"/>
      <c r="M168" s="4" t="n"/>
    </row>
    <row r="169">
      <c r="A169" s="4" t="n"/>
      <c r="B169" s="4" t="n"/>
      <c r="C169" s="4" t="n"/>
      <c r="D169" s="4" t="n"/>
      <c r="E169" s="4" t="n"/>
      <c r="F169" s="4" t="n"/>
      <c r="G169" s="4">
        <f>IF(F169="","",IF(F169&gt;=4,"High",IF(F169=3,"Medium","Low")))</f>
        <v/>
      </c>
      <c r="H169" s="4" t="n"/>
      <c r="I169" s="12" t="n"/>
      <c r="J169" s="4" t="n"/>
      <c r="K169" s="12" t="n"/>
      <c r="L169" s="12" t="n"/>
      <c r="M169" s="4" t="n"/>
    </row>
    <row r="170">
      <c r="A170" s="4" t="n"/>
      <c r="B170" s="4" t="n"/>
      <c r="C170" s="4" t="n"/>
      <c r="D170" s="4" t="n"/>
      <c r="E170" s="4" t="n"/>
      <c r="F170" s="4" t="n"/>
      <c r="G170" s="4">
        <f>IF(F170="","",IF(F170&gt;=4,"High",IF(F170=3,"Medium","Low")))</f>
        <v/>
      </c>
      <c r="H170" s="4" t="n"/>
      <c r="I170" s="12" t="n"/>
      <c r="J170" s="4" t="n"/>
      <c r="K170" s="12" t="n"/>
      <c r="L170" s="12" t="n"/>
      <c r="M170" s="4" t="n"/>
    </row>
    <row r="171">
      <c r="A171" s="4" t="n"/>
      <c r="B171" s="4" t="n"/>
      <c r="C171" s="4" t="n"/>
      <c r="D171" s="4" t="n"/>
      <c r="E171" s="4" t="n"/>
      <c r="F171" s="4" t="n"/>
      <c r="G171" s="4">
        <f>IF(F171="","",IF(F171&gt;=4,"High",IF(F171=3,"Medium","Low")))</f>
        <v/>
      </c>
      <c r="H171" s="4" t="n"/>
      <c r="I171" s="12" t="n"/>
      <c r="J171" s="4" t="n"/>
      <c r="K171" s="12" t="n"/>
      <c r="L171" s="12" t="n"/>
      <c r="M171" s="4" t="n"/>
    </row>
    <row r="172">
      <c r="A172" s="4" t="n"/>
      <c r="B172" s="4" t="n"/>
      <c r="C172" s="4" t="n"/>
      <c r="D172" s="4" t="n"/>
      <c r="E172" s="4" t="n"/>
      <c r="F172" s="4" t="n"/>
      <c r="G172" s="4">
        <f>IF(F172="","",IF(F172&gt;=4,"High",IF(F172=3,"Medium","Low")))</f>
        <v/>
      </c>
      <c r="H172" s="4" t="n"/>
      <c r="I172" s="12" t="n"/>
      <c r="J172" s="4" t="n"/>
      <c r="K172" s="12" t="n"/>
      <c r="L172" s="12" t="n"/>
      <c r="M172" s="4" t="n"/>
    </row>
    <row r="173">
      <c r="A173" s="4" t="n"/>
      <c r="B173" s="4" t="n"/>
      <c r="C173" s="4" t="n"/>
      <c r="D173" s="4" t="n"/>
      <c r="E173" s="4" t="n"/>
      <c r="F173" s="4" t="n"/>
      <c r="G173" s="4">
        <f>IF(F173="","",IF(F173&gt;=4,"High",IF(F173=3,"Medium","Low")))</f>
        <v/>
      </c>
      <c r="H173" s="4" t="n"/>
      <c r="I173" s="12" t="n"/>
      <c r="J173" s="4" t="n"/>
      <c r="K173" s="12" t="n"/>
      <c r="L173" s="12" t="n"/>
      <c r="M173" s="4" t="n"/>
    </row>
    <row r="174">
      <c r="A174" s="4" t="n"/>
      <c r="B174" s="4" t="n"/>
      <c r="C174" s="4" t="n"/>
      <c r="D174" s="4" t="n"/>
      <c r="E174" s="4" t="n"/>
      <c r="F174" s="4" t="n"/>
      <c r="G174" s="4">
        <f>IF(F174="","",IF(F174&gt;=4,"High",IF(F174=3,"Medium","Low")))</f>
        <v/>
      </c>
      <c r="H174" s="4" t="n"/>
      <c r="I174" s="12" t="n"/>
      <c r="J174" s="4" t="n"/>
      <c r="K174" s="12" t="n"/>
      <c r="L174" s="12" t="n"/>
      <c r="M174" s="4" t="n"/>
    </row>
    <row r="175">
      <c r="A175" s="4" t="n"/>
      <c r="B175" s="4" t="n"/>
      <c r="C175" s="4" t="n"/>
      <c r="D175" s="4" t="n"/>
      <c r="E175" s="4" t="n"/>
      <c r="F175" s="4" t="n"/>
      <c r="G175" s="4">
        <f>IF(F175="","",IF(F175&gt;=4,"High",IF(F175=3,"Medium","Low")))</f>
        <v/>
      </c>
      <c r="H175" s="4" t="n"/>
      <c r="I175" s="12" t="n"/>
      <c r="J175" s="4" t="n"/>
      <c r="K175" s="12" t="n"/>
      <c r="L175" s="12" t="n"/>
      <c r="M175" s="4" t="n"/>
    </row>
    <row r="176">
      <c r="A176" s="4" t="n"/>
      <c r="B176" s="4" t="n"/>
      <c r="C176" s="4" t="n"/>
      <c r="D176" s="4" t="n"/>
      <c r="E176" s="4" t="n"/>
      <c r="F176" s="4" t="n"/>
      <c r="G176" s="4">
        <f>IF(F176="","",IF(F176&gt;=4,"High",IF(F176=3,"Medium","Low")))</f>
        <v/>
      </c>
      <c r="H176" s="4" t="n"/>
      <c r="I176" s="12" t="n"/>
      <c r="J176" s="4" t="n"/>
      <c r="K176" s="12" t="n"/>
      <c r="L176" s="12" t="n"/>
      <c r="M176" s="4" t="n"/>
    </row>
    <row r="177">
      <c r="A177" s="4" t="n"/>
      <c r="B177" s="4" t="n"/>
      <c r="C177" s="4" t="n"/>
      <c r="D177" s="4" t="n"/>
      <c r="E177" s="4" t="n"/>
      <c r="F177" s="4" t="n"/>
      <c r="G177" s="4">
        <f>IF(F177="","",IF(F177&gt;=4,"High",IF(F177=3,"Medium","Low")))</f>
        <v/>
      </c>
      <c r="H177" s="4" t="n"/>
      <c r="I177" s="12" t="n"/>
      <c r="J177" s="4" t="n"/>
      <c r="K177" s="12" t="n"/>
      <c r="L177" s="12" t="n"/>
      <c r="M177" s="4" t="n"/>
    </row>
    <row r="178">
      <c r="A178" s="4" t="n"/>
      <c r="B178" s="4" t="n"/>
      <c r="C178" s="4" t="n"/>
      <c r="D178" s="4" t="n"/>
      <c r="E178" s="4" t="n"/>
      <c r="F178" s="4" t="n"/>
      <c r="G178" s="4">
        <f>IF(F178="","",IF(F178&gt;=4,"High",IF(F178=3,"Medium","Low")))</f>
        <v/>
      </c>
      <c r="H178" s="4" t="n"/>
      <c r="I178" s="12" t="n"/>
      <c r="J178" s="4" t="n"/>
      <c r="K178" s="12" t="n"/>
      <c r="L178" s="12" t="n"/>
      <c r="M178" s="4" t="n"/>
    </row>
    <row r="179">
      <c r="A179" s="4" t="n"/>
      <c r="B179" s="4" t="n"/>
      <c r="C179" s="4" t="n"/>
      <c r="D179" s="4" t="n"/>
      <c r="E179" s="4" t="n"/>
      <c r="F179" s="4" t="n"/>
      <c r="G179" s="4">
        <f>IF(F179="","",IF(F179&gt;=4,"High",IF(F179=3,"Medium","Low")))</f>
        <v/>
      </c>
      <c r="H179" s="4" t="n"/>
      <c r="I179" s="12" t="n"/>
      <c r="J179" s="4" t="n"/>
      <c r="K179" s="12" t="n"/>
      <c r="L179" s="12" t="n"/>
      <c r="M179" s="4" t="n"/>
    </row>
    <row r="180">
      <c r="A180" s="4" t="n"/>
      <c r="B180" s="4" t="n"/>
      <c r="C180" s="4" t="n"/>
      <c r="D180" s="4" t="n"/>
      <c r="E180" s="4" t="n"/>
      <c r="F180" s="4" t="n"/>
      <c r="G180" s="4">
        <f>IF(F180="","",IF(F180&gt;=4,"High",IF(F180=3,"Medium","Low")))</f>
        <v/>
      </c>
      <c r="H180" s="4" t="n"/>
      <c r="I180" s="12" t="n"/>
      <c r="J180" s="4" t="n"/>
      <c r="K180" s="12" t="n"/>
      <c r="L180" s="12" t="n"/>
      <c r="M180" s="4" t="n"/>
    </row>
    <row r="181">
      <c r="A181" s="4" t="n"/>
      <c r="B181" s="4" t="n"/>
      <c r="C181" s="4" t="n"/>
      <c r="D181" s="4" t="n"/>
      <c r="E181" s="4" t="n"/>
      <c r="F181" s="4" t="n"/>
      <c r="G181" s="4">
        <f>IF(F181="","",IF(F181&gt;=4,"High",IF(F181=3,"Medium","Low")))</f>
        <v/>
      </c>
      <c r="H181" s="4" t="n"/>
      <c r="I181" s="12" t="n"/>
      <c r="J181" s="4" t="n"/>
      <c r="K181" s="12" t="n"/>
      <c r="L181" s="12" t="n"/>
      <c r="M181" s="4" t="n"/>
    </row>
    <row r="182">
      <c r="A182" s="4" t="n"/>
      <c r="B182" s="4" t="n"/>
      <c r="C182" s="4" t="n"/>
      <c r="D182" s="4" t="n"/>
      <c r="E182" s="4" t="n"/>
      <c r="F182" s="4" t="n"/>
      <c r="G182" s="4">
        <f>IF(F182="","",IF(F182&gt;=4,"High",IF(F182=3,"Medium","Low")))</f>
        <v/>
      </c>
      <c r="H182" s="4" t="n"/>
      <c r="I182" s="12" t="n"/>
      <c r="J182" s="4" t="n"/>
      <c r="K182" s="12" t="n"/>
      <c r="L182" s="12" t="n"/>
      <c r="M182" s="4" t="n"/>
    </row>
    <row r="183">
      <c r="A183" s="4" t="n"/>
      <c r="B183" s="4" t="n"/>
      <c r="C183" s="4" t="n"/>
      <c r="D183" s="4" t="n"/>
      <c r="E183" s="4" t="n"/>
      <c r="F183" s="4" t="n"/>
      <c r="G183" s="4">
        <f>IF(F183="","",IF(F183&gt;=4,"High",IF(F183=3,"Medium","Low")))</f>
        <v/>
      </c>
      <c r="H183" s="4" t="n"/>
      <c r="I183" s="12" t="n"/>
      <c r="J183" s="4" t="n"/>
      <c r="K183" s="12" t="n"/>
      <c r="L183" s="12" t="n"/>
      <c r="M183" s="4" t="n"/>
    </row>
    <row r="184">
      <c r="A184" s="4" t="n"/>
      <c r="B184" s="4" t="n"/>
      <c r="C184" s="4" t="n"/>
      <c r="D184" s="4" t="n"/>
      <c r="E184" s="4" t="n"/>
      <c r="F184" s="4" t="n"/>
      <c r="G184" s="4">
        <f>IF(F184="","",IF(F184&gt;=4,"High",IF(F184=3,"Medium","Low")))</f>
        <v/>
      </c>
      <c r="H184" s="4" t="n"/>
      <c r="I184" s="12" t="n"/>
      <c r="J184" s="4" t="n"/>
      <c r="K184" s="12" t="n"/>
      <c r="L184" s="12" t="n"/>
      <c r="M184" s="4" t="n"/>
    </row>
    <row r="185">
      <c r="A185" s="4" t="n"/>
      <c r="B185" s="4" t="n"/>
      <c r="C185" s="4" t="n"/>
      <c r="D185" s="4" t="n"/>
      <c r="E185" s="4" t="n"/>
      <c r="F185" s="4" t="n"/>
      <c r="G185" s="4">
        <f>IF(F185="","",IF(F185&gt;=4,"High",IF(F185=3,"Medium","Low")))</f>
        <v/>
      </c>
      <c r="H185" s="4" t="n"/>
      <c r="I185" s="12" t="n"/>
      <c r="J185" s="4" t="n"/>
      <c r="K185" s="12" t="n"/>
      <c r="L185" s="12" t="n"/>
      <c r="M185" s="4" t="n"/>
    </row>
    <row r="186">
      <c r="A186" s="4" t="n"/>
      <c r="B186" s="4" t="n"/>
      <c r="C186" s="4" t="n"/>
      <c r="D186" s="4" t="n"/>
      <c r="E186" s="4" t="n"/>
      <c r="F186" s="4" t="n"/>
      <c r="G186" s="4">
        <f>IF(F186="","",IF(F186&gt;=4,"High",IF(F186=3,"Medium","Low")))</f>
        <v/>
      </c>
      <c r="H186" s="4" t="n"/>
      <c r="I186" s="12" t="n"/>
      <c r="J186" s="4" t="n"/>
      <c r="K186" s="12" t="n"/>
      <c r="L186" s="12" t="n"/>
      <c r="M186" s="4" t="n"/>
    </row>
    <row r="187">
      <c r="A187" s="4" t="n"/>
      <c r="B187" s="4" t="n"/>
      <c r="C187" s="4" t="n"/>
      <c r="D187" s="4" t="n"/>
      <c r="E187" s="4" t="n"/>
      <c r="F187" s="4" t="n"/>
      <c r="G187" s="4">
        <f>IF(F187="","",IF(F187&gt;=4,"High",IF(F187=3,"Medium","Low")))</f>
        <v/>
      </c>
      <c r="H187" s="4" t="n"/>
      <c r="I187" s="12" t="n"/>
      <c r="J187" s="4" t="n"/>
      <c r="K187" s="12" t="n"/>
      <c r="L187" s="12" t="n"/>
      <c r="M187" s="4" t="n"/>
    </row>
    <row r="188">
      <c r="A188" s="4" t="n"/>
      <c r="B188" s="4" t="n"/>
      <c r="C188" s="4" t="n"/>
      <c r="D188" s="4" t="n"/>
      <c r="E188" s="4" t="n"/>
      <c r="F188" s="4" t="n"/>
      <c r="G188" s="4">
        <f>IF(F188="","",IF(F188&gt;=4,"High",IF(F188=3,"Medium","Low")))</f>
        <v/>
      </c>
      <c r="H188" s="4" t="n"/>
      <c r="I188" s="12" t="n"/>
      <c r="J188" s="4" t="n"/>
      <c r="K188" s="12" t="n"/>
      <c r="L188" s="12" t="n"/>
      <c r="M188" s="4" t="n"/>
    </row>
    <row r="189">
      <c r="A189" s="4" t="n"/>
      <c r="B189" s="4" t="n"/>
      <c r="C189" s="4" t="n"/>
      <c r="D189" s="4" t="n"/>
      <c r="E189" s="4" t="n"/>
      <c r="F189" s="4" t="n"/>
      <c r="G189" s="4">
        <f>IF(F189="","",IF(F189&gt;=4,"High",IF(F189=3,"Medium","Low")))</f>
        <v/>
      </c>
      <c r="H189" s="4" t="n"/>
      <c r="I189" s="12" t="n"/>
      <c r="J189" s="4" t="n"/>
      <c r="K189" s="12" t="n"/>
      <c r="L189" s="12" t="n"/>
      <c r="M189" s="4" t="n"/>
    </row>
    <row r="190">
      <c r="A190" s="4" t="n"/>
      <c r="B190" s="4" t="n"/>
      <c r="C190" s="4" t="n"/>
      <c r="D190" s="4" t="n"/>
      <c r="E190" s="4" t="n"/>
      <c r="F190" s="4" t="n"/>
      <c r="G190" s="4">
        <f>IF(F190="","",IF(F190&gt;=4,"High",IF(F190=3,"Medium","Low")))</f>
        <v/>
      </c>
      <c r="H190" s="4" t="n"/>
      <c r="I190" s="12" t="n"/>
      <c r="J190" s="4" t="n"/>
      <c r="K190" s="12" t="n"/>
      <c r="L190" s="12" t="n"/>
      <c r="M190" s="4" t="n"/>
    </row>
    <row r="191">
      <c r="A191" s="4" t="n"/>
      <c r="B191" s="4" t="n"/>
      <c r="C191" s="4" t="n"/>
      <c r="D191" s="4" t="n"/>
      <c r="E191" s="4" t="n"/>
      <c r="F191" s="4" t="n"/>
      <c r="G191" s="4">
        <f>IF(F191="","",IF(F191&gt;=4,"High",IF(F191=3,"Medium","Low")))</f>
        <v/>
      </c>
      <c r="H191" s="4" t="n"/>
      <c r="I191" s="12" t="n"/>
      <c r="J191" s="4" t="n"/>
      <c r="K191" s="12" t="n"/>
      <c r="L191" s="12" t="n"/>
      <c r="M191" s="4" t="n"/>
    </row>
    <row r="192">
      <c r="A192" s="4" t="n"/>
      <c r="B192" s="4" t="n"/>
      <c r="C192" s="4" t="n"/>
      <c r="D192" s="4" t="n"/>
      <c r="E192" s="4" t="n"/>
      <c r="F192" s="4" t="n"/>
      <c r="G192" s="4">
        <f>IF(F192="","",IF(F192&gt;=4,"High",IF(F192=3,"Medium","Low")))</f>
        <v/>
      </c>
      <c r="H192" s="4" t="n"/>
      <c r="I192" s="12" t="n"/>
      <c r="J192" s="4" t="n"/>
      <c r="K192" s="12" t="n"/>
      <c r="L192" s="12" t="n"/>
      <c r="M192" s="4" t="n"/>
    </row>
    <row r="193">
      <c r="A193" s="4" t="n"/>
      <c r="B193" s="4" t="n"/>
      <c r="C193" s="4" t="n"/>
      <c r="D193" s="4" t="n"/>
      <c r="E193" s="4" t="n"/>
      <c r="F193" s="4" t="n"/>
      <c r="G193" s="4">
        <f>IF(F193="","",IF(F193&gt;=4,"High",IF(F193=3,"Medium","Low")))</f>
        <v/>
      </c>
      <c r="H193" s="4" t="n"/>
      <c r="I193" s="12" t="n"/>
      <c r="J193" s="4" t="n"/>
      <c r="K193" s="12" t="n"/>
      <c r="L193" s="12" t="n"/>
      <c r="M193" s="4" t="n"/>
    </row>
    <row r="194">
      <c r="A194" s="4" t="n"/>
      <c r="B194" s="4" t="n"/>
      <c r="C194" s="4" t="n"/>
      <c r="D194" s="4" t="n"/>
      <c r="E194" s="4" t="n"/>
      <c r="F194" s="4" t="n"/>
      <c r="G194" s="4">
        <f>IF(F194="","",IF(F194&gt;=4,"High",IF(F194=3,"Medium","Low")))</f>
        <v/>
      </c>
      <c r="H194" s="4" t="n"/>
      <c r="I194" s="12" t="n"/>
      <c r="J194" s="4" t="n"/>
      <c r="K194" s="12" t="n"/>
      <c r="L194" s="12" t="n"/>
      <c r="M194" s="4" t="n"/>
    </row>
    <row r="195">
      <c r="A195" s="4" t="n"/>
      <c r="B195" s="4" t="n"/>
      <c r="C195" s="4" t="n"/>
      <c r="D195" s="4" t="n"/>
      <c r="E195" s="4" t="n"/>
      <c r="F195" s="4" t="n"/>
      <c r="G195" s="4">
        <f>IF(F195="","",IF(F195&gt;=4,"High",IF(F195=3,"Medium","Low")))</f>
        <v/>
      </c>
      <c r="H195" s="4" t="n"/>
      <c r="I195" s="12" t="n"/>
      <c r="J195" s="4" t="n"/>
      <c r="K195" s="12" t="n"/>
      <c r="L195" s="12" t="n"/>
      <c r="M195" s="4" t="n"/>
    </row>
    <row r="196">
      <c r="A196" s="4" t="n"/>
      <c r="B196" s="4" t="n"/>
      <c r="C196" s="4" t="n"/>
      <c r="D196" s="4" t="n"/>
      <c r="E196" s="4" t="n"/>
      <c r="F196" s="4" t="n"/>
      <c r="G196" s="4">
        <f>IF(F196="","",IF(F196&gt;=4,"High",IF(F196=3,"Medium","Low")))</f>
        <v/>
      </c>
      <c r="H196" s="4" t="n"/>
      <c r="I196" s="12" t="n"/>
      <c r="J196" s="4" t="n"/>
      <c r="K196" s="12" t="n"/>
      <c r="L196" s="12" t="n"/>
      <c r="M196" s="4" t="n"/>
    </row>
    <row r="197">
      <c r="A197" s="4" t="n"/>
      <c r="B197" s="4" t="n"/>
      <c r="C197" s="4" t="n"/>
      <c r="D197" s="4" t="n"/>
      <c r="E197" s="4" t="n"/>
      <c r="F197" s="4" t="n"/>
      <c r="G197" s="4">
        <f>IF(F197="","",IF(F197&gt;=4,"High",IF(F197=3,"Medium","Low")))</f>
        <v/>
      </c>
      <c r="H197" s="4" t="n"/>
      <c r="I197" s="12" t="n"/>
      <c r="J197" s="4" t="n"/>
      <c r="K197" s="12" t="n"/>
      <c r="L197" s="12" t="n"/>
      <c r="M197" s="4" t="n"/>
    </row>
    <row r="198">
      <c r="A198" s="4" t="n"/>
      <c r="B198" s="4" t="n"/>
      <c r="C198" s="4" t="n"/>
      <c r="D198" s="4" t="n"/>
      <c r="E198" s="4" t="n"/>
      <c r="F198" s="4" t="n"/>
      <c r="G198" s="4">
        <f>IF(F198="","",IF(F198&gt;=4,"High",IF(F198=3,"Medium","Low")))</f>
        <v/>
      </c>
      <c r="H198" s="4" t="n"/>
      <c r="I198" s="12" t="n"/>
      <c r="J198" s="4" t="n"/>
      <c r="K198" s="12" t="n"/>
      <c r="L198" s="12" t="n"/>
      <c r="M198" s="4" t="n"/>
    </row>
    <row r="199">
      <c r="A199" s="4" t="n"/>
      <c r="B199" s="4" t="n"/>
      <c r="C199" s="4" t="n"/>
      <c r="D199" s="4" t="n"/>
      <c r="E199" s="4" t="n"/>
      <c r="F199" s="4" t="n"/>
      <c r="G199" s="4">
        <f>IF(F199="","",IF(F199&gt;=4,"High",IF(F199=3,"Medium","Low")))</f>
        <v/>
      </c>
      <c r="H199" s="4" t="n"/>
      <c r="I199" s="12" t="n"/>
      <c r="J199" s="4" t="n"/>
      <c r="K199" s="12" t="n"/>
      <c r="L199" s="12" t="n"/>
      <c r="M199" s="4" t="n"/>
    </row>
    <row r="200">
      <c r="A200" s="4" t="n"/>
      <c r="B200" s="4" t="n"/>
      <c r="C200" s="4" t="n"/>
      <c r="D200" s="4" t="n"/>
      <c r="E200" s="4" t="n"/>
      <c r="F200" s="4" t="n"/>
      <c r="G200" s="4">
        <f>IF(F200="","",IF(F200&gt;=4,"High",IF(F200=3,"Medium","Low")))</f>
        <v/>
      </c>
      <c r="H200" s="4" t="n"/>
      <c r="I200" s="12" t="n"/>
      <c r="J200" s="4" t="n"/>
      <c r="K200" s="12" t="n"/>
      <c r="L200" s="12" t="n"/>
      <c r="M200" s="4" t="n"/>
    </row>
    <row r="201">
      <c r="A201" s="4" t="n"/>
      <c r="B201" s="4" t="n"/>
      <c r="C201" s="4" t="n"/>
      <c r="D201" s="4" t="n"/>
      <c r="E201" s="4" t="n"/>
      <c r="F201" s="4" t="n"/>
      <c r="G201" s="4">
        <f>IF(F201="","",IF(F201&gt;=4,"High",IF(F201=3,"Medium","Low")))</f>
        <v/>
      </c>
      <c r="H201" s="4" t="n"/>
      <c r="I201" s="12" t="n"/>
      <c r="J201" s="4" t="n"/>
      <c r="K201" s="12" t="n"/>
      <c r="L201" s="12" t="n"/>
      <c r="M201" s="4" t="n"/>
    </row>
  </sheetData>
  <autoFilter ref="A1:M202"/>
  <conditionalFormatting sqref="G2:G201">
    <cfRule type="cellIs" priority="1" operator="equal" dxfId="0">
      <formula>"High"</formula>
    </cfRule>
  </conditionalFormatting>
  <dataValidations count="3">
    <dataValidation sqref="D2:D201" showDropDown="0" showInputMessage="0" showErrorMessage="0" allowBlank="1" type="list">
      <formula1>=Lists!$C$2:$C$10</formula1>
    </dataValidation>
    <dataValidation sqref="J2:J201" showDropDown="0" showInputMessage="0" showErrorMessage="0" allowBlank="1" type="list">
      <formula1>=Lists!$A$2:$A$4</formula1>
    </dataValidation>
    <dataValidation sqref="F2:F201" showDropDown="0" showInputMessage="0" showErrorMessage="0" allowBlank="1" type="whole" operator="between">
      <formula1>1</formula1>
      <formula2>5</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22" customWidth="1" min="3" max="3"/>
    <col width="30" customWidth="1" min="4" max="4"/>
    <col width="14" customWidth="1" min="5" max="5"/>
    <col width="18" customWidth="1" min="6" max="6"/>
    <col width="12" customWidth="1" min="7" max="7"/>
    <col width="30" customWidth="1" min="8" max="8"/>
  </cols>
  <sheetData>
    <row r="1" ht="32" customHeight="1">
      <c r="A1" s="3" t="inlineStr">
        <is>
          <t>ID</t>
        </is>
      </c>
      <c r="B1" s="3" t="inlineStr">
        <is>
          <t>Dependency</t>
        </is>
      </c>
      <c r="C1" s="3" t="inlineStr">
        <is>
          <t>Provided by</t>
        </is>
      </c>
      <c r="D1" s="3" t="inlineStr">
        <is>
          <t>Needed for</t>
        </is>
      </c>
      <c r="E1" s="3" t="inlineStr">
        <is>
          <t>Needed by</t>
        </is>
      </c>
      <c r="F1" s="3" t="inlineStr">
        <is>
          <t>Owner</t>
        </is>
      </c>
      <c r="G1" s="3" t="inlineStr">
        <is>
          <t>State</t>
        </is>
      </c>
      <c r="H1" s="3" t="inlineStr">
        <is>
          <t>Remarks</t>
        </is>
      </c>
    </row>
    <row r="2">
      <c r="A2" s="4" t="inlineStr">
        <is>
          <t>D-001</t>
        </is>
      </c>
      <c r="B2" s="4" t="inlineStr">
        <is>
          <t>Named project manager, key users and Accounting Manager</t>
        </is>
      </c>
      <c r="C2" s="4" t="inlineStr">
        <is>
          <t>Broker</t>
        </is>
      </c>
      <c r="D2" s="4" t="inlineStr">
        <is>
          <t>Mobilisation</t>
        </is>
      </c>
      <c r="E2" s="4" t="inlineStr">
        <is>
          <t>Week 1</t>
        </is>
      </c>
      <c r="F2" s="4" t="inlineStr">
        <is>
          <t>[owner]</t>
        </is>
      </c>
      <c r="G2" s="4" t="inlineStr">
        <is>
          <t>On track</t>
        </is>
      </c>
      <c r="H2" s="4" t="inlineStr"/>
    </row>
    <row r="3">
      <c r="A3" s="4" t="inlineStr">
        <is>
          <t>D-002</t>
        </is>
      </c>
      <c r="B3" s="4" t="inlineStr">
        <is>
          <t>Insurer list and agreements, commission and referrer rates, product list</t>
        </is>
      </c>
      <c r="C3" s="4" t="inlineStr">
        <is>
          <t>Broker</t>
        </is>
      </c>
      <c r="D3" s="4" t="inlineStr">
        <is>
          <t>Configuration</t>
        </is>
      </c>
      <c r="E3" s="4" t="inlineStr">
        <is>
          <t>End of discovery</t>
        </is>
      </c>
      <c r="F3" s="4" t="inlineStr">
        <is>
          <t>[owner]</t>
        </is>
      </c>
      <c r="G3" s="4" t="inlineStr">
        <is>
          <t>On track</t>
        </is>
      </c>
      <c r="H3" s="4" t="inlineStr"/>
    </row>
    <row r="4">
      <c r="A4" s="4" t="inlineStr">
        <is>
          <t>D-003</t>
        </is>
      </c>
      <c r="B4" s="4" t="inlineStr">
        <is>
          <t>Chart of accounts and the accountant's mapping decisions</t>
        </is>
      </c>
      <c r="C4" s="4" t="inlineStr">
        <is>
          <t>Broker</t>
        </is>
      </c>
      <c r="D4" s="4" t="inlineStr">
        <is>
          <t>Ledger configuration</t>
        </is>
      </c>
      <c r="E4" s="4" t="inlineStr">
        <is>
          <t>Start of configuration</t>
        </is>
      </c>
      <c r="F4" s="4" t="inlineStr">
        <is>
          <t>[owner]</t>
        </is>
      </c>
      <c r="G4" s="4" t="inlineStr">
        <is>
          <t>On track</t>
        </is>
      </c>
      <c r="H4" s="4" t="inlineStr"/>
    </row>
    <row r="5">
      <c r="A5" s="4" t="inlineStr">
        <is>
          <t>D-004</t>
        </is>
      </c>
      <c r="B5" s="4" t="inlineStr">
        <is>
          <t>BIR Authority to Print or registered series; last numbers used</t>
        </is>
      </c>
      <c r="C5" s="4" t="inlineStr">
        <is>
          <t>Broker</t>
        </is>
      </c>
      <c r="D5" s="4" t="inlineStr">
        <is>
          <t>Document numbering</t>
        </is>
      </c>
      <c r="E5" s="4" t="inlineStr">
        <is>
          <t>Configuration</t>
        </is>
      </c>
      <c r="F5" s="4" t="inlineStr">
        <is>
          <t>[owner]</t>
        </is>
      </c>
      <c r="G5" s="4" t="inlineStr">
        <is>
          <t>On track</t>
        </is>
      </c>
      <c r="H5" s="4" t="inlineStr"/>
    </row>
    <row r="6">
      <c r="A6" s="4" t="inlineStr">
        <is>
          <t>D-005</t>
        </is>
      </c>
      <c r="B6" s="4" t="inlineStr">
        <is>
          <t>SMTP mailbox and credentials; payment gateway merchant account</t>
        </is>
      </c>
      <c r="C6" s="4" t="inlineStr">
        <is>
          <t>Broker</t>
        </is>
      </c>
      <c r="D6" s="4" t="inlineStr">
        <is>
          <t>Integrations</t>
        </is>
      </c>
      <c r="E6" s="4" t="inlineStr">
        <is>
          <t>Integrations phase</t>
        </is>
      </c>
      <c r="F6" s="4" t="inlineStr">
        <is>
          <t>[owner]</t>
        </is>
      </c>
      <c r="G6" s="4" t="inlineStr">
        <is>
          <t>On track</t>
        </is>
      </c>
      <c r="H6" s="4" t="inlineStr"/>
    </row>
    <row r="7">
      <c r="A7" s="4" t="inlineStr">
        <is>
          <t>D-006</t>
        </is>
      </c>
      <c r="B7" s="4" t="inlineStr">
        <is>
          <t>One recent statement export per bank account</t>
        </is>
      </c>
      <c r="C7" s="4" t="inlineStr">
        <is>
          <t>Broker</t>
        </is>
      </c>
      <c r="D7" s="4" t="inlineStr">
        <is>
          <t>Bank reconciliation formats</t>
        </is>
      </c>
      <c r="E7" s="4" t="inlineStr">
        <is>
          <t>Integrations phase</t>
        </is>
      </c>
      <c r="F7" s="4" t="inlineStr">
        <is>
          <t>[owner]</t>
        </is>
      </c>
      <c r="G7" s="4" t="inlineStr">
        <is>
          <t>On track</t>
        </is>
      </c>
      <c r="H7" s="4" t="inlineStr"/>
    </row>
    <row r="8">
      <c r="A8" s="4" t="inlineStr">
        <is>
          <t>D-007</t>
        </is>
      </c>
      <c r="B8" s="4" t="inlineStr">
        <is>
          <t>In-force policy, open receivable and trial balance extracts in the templates</t>
        </is>
      </c>
      <c r="C8" s="4" t="inlineStr">
        <is>
          <t>Broker</t>
        </is>
      </c>
      <c r="D8" s="4" t="inlineStr">
        <is>
          <t>Mock loads and cutover</t>
        </is>
      </c>
      <c r="E8" s="4" t="inlineStr">
        <is>
          <t>Each mock load</t>
        </is>
      </c>
      <c r="F8" s="4" t="inlineStr">
        <is>
          <t>[owner]</t>
        </is>
      </c>
      <c r="G8" s="4" t="inlineStr">
        <is>
          <t>On track</t>
        </is>
      </c>
      <c r="H8" s="4" t="inlineStr"/>
    </row>
    <row r="9">
      <c r="A9" s="4" t="inlineStr">
        <is>
          <t>D-008</t>
        </is>
      </c>
      <c r="B9" s="4" t="inlineStr">
        <is>
          <t>User list with roles and e-mail addresses</t>
        </is>
      </c>
      <c r="C9" s="4" t="inlineStr">
        <is>
          <t>Broker</t>
        </is>
      </c>
      <c r="D9" s="4" t="inlineStr">
        <is>
          <t>Training and go-live</t>
        </is>
      </c>
      <c r="E9" s="4" t="inlineStr">
        <is>
          <t>Two weeks before training</t>
        </is>
      </c>
      <c r="F9" s="4" t="inlineStr">
        <is>
          <t>[owner]</t>
        </is>
      </c>
      <c r="G9" s="4" t="inlineStr">
        <is>
          <t>On track</t>
        </is>
      </c>
      <c r="H9" s="4" t="inlineStr"/>
    </row>
    <row r="10">
      <c r="A10" s="4" t="inlineStr">
        <is>
          <t>D-009</t>
        </is>
      </c>
      <c r="B10" s="4" t="inlineStr">
        <is>
          <t>UAT testers and sign-off authority</t>
        </is>
      </c>
      <c r="C10" s="4" t="inlineStr">
        <is>
          <t>Broker</t>
        </is>
      </c>
      <c r="D10" s="4" t="inlineStr">
        <is>
          <t>UAT</t>
        </is>
      </c>
      <c r="E10" s="4" t="inlineStr">
        <is>
          <t>UAT phase</t>
        </is>
      </c>
      <c r="F10" s="4" t="inlineStr">
        <is>
          <t>[owner]</t>
        </is>
      </c>
      <c r="G10" s="4" t="inlineStr">
        <is>
          <t>On track</t>
        </is>
      </c>
      <c r="H10" s="4" t="inlineStr"/>
    </row>
    <row r="11">
      <c r="A11" s="4" t="inlineStr">
        <is>
          <t>D-010</t>
        </is>
      </c>
      <c r="B11" s="4" t="inlineStr">
        <is>
          <t>Production environment provisioned and backups tested</t>
        </is>
      </c>
      <c r="C11" s="4" t="inlineStr">
        <is>
          <t>Hosting provider</t>
        </is>
      </c>
      <c r="D11" s="4" t="inlineStr">
        <is>
          <t>Go-live</t>
        </is>
      </c>
      <c r="E11" s="4" t="inlineStr">
        <is>
          <t>Before mock load 2</t>
        </is>
      </c>
      <c r="F11" s="4" t="inlineStr">
        <is>
          <t>[owner]</t>
        </is>
      </c>
      <c r="G11" s="4" t="inlineStr">
        <is>
          <t>On track</t>
        </is>
      </c>
      <c r="H11" s="4" t="inlineStr"/>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c r="A21" s="4" t="n"/>
      <c r="B21" s="4" t="n"/>
      <c r="C21" s="4" t="n"/>
      <c r="D21" s="4" t="n"/>
      <c r="E21" s="4" t="n"/>
      <c r="F21" s="4" t="n"/>
      <c r="G21" s="4" t="n"/>
      <c r="H21" s="4" t="n"/>
    </row>
    <row r="22">
      <c r="A22" s="4" t="n"/>
      <c r="B22" s="4" t="n"/>
      <c r="C22" s="4" t="n"/>
      <c r="D22" s="4" t="n"/>
      <c r="E22" s="4" t="n"/>
      <c r="F22" s="4" t="n"/>
      <c r="G22" s="4" t="n"/>
      <c r="H22" s="4" t="n"/>
    </row>
    <row r="23">
      <c r="A23" s="4" t="n"/>
      <c r="B23" s="4" t="n"/>
      <c r="C23" s="4" t="n"/>
      <c r="D23" s="4" t="n"/>
      <c r="E23" s="4" t="n"/>
      <c r="F23" s="4" t="n"/>
      <c r="G23" s="4" t="n"/>
      <c r="H23" s="4" t="n"/>
    </row>
    <row r="24">
      <c r="A24" s="4" t="n"/>
      <c r="B24" s="4" t="n"/>
      <c r="C24" s="4" t="n"/>
      <c r="D24" s="4" t="n"/>
      <c r="E24" s="4" t="n"/>
      <c r="F24" s="4" t="n"/>
      <c r="G24" s="4" t="n"/>
      <c r="H24" s="4" t="n"/>
    </row>
    <row r="25">
      <c r="A25" s="4" t="n"/>
      <c r="B25" s="4" t="n"/>
      <c r="C25" s="4" t="n"/>
      <c r="D25" s="4" t="n"/>
      <c r="E25" s="4" t="n"/>
      <c r="F25" s="4" t="n"/>
      <c r="G25" s="4" t="n"/>
      <c r="H25" s="4" t="n"/>
    </row>
    <row r="26">
      <c r="A26" s="4" t="n"/>
      <c r="B26" s="4" t="n"/>
      <c r="C26" s="4" t="n"/>
      <c r="D26" s="4" t="n"/>
      <c r="E26" s="4" t="n"/>
      <c r="F26" s="4" t="n"/>
      <c r="G26" s="4" t="n"/>
      <c r="H26" s="4" t="n"/>
    </row>
    <row r="27">
      <c r="A27" s="4" t="n"/>
      <c r="B27" s="4" t="n"/>
      <c r="C27" s="4" t="n"/>
      <c r="D27" s="4" t="n"/>
      <c r="E27" s="4" t="n"/>
      <c r="F27" s="4" t="n"/>
      <c r="G27" s="4" t="n"/>
      <c r="H27" s="4" t="n"/>
    </row>
    <row r="28">
      <c r="A28" s="4" t="n"/>
      <c r="B28" s="4" t="n"/>
      <c r="C28" s="4" t="n"/>
      <c r="D28" s="4" t="n"/>
      <c r="E28" s="4" t="n"/>
      <c r="F28" s="4" t="n"/>
      <c r="G28" s="4" t="n"/>
      <c r="H28" s="4" t="n"/>
    </row>
    <row r="29">
      <c r="A29" s="4" t="n"/>
      <c r="B29" s="4" t="n"/>
      <c r="C29" s="4" t="n"/>
      <c r="D29" s="4" t="n"/>
      <c r="E29" s="4" t="n"/>
      <c r="F29" s="4" t="n"/>
      <c r="G29" s="4" t="n"/>
      <c r="H29" s="4" t="n"/>
    </row>
    <row r="30">
      <c r="A30" s="4" t="n"/>
      <c r="B30" s="4" t="n"/>
      <c r="C30" s="4" t="n"/>
      <c r="D30" s="4" t="n"/>
      <c r="E30" s="4" t="n"/>
      <c r="F30" s="4" t="n"/>
      <c r="G30" s="4" t="n"/>
      <c r="H30" s="4" t="n"/>
    </row>
    <row r="31">
      <c r="A31" s="4" t="n"/>
      <c r="B31" s="4" t="n"/>
      <c r="C31" s="4" t="n"/>
      <c r="D31" s="4" t="n"/>
      <c r="E31" s="4" t="n"/>
      <c r="F31" s="4" t="n"/>
      <c r="G31" s="4" t="n"/>
      <c r="H31" s="4" t="n"/>
    </row>
    <row r="32">
      <c r="A32" s="4" t="n"/>
      <c r="B32" s="4" t="n"/>
      <c r="C32" s="4" t="n"/>
      <c r="D32" s="4" t="n"/>
      <c r="E32" s="4" t="n"/>
      <c r="F32" s="4" t="n"/>
      <c r="G32" s="4" t="n"/>
      <c r="H32" s="4" t="n"/>
    </row>
    <row r="33">
      <c r="A33" s="4" t="n"/>
      <c r="B33" s="4" t="n"/>
      <c r="C33" s="4" t="n"/>
      <c r="D33" s="4" t="n"/>
      <c r="E33" s="4" t="n"/>
      <c r="F33" s="4" t="n"/>
      <c r="G33" s="4" t="n"/>
      <c r="H33" s="4" t="n"/>
    </row>
    <row r="34">
      <c r="A34" s="4" t="n"/>
      <c r="B34" s="4" t="n"/>
      <c r="C34" s="4" t="n"/>
      <c r="D34" s="4" t="n"/>
      <c r="E34" s="4" t="n"/>
      <c r="F34" s="4" t="n"/>
      <c r="G34" s="4" t="n"/>
      <c r="H34" s="4" t="n"/>
    </row>
    <row r="35">
      <c r="A35" s="4" t="n"/>
      <c r="B35" s="4" t="n"/>
      <c r="C35" s="4" t="n"/>
      <c r="D35" s="4" t="n"/>
      <c r="E35" s="4" t="n"/>
      <c r="F35" s="4" t="n"/>
      <c r="G35" s="4" t="n"/>
      <c r="H35" s="4" t="n"/>
    </row>
    <row r="36">
      <c r="A36" s="4" t="n"/>
      <c r="B36" s="4" t="n"/>
      <c r="C36" s="4" t="n"/>
      <c r="D36" s="4" t="n"/>
      <c r="E36" s="4" t="n"/>
      <c r="F36" s="4" t="n"/>
      <c r="G36" s="4" t="n"/>
      <c r="H36" s="4" t="n"/>
    </row>
    <row r="37">
      <c r="A37" s="4" t="n"/>
      <c r="B37" s="4" t="n"/>
      <c r="C37" s="4" t="n"/>
      <c r="D37" s="4" t="n"/>
      <c r="E37" s="4" t="n"/>
      <c r="F37" s="4" t="n"/>
      <c r="G37" s="4" t="n"/>
      <c r="H37" s="4" t="n"/>
    </row>
    <row r="38">
      <c r="A38" s="4" t="n"/>
      <c r="B38" s="4" t="n"/>
      <c r="C38" s="4" t="n"/>
      <c r="D38" s="4" t="n"/>
      <c r="E38" s="4" t="n"/>
      <c r="F38" s="4" t="n"/>
      <c r="G38" s="4" t="n"/>
      <c r="H38" s="4" t="n"/>
    </row>
    <row r="39">
      <c r="A39" s="4" t="n"/>
      <c r="B39" s="4" t="n"/>
      <c r="C39" s="4" t="n"/>
      <c r="D39" s="4" t="n"/>
      <c r="E39" s="4" t="n"/>
      <c r="F39" s="4" t="n"/>
      <c r="G39" s="4" t="n"/>
      <c r="H39" s="4" t="n"/>
    </row>
    <row r="40">
      <c r="A40" s="4" t="n"/>
      <c r="B40" s="4" t="n"/>
      <c r="C40" s="4" t="n"/>
      <c r="D40" s="4" t="n"/>
      <c r="E40" s="4" t="n"/>
      <c r="F40" s="4" t="n"/>
      <c r="G40" s="4" t="n"/>
      <c r="H40" s="4" t="n"/>
    </row>
    <row r="41">
      <c r="A41" s="4" t="n"/>
      <c r="B41" s="4" t="n"/>
      <c r="C41" s="4" t="n"/>
      <c r="D41" s="4" t="n"/>
      <c r="E41" s="4" t="n"/>
      <c r="F41" s="4" t="n"/>
      <c r="G41" s="4" t="n"/>
      <c r="H41" s="4" t="n"/>
    </row>
    <row r="42">
      <c r="A42" s="4" t="n"/>
      <c r="B42" s="4" t="n"/>
      <c r="C42" s="4" t="n"/>
      <c r="D42" s="4" t="n"/>
      <c r="E42" s="4" t="n"/>
      <c r="F42" s="4" t="n"/>
      <c r="G42" s="4" t="n"/>
      <c r="H42" s="4" t="n"/>
    </row>
    <row r="43">
      <c r="A43" s="4" t="n"/>
      <c r="B43" s="4" t="n"/>
      <c r="C43" s="4" t="n"/>
      <c r="D43" s="4" t="n"/>
      <c r="E43" s="4" t="n"/>
      <c r="F43" s="4" t="n"/>
      <c r="G43" s="4" t="n"/>
      <c r="H43" s="4" t="n"/>
    </row>
    <row r="44">
      <c r="A44" s="4" t="n"/>
      <c r="B44" s="4" t="n"/>
      <c r="C44" s="4" t="n"/>
      <c r="D44" s="4" t="n"/>
      <c r="E44" s="4" t="n"/>
      <c r="F44" s="4" t="n"/>
      <c r="G44" s="4" t="n"/>
      <c r="H44" s="4" t="n"/>
    </row>
    <row r="45">
      <c r="A45" s="4" t="n"/>
      <c r="B45" s="4" t="n"/>
      <c r="C45" s="4" t="n"/>
      <c r="D45" s="4" t="n"/>
      <c r="E45" s="4" t="n"/>
      <c r="F45" s="4" t="n"/>
      <c r="G45" s="4" t="n"/>
      <c r="H45" s="4" t="n"/>
    </row>
    <row r="46">
      <c r="A46" s="4" t="n"/>
      <c r="B46" s="4" t="n"/>
      <c r="C46" s="4" t="n"/>
      <c r="D46" s="4" t="n"/>
      <c r="E46" s="4" t="n"/>
      <c r="F46" s="4" t="n"/>
      <c r="G46" s="4" t="n"/>
      <c r="H46" s="4" t="n"/>
    </row>
    <row r="47">
      <c r="A47" s="4" t="n"/>
      <c r="B47" s="4" t="n"/>
      <c r="C47" s="4" t="n"/>
      <c r="D47" s="4" t="n"/>
      <c r="E47" s="4" t="n"/>
      <c r="F47" s="4" t="n"/>
      <c r="G47" s="4" t="n"/>
      <c r="H47" s="4" t="n"/>
    </row>
    <row r="48">
      <c r="A48" s="4" t="n"/>
      <c r="B48" s="4" t="n"/>
      <c r="C48" s="4" t="n"/>
      <c r="D48" s="4" t="n"/>
      <c r="E48" s="4" t="n"/>
      <c r="F48" s="4" t="n"/>
      <c r="G48" s="4" t="n"/>
      <c r="H48" s="4" t="n"/>
    </row>
    <row r="49">
      <c r="A49" s="4" t="n"/>
      <c r="B49" s="4" t="n"/>
      <c r="C49" s="4" t="n"/>
      <c r="D49" s="4" t="n"/>
      <c r="E49" s="4" t="n"/>
      <c r="F49" s="4" t="n"/>
      <c r="G49" s="4" t="n"/>
      <c r="H49" s="4" t="n"/>
    </row>
    <row r="50">
      <c r="A50" s="4" t="n"/>
      <c r="B50" s="4" t="n"/>
      <c r="C50" s="4" t="n"/>
      <c r="D50" s="4" t="n"/>
      <c r="E50" s="4" t="n"/>
      <c r="F50" s="4" t="n"/>
      <c r="G50" s="4" t="n"/>
      <c r="H50" s="4" t="n"/>
    </row>
    <row r="51">
      <c r="A51" s="4" t="n"/>
      <c r="B51" s="4" t="n"/>
      <c r="C51" s="4" t="n"/>
      <c r="D51" s="4" t="n"/>
      <c r="E51" s="4" t="n"/>
      <c r="F51" s="4" t="n"/>
      <c r="G51" s="4" t="n"/>
      <c r="H51" s="4" t="n"/>
    </row>
    <row r="52">
      <c r="A52" s="4" t="n"/>
      <c r="B52" s="4" t="n"/>
      <c r="C52" s="4" t="n"/>
      <c r="D52" s="4" t="n"/>
      <c r="E52" s="4" t="n"/>
      <c r="F52" s="4" t="n"/>
      <c r="G52" s="4" t="n"/>
      <c r="H52" s="4" t="n"/>
    </row>
    <row r="53">
      <c r="A53" s="4" t="n"/>
      <c r="B53" s="4" t="n"/>
      <c r="C53" s="4" t="n"/>
      <c r="D53" s="4" t="n"/>
      <c r="E53" s="4" t="n"/>
      <c r="F53" s="4" t="n"/>
      <c r="G53" s="4" t="n"/>
      <c r="H53" s="4" t="n"/>
    </row>
    <row r="54">
      <c r="A54" s="4" t="n"/>
      <c r="B54" s="4" t="n"/>
      <c r="C54" s="4" t="n"/>
      <c r="D54" s="4" t="n"/>
      <c r="E54" s="4" t="n"/>
      <c r="F54" s="4" t="n"/>
      <c r="G54" s="4" t="n"/>
      <c r="H54" s="4" t="n"/>
    </row>
    <row r="55">
      <c r="A55" s="4" t="n"/>
      <c r="B55" s="4" t="n"/>
      <c r="C55" s="4" t="n"/>
      <c r="D55" s="4" t="n"/>
      <c r="E55" s="4" t="n"/>
      <c r="F55" s="4" t="n"/>
      <c r="G55" s="4" t="n"/>
      <c r="H55" s="4" t="n"/>
    </row>
    <row r="56">
      <c r="A56" s="4" t="n"/>
      <c r="B56" s="4" t="n"/>
      <c r="C56" s="4" t="n"/>
      <c r="D56" s="4" t="n"/>
      <c r="E56" s="4" t="n"/>
      <c r="F56" s="4" t="n"/>
      <c r="G56" s="4" t="n"/>
      <c r="H56" s="4" t="n"/>
    </row>
    <row r="57">
      <c r="A57" s="4" t="n"/>
      <c r="B57" s="4" t="n"/>
      <c r="C57" s="4" t="n"/>
      <c r="D57" s="4" t="n"/>
      <c r="E57" s="4" t="n"/>
      <c r="F57" s="4" t="n"/>
      <c r="G57" s="4" t="n"/>
      <c r="H57" s="4" t="n"/>
    </row>
    <row r="58">
      <c r="A58" s="4" t="n"/>
      <c r="B58" s="4" t="n"/>
      <c r="C58" s="4" t="n"/>
      <c r="D58" s="4" t="n"/>
      <c r="E58" s="4" t="n"/>
      <c r="F58" s="4" t="n"/>
      <c r="G58" s="4" t="n"/>
      <c r="H58" s="4" t="n"/>
    </row>
    <row r="59">
      <c r="A59" s="4" t="n"/>
      <c r="B59" s="4" t="n"/>
      <c r="C59" s="4" t="n"/>
      <c r="D59" s="4" t="n"/>
      <c r="E59" s="4" t="n"/>
      <c r="F59" s="4" t="n"/>
      <c r="G59" s="4" t="n"/>
      <c r="H59" s="4" t="n"/>
    </row>
    <row r="60">
      <c r="A60" s="4" t="n"/>
      <c r="B60" s="4" t="n"/>
      <c r="C60" s="4" t="n"/>
      <c r="D60" s="4" t="n"/>
      <c r="E60" s="4" t="n"/>
      <c r="F60" s="4" t="n"/>
      <c r="G60" s="4" t="n"/>
      <c r="H60" s="4" t="n"/>
    </row>
    <row r="61">
      <c r="A61" s="4" t="n"/>
      <c r="B61" s="4" t="n"/>
      <c r="C61" s="4" t="n"/>
      <c r="D61" s="4" t="n"/>
      <c r="E61" s="4" t="n"/>
      <c r="F61" s="4" t="n"/>
      <c r="G61" s="4" t="n"/>
      <c r="H61" s="4" t="n"/>
    </row>
    <row r="62">
      <c r="A62" s="4" t="n"/>
      <c r="B62" s="4" t="n"/>
      <c r="C62" s="4" t="n"/>
      <c r="D62" s="4" t="n"/>
      <c r="E62" s="4" t="n"/>
      <c r="F62" s="4" t="n"/>
      <c r="G62" s="4" t="n"/>
      <c r="H62" s="4" t="n"/>
    </row>
    <row r="63">
      <c r="A63" s="4" t="n"/>
      <c r="B63" s="4" t="n"/>
      <c r="C63" s="4" t="n"/>
      <c r="D63" s="4" t="n"/>
      <c r="E63" s="4" t="n"/>
      <c r="F63" s="4" t="n"/>
      <c r="G63" s="4" t="n"/>
      <c r="H63" s="4" t="n"/>
    </row>
    <row r="64">
      <c r="A64" s="4" t="n"/>
      <c r="B64" s="4" t="n"/>
      <c r="C64" s="4" t="n"/>
      <c r="D64" s="4" t="n"/>
      <c r="E64" s="4" t="n"/>
      <c r="F64" s="4" t="n"/>
      <c r="G64" s="4" t="n"/>
      <c r="H64" s="4" t="n"/>
    </row>
    <row r="65">
      <c r="A65" s="4" t="n"/>
      <c r="B65" s="4" t="n"/>
      <c r="C65" s="4" t="n"/>
      <c r="D65" s="4" t="n"/>
      <c r="E65" s="4" t="n"/>
      <c r="F65" s="4" t="n"/>
      <c r="G65" s="4" t="n"/>
      <c r="H65" s="4" t="n"/>
    </row>
    <row r="66">
      <c r="A66" s="4" t="n"/>
      <c r="B66" s="4" t="n"/>
      <c r="C66" s="4" t="n"/>
      <c r="D66" s="4" t="n"/>
      <c r="E66" s="4" t="n"/>
      <c r="F66" s="4" t="n"/>
      <c r="G66" s="4" t="n"/>
      <c r="H66" s="4" t="n"/>
    </row>
    <row r="67">
      <c r="A67" s="4" t="n"/>
      <c r="B67" s="4" t="n"/>
      <c r="C67" s="4" t="n"/>
      <c r="D67" s="4" t="n"/>
      <c r="E67" s="4" t="n"/>
      <c r="F67" s="4" t="n"/>
      <c r="G67" s="4" t="n"/>
      <c r="H67" s="4" t="n"/>
    </row>
    <row r="68">
      <c r="A68" s="4" t="n"/>
      <c r="B68" s="4" t="n"/>
      <c r="C68" s="4" t="n"/>
      <c r="D68" s="4" t="n"/>
      <c r="E68" s="4" t="n"/>
      <c r="F68" s="4" t="n"/>
      <c r="G68" s="4" t="n"/>
      <c r="H68" s="4" t="n"/>
    </row>
    <row r="69">
      <c r="A69" s="4" t="n"/>
      <c r="B69" s="4" t="n"/>
      <c r="C69" s="4" t="n"/>
      <c r="D69" s="4" t="n"/>
      <c r="E69" s="4" t="n"/>
      <c r="F69" s="4" t="n"/>
      <c r="G69" s="4" t="n"/>
      <c r="H69" s="4" t="n"/>
    </row>
    <row r="70">
      <c r="A70" s="4" t="n"/>
      <c r="B70" s="4" t="n"/>
      <c r="C70" s="4" t="n"/>
      <c r="D70" s="4" t="n"/>
      <c r="E70" s="4" t="n"/>
      <c r="F70" s="4" t="n"/>
      <c r="G70" s="4" t="n"/>
      <c r="H70" s="4" t="n"/>
    </row>
    <row r="71">
      <c r="A71" s="4" t="n"/>
      <c r="B71" s="4" t="n"/>
      <c r="C71" s="4" t="n"/>
      <c r="D71" s="4" t="n"/>
      <c r="E71" s="4" t="n"/>
      <c r="F71" s="4" t="n"/>
      <c r="G71" s="4" t="n"/>
      <c r="H71" s="4" t="n"/>
    </row>
    <row r="72">
      <c r="A72" s="4" t="n"/>
      <c r="B72" s="4" t="n"/>
      <c r="C72" s="4" t="n"/>
      <c r="D72" s="4" t="n"/>
      <c r="E72" s="4" t="n"/>
      <c r="F72" s="4" t="n"/>
      <c r="G72" s="4" t="n"/>
      <c r="H72" s="4" t="n"/>
    </row>
    <row r="73">
      <c r="A73" s="4" t="n"/>
      <c r="B73" s="4" t="n"/>
      <c r="C73" s="4" t="n"/>
      <c r="D73" s="4" t="n"/>
      <c r="E73" s="4" t="n"/>
      <c r="F73" s="4" t="n"/>
      <c r="G73" s="4" t="n"/>
      <c r="H73" s="4" t="n"/>
    </row>
    <row r="74">
      <c r="A74" s="4" t="n"/>
      <c r="B74" s="4" t="n"/>
      <c r="C74" s="4" t="n"/>
      <c r="D74" s="4" t="n"/>
      <c r="E74" s="4" t="n"/>
      <c r="F74" s="4" t="n"/>
      <c r="G74" s="4" t="n"/>
      <c r="H74" s="4" t="n"/>
    </row>
    <row r="75">
      <c r="A75" s="4" t="n"/>
      <c r="B75" s="4" t="n"/>
      <c r="C75" s="4" t="n"/>
      <c r="D75" s="4" t="n"/>
      <c r="E75" s="4" t="n"/>
      <c r="F75" s="4" t="n"/>
      <c r="G75" s="4" t="n"/>
      <c r="H75" s="4" t="n"/>
    </row>
    <row r="76">
      <c r="A76" s="4" t="n"/>
      <c r="B76" s="4" t="n"/>
      <c r="C76" s="4" t="n"/>
      <c r="D76" s="4" t="n"/>
      <c r="E76" s="4" t="n"/>
      <c r="F76" s="4" t="n"/>
      <c r="G76" s="4" t="n"/>
      <c r="H76" s="4" t="n"/>
    </row>
    <row r="77">
      <c r="A77" s="4" t="n"/>
      <c r="B77" s="4" t="n"/>
      <c r="C77" s="4" t="n"/>
      <c r="D77" s="4" t="n"/>
      <c r="E77" s="4" t="n"/>
      <c r="F77" s="4" t="n"/>
      <c r="G77" s="4" t="n"/>
      <c r="H77" s="4" t="n"/>
    </row>
    <row r="78">
      <c r="A78" s="4" t="n"/>
      <c r="B78" s="4" t="n"/>
      <c r="C78" s="4" t="n"/>
      <c r="D78" s="4" t="n"/>
      <c r="E78" s="4" t="n"/>
      <c r="F78" s="4" t="n"/>
      <c r="G78" s="4" t="n"/>
      <c r="H78" s="4" t="n"/>
    </row>
    <row r="79">
      <c r="A79" s="4" t="n"/>
      <c r="B79" s="4" t="n"/>
      <c r="C79" s="4" t="n"/>
      <c r="D79" s="4" t="n"/>
      <c r="E79" s="4" t="n"/>
      <c r="F79" s="4" t="n"/>
      <c r="G79" s="4" t="n"/>
      <c r="H79" s="4" t="n"/>
    </row>
    <row r="80">
      <c r="A80" s="4" t="n"/>
      <c r="B80" s="4" t="n"/>
      <c r="C80" s="4" t="n"/>
      <c r="D80" s="4" t="n"/>
      <c r="E80" s="4" t="n"/>
      <c r="F80" s="4" t="n"/>
      <c r="G80" s="4" t="n"/>
      <c r="H80" s="4" t="n"/>
    </row>
    <row r="81">
      <c r="A81" s="4" t="n"/>
      <c r="B81" s="4" t="n"/>
      <c r="C81" s="4" t="n"/>
      <c r="D81" s="4" t="n"/>
      <c r="E81" s="4" t="n"/>
      <c r="F81" s="4" t="n"/>
      <c r="G81" s="4" t="n"/>
      <c r="H81" s="4" t="n"/>
    </row>
    <row r="82">
      <c r="A82" s="4" t="n"/>
      <c r="B82" s="4" t="n"/>
      <c r="C82" s="4" t="n"/>
      <c r="D82" s="4" t="n"/>
      <c r="E82" s="4" t="n"/>
      <c r="F82" s="4" t="n"/>
      <c r="G82" s="4" t="n"/>
      <c r="H82" s="4" t="n"/>
    </row>
    <row r="83">
      <c r="A83" s="4" t="n"/>
      <c r="B83" s="4" t="n"/>
      <c r="C83" s="4" t="n"/>
      <c r="D83" s="4" t="n"/>
      <c r="E83" s="4" t="n"/>
      <c r="F83" s="4" t="n"/>
      <c r="G83" s="4" t="n"/>
      <c r="H83" s="4" t="n"/>
    </row>
    <row r="84">
      <c r="A84" s="4" t="n"/>
      <c r="B84" s="4" t="n"/>
      <c r="C84" s="4" t="n"/>
      <c r="D84" s="4" t="n"/>
      <c r="E84" s="4" t="n"/>
      <c r="F84" s="4" t="n"/>
      <c r="G84" s="4" t="n"/>
      <c r="H84" s="4" t="n"/>
    </row>
    <row r="85">
      <c r="A85" s="4" t="n"/>
      <c r="B85" s="4" t="n"/>
      <c r="C85" s="4" t="n"/>
      <c r="D85" s="4" t="n"/>
      <c r="E85" s="4" t="n"/>
      <c r="F85" s="4" t="n"/>
      <c r="G85" s="4" t="n"/>
      <c r="H85" s="4" t="n"/>
    </row>
    <row r="86">
      <c r="A86" s="4" t="n"/>
      <c r="B86" s="4" t="n"/>
      <c r="C86" s="4" t="n"/>
      <c r="D86" s="4" t="n"/>
      <c r="E86" s="4" t="n"/>
      <c r="F86" s="4" t="n"/>
      <c r="G86" s="4" t="n"/>
      <c r="H86" s="4" t="n"/>
    </row>
    <row r="87">
      <c r="A87" s="4" t="n"/>
      <c r="B87" s="4" t="n"/>
      <c r="C87" s="4" t="n"/>
      <c r="D87" s="4" t="n"/>
      <c r="E87" s="4" t="n"/>
      <c r="F87" s="4" t="n"/>
      <c r="G87" s="4" t="n"/>
      <c r="H87" s="4" t="n"/>
    </row>
    <row r="88">
      <c r="A88" s="4" t="n"/>
      <c r="B88" s="4" t="n"/>
      <c r="C88" s="4" t="n"/>
      <c r="D88" s="4" t="n"/>
      <c r="E88" s="4" t="n"/>
      <c r="F88" s="4" t="n"/>
      <c r="G88" s="4" t="n"/>
      <c r="H88" s="4" t="n"/>
    </row>
    <row r="89">
      <c r="A89" s="4" t="n"/>
      <c r="B89" s="4" t="n"/>
      <c r="C89" s="4" t="n"/>
      <c r="D89" s="4" t="n"/>
      <c r="E89" s="4" t="n"/>
      <c r="F89" s="4" t="n"/>
      <c r="G89" s="4" t="n"/>
      <c r="H89" s="4" t="n"/>
    </row>
    <row r="90">
      <c r="A90" s="4" t="n"/>
      <c r="B90" s="4" t="n"/>
      <c r="C90" s="4" t="n"/>
      <c r="D90" s="4" t="n"/>
      <c r="E90" s="4" t="n"/>
      <c r="F90" s="4" t="n"/>
      <c r="G90" s="4" t="n"/>
      <c r="H90" s="4" t="n"/>
    </row>
    <row r="91">
      <c r="A91" s="4" t="n"/>
      <c r="B91" s="4" t="n"/>
      <c r="C91" s="4" t="n"/>
      <c r="D91" s="4" t="n"/>
      <c r="E91" s="4" t="n"/>
      <c r="F91" s="4" t="n"/>
      <c r="G91" s="4" t="n"/>
      <c r="H91" s="4" t="n"/>
    </row>
    <row r="92">
      <c r="A92" s="4" t="n"/>
      <c r="B92" s="4" t="n"/>
      <c r="C92" s="4" t="n"/>
      <c r="D92" s="4" t="n"/>
      <c r="E92" s="4" t="n"/>
      <c r="F92" s="4" t="n"/>
      <c r="G92" s="4" t="n"/>
      <c r="H92" s="4" t="n"/>
    </row>
    <row r="93">
      <c r="A93" s="4" t="n"/>
      <c r="B93" s="4" t="n"/>
      <c r="C93" s="4" t="n"/>
      <c r="D93" s="4" t="n"/>
      <c r="E93" s="4" t="n"/>
      <c r="F93" s="4" t="n"/>
      <c r="G93" s="4" t="n"/>
      <c r="H93" s="4" t="n"/>
    </row>
    <row r="94">
      <c r="A94" s="4" t="n"/>
      <c r="B94" s="4" t="n"/>
      <c r="C94" s="4" t="n"/>
      <c r="D94" s="4" t="n"/>
      <c r="E94" s="4" t="n"/>
      <c r="F94" s="4" t="n"/>
      <c r="G94" s="4" t="n"/>
      <c r="H94" s="4" t="n"/>
    </row>
    <row r="95">
      <c r="A95" s="4" t="n"/>
      <c r="B95" s="4" t="n"/>
      <c r="C95" s="4" t="n"/>
      <c r="D95" s="4" t="n"/>
      <c r="E95" s="4" t="n"/>
      <c r="F95" s="4" t="n"/>
      <c r="G95" s="4" t="n"/>
      <c r="H95" s="4" t="n"/>
    </row>
    <row r="96">
      <c r="A96" s="4" t="n"/>
      <c r="B96" s="4" t="n"/>
      <c r="C96" s="4" t="n"/>
      <c r="D96" s="4" t="n"/>
      <c r="E96" s="4" t="n"/>
      <c r="F96" s="4" t="n"/>
      <c r="G96" s="4" t="n"/>
      <c r="H96" s="4" t="n"/>
    </row>
    <row r="97">
      <c r="A97" s="4" t="n"/>
      <c r="B97" s="4" t="n"/>
      <c r="C97" s="4" t="n"/>
      <c r="D97" s="4" t="n"/>
      <c r="E97" s="4" t="n"/>
      <c r="F97" s="4" t="n"/>
      <c r="G97" s="4" t="n"/>
      <c r="H97" s="4" t="n"/>
    </row>
    <row r="98">
      <c r="A98" s="4" t="n"/>
      <c r="B98" s="4" t="n"/>
      <c r="C98" s="4" t="n"/>
      <c r="D98" s="4" t="n"/>
      <c r="E98" s="4" t="n"/>
      <c r="F98" s="4" t="n"/>
      <c r="G98" s="4" t="n"/>
      <c r="H98" s="4" t="n"/>
    </row>
    <row r="99">
      <c r="A99" s="4" t="n"/>
      <c r="B99" s="4" t="n"/>
      <c r="C99" s="4" t="n"/>
      <c r="D99" s="4" t="n"/>
      <c r="E99" s="4" t="n"/>
      <c r="F99" s="4" t="n"/>
      <c r="G99" s="4" t="n"/>
      <c r="H99" s="4" t="n"/>
    </row>
    <row r="100">
      <c r="A100" s="4" t="n"/>
      <c r="B100" s="4" t="n"/>
      <c r="C100" s="4" t="n"/>
      <c r="D100" s="4" t="n"/>
      <c r="E100" s="4" t="n"/>
      <c r="F100" s="4" t="n"/>
      <c r="G100" s="4" t="n"/>
      <c r="H100" s="4" t="n"/>
    </row>
    <row r="101">
      <c r="A101" s="4" t="n"/>
      <c r="B101" s="4" t="n"/>
      <c r="C101" s="4" t="n"/>
      <c r="D101" s="4" t="n"/>
      <c r="E101" s="4" t="n"/>
      <c r="F101" s="4" t="n"/>
      <c r="G101" s="4" t="n"/>
      <c r="H101" s="4" t="n"/>
    </row>
    <row r="102">
      <c r="A102" s="4" t="n"/>
      <c r="B102" s="4" t="n"/>
      <c r="C102" s="4" t="n"/>
      <c r="D102" s="4" t="n"/>
      <c r="E102" s="4" t="n"/>
      <c r="F102" s="4" t="n"/>
      <c r="G102" s="4" t="n"/>
      <c r="H102" s="4" t="n"/>
    </row>
    <row r="103">
      <c r="A103" s="4" t="n"/>
      <c r="B103" s="4" t="n"/>
      <c r="C103" s="4" t="n"/>
      <c r="D103" s="4" t="n"/>
      <c r="E103" s="4" t="n"/>
      <c r="F103" s="4" t="n"/>
      <c r="G103" s="4" t="n"/>
      <c r="H103" s="4" t="n"/>
    </row>
    <row r="104">
      <c r="A104" s="4" t="n"/>
      <c r="B104" s="4" t="n"/>
      <c r="C104" s="4" t="n"/>
      <c r="D104" s="4" t="n"/>
      <c r="E104" s="4" t="n"/>
      <c r="F104" s="4" t="n"/>
      <c r="G104" s="4" t="n"/>
      <c r="H104" s="4" t="n"/>
    </row>
    <row r="105">
      <c r="A105" s="4" t="n"/>
      <c r="B105" s="4" t="n"/>
      <c r="C105" s="4" t="n"/>
      <c r="D105" s="4" t="n"/>
      <c r="E105" s="4" t="n"/>
      <c r="F105" s="4" t="n"/>
      <c r="G105" s="4" t="n"/>
      <c r="H105" s="4" t="n"/>
    </row>
    <row r="106">
      <c r="A106" s="4" t="n"/>
      <c r="B106" s="4" t="n"/>
      <c r="C106" s="4" t="n"/>
      <c r="D106" s="4" t="n"/>
      <c r="E106" s="4" t="n"/>
      <c r="F106" s="4" t="n"/>
      <c r="G106" s="4" t="n"/>
      <c r="H106" s="4" t="n"/>
    </row>
    <row r="107">
      <c r="A107" s="4" t="n"/>
      <c r="B107" s="4" t="n"/>
      <c r="C107" s="4" t="n"/>
      <c r="D107" s="4" t="n"/>
      <c r="E107" s="4" t="n"/>
      <c r="F107" s="4" t="n"/>
      <c r="G107" s="4" t="n"/>
      <c r="H107" s="4" t="n"/>
    </row>
    <row r="108">
      <c r="A108" s="4" t="n"/>
      <c r="B108" s="4" t="n"/>
      <c r="C108" s="4" t="n"/>
      <c r="D108" s="4" t="n"/>
      <c r="E108" s="4" t="n"/>
      <c r="F108" s="4" t="n"/>
      <c r="G108" s="4" t="n"/>
      <c r="H108" s="4" t="n"/>
    </row>
    <row r="109">
      <c r="A109" s="4" t="n"/>
      <c r="B109" s="4" t="n"/>
      <c r="C109" s="4" t="n"/>
      <c r="D109" s="4" t="n"/>
      <c r="E109" s="4" t="n"/>
      <c r="F109" s="4" t="n"/>
      <c r="G109" s="4" t="n"/>
      <c r="H109" s="4" t="n"/>
    </row>
    <row r="110">
      <c r="A110" s="4" t="n"/>
      <c r="B110" s="4" t="n"/>
      <c r="C110" s="4" t="n"/>
      <c r="D110" s="4" t="n"/>
      <c r="E110" s="4" t="n"/>
      <c r="F110" s="4" t="n"/>
      <c r="G110" s="4" t="n"/>
      <c r="H110" s="4" t="n"/>
    </row>
    <row r="111">
      <c r="A111" s="4" t="n"/>
      <c r="B111" s="4" t="n"/>
      <c r="C111" s="4" t="n"/>
      <c r="D111" s="4" t="n"/>
      <c r="E111" s="4" t="n"/>
      <c r="F111" s="4" t="n"/>
      <c r="G111" s="4" t="n"/>
      <c r="H111" s="4" t="n"/>
    </row>
    <row r="112">
      <c r="A112" s="4" t="n"/>
      <c r="B112" s="4" t="n"/>
      <c r="C112" s="4" t="n"/>
      <c r="D112" s="4" t="n"/>
      <c r="E112" s="4" t="n"/>
      <c r="F112" s="4" t="n"/>
      <c r="G112" s="4" t="n"/>
      <c r="H112" s="4" t="n"/>
    </row>
    <row r="113">
      <c r="A113" s="4" t="n"/>
      <c r="B113" s="4" t="n"/>
      <c r="C113" s="4" t="n"/>
      <c r="D113" s="4" t="n"/>
      <c r="E113" s="4" t="n"/>
      <c r="F113" s="4" t="n"/>
      <c r="G113" s="4" t="n"/>
      <c r="H113" s="4" t="n"/>
    </row>
    <row r="114">
      <c r="A114" s="4" t="n"/>
      <c r="B114" s="4" t="n"/>
      <c r="C114" s="4" t="n"/>
      <c r="D114" s="4" t="n"/>
      <c r="E114" s="4" t="n"/>
      <c r="F114" s="4" t="n"/>
      <c r="G114" s="4" t="n"/>
      <c r="H114" s="4" t="n"/>
    </row>
    <row r="115">
      <c r="A115" s="4" t="n"/>
      <c r="B115" s="4" t="n"/>
      <c r="C115" s="4" t="n"/>
      <c r="D115" s="4" t="n"/>
      <c r="E115" s="4" t="n"/>
      <c r="F115" s="4" t="n"/>
      <c r="G115" s="4" t="n"/>
      <c r="H115" s="4" t="n"/>
    </row>
    <row r="116">
      <c r="A116" s="4" t="n"/>
      <c r="B116" s="4" t="n"/>
      <c r="C116" s="4" t="n"/>
      <c r="D116" s="4" t="n"/>
      <c r="E116" s="4" t="n"/>
      <c r="F116" s="4" t="n"/>
      <c r="G116" s="4" t="n"/>
      <c r="H116" s="4" t="n"/>
    </row>
    <row r="117">
      <c r="A117" s="4" t="n"/>
      <c r="B117" s="4" t="n"/>
      <c r="C117" s="4" t="n"/>
      <c r="D117" s="4" t="n"/>
      <c r="E117" s="4" t="n"/>
      <c r="F117" s="4" t="n"/>
      <c r="G117" s="4" t="n"/>
      <c r="H117" s="4" t="n"/>
    </row>
    <row r="118">
      <c r="A118" s="4" t="n"/>
      <c r="B118" s="4" t="n"/>
      <c r="C118" s="4" t="n"/>
      <c r="D118" s="4" t="n"/>
      <c r="E118" s="4" t="n"/>
      <c r="F118" s="4" t="n"/>
      <c r="G118" s="4" t="n"/>
      <c r="H118" s="4" t="n"/>
    </row>
    <row r="119">
      <c r="A119" s="4" t="n"/>
      <c r="B119" s="4" t="n"/>
      <c r="C119" s="4" t="n"/>
      <c r="D119" s="4" t="n"/>
      <c r="E119" s="4" t="n"/>
      <c r="F119" s="4" t="n"/>
      <c r="G119" s="4" t="n"/>
      <c r="H119" s="4" t="n"/>
    </row>
    <row r="120">
      <c r="A120" s="4" t="n"/>
      <c r="B120" s="4" t="n"/>
      <c r="C120" s="4" t="n"/>
      <c r="D120" s="4" t="n"/>
      <c r="E120" s="4" t="n"/>
      <c r="F120" s="4" t="n"/>
      <c r="G120" s="4" t="n"/>
      <c r="H120" s="4" t="n"/>
    </row>
    <row r="121">
      <c r="A121" s="4" t="n"/>
      <c r="B121" s="4" t="n"/>
      <c r="C121" s="4" t="n"/>
      <c r="D121" s="4" t="n"/>
      <c r="E121" s="4" t="n"/>
      <c r="F121" s="4" t="n"/>
      <c r="G121" s="4" t="n"/>
      <c r="H121" s="4" t="n"/>
    </row>
    <row r="122">
      <c r="A122" s="4" t="n"/>
      <c r="B122" s="4" t="n"/>
      <c r="C122" s="4" t="n"/>
      <c r="D122" s="4" t="n"/>
      <c r="E122" s="4" t="n"/>
      <c r="F122" s="4" t="n"/>
      <c r="G122" s="4" t="n"/>
      <c r="H122" s="4" t="n"/>
    </row>
    <row r="123">
      <c r="A123" s="4" t="n"/>
      <c r="B123" s="4" t="n"/>
      <c r="C123" s="4" t="n"/>
      <c r="D123" s="4" t="n"/>
      <c r="E123" s="4" t="n"/>
      <c r="F123" s="4" t="n"/>
      <c r="G123" s="4" t="n"/>
      <c r="H123" s="4" t="n"/>
    </row>
    <row r="124">
      <c r="A124" s="4" t="n"/>
      <c r="B124" s="4" t="n"/>
      <c r="C124" s="4" t="n"/>
      <c r="D124" s="4" t="n"/>
      <c r="E124" s="4" t="n"/>
      <c r="F124" s="4" t="n"/>
      <c r="G124" s="4" t="n"/>
      <c r="H124" s="4" t="n"/>
    </row>
    <row r="125">
      <c r="A125" s="4" t="n"/>
      <c r="B125" s="4" t="n"/>
      <c r="C125" s="4" t="n"/>
      <c r="D125" s="4" t="n"/>
      <c r="E125" s="4" t="n"/>
      <c r="F125" s="4" t="n"/>
      <c r="G125" s="4" t="n"/>
      <c r="H125" s="4" t="n"/>
    </row>
    <row r="126">
      <c r="A126" s="4" t="n"/>
      <c r="B126" s="4" t="n"/>
      <c r="C126" s="4" t="n"/>
      <c r="D126" s="4" t="n"/>
      <c r="E126" s="4" t="n"/>
      <c r="F126" s="4" t="n"/>
      <c r="G126" s="4" t="n"/>
      <c r="H126" s="4" t="n"/>
    </row>
    <row r="127">
      <c r="A127" s="4" t="n"/>
      <c r="B127" s="4" t="n"/>
      <c r="C127" s="4" t="n"/>
      <c r="D127" s="4" t="n"/>
      <c r="E127" s="4" t="n"/>
      <c r="F127" s="4" t="n"/>
      <c r="G127" s="4" t="n"/>
      <c r="H127" s="4" t="n"/>
    </row>
    <row r="128">
      <c r="A128" s="4" t="n"/>
      <c r="B128" s="4" t="n"/>
      <c r="C128" s="4" t="n"/>
      <c r="D128" s="4" t="n"/>
      <c r="E128" s="4" t="n"/>
      <c r="F128" s="4" t="n"/>
      <c r="G128" s="4" t="n"/>
      <c r="H128" s="4" t="n"/>
    </row>
    <row r="129">
      <c r="A129" s="4" t="n"/>
      <c r="B129" s="4" t="n"/>
      <c r="C129" s="4" t="n"/>
      <c r="D129" s="4" t="n"/>
      <c r="E129" s="4" t="n"/>
      <c r="F129" s="4" t="n"/>
      <c r="G129" s="4" t="n"/>
      <c r="H129" s="4" t="n"/>
    </row>
    <row r="130">
      <c r="A130" s="4" t="n"/>
      <c r="B130" s="4" t="n"/>
      <c r="C130" s="4" t="n"/>
      <c r="D130" s="4" t="n"/>
      <c r="E130" s="4" t="n"/>
      <c r="F130" s="4" t="n"/>
      <c r="G130" s="4" t="n"/>
      <c r="H130" s="4" t="n"/>
    </row>
    <row r="131">
      <c r="A131" s="4" t="n"/>
      <c r="B131" s="4" t="n"/>
      <c r="C131" s="4" t="n"/>
      <c r="D131" s="4" t="n"/>
      <c r="E131" s="4" t="n"/>
      <c r="F131" s="4" t="n"/>
      <c r="G131" s="4" t="n"/>
      <c r="H131" s="4" t="n"/>
    </row>
    <row r="132">
      <c r="A132" s="4" t="n"/>
      <c r="B132" s="4" t="n"/>
      <c r="C132" s="4" t="n"/>
      <c r="D132" s="4" t="n"/>
      <c r="E132" s="4" t="n"/>
      <c r="F132" s="4" t="n"/>
      <c r="G132" s="4" t="n"/>
      <c r="H132" s="4" t="n"/>
    </row>
    <row r="133">
      <c r="A133" s="4" t="n"/>
      <c r="B133" s="4" t="n"/>
      <c r="C133" s="4" t="n"/>
      <c r="D133" s="4" t="n"/>
      <c r="E133" s="4" t="n"/>
      <c r="F133" s="4" t="n"/>
      <c r="G133" s="4" t="n"/>
      <c r="H133" s="4" t="n"/>
    </row>
    <row r="134">
      <c r="A134" s="4" t="n"/>
      <c r="B134" s="4" t="n"/>
      <c r="C134" s="4" t="n"/>
      <c r="D134" s="4" t="n"/>
      <c r="E134" s="4" t="n"/>
      <c r="F134" s="4" t="n"/>
      <c r="G134" s="4" t="n"/>
      <c r="H134" s="4" t="n"/>
    </row>
    <row r="135">
      <c r="A135" s="4" t="n"/>
      <c r="B135" s="4" t="n"/>
      <c r="C135" s="4" t="n"/>
      <c r="D135" s="4" t="n"/>
      <c r="E135" s="4" t="n"/>
      <c r="F135" s="4" t="n"/>
      <c r="G135" s="4" t="n"/>
      <c r="H135" s="4" t="n"/>
    </row>
    <row r="136">
      <c r="A136" s="4" t="n"/>
      <c r="B136" s="4" t="n"/>
      <c r="C136" s="4" t="n"/>
      <c r="D136" s="4" t="n"/>
      <c r="E136" s="4" t="n"/>
      <c r="F136" s="4" t="n"/>
      <c r="G136" s="4" t="n"/>
      <c r="H136" s="4" t="n"/>
    </row>
    <row r="137">
      <c r="A137" s="4" t="n"/>
      <c r="B137" s="4" t="n"/>
      <c r="C137" s="4" t="n"/>
      <c r="D137" s="4" t="n"/>
      <c r="E137" s="4" t="n"/>
      <c r="F137" s="4" t="n"/>
      <c r="G137" s="4" t="n"/>
      <c r="H137" s="4" t="n"/>
    </row>
    <row r="138">
      <c r="A138" s="4" t="n"/>
      <c r="B138" s="4" t="n"/>
      <c r="C138" s="4" t="n"/>
      <c r="D138" s="4" t="n"/>
      <c r="E138" s="4" t="n"/>
      <c r="F138" s="4" t="n"/>
      <c r="G138" s="4" t="n"/>
      <c r="H138" s="4" t="n"/>
    </row>
    <row r="139">
      <c r="A139" s="4" t="n"/>
      <c r="B139" s="4" t="n"/>
      <c r="C139" s="4" t="n"/>
      <c r="D139" s="4" t="n"/>
      <c r="E139" s="4" t="n"/>
      <c r="F139" s="4" t="n"/>
      <c r="G139" s="4" t="n"/>
      <c r="H139" s="4" t="n"/>
    </row>
    <row r="140">
      <c r="A140" s="4" t="n"/>
      <c r="B140" s="4" t="n"/>
      <c r="C140" s="4" t="n"/>
      <c r="D140" s="4" t="n"/>
      <c r="E140" s="4" t="n"/>
      <c r="F140" s="4" t="n"/>
      <c r="G140" s="4" t="n"/>
      <c r="H140" s="4" t="n"/>
    </row>
    <row r="141">
      <c r="A141" s="4" t="n"/>
      <c r="B141" s="4" t="n"/>
      <c r="C141" s="4" t="n"/>
      <c r="D141" s="4" t="n"/>
      <c r="E141" s="4" t="n"/>
      <c r="F141" s="4" t="n"/>
      <c r="G141" s="4" t="n"/>
      <c r="H141" s="4" t="n"/>
    </row>
    <row r="142">
      <c r="A142" s="4" t="n"/>
      <c r="B142" s="4" t="n"/>
      <c r="C142" s="4" t="n"/>
      <c r="D142" s="4" t="n"/>
      <c r="E142" s="4" t="n"/>
      <c r="F142" s="4" t="n"/>
      <c r="G142" s="4" t="n"/>
      <c r="H142" s="4" t="n"/>
    </row>
    <row r="143">
      <c r="A143" s="4" t="n"/>
      <c r="B143" s="4" t="n"/>
      <c r="C143" s="4" t="n"/>
      <c r="D143" s="4" t="n"/>
      <c r="E143" s="4" t="n"/>
      <c r="F143" s="4" t="n"/>
      <c r="G143" s="4" t="n"/>
      <c r="H143" s="4" t="n"/>
    </row>
    <row r="144">
      <c r="A144" s="4" t="n"/>
      <c r="B144" s="4" t="n"/>
      <c r="C144" s="4" t="n"/>
      <c r="D144" s="4" t="n"/>
      <c r="E144" s="4" t="n"/>
      <c r="F144" s="4" t="n"/>
      <c r="G144" s="4" t="n"/>
      <c r="H144" s="4" t="n"/>
    </row>
    <row r="145">
      <c r="A145" s="4" t="n"/>
      <c r="B145" s="4" t="n"/>
      <c r="C145" s="4" t="n"/>
      <c r="D145" s="4" t="n"/>
      <c r="E145" s="4" t="n"/>
      <c r="F145" s="4" t="n"/>
      <c r="G145" s="4" t="n"/>
      <c r="H145" s="4" t="n"/>
    </row>
    <row r="146">
      <c r="A146" s="4" t="n"/>
      <c r="B146" s="4" t="n"/>
      <c r="C146" s="4" t="n"/>
      <c r="D146" s="4" t="n"/>
      <c r="E146" s="4" t="n"/>
      <c r="F146" s="4" t="n"/>
      <c r="G146" s="4" t="n"/>
      <c r="H146" s="4" t="n"/>
    </row>
    <row r="147">
      <c r="A147" s="4" t="n"/>
      <c r="B147" s="4" t="n"/>
      <c r="C147" s="4" t="n"/>
      <c r="D147" s="4" t="n"/>
      <c r="E147" s="4" t="n"/>
      <c r="F147" s="4" t="n"/>
      <c r="G147" s="4" t="n"/>
      <c r="H147" s="4" t="n"/>
    </row>
    <row r="148">
      <c r="A148" s="4" t="n"/>
      <c r="B148" s="4" t="n"/>
      <c r="C148" s="4" t="n"/>
      <c r="D148" s="4" t="n"/>
      <c r="E148" s="4" t="n"/>
      <c r="F148" s="4" t="n"/>
      <c r="G148" s="4" t="n"/>
      <c r="H148" s="4" t="n"/>
    </row>
    <row r="149">
      <c r="A149" s="4" t="n"/>
      <c r="B149" s="4" t="n"/>
      <c r="C149" s="4" t="n"/>
      <c r="D149" s="4" t="n"/>
      <c r="E149" s="4" t="n"/>
      <c r="F149" s="4" t="n"/>
      <c r="G149" s="4" t="n"/>
      <c r="H149" s="4" t="n"/>
    </row>
    <row r="150">
      <c r="A150" s="4" t="n"/>
      <c r="B150" s="4" t="n"/>
      <c r="C150" s="4" t="n"/>
      <c r="D150" s="4" t="n"/>
      <c r="E150" s="4" t="n"/>
      <c r="F150" s="4" t="n"/>
      <c r="G150" s="4" t="n"/>
      <c r="H150" s="4" t="n"/>
    </row>
    <row r="151">
      <c r="A151" s="4" t="n"/>
      <c r="B151" s="4" t="n"/>
      <c r="C151" s="4" t="n"/>
      <c r="D151" s="4" t="n"/>
      <c r="E151" s="4" t="n"/>
      <c r="F151" s="4" t="n"/>
      <c r="G151" s="4" t="n"/>
      <c r="H151" s="4" t="n"/>
    </row>
    <row r="152">
      <c r="A152" s="4" t="n"/>
      <c r="B152" s="4" t="n"/>
      <c r="C152" s="4" t="n"/>
      <c r="D152" s="4" t="n"/>
      <c r="E152" s="4" t="n"/>
      <c r="F152" s="4" t="n"/>
      <c r="G152" s="4" t="n"/>
      <c r="H152" s="4" t="n"/>
    </row>
    <row r="153">
      <c r="A153" s="4" t="n"/>
      <c r="B153" s="4" t="n"/>
      <c r="C153" s="4" t="n"/>
      <c r="D153" s="4" t="n"/>
      <c r="E153" s="4" t="n"/>
      <c r="F153" s="4" t="n"/>
      <c r="G153" s="4" t="n"/>
      <c r="H153" s="4" t="n"/>
    </row>
    <row r="154">
      <c r="A154" s="4" t="n"/>
      <c r="B154" s="4" t="n"/>
      <c r="C154" s="4" t="n"/>
      <c r="D154" s="4" t="n"/>
      <c r="E154" s="4" t="n"/>
      <c r="F154" s="4" t="n"/>
      <c r="G154" s="4" t="n"/>
      <c r="H154" s="4" t="n"/>
    </row>
    <row r="155">
      <c r="A155" s="4" t="n"/>
      <c r="B155" s="4" t="n"/>
      <c r="C155" s="4" t="n"/>
      <c r="D155" s="4" t="n"/>
      <c r="E155" s="4" t="n"/>
      <c r="F155" s="4" t="n"/>
      <c r="G155" s="4" t="n"/>
      <c r="H155" s="4" t="n"/>
    </row>
    <row r="156">
      <c r="A156" s="4" t="n"/>
      <c r="B156" s="4" t="n"/>
      <c r="C156" s="4" t="n"/>
      <c r="D156" s="4" t="n"/>
      <c r="E156" s="4" t="n"/>
      <c r="F156" s="4" t="n"/>
      <c r="G156" s="4" t="n"/>
      <c r="H156" s="4" t="n"/>
    </row>
    <row r="157">
      <c r="A157" s="4" t="n"/>
      <c r="B157" s="4" t="n"/>
      <c r="C157" s="4" t="n"/>
      <c r="D157" s="4" t="n"/>
      <c r="E157" s="4" t="n"/>
      <c r="F157" s="4" t="n"/>
      <c r="G157" s="4" t="n"/>
      <c r="H157" s="4" t="n"/>
    </row>
    <row r="158">
      <c r="A158" s="4" t="n"/>
      <c r="B158" s="4" t="n"/>
      <c r="C158" s="4" t="n"/>
      <c r="D158" s="4" t="n"/>
      <c r="E158" s="4" t="n"/>
      <c r="F158" s="4" t="n"/>
      <c r="G158" s="4" t="n"/>
      <c r="H158" s="4" t="n"/>
    </row>
    <row r="159">
      <c r="A159" s="4" t="n"/>
      <c r="B159" s="4" t="n"/>
      <c r="C159" s="4" t="n"/>
      <c r="D159" s="4" t="n"/>
      <c r="E159" s="4" t="n"/>
      <c r="F159" s="4" t="n"/>
      <c r="G159" s="4" t="n"/>
      <c r="H159" s="4" t="n"/>
    </row>
    <row r="160">
      <c r="A160" s="4" t="n"/>
      <c r="B160" s="4" t="n"/>
      <c r="C160" s="4" t="n"/>
      <c r="D160" s="4" t="n"/>
      <c r="E160" s="4" t="n"/>
      <c r="F160" s="4" t="n"/>
      <c r="G160" s="4" t="n"/>
      <c r="H160" s="4" t="n"/>
    </row>
    <row r="161">
      <c r="A161" s="4" t="n"/>
      <c r="B161" s="4" t="n"/>
      <c r="C161" s="4" t="n"/>
      <c r="D161" s="4" t="n"/>
      <c r="E161" s="4" t="n"/>
      <c r="F161" s="4" t="n"/>
      <c r="G161" s="4" t="n"/>
      <c r="H161" s="4" t="n"/>
    </row>
    <row r="162">
      <c r="A162" s="4" t="n"/>
      <c r="B162" s="4" t="n"/>
      <c r="C162" s="4" t="n"/>
      <c r="D162" s="4" t="n"/>
      <c r="E162" s="4" t="n"/>
      <c r="F162" s="4" t="n"/>
      <c r="G162" s="4" t="n"/>
      <c r="H162" s="4" t="n"/>
    </row>
    <row r="163">
      <c r="A163" s="4" t="n"/>
      <c r="B163" s="4" t="n"/>
      <c r="C163" s="4" t="n"/>
      <c r="D163" s="4" t="n"/>
      <c r="E163" s="4" t="n"/>
      <c r="F163" s="4" t="n"/>
      <c r="G163" s="4" t="n"/>
      <c r="H163" s="4" t="n"/>
    </row>
    <row r="164">
      <c r="A164" s="4" t="n"/>
      <c r="B164" s="4" t="n"/>
      <c r="C164" s="4" t="n"/>
      <c r="D164" s="4" t="n"/>
      <c r="E164" s="4" t="n"/>
      <c r="F164" s="4" t="n"/>
      <c r="G164" s="4" t="n"/>
      <c r="H164" s="4" t="n"/>
    </row>
    <row r="165">
      <c r="A165" s="4" t="n"/>
      <c r="B165" s="4" t="n"/>
      <c r="C165" s="4" t="n"/>
      <c r="D165" s="4" t="n"/>
      <c r="E165" s="4" t="n"/>
      <c r="F165" s="4" t="n"/>
      <c r="G165" s="4" t="n"/>
      <c r="H165" s="4" t="n"/>
    </row>
    <row r="166">
      <c r="A166" s="4" t="n"/>
      <c r="B166" s="4" t="n"/>
      <c r="C166" s="4" t="n"/>
      <c r="D166" s="4" t="n"/>
      <c r="E166" s="4" t="n"/>
      <c r="F166" s="4" t="n"/>
      <c r="G166" s="4" t="n"/>
      <c r="H166" s="4" t="n"/>
    </row>
    <row r="167">
      <c r="A167" s="4" t="n"/>
      <c r="B167" s="4" t="n"/>
      <c r="C167" s="4" t="n"/>
      <c r="D167" s="4" t="n"/>
      <c r="E167" s="4" t="n"/>
      <c r="F167" s="4" t="n"/>
      <c r="G167" s="4" t="n"/>
      <c r="H167" s="4" t="n"/>
    </row>
    <row r="168">
      <c r="A168" s="4" t="n"/>
      <c r="B168" s="4" t="n"/>
      <c r="C168" s="4" t="n"/>
      <c r="D168" s="4" t="n"/>
      <c r="E168" s="4" t="n"/>
      <c r="F168" s="4" t="n"/>
      <c r="G168" s="4" t="n"/>
      <c r="H168" s="4" t="n"/>
    </row>
    <row r="169">
      <c r="A169" s="4" t="n"/>
      <c r="B169" s="4" t="n"/>
      <c r="C169" s="4" t="n"/>
      <c r="D169" s="4" t="n"/>
      <c r="E169" s="4" t="n"/>
      <c r="F169" s="4" t="n"/>
      <c r="G169" s="4" t="n"/>
      <c r="H169" s="4" t="n"/>
    </row>
    <row r="170">
      <c r="A170" s="4" t="n"/>
      <c r="B170" s="4" t="n"/>
      <c r="C170" s="4" t="n"/>
      <c r="D170" s="4" t="n"/>
      <c r="E170" s="4" t="n"/>
      <c r="F170" s="4" t="n"/>
      <c r="G170" s="4" t="n"/>
      <c r="H170" s="4" t="n"/>
    </row>
    <row r="171">
      <c r="A171" s="4" t="n"/>
      <c r="B171" s="4" t="n"/>
      <c r="C171" s="4" t="n"/>
      <c r="D171" s="4" t="n"/>
      <c r="E171" s="4" t="n"/>
      <c r="F171" s="4" t="n"/>
      <c r="G171" s="4" t="n"/>
      <c r="H171" s="4" t="n"/>
    </row>
    <row r="172">
      <c r="A172" s="4" t="n"/>
      <c r="B172" s="4" t="n"/>
      <c r="C172" s="4" t="n"/>
      <c r="D172" s="4" t="n"/>
      <c r="E172" s="4" t="n"/>
      <c r="F172" s="4" t="n"/>
      <c r="G172" s="4" t="n"/>
      <c r="H172" s="4" t="n"/>
    </row>
    <row r="173">
      <c r="A173" s="4" t="n"/>
      <c r="B173" s="4" t="n"/>
      <c r="C173" s="4" t="n"/>
      <c r="D173" s="4" t="n"/>
      <c r="E173" s="4" t="n"/>
      <c r="F173" s="4" t="n"/>
      <c r="G173" s="4" t="n"/>
      <c r="H173" s="4" t="n"/>
    </row>
    <row r="174">
      <c r="A174" s="4" t="n"/>
      <c r="B174" s="4" t="n"/>
      <c r="C174" s="4" t="n"/>
      <c r="D174" s="4" t="n"/>
      <c r="E174" s="4" t="n"/>
      <c r="F174" s="4" t="n"/>
      <c r="G174" s="4" t="n"/>
      <c r="H174" s="4" t="n"/>
    </row>
    <row r="175">
      <c r="A175" s="4" t="n"/>
      <c r="B175" s="4" t="n"/>
      <c r="C175" s="4" t="n"/>
      <c r="D175" s="4" t="n"/>
      <c r="E175" s="4" t="n"/>
      <c r="F175" s="4" t="n"/>
      <c r="G175" s="4" t="n"/>
      <c r="H175" s="4" t="n"/>
    </row>
    <row r="176">
      <c r="A176" s="4" t="n"/>
      <c r="B176" s="4" t="n"/>
      <c r="C176" s="4" t="n"/>
      <c r="D176" s="4" t="n"/>
      <c r="E176" s="4" t="n"/>
      <c r="F176" s="4" t="n"/>
      <c r="G176" s="4" t="n"/>
      <c r="H176" s="4" t="n"/>
    </row>
    <row r="177">
      <c r="A177" s="4" t="n"/>
      <c r="B177" s="4" t="n"/>
      <c r="C177" s="4" t="n"/>
      <c r="D177" s="4" t="n"/>
      <c r="E177" s="4" t="n"/>
      <c r="F177" s="4" t="n"/>
      <c r="G177" s="4" t="n"/>
      <c r="H177" s="4" t="n"/>
    </row>
    <row r="178">
      <c r="A178" s="4" t="n"/>
      <c r="B178" s="4" t="n"/>
      <c r="C178" s="4" t="n"/>
      <c r="D178" s="4" t="n"/>
      <c r="E178" s="4" t="n"/>
      <c r="F178" s="4" t="n"/>
      <c r="G178" s="4" t="n"/>
      <c r="H178" s="4" t="n"/>
    </row>
    <row r="179">
      <c r="A179" s="4" t="n"/>
      <c r="B179" s="4" t="n"/>
      <c r="C179" s="4" t="n"/>
      <c r="D179" s="4" t="n"/>
      <c r="E179" s="4" t="n"/>
      <c r="F179" s="4" t="n"/>
      <c r="G179" s="4" t="n"/>
      <c r="H179" s="4" t="n"/>
    </row>
    <row r="180">
      <c r="A180" s="4" t="n"/>
      <c r="B180" s="4" t="n"/>
      <c r="C180" s="4" t="n"/>
      <c r="D180" s="4" t="n"/>
      <c r="E180" s="4" t="n"/>
      <c r="F180" s="4" t="n"/>
      <c r="G180" s="4" t="n"/>
      <c r="H180" s="4" t="n"/>
    </row>
    <row r="181">
      <c r="A181" s="4" t="n"/>
      <c r="B181" s="4" t="n"/>
      <c r="C181" s="4" t="n"/>
      <c r="D181" s="4" t="n"/>
      <c r="E181" s="4" t="n"/>
      <c r="F181" s="4" t="n"/>
      <c r="G181" s="4" t="n"/>
      <c r="H181" s="4" t="n"/>
    </row>
    <row r="182">
      <c r="A182" s="4" t="n"/>
      <c r="B182" s="4" t="n"/>
      <c r="C182" s="4" t="n"/>
      <c r="D182" s="4" t="n"/>
      <c r="E182" s="4" t="n"/>
      <c r="F182" s="4" t="n"/>
      <c r="G182" s="4" t="n"/>
      <c r="H182" s="4" t="n"/>
    </row>
    <row r="183">
      <c r="A183" s="4" t="n"/>
      <c r="B183" s="4" t="n"/>
      <c r="C183" s="4" t="n"/>
      <c r="D183" s="4" t="n"/>
      <c r="E183" s="4" t="n"/>
      <c r="F183" s="4" t="n"/>
      <c r="G183" s="4" t="n"/>
      <c r="H183" s="4" t="n"/>
    </row>
    <row r="184">
      <c r="A184" s="4" t="n"/>
      <c r="B184" s="4" t="n"/>
      <c r="C184" s="4" t="n"/>
      <c r="D184" s="4" t="n"/>
      <c r="E184" s="4" t="n"/>
      <c r="F184" s="4" t="n"/>
      <c r="G184" s="4" t="n"/>
      <c r="H184" s="4" t="n"/>
    </row>
    <row r="185">
      <c r="A185" s="4" t="n"/>
      <c r="B185" s="4" t="n"/>
      <c r="C185" s="4" t="n"/>
      <c r="D185" s="4" t="n"/>
      <c r="E185" s="4" t="n"/>
      <c r="F185" s="4" t="n"/>
      <c r="G185" s="4" t="n"/>
      <c r="H185" s="4" t="n"/>
    </row>
    <row r="186">
      <c r="A186" s="4" t="n"/>
      <c r="B186" s="4" t="n"/>
      <c r="C186" s="4" t="n"/>
      <c r="D186" s="4" t="n"/>
      <c r="E186" s="4" t="n"/>
      <c r="F186" s="4" t="n"/>
      <c r="G186" s="4" t="n"/>
      <c r="H186" s="4" t="n"/>
    </row>
    <row r="187">
      <c r="A187" s="4" t="n"/>
      <c r="B187" s="4" t="n"/>
      <c r="C187" s="4" t="n"/>
      <c r="D187" s="4" t="n"/>
      <c r="E187" s="4" t="n"/>
      <c r="F187" s="4" t="n"/>
      <c r="G187" s="4" t="n"/>
      <c r="H187" s="4" t="n"/>
    </row>
    <row r="188">
      <c r="A188" s="4" t="n"/>
      <c r="B188" s="4" t="n"/>
      <c r="C188" s="4" t="n"/>
      <c r="D188" s="4" t="n"/>
      <c r="E188" s="4" t="n"/>
      <c r="F188" s="4" t="n"/>
      <c r="G188" s="4" t="n"/>
      <c r="H188" s="4" t="n"/>
    </row>
    <row r="189">
      <c r="A189" s="4" t="n"/>
      <c r="B189" s="4" t="n"/>
      <c r="C189" s="4" t="n"/>
      <c r="D189" s="4" t="n"/>
      <c r="E189" s="4" t="n"/>
      <c r="F189" s="4" t="n"/>
      <c r="G189" s="4" t="n"/>
      <c r="H189" s="4" t="n"/>
    </row>
    <row r="190">
      <c r="A190" s="4" t="n"/>
      <c r="B190" s="4" t="n"/>
      <c r="C190" s="4" t="n"/>
      <c r="D190" s="4" t="n"/>
      <c r="E190" s="4" t="n"/>
      <c r="F190" s="4" t="n"/>
      <c r="G190" s="4" t="n"/>
      <c r="H190" s="4" t="n"/>
    </row>
    <row r="191">
      <c r="A191" s="4" t="n"/>
      <c r="B191" s="4" t="n"/>
      <c r="C191" s="4" t="n"/>
      <c r="D191" s="4" t="n"/>
      <c r="E191" s="4" t="n"/>
      <c r="F191" s="4" t="n"/>
      <c r="G191" s="4" t="n"/>
      <c r="H191" s="4" t="n"/>
    </row>
    <row r="192">
      <c r="A192" s="4" t="n"/>
      <c r="B192" s="4" t="n"/>
      <c r="C192" s="4" t="n"/>
      <c r="D192" s="4" t="n"/>
      <c r="E192" s="4" t="n"/>
      <c r="F192" s="4" t="n"/>
      <c r="G192" s="4" t="n"/>
      <c r="H192" s="4" t="n"/>
    </row>
    <row r="193">
      <c r="A193" s="4" t="n"/>
      <c r="B193" s="4" t="n"/>
      <c r="C193" s="4" t="n"/>
      <c r="D193" s="4" t="n"/>
      <c r="E193" s="4" t="n"/>
      <c r="F193" s="4" t="n"/>
      <c r="G193" s="4" t="n"/>
      <c r="H193" s="4" t="n"/>
    </row>
    <row r="194">
      <c r="A194" s="4" t="n"/>
      <c r="B194" s="4" t="n"/>
      <c r="C194" s="4" t="n"/>
      <c r="D194" s="4" t="n"/>
      <c r="E194" s="4" t="n"/>
      <c r="F194" s="4" t="n"/>
      <c r="G194" s="4" t="n"/>
      <c r="H194" s="4" t="n"/>
    </row>
    <row r="195">
      <c r="A195" s="4" t="n"/>
      <c r="B195" s="4" t="n"/>
      <c r="C195" s="4" t="n"/>
      <c r="D195" s="4" t="n"/>
      <c r="E195" s="4" t="n"/>
      <c r="F195" s="4" t="n"/>
      <c r="G195" s="4" t="n"/>
      <c r="H195" s="4" t="n"/>
    </row>
    <row r="196">
      <c r="A196" s="4" t="n"/>
      <c r="B196" s="4" t="n"/>
      <c r="C196" s="4" t="n"/>
      <c r="D196" s="4" t="n"/>
      <c r="E196" s="4" t="n"/>
      <c r="F196" s="4" t="n"/>
      <c r="G196" s="4" t="n"/>
      <c r="H196" s="4" t="n"/>
    </row>
    <row r="197">
      <c r="A197" s="4" t="n"/>
      <c r="B197" s="4" t="n"/>
      <c r="C197" s="4" t="n"/>
      <c r="D197" s="4" t="n"/>
      <c r="E197" s="4" t="n"/>
      <c r="F197" s="4" t="n"/>
      <c r="G197" s="4" t="n"/>
      <c r="H197" s="4" t="n"/>
    </row>
    <row r="198">
      <c r="A198" s="4" t="n"/>
      <c r="B198" s="4" t="n"/>
      <c r="C198" s="4" t="n"/>
      <c r="D198" s="4" t="n"/>
      <c r="E198" s="4" t="n"/>
      <c r="F198" s="4" t="n"/>
      <c r="G198" s="4" t="n"/>
      <c r="H198" s="4" t="n"/>
    </row>
    <row r="199">
      <c r="A199" s="4" t="n"/>
      <c r="B199" s="4" t="n"/>
      <c r="C199" s="4" t="n"/>
      <c r="D199" s="4" t="n"/>
      <c r="E199" s="4" t="n"/>
      <c r="F199" s="4" t="n"/>
      <c r="G199" s="4" t="n"/>
      <c r="H199" s="4" t="n"/>
    </row>
    <row r="200">
      <c r="A200" s="4" t="n"/>
      <c r="B200" s="4" t="n"/>
      <c r="C200" s="4" t="n"/>
      <c r="D200" s="4" t="n"/>
      <c r="E200" s="4" t="n"/>
      <c r="F200" s="4" t="n"/>
      <c r="G200" s="4" t="n"/>
      <c r="H200" s="4" t="n"/>
    </row>
    <row r="201">
      <c r="A201" s="4" t="n"/>
      <c r="B201" s="4" t="n"/>
      <c r="C201" s="4" t="n"/>
      <c r="D201" s="4" t="n"/>
      <c r="E201" s="4" t="n"/>
      <c r="F201" s="4" t="n"/>
      <c r="G201" s="4" t="n"/>
      <c r="H201" s="4" t="n"/>
    </row>
  </sheetData>
  <autoFilter ref="A1:H211"/>
  <conditionalFormatting sqref="G2:G201">
    <cfRule type="cellIs" priority="1" operator="equal" dxfId="0">
      <formula>"Late"</formula>
    </cfRule>
    <cfRule type="cellIs" priority="2" operator="equal" dxfId="1">
      <formula>"At risk"</formula>
    </cfRule>
  </conditionalFormatting>
  <dataValidations count="1">
    <dataValidation sqref="G2:G201" showDropDown="0" showInputMessage="0" showErrorMessage="0" allowBlank="1" type="list">
      <formula1>=Lists!$E$2:$E$5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s>
  <sheetData>
    <row r="1">
      <c r="A1" s="6" t="inlineStr">
        <is>
          <t>Status</t>
        </is>
      </c>
      <c r="B1" s="6" t="inlineStr">
        <is>
          <t>Score</t>
        </is>
      </c>
      <c r="C1" s="6" t="inlineStr">
        <is>
          <t>Category</t>
        </is>
      </c>
      <c r="D1" s="6" t="inlineStr">
        <is>
          <t>Priority</t>
        </is>
      </c>
      <c r="E1" s="6" t="inlineStr">
        <is>
          <t>Dependency state</t>
        </is>
      </c>
    </row>
    <row r="2">
      <c r="A2" s="13" t="inlineStr">
        <is>
          <t>Open</t>
        </is>
      </c>
      <c r="B2" s="13" t="inlineStr">
        <is>
          <t>1</t>
        </is>
      </c>
      <c r="C2" s="13" t="inlineStr">
        <is>
          <t>Scope</t>
        </is>
      </c>
      <c r="D2" s="13" t="inlineStr">
        <is>
          <t>High</t>
        </is>
      </c>
      <c r="E2" s="13" t="inlineStr">
        <is>
          <t>On track</t>
        </is>
      </c>
    </row>
    <row r="3">
      <c r="A3" s="13" t="inlineStr">
        <is>
          <t>In progress</t>
        </is>
      </c>
      <c r="B3" s="13" t="inlineStr">
        <is>
          <t>2</t>
        </is>
      </c>
      <c r="C3" s="13" t="inlineStr">
        <is>
          <t>Schedule</t>
        </is>
      </c>
      <c r="D3" s="13" t="inlineStr">
        <is>
          <t>Medium</t>
        </is>
      </c>
      <c r="E3" s="13" t="inlineStr">
        <is>
          <t>At risk</t>
        </is>
      </c>
    </row>
    <row r="4">
      <c r="A4" s="13" t="inlineStr">
        <is>
          <t>Closed</t>
        </is>
      </c>
      <c r="B4" s="13" t="inlineStr">
        <is>
          <t>3</t>
        </is>
      </c>
      <c r="C4" s="13" t="inlineStr">
        <is>
          <t>Data</t>
        </is>
      </c>
      <c r="D4" s="13" t="inlineStr">
        <is>
          <t>Low</t>
        </is>
      </c>
      <c r="E4" s="13" t="inlineStr">
        <is>
          <t>Late</t>
        </is>
      </c>
    </row>
    <row r="5">
      <c r="B5" s="13" t="inlineStr">
        <is>
          <t>4</t>
        </is>
      </c>
      <c r="C5" s="13" t="inlineStr">
        <is>
          <t>People</t>
        </is>
      </c>
      <c r="E5" s="13" t="inlineStr">
        <is>
          <t>Delivered</t>
        </is>
      </c>
    </row>
    <row r="6">
      <c r="B6" s="13" t="inlineStr">
        <is>
          <t>5</t>
        </is>
      </c>
      <c r="C6" s="13" t="inlineStr">
        <is>
          <t>Technical</t>
        </is>
      </c>
    </row>
    <row r="7">
      <c r="C7" s="13" t="inlineStr">
        <is>
          <t>Integration</t>
        </is>
      </c>
    </row>
    <row r="8">
      <c r="C8" s="13" t="inlineStr">
        <is>
          <t>Compliance</t>
        </is>
      </c>
    </row>
    <row r="9">
      <c r="C9" s="13" t="inlineStr">
        <is>
          <t>Commercial</t>
        </is>
      </c>
    </row>
    <row r="10">
      <c r="C10" s="13" t="inlineStr">
        <is>
          <t>Hosting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2026-10-03T20:18:25Z</dcterms:created>
  <dcterms:modified xmlns:dcterms="http://purl.org/dc/terms/" xmlns:xsi="http://www.w3.org/2001/XMLSchema-instance" xsi:type="dcterms:W3CDTF">2026-10-03T20:18:26Z</dcterms:modified>
</cp:coreProperties>
</file>