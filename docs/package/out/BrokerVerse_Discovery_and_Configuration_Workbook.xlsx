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Company and Branches" sheetId="3" state="visible" r:id="rId3"/>
    <sheet xmlns:r="http://schemas.openxmlformats.org/officeDocument/2006/relationships" name="Users and Roles" sheetId="4" state="visible" r:id="rId4"/>
    <sheet xmlns:r="http://schemas.openxmlformats.org/officeDocument/2006/relationships" name="Insurers" sheetId="5" state="visible" r:id="rId5"/>
    <sheet xmlns:r="http://schemas.openxmlformats.org/officeDocument/2006/relationships" name="Products and LOB" sheetId="6" state="visible" r:id="rId6"/>
    <sheet xmlns:r="http://schemas.openxmlformats.org/officeDocument/2006/relationships" name="Commission Rates" sheetId="7" state="visible" r:id="rId7"/>
    <sheet xmlns:r="http://schemas.openxmlformats.org/officeDocument/2006/relationships" name="Chart of Accounts" sheetId="8" state="visible" r:id="rId8"/>
    <sheet xmlns:r="http://schemas.openxmlformats.org/officeDocument/2006/relationships" name="Banks and Gateways" sheetId="9" state="visible" r:id="rId9"/>
    <sheet xmlns:r="http://schemas.openxmlformats.org/officeDocument/2006/relationships" name="Numbering Series" sheetId="10" state="visible" r:id="rId10"/>
    <sheet xmlns:r="http://schemas.openxmlformats.org/officeDocument/2006/relationships" name="Approvals and Limits" sheetId="11" state="visible" r:id="rId11"/>
    <sheet xmlns:r="http://schemas.openxmlformats.org/officeDocument/2006/relationships" name="E-mail and Templates" sheetId="12" state="visible" r:id="rId12"/>
    <sheet xmlns:r="http://schemas.openxmlformats.org/officeDocument/2006/relationships" name="Taxes and LGU" sheetId="13" state="visible" r:id="rId13"/>
    <sheet xmlns:r="http://schemas.openxmlformats.org/officeDocument/2006/relationships" name="Data Migration Sources" sheetId="14" state="visible" r:id="rId14"/>
    <sheet xmlns:r="http://schemas.openxmlformats.org/officeDocument/2006/relationships" name="Integrations" sheetId="15" state="visible" r:id="rId15"/>
    <sheet xmlns:r="http://schemas.openxmlformats.org/officeDocument/2006/relationships" name="Reports" sheetId="16" state="visible" r:id="rId16"/>
  </sheets>
  <definedNames>
    <definedName name="_xlnm._FilterDatabase" localSheetId="2" hidden="1">'Company and Branches'!$A$1:$K$23</definedName>
    <definedName name="_xlnm.Print_Titles" localSheetId="2">'Company and Branches'!$1:$1</definedName>
    <definedName name="_xlnm._FilterDatabase" localSheetId="3" hidden="1">'Users and Roles'!$A$1:$K$19</definedName>
    <definedName name="_xlnm.Print_Titles" localSheetId="3">'Users and Roles'!$1:$1</definedName>
    <definedName name="_xlnm._FilterDatabase" localSheetId="4" hidden="1">'Insurers'!$A$1:$K$16</definedName>
    <definedName name="_xlnm.Print_Titles" localSheetId="4">'Insurers'!$1:$1</definedName>
    <definedName name="_xlnm._FilterDatabase" localSheetId="5" hidden="1">'Products and LOB'!$A$1:$K$23</definedName>
    <definedName name="_xlnm.Print_Titles" localSheetId="5">'Products and LOB'!$1:$1</definedName>
    <definedName name="_xlnm._FilterDatabase" localSheetId="6" hidden="1">'Commission Rates'!$A$1:$K$10</definedName>
    <definedName name="_xlnm.Print_Titles" localSheetId="6">'Commission Rates'!$1:$1</definedName>
    <definedName name="_xlnm._FilterDatabase" localSheetId="7" hidden="1">'Chart of Accounts'!$A$1:$K$36</definedName>
    <definedName name="_xlnm.Print_Titles" localSheetId="7">'Chart of Accounts'!$1:$1</definedName>
    <definedName name="_xlnm._FilterDatabase" localSheetId="8" hidden="1">'Banks and Gateways'!$A$1:$K$13</definedName>
    <definedName name="_xlnm.Print_Titles" localSheetId="8">'Banks and Gateways'!$1:$1</definedName>
    <definedName name="_xlnm._FilterDatabase" localSheetId="9" hidden="1">'Numbering Series'!$A$1:$K$63</definedName>
    <definedName name="_xlnm.Print_Titles" localSheetId="9">'Numbering Series'!$1:$1</definedName>
    <definedName name="_xlnm._FilterDatabase" localSheetId="10" hidden="1">'Approvals and Limits'!$A$1:$K$24</definedName>
    <definedName name="_xlnm.Print_Titles" localSheetId="10">'Approvals and Limits'!$1:$1</definedName>
    <definedName name="_xlnm._FilterDatabase" localSheetId="11" hidden="1">'E-mail and Templates'!$A$1:$K$19</definedName>
    <definedName name="_xlnm.Print_Titles" localSheetId="11">'E-mail and Templates'!$1:$1</definedName>
    <definedName name="_xlnm._FilterDatabase" localSheetId="12" hidden="1">'Taxes and LGU'!$A$1:$K$16</definedName>
    <definedName name="_xlnm.Print_Titles" localSheetId="12">'Taxes and LGU'!$1:$1</definedName>
    <definedName name="_xlnm._FilterDatabase" localSheetId="13" hidden="1">'Data Migration Sources'!$A$1:$K$23</definedName>
    <definedName name="_xlnm.Print_Titles" localSheetId="13">'Data Migration Sources'!$1:$1</definedName>
    <definedName name="_xlnm._FilterDatabase" localSheetId="14" hidden="1">'Integrations'!$A$1:$K$13</definedName>
    <definedName name="_xlnm.Print_Titles" localSheetId="14">'Integrations'!$1:$1</definedName>
    <definedName name="_xlnm._FilterDatabase" localSheetId="15" hidden="1">'Reports'!$A$1:$K$44</definedName>
    <definedName name="_xlnm.Print_Titles" localSheetId="15">'Reports'!$1:$1</definedName>
  </definedNames>
  <calcPr calcId="124519" fullCalcOnLoad="1"/>
</workbook>
</file>

<file path=xl/styles.xml><?xml version="1.0" encoding="utf-8"?>
<styleSheet xmlns="http://schemas.openxmlformats.org/spreadsheetml/2006/main">
  <numFmts count="1">
    <numFmt numFmtId="164" formatCode="DD MMM YYYY"/>
  </numFmts>
  <fonts count="5">
    <font>
      <name val="Calibri"/>
      <family val="2"/>
      <color theme="1"/>
      <sz val="11"/>
      <scheme val="minor"/>
    </font>
    <font>
      <name val="Segoe UI"/>
      <b val="1"/>
      <color rgb="000B2A4A"/>
      <sz val="14"/>
    </font>
    <font>
      <name val="Segoe UI"/>
      <b val="1"/>
      <sz val="9"/>
    </font>
    <font>
      <name val="Segoe UI"/>
      <sz val="9"/>
    </font>
    <font>
      <name val="Segoe UI"/>
      <b val="1"/>
      <color rgb="00FFFFFF"/>
      <sz val="10"/>
    </font>
  </fonts>
  <fills count="4">
    <fill>
      <patternFill/>
    </fill>
    <fill>
      <patternFill patternType="gray125"/>
    </fill>
    <fill>
      <patternFill patternType="solid">
        <fgColor rgb="000B2A4A"/>
      </patternFill>
    </fill>
    <fill>
      <patternFill patternType="solid">
        <fgColor rgb="00FFF9E5"/>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pivotButton="0" quotePrefix="0" xfId="0"/>
    <xf numFmtId="9" fontId="3" fillId="0" borderId="1" pivotButton="0" quotePrefix="0" xfId="0"/>
    <xf numFmtId="0" fontId="2" fillId="0" borderId="1" pivotButton="0" quotePrefix="0" xfId="0"/>
    <xf numFmtId="9" fontId="2" fillId="0"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164" fontId="3" fillId="0" borderId="1"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selection activeCell="A1" sqref="A1"/>
    </sheetView>
  </sheetViews>
  <sheetFormatPr baseColWidth="8" defaultRowHeight="15"/>
  <cols>
    <col width="18" customWidth="1" min="1" max="1"/>
    <col width="120" customWidth="1" min="2" max="2"/>
  </cols>
  <sheetData>
    <row r="1">
      <c r="A1" s="1" t="inlineStr">
        <is>
          <t>BrokerVerse OOTB: Discovery and Configuration Workbook</t>
        </is>
      </c>
    </row>
    <row r="3">
      <c r="A3" s="2" t="inlineStr">
        <is>
          <t>Purpose</t>
        </is>
      </c>
      <c r="B3" s="3" t="inlineStr">
        <is>
          <t>Records every configuration decision of the broker during mobilisation and the discovery workshops. It is the configuration workbook named in the Implementation Approach and Plan and is signed off at the end of discovery.</t>
        </is>
      </c>
    </row>
    <row r="4">
      <c r="A4" s="2" t="inlineStr">
        <is>
          <t>How to use</t>
        </is>
      </c>
      <c r="B4" s="3" t="inlineStr">
        <is>
          <t>One sheet per area. Each row is a question or a configuration item, the BrokerVerse screen where it is set, and the value delivered out of the box. The broker writes its decision in Client answer (yellow). Leave Client answer empty to keep the OOTB default and set Status to Confirmed.</t>
        </is>
      </c>
    </row>
    <row r="5">
      <c r="A5" s="2" t="inlineStr">
        <is>
          <t>Columns</t>
        </is>
      </c>
      <c r="B5" s="3" t="inlineStr">
        <is>
          <t>ID; Topic; Question or configuration item; BrokerVerse screen (menu path as on screen); OOTB default (seeded value); Client answer; Owner (broker role that answers); Needed by (project phase); Due date (set at kick-off); Status; Notes and setting key (technical key on Master &gt; Configuration, upload template or reference document).</t>
        </is>
      </c>
    </row>
    <row r="6">
      <c r="A6" s="2" t="inlineStr">
        <is>
          <t>Status values</t>
        </is>
      </c>
      <c r="B6" s="3" t="inlineStr">
        <is>
          <t>Open: not yet answered. Answered: broker answer recorded. Confirmed: reviewed in the workshop by the owner and iorta TechNXT. Configured: entered in the test environment and checked. Not applicable: area not used. Gap (CR): cannot be met by configuration; recorded in the fit-gap register as a change request.</t>
        </is>
      </c>
    </row>
    <row r="7">
      <c r="A7" s="2" t="inlineStr">
        <is>
          <t>Needed by</t>
        </is>
      </c>
      <c r="B7" s="3" t="inlineStr">
        <is>
          <t>Mobilisation (week 1), Discovery (workshops), Configuration, Mock load 1, UAT. Due dates follow the plan of the implementation size.</t>
        </is>
      </c>
    </row>
    <row r="8">
      <c r="A8" s="2" t="inlineStr">
        <is>
          <t>Defaults</t>
        </is>
      </c>
      <c r="B8" s="3" t="inlineStr">
        <is>
          <t>OOTB defaults are the values seeded in the delivered system on 03 October 2026. Money in PHP. Tax rates, ATC and GL accounts are confirmed by the broker's accountant and tax adviser before configuration.</t>
        </is>
      </c>
    </row>
    <row r="9">
      <c r="A9" s="2" t="inlineStr">
        <is>
          <t>Rules</t>
        </is>
      </c>
      <c r="B9" s="3" t="inlineStr">
        <is>
          <t>Do not change the layout of the sheets. Add rows at the end of a sheet with the next ID if a new item comes up. Personal data (staff lists, client extracts) is not pasted into this workbook; it goes into the upload templates.</t>
        </is>
      </c>
    </row>
    <row r="10">
      <c r="A10" s="2" t="inlineStr">
        <is>
          <t>Companion</t>
        </is>
      </c>
      <c r="B10" s="3" t="inlineStr">
        <is>
          <t>Discovery Workbook Guide (how to run the workshops); Implementation Approach and Plan; Data Migration and Cutover Plan; upload templates in docs/templates.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16"/>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4" t="inlineStr">
        <is>
          <t>Sheet</t>
        </is>
      </c>
      <c r="B1" s="4" t="inlineStr">
        <is>
          <t>Items</t>
        </is>
      </c>
      <c r="C1" s="4" t="inlineStr">
        <is>
          <t>Open</t>
        </is>
      </c>
      <c r="D1" s="4" t="inlineStr">
        <is>
          <t>Answered</t>
        </is>
      </c>
      <c r="E1" s="4" t="inlineStr">
        <is>
          <t>Confirmed</t>
        </is>
      </c>
      <c r="F1" s="4" t="inlineStr">
        <is>
          <t>Configured</t>
        </is>
      </c>
      <c r="G1" s="4" t="inlineStr">
        <is>
          <t>Not applicable</t>
        </is>
      </c>
      <c r="H1" s="4" t="inlineStr">
        <is>
          <t>Gap (CR)</t>
        </is>
      </c>
      <c r="I1" s="4" t="inlineStr">
        <is>
          <t>Percent configured</t>
        </is>
      </c>
    </row>
    <row r="2">
      <c r="A2" s="5" t="inlineStr">
        <is>
          <t>Company and Branches</t>
        </is>
      </c>
      <c r="B2" s="5">
        <f>COUNTA('Company and Branches'!$A$2:$A$1000)</f>
        <v/>
      </c>
      <c r="C2" s="5">
        <f>COUNTIF('Company and Branches'!$J$2:$J$1000,"Open")</f>
        <v/>
      </c>
      <c r="D2" s="5">
        <f>COUNTIF('Company and Branches'!$J$2:$J$1000,"Answered")</f>
        <v/>
      </c>
      <c r="E2" s="5">
        <f>COUNTIF('Company and Branches'!$J$2:$J$1000,"Confirmed")</f>
        <v/>
      </c>
      <c r="F2" s="5">
        <f>COUNTIF('Company and Branches'!$J$2:$J$1000,"Configured")</f>
        <v/>
      </c>
      <c r="G2" s="5">
        <f>COUNTIF('Company and Branches'!$J$2:$J$1000,"Not applicable")</f>
        <v/>
      </c>
      <c r="H2" s="5">
        <f>COUNTIF('Company and Branches'!$J$2:$J$1000,"Gap (CR)")</f>
        <v/>
      </c>
      <c r="I2" s="6">
        <f>IF(B2=0,0,(F2+G2)/B2)</f>
        <v/>
      </c>
    </row>
    <row r="3">
      <c r="A3" s="5" t="inlineStr">
        <is>
          <t>Users and Roles</t>
        </is>
      </c>
      <c r="B3" s="5">
        <f>COUNTA('Users and Roles'!$A$2:$A$1000)</f>
        <v/>
      </c>
      <c r="C3" s="5">
        <f>COUNTIF('Users and Roles'!$J$2:$J$1000,"Open")</f>
        <v/>
      </c>
      <c r="D3" s="5">
        <f>COUNTIF('Users and Roles'!$J$2:$J$1000,"Answered")</f>
        <v/>
      </c>
      <c r="E3" s="5">
        <f>COUNTIF('Users and Roles'!$J$2:$J$1000,"Confirmed")</f>
        <v/>
      </c>
      <c r="F3" s="5">
        <f>COUNTIF('Users and Roles'!$J$2:$J$1000,"Configured")</f>
        <v/>
      </c>
      <c r="G3" s="5">
        <f>COUNTIF('Users and Roles'!$J$2:$J$1000,"Not applicable")</f>
        <v/>
      </c>
      <c r="H3" s="5">
        <f>COUNTIF('Users and Roles'!$J$2:$J$1000,"Gap (CR)")</f>
        <v/>
      </c>
      <c r="I3" s="6">
        <f>IF(B3=0,0,(F3+G3)/B3)</f>
        <v/>
      </c>
    </row>
    <row r="4">
      <c r="A4" s="5" t="inlineStr">
        <is>
          <t>Insurers</t>
        </is>
      </c>
      <c r="B4" s="5">
        <f>COUNTA('Insurers'!$A$2:$A$1000)</f>
        <v/>
      </c>
      <c r="C4" s="5">
        <f>COUNTIF('Insurers'!$J$2:$J$1000,"Open")</f>
        <v/>
      </c>
      <c r="D4" s="5">
        <f>COUNTIF('Insurers'!$J$2:$J$1000,"Answered")</f>
        <v/>
      </c>
      <c r="E4" s="5">
        <f>COUNTIF('Insurers'!$J$2:$J$1000,"Confirmed")</f>
        <v/>
      </c>
      <c r="F4" s="5">
        <f>COUNTIF('Insurers'!$J$2:$J$1000,"Configured")</f>
        <v/>
      </c>
      <c r="G4" s="5">
        <f>COUNTIF('Insurers'!$J$2:$J$1000,"Not applicable")</f>
        <v/>
      </c>
      <c r="H4" s="5">
        <f>COUNTIF('Insurers'!$J$2:$J$1000,"Gap (CR)")</f>
        <v/>
      </c>
      <c r="I4" s="6">
        <f>IF(B4=0,0,(F4+G4)/B4)</f>
        <v/>
      </c>
    </row>
    <row r="5">
      <c r="A5" s="5" t="inlineStr">
        <is>
          <t>Products and LOB</t>
        </is>
      </c>
      <c r="B5" s="5">
        <f>COUNTA('Products and LOB'!$A$2:$A$1000)</f>
        <v/>
      </c>
      <c r="C5" s="5">
        <f>COUNTIF('Products and LOB'!$J$2:$J$1000,"Open")</f>
        <v/>
      </c>
      <c r="D5" s="5">
        <f>COUNTIF('Products and LOB'!$J$2:$J$1000,"Answered")</f>
        <v/>
      </c>
      <c r="E5" s="5">
        <f>COUNTIF('Products and LOB'!$J$2:$J$1000,"Confirmed")</f>
        <v/>
      </c>
      <c r="F5" s="5">
        <f>COUNTIF('Products and LOB'!$J$2:$J$1000,"Configured")</f>
        <v/>
      </c>
      <c r="G5" s="5">
        <f>COUNTIF('Products and LOB'!$J$2:$J$1000,"Not applicable")</f>
        <v/>
      </c>
      <c r="H5" s="5">
        <f>COUNTIF('Products and LOB'!$J$2:$J$1000,"Gap (CR)")</f>
        <v/>
      </c>
      <c r="I5" s="6">
        <f>IF(B5=0,0,(F5+G5)/B5)</f>
        <v/>
      </c>
    </row>
    <row r="6">
      <c r="A6" s="5" t="inlineStr">
        <is>
          <t>Commission Rates</t>
        </is>
      </c>
      <c r="B6" s="5">
        <f>COUNTA('Commission Rates'!$A$2:$A$1000)</f>
        <v/>
      </c>
      <c r="C6" s="5">
        <f>COUNTIF('Commission Rates'!$J$2:$J$1000,"Open")</f>
        <v/>
      </c>
      <c r="D6" s="5">
        <f>COUNTIF('Commission Rates'!$J$2:$J$1000,"Answered")</f>
        <v/>
      </c>
      <c r="E6" s="5">
        <f>COUNTIF('Commission Rates'!$J$2:$J$1000,"Confirmed")</f>
        <v/>
      </c>
      <c r="F6" s="5">
        <f>COUNTIF('Commission Rates'!$J$2:$J$1000,"Configured")</f>
        <v/>
      </c>
      <c r="G6" s="5">
        <f>COUNTIF('Commission Rates'!$J$2:$J$1000,"Not applicable")</f>
        <v/>
      </c>
      <c r="H6" s="5">
        <f>COUNTIF('Commission Rates'!$J$2:$J$1000,"Gap (CR)")</f>
        <v/>
      </c>
      <c r="I6" s="6">
        <f>IF(B6=0,0,(F6+G6)/B6)</f>
        <v/>
      </c>
    </row>
    <row r="7">
      <c r="A7" s="5" t="inlineStr">
        <is>
          <t>Chart of Accounts</t>
        </is>
      </c>
      <c r="B7" s="5">
        <f>COUNTA('Chart of Accounts'!$A$2:$A$1000)</f>
        <v/>
      </c>
      <c r="C7" s="5">
        <f>COUNTIF('Chart of Accounts'!$J$2:$J$1000,"Open")</f>
        <v/>
      </c>
      <c r="D7" s="5">
        <f>COUNTIF('Chart of Accounts'!$J$2:$J$1000,"Answered")</f>
        <v/>
      </c>
      <c r="E7" s="5">
        <f>COUNTIF('Chart of Accounts'!$J$2:$J$1000,"Confirmed")</f>
        <v/>
      </c>
      <c r="F7" s="5">
        <f>COUNTIF('Chart of Accounts'!$J$2:$J$1000,"Configured")</f>
        <v/>
      </c>
      <c r="G7" s="5">
        <f>COUNTIF('Chart of Accounts'!$J$2:$J$1000,"Not applicable")</f>
        <v/>
      </c>
      <c r="H7" s="5">
        <f>COUNTIF('Chart of Accounts'!$J$2:$J$1000,"Gap (CR)")</f>
        <v/>
      </c>
      <c r="I7" s="6">
        <f>IF(B7=0,0,(F7+G7)/B7)</f>
        <v/>
      </c>
    </row>
    <row r="8">
      <c r="A8" s="5" t="inlineStr">
        <is>
          <t>Banks and Gateways</t>
        </is>
      </c>
      <c r="B8" s="5">
        <f>COUNTA('Banks and Gateways'!$A$2:$A$1000)</f>
        <v/>
      </c>
      <c r="C8" s="5">
        <f>COUNTIF('Banks and Gateways'!$J$2:$J$1000,"Open")</f>
        <v/>
      </c>
      <c r="D8" s="5">
        <f>COUNTIF('Banks and Gateways'!$J$2:$J$1000,"Answered")</f>
        <v/>
      </c>
      <c r="E8" s="5">
        <f>COUNTIF('Banks and Gateways'!$J$2:$J$1000,"Confirmed")</f>
        <v/>
      </c>
      <c r="F8" s="5">
        <f>COUNTIF('Banks and Gateways'!$J$2:$J$1000,"Configured")</f>
        <v/>
      </c>
      <c r="G8" s="5">
        <f>COUNTIF('Banks and Gateways'!$J$2:$J$1000,"Not applicable")</f>
        <v/>
      </c>
      <c r="H8" s="5">
        <f>COUNTIF('Banks and Gateways'!$J$2:$J$1000,"Gap (CR)")</f>
        <v/>
      </c>
      <c r="I8" s="6">
        <f>IF(B8=0,0,(F8+G8)/B8)</f>
        <v/>
      </c>
    </row>
    <row r="9">
      <c r="A9" s="5" t="inlineStr">
        <is>
          <t>Numbering Series</t>
        </is>
      </c>
      <c r="B9" s="5">
        <f>COUNTA('Numbering Series'!$A$2:$A$1000)</f>
        <v/>
      </c>
      <c r="C9" s="5">
        <f>COUNTIF('Numbering Series'!$J$2:$J$1000,"Open")</f>
        <v/>
      </c>
      <c r="D9" s="5">
        <f>COUNTIF('Numbering Series'!$J$2:$J$1000,"Answered")</f>
        <v/>
      </c>
      <c r="E9" s="5">
        <f>COUNTIF('Numbering Series'!$J$2:$J$1000,"Confirmed")</f>
        <v/>
      </c>
      <c r="F9" s="5">
        <f>COUNTIF('Numbering Series'!$J$2:$J$1000,"Configured")</f>
        <v/>
      </c>
      <c r="G9" s="5">
        <f>COUNTIF('Numbering Series'!$J$2:$J$1000,"Not applicable")</f>
        <v/>
      </c>
      <c r="H9" s="5">
        <f>COUNTIF('Numbering Series'!$J$2:$J$1000,"Gap (CR)")</f>
        <v/>
      </c>
      <c r="I9" s="6">
        <f>IF(B9=0,0,(F9+G9)/B9)</f>
        <v/>
      </c>
    </row>
    <row r="10">
      <c r="A10" s="5" t="inlineStr">
        <is>
          <t>Approvals and Limits</t>
        </is>
      </c>
      <c r="B10" s="5">
        <f>COUNTA('Approvals and Limits'!$A$2:$A$1000)</f>
        <v/>
      </c>
      <c r="C10" s="5">
        <f>COUNTIF('Approvals and Limits'!$J$2:$J$1000,"Open")</f>
        <v/>
      </c>
      <c r="D10" s="5">
        <f>COUNTIF('Approvals and Limits'!$J$2:$J$1000,"Answered")</f>
        <v/>
      </c>
      <c r="E10" s="5">
        <f>COUNTIF('Approvals and Limits'!$J$2:$J$1000,"Confirmed")</f>
        <v/>
      </c>
      <c r="F10" s="5">
        <f>COUNTIF('Approvals and Limits'!$J$2:$J$1000,"Configured")</f>
        <v/>
      </c>
      <c r="G10" s="5">
        <f>COUNTIF('Approvals and Limits'!$J$2:$J$1000,"Not applicable")</f>
        <v/>
      </c>
      <c r="H10" s="5">
        <f>COUNTIF('Approvals and Limits'!$J$2:$J$1000,"Gap (CR)")</f>
        <v/>
      </c>
      <c r="I10" s="6">
        <f>IF(B10=0,0,(F10+G10)/B10)</f>
        <v/>
      </c>
    </row>
    <row r="11">
      <c r="A11" s="5" t="inlineStr">
        <is>
          <t>E-mail and Templates</t>
        </is>
      </c>
      <c r="B11" s="5">
        <f>COUNTA('E-mail and Templates'!$A$2:$A$1000)</f>
        <v/>
      </c>
      <c r="C11" s="5">
        <f>COUNTIF('E-mail and Templates'!$J$2:$J$1000,"Open")</f>
        <v/>
      </c>
      <c r="D11" s="5">
        <f>COUNTIF('E-mail and Templates'!$J$2:$J$1000,"Answered")</f>
        <v/>
      </c>
      <c r="E11" s="5">
        <f>COUNTIF('E-mail and Templates'!$J$2:$J$1000,"Confirmed")</f>
        <v/>
      </c>
      <c r="F11" s="5">
        <f>COUNTIF('E-mail and Templates'!$J$2:$J$1000,"Configured")</f>
        <v/>
      </c>
      <c r="G11" s="5">
        <f>COUNTIF('E-mail and Templates'!$J$2:$J$1000,"Not applicable")</f>
        <v/>
      </c>
      <c r="H11" s="5">
        <f>COUNTIF('E-mail and Templates'!$J$2:$J$1000,"Gap (CR)")</f>
        <v/>
      </c>
      <c r="I11" s="6">
        <f>IF(B11=0,0,(F11+G11)/B11)</f>
        <v/>
      </c>
    </row>
    <row r="12">
      <c r="A12" s="5" t="inlineStr">
        <is>
          <t>Taxes and LGU</t>
        </is>
      </c>
      <c r="B12" s="5">
        <f>COUNTA('Taxes and LGU'!$A$2:$A$1000)</f>
        <v/>
      </c>
      <c r="C12" s="5">
        <f>COUNTIF('Taxes and LGU'!$J$2:$J$1000,"Open")</f>
        <v/>
      </c>
      <c r="D12" s="5">
        <f>COUNTIF('Taxes and LGU'!$J$2:$J$1000,"Answered")</f>
        <v/>
      </c>
      <c r="E12" s="5">
        <f>COUNTIF('Taxes and LGU'!$J$2:$J$1000,"Confirmed")</f>
        <v/>
      </c>
      <c r="F12" s="5">
        <f>COUNTIF('Taxes and LGU'!$J$2:$J$1000,"Configured")</f>
        <v/>
      </c>
      <c r="G12" s="5">
        <f>COUNTIF('Taxes and LGU'!$J$2:$J$1000,"Not applicable")</f>
        <v/>
      </c>
      <c r="H12" s="5">
        <f>COUNTIF('Taxes and LGU'!$J$2:$J$1000,"Gap (CR)")</f>
        <v/>
      </c>
      <c r="I12" s="6">
        <f>IF(B12=0,0,(F12+G12)/B12)</f>
        <v/>
      </c>
    </row>
    <row r="13">
      <c r="A13" s="5" t="inlineStr">
        <is>
          <t>Data Migration Sources</t>
        </is>
      </c>
      <c r="B13" s="5">
        <f>COUNTA('Data Migration Sources'!$A$2:$A$1000)</f>
        <v/>
      </c>
      <c r="C13" s="5">
        <f>COUNTIF('Data Migration Sources'!$J$2:$J$1000,"Open")</f>
        <v/>
      </c>
      <c r="D13" s="5">
        <f>COUNTIF('Data Migration Sources'!$J$2:$J$1000,"Answered")</f>
        <v/>
      </c>
      <c r="E13" s="5">
        <f>COUNTIF('Data Migration Sources'!$J$2:$J$1000,"Confirmed")</f>
        <v/>
      </c>
      <c r="F13" s="5">
        <f>COUNTIF('Data Migration Sources'!$J$2:$J$1000,"Configured")</f>
        <v/>
      </c>
      <c r="G13" s="5">
        <f>COUNTIF('Data Migration Sources'!$J$2:$J$1000,"Not applicable")</f>
        <v/>
      </c>
      <c r="H13" s="5">
        <f>COUNTIF('Data Migration Sources'!$J$2:$J$1000,"Gap (CR)")</f>
        <v/>
      </c>
      <c r="I13" s="6">
        <f>IF(B13=0,0,(F13+G13)/B13)</f>
        <v/>
      </c>
    </row>
    <row r="14">
      <c r="A14" s="5" t="inlineStr">
        <is>
          <t>Integrations</t>
        </is>
      </c>
      <c r="B14" s="5">
        <f>COUNTA('Integrations'!$A$2:$A$1000)</f>
        <v/>
      </c>
      <c r="C14" s="5">
        <f>COUNTIF('Integrations'!$J$2:$J$1000,"Open")</f>
        <v/>
      </c>
      <c r="D14" s="5">
        <f>COUNTIF('Integrations'!$J$2:$J$1000,"Answered")</f>
        <v/>
      </c>
      <c r="E14" s="5">
        <f>COUNTIF('Integrations'!$J$2:$J$1000,"Confirmed")</f>
        <v/>
      </c>
      <c r="F14" s="5">
        <f>COUNTIF('Integrations'!$J$2:$J$1000,"Configured")</f>
        <v/>
      </c>
      <c r="G14" s="5">
        <f>COUNTIF('Integrations'!$J$2:$J$1000,"Not applicable")</f>
        <v/>
      </c>
      <c r="H14" s="5">
        <f>COUNTIF('Integrations'!$J$2:$J$1000,"Gap (CR)")</f>
        <v/>
      </c>
      <c r="I14" s="6">
        <f>IF(B14=0,0,(F14+G14)/B14)</f>
        <v/>
      </c>
    </row>
    <row r="15">
      <c r="A15" s="5" t="inlineStr">
        <is>
          <t>Reports</t>
        </is>
      </c>
      <c r="B15" s="5">
        <f>COUNTA('Reports'!$A$2:$A$1000)</f>
        <v/>
      </c>
      <c r="C15" s="5">
        <f>COUNTIF('Reports'!$J$2:$J$1000,"Open")</f>
        <v/>
      </c>
      <c r="D15" s="5">
        <f>COUNTIF('Reports'!$J$2:$J$1000,"Answered")</f>
        <v/>
      </c>
      <c r="E15" s="5">
        <f>COUNTIF('Reports'!$J$2:$J$1000,"Confirmed")</f>
        <v/>
      </c>
      <c r="F15" s="5">
        <f>COUNTIF('Reports'!$J$2:$J$1000,"Configured")</f>
        <v/>
      </c>
      <c r="G15" s="5">
        <f>COUNTIF('Reports'!$J$2:$J$1000,"Not applicable")</f>
        <v/>
      </c>
      <c r="H15" s="5">
        <f>COUNTIF('Reports'!$J$2:$J$1000,"Gap (CR)")</f>
        <v/>
      </c>
      <c r="I15" s="6">
        <f>IF(B15=0,0,(F15+G15)/B15)</f>
        <v/>
      </c>
    </row>
    <row r="16">
      <c r="A16" s="7" t="inlineStr">
        <is>
          <t>Total</t>
        </is>
      </c>
      <c r="B16" s="7">
        <f>SUM(B2:B15)</f>
        <v/>
      </c>
      <c r="C16" s="7">
        <f>SUM(C2:C15)</f>
        <v/>
      </c>
      <c r="D16" s="7">
        <f>SUM(D2:D15)</f>
        <v/>
      </c>
      <c r="E16" s="7">
        <f>SUM(E2:E15)</f>
        <v/>
      </c>
      <c r="F16" s="7">
        <f>SUM(F2:F15)</f>
        <v/>
      </c>
      <c r="G16" s="7">
        <f>SUM(G2:G15)</f>
        <v/>
      </c>
      <c r="H16" s="7">
        <f>SUM(H2:H15)</f>
        <v/>
      </c>
      <c r="I16" s="8">
        <f>IF(B16=0,0,(F16+G16)/B16)</f>
        <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CO-01</t>
        </is>
      </c>
      <c r="B2" s="9" t="inlineStr">
        <is>
          <t>Legal identity</t>
        </is>
      </c>
      <c r="C2" s="9" t="inlineStr">
        <is>
          <t>Registered company name exactly as on the SEC and BIR registration</t>
        </is>
      </c>
      <c r="D2" s="9" t="inlineStr">
        <is>
          <t>Master &gt; Generals &gt; Organization &gt; Company</t>
        </is>
      </c>
      <c r="E2" s="9" t="inlineStr">
        <is>
          <t>Seeded company ITX "iorta TechNXT Corp.": replace</t>
        </is>
      </c>
      <c r="F2" s="10" t="inlineStr"/>
      <c r="G2" s="9" t="inlineStr">
        <is>
          <t>Sponsor</t>
        </is>
      </c>
      <c r="H2" s="9" t="inlineStr">
        <is>
          <t>Mobilisation</t>
        </is>
      </c>
      <c r="I2" s="11" t="inlineStr"/>
      <c r="J2" s="9" t="inlineStr">
        <is>
          <t>Open</t>
        </is>
      </c>
      <c r="K2" s="9" t="inlineStr">
        <is>
          <t>Primary company is the letterhead on documents and BIR forms</t>
        </is>
      </c>
    </row>
    <row r="3">
      <c r="A3" s="9" t="inlineStr">
        <is>
          <t>CO-02</t>
        </is>
      </c>
      <c r="B3" s="9" t="inlineStr">
        <is>
          <t>Legal identity</t>
        </is>
      </c>
      <c r="C3" s="9" t="inlineStr">
        <is>
          <t>TIN and RDO code</t>
        </is>
      </c>
      <c r="D3" s="9" t="inlineStr">
        <is>
          <t>Master &gt; Generals &gt; Organization &gt; Company</t>
        </is>
      </c>
      <c r="E3" s="9" t="inlineStr">
        <is>
          <t>Blank</t>
        </is>
      </c>
      <c r="F3" s="10" t="inlineStr"/>
      <c r="G3" s="9" t="inlineStr">
        <is>
          <t>Accounting Manager</t>
        </is>
      </c>
      <c r="H3" s="9" t="inlineStr">
        <is>
          <t>Mobilisation</t>
        </is>
      </c>
      <c r="I3" s="11" t="inlineStr"/>
      <c r="J3" s="9" t="inlineStr">
        <is>
          <t>Open</t>
        </is>
      </c>
      <c r="K3" s="9" t="inlineStr">
        <is>
          <t>Fields TIN, RDO Code</t>
        </is>
      </c>
    </row>
    <row r="4">
      <c r="A4" s="9" t="inlineStr">
        <is>
          <t>CO-03</t>
        </is>
      </c>
      <c r="B4" s="9" t="inlineStr">
        <is>
          <t>Legal identity</t>
        </is>
      </c>
      <c r="C4" s="9" t="inlineStr">
        <is>
          <t>Registered address, ZIP code, city, province</t>
        </is>
      </c>
      <c r="D4" s="9" t="inlineStr">
        <is>
          <t>Master &gt; Generals &gt; Organization &gt; Company</t>
        </is>
      </c>
      <c r="E4" s="9" t="inlineStr">
        <is>
          <t>Blank</t>
        </is>
      </c>
      <c r="F4" s="10" t="inlineStr"/>
      <c r="G4" s="9" t="inlineStr">
        <is>
          <t>Accounting Manager</t>
        </is>
      </c>
      <c r="H4" s="9" t="inlineStr">
        <is>
          <t>Mobilisation</t>
        </is>
      </c>
      <c r="I4" s="11" t="inlineStr"/>
      <c r="J4" s="9" t="inlineStr">
        <is>
          <t>Open</t>
        </is>
      </c>
      <c r="K4" s="9" t="inlineStr">
        <is>
          <t>Fields Address Line 1 to 3, Pin Code, City, State</t>
        </is>
      </c>
    </row>
    <row r="5">
      <c r="A5" s="9" t="inlineStr">
        <is>
          <t>CO-04</t>
        </is>
      </c>
      <c r="B5" s="9" t="inlineStr">
        <is>
          <t>Legal identity</t>
        </is>
      </c>
      <c r="C5" s="9" t="inlineStr">
        <is>
          <t>Insurance Commission certificate of authority (licence) number and validity</t>
        </is>
      </c>
      <c r="D5" s="9" t="inlineStr">
        <is>
          <t>Master &gt; Generals &gt; Organization &gt; Company</t>
        </is>
      </c>
      <c r="E5" s="9" t="inlineStr">
        <is>
          <t>Blank</t>
        </is>
      </c>
      <c r="F5" s="10" t="inlineStr"/>
      <c r="G5" s="9" t="inlineStr">
        <is>
          <t>Sponsor</t>
        </is>
      </c>
      <c r="H5" s="9" t="inlineStr">
        <is>
          <t>Mobilisation</t>
        </is>
      </c>
      <c r="I5" s="11" t="inlineStr"/>
      <c r="J5" s="9" t="inlineStr">
        <is>
          <t>Open</t>
        </is>
      </c>
      <c r="K5" s="9" t="inlineStr">
        <is>
          <t>Field License Number</t>
        </is>
      </c>
    </row>
    <row r="6">
      <c r="A6" s="9" t="inlineStr">
        <is>
          <t>CO-05</t>
        </is>
      </c>
      <c r="B6" s="9" t="inlineStr">
        <is>
          <t>Legal identity</t>
        </is>
      </c>
      <c r="C6" s="9" t="inlineStr">
        <is>
          <t>Company e-mail, telephone, website</t>
        </is>
      </c>
      <c r="D6" s="9" t="inlineStr">
        <is>
          <t>Master &gt; Generals &gt; Organization &gt; Company</t>
        </is>
      </c>
      <c r="E6" s="9" t="inlineStr">
        <is>
          <t>Blank</t>
        </is>
      </c>
      <c r="F6" s="10" t="inlineStr"/>
      <c r="G6" s="9" t="inlineStr">
        <is>
          <t>System Administrator</t>
        </is>
      </c>
      <c r="H6" s="9" t="inlineStr">
        <is>
          <t>Configuration</t>
        </is>
      </c>
      <c r="I6" s="11" t="inlineStr"/>
      <c r="J6" s="9" t="inlineStr">
        <is>
          <t>Open</t>
        </is>
      </c>
      <c r="K6" s="9" t="inlineStr"/>
    </row>
    <row r="7">
      <c r="A7" s="9" t="inlineStr">
        <is>
          <t>CO-06</t>
        </is>
      </c>
      <c r="B7" s="9" t="inlineStr">
        <is>
          <t>Legal identity</t>
        </is>
      </c>
      <c r="C7" s="9" t="inlineStr">
        <is>
          <t>More than one legal entity on the system? Which one is the letterhead company</t>
        </is>
      </c>
      <c r="D7" s="9" t="inlineStr">
        <is>
          <t>Master &gt; Generals &gt; Organization &gt; Company</t>
        </is>
      </c>
      <c r="E7" s="9" t="inlineStr">
        <is>
          <t>One company</t>
        </is>
      </c>
      <c r="F7" s="10" t="inlineStr"/>
      <c r="G7" s="9" t="inlineStr">
        <is>
          <t>Sponsor</t>
        </is>
      </c>
      <c r="H7" s="9" t="inlineStr">
        <is>
          <t>Discovery</t>
        </is>
      </c>
      <c r="I7" s="11" t="inlineStr"/>
      <c r="J7" s="9" t="inlineStr">
        <is>
          <t>Open</t>
        </is>
      </c>
      <c r="K7" s="9" t="inlineStr">
        <is>
          <t>Field "Letterhead company - used on documents and reports"</t>
        </is>
      </c>
    </row>
    <row r="8">
      <c r="A8" s="9" t="inlineStr">
        <is>
          <t>CO-07</t>
        </is>
      </c>
      <c r="B8" s="9" t="inlineStr">
        <is>
          <t>Branding</t>
        </is>
      </c>
      <c r="C8" s="9" t="inlineStr">
        <is>
          <t>Logo for printed documents (PNG, at least 300 px wide)</t>
        </is>
      </c>
      <c r="D8" s="9" t="inlineStr">
        <is>
          <t>Master &gt; Generals &gt; Organization &gt; Company</t>
        </is>
      </c>
      <c r="E8" s="9" t="inlineStr">
        <is>
          <t>iorta TechNXT logo (fallback)</t>
        </is>
      </c>
      <c r="F8" s="10" t="inlineStr"/>
      <c r="G8" s="9" t="inlineStr">
        <is>
          <t>System Administrator</t>
        </is>
      </c>
      <c r="H8" s="9" t="inlineStr">
        <is>
          <t>Configuration</t>
        </is>
      </c>
      <c r="I8" s="11" t="inlineStr"/>
      <c r="J8" s="9" t="inlineStr">
        <is>
          <t>Open</t>
        </is>
      </c>
      <c r="K8" s="9" t="inlineStr">
        <is>
          <t>documents.default_logo_path is the fallback only</t>
        </is>
      </c>
    </row>
    <row r="9">
      <c r="A9" s="9" t="inlineStr">
        <is>
          <t>CO-08</t>
        </is>
      </c>
      <c r="B9" s="9" t="inlineStr">
        <is>
          <t>Branding</t>
        </is>
      </c>
      <c r="C9" s="9" t="inlineStr">
        <is>
          <t>Application name on the sign-in page, side bar and browser tab</t>
        </is>
      </c>
      <c r="D9" s="9" t="inlineStr">
        <is>
          <t>Master &gt; System Settings</t>
        </is>
      </c>
      <c r="E9" s="9" t="inlineStr">
        <is>
          <t>BrokerVerse</t>
        </is>
      </c>
      <c r="F9" s="10" t="inlineStr"/>
      <c r="G9" s="9" t="inlineStr">
        <is>
          <t>Sponsor</t>
        </is>
      </c>
      <c r="H9" s="9" t="inlineStr">
        <is>
          <t>Configuration</t>
        </is>
      </c>
      <c r="I9" s="11" t="inlineStr"/>
      <c r="J9" s="9" t="inlineStr">
        <is>
          <t>Open</t>
        </is>
      </c>
      <c r="K9" s="9" t="inlineStr">
        <is>
          <t>general.system_name</t>
        </is>
      </c>
    </row>
    <row r="10">
      <c r="A10" s="9" t="inlineStr">
        <is>
          <t>CO-09</t>
        </is>
      </c>
      <c r="B10" s="9" t="inlineStr">
        <is>
          <t>Branding</t>
        </is>
      </c>
      <c r="C10" s="9" t="inlineStr">
        <is>
          <t>Screen logo and colours</t>
        </is>
      </c>
      <c r="D10" s="9" t="inlineStr">
        <is>
          <t>Master &gt; System Settings</t>
        </is>
      </c>
      <c r="E10" s="9" t="inlineStr">
        <is>
          <t>Primary #0072d8, secondary #004ea8</t>
        </is>
      </c>
      <c r="F10" s="10" t="inlineStr"/>
      <c r="G10" s="9" t="inlineStr">
        <is>
          <t>System Administrator</t>
        </is>
      </c>
      <c r="H10" s="9" t="inlineStr">
        <is>
          <t>Configuration</t>
        </is>
      </c>
      <c r="I10" s="11" t="inlineStr"/>
      <c r="J10" s="9" t="inlineStr">
        <is>
          <t>Open</t>
        </is>
      </c>
      <c r="K10" s="9" t="inlineStr">
        <is>
          <t>branding.logo_url, branding.primary_color, branding.secondary_color</t>
        </is>
      </c>
    </row>
    <row r="11">
      <c r="A11" s="9" t="inlineStr">
        <is>
          <t>CO-10</t>
        </is>
      </c>
      <c r="B11" s="9" t="inlineStr">
        <is>
          <t>Branding</t>
        </is>
      </c>
      <c r="C11" s="9" t="inlineStr">
        <is>
          <t>Accent colour of printed documents and report PDFs</t>
        </is>
      </c>
      <c r="D11" s="9" t="inlineStr">
        <is>
          <t>Master &gt; Configuration (Company &amp; Branding)</t>
        </is>
      </c>
      <c r="E11" s="9" t="inlineStr">
        <is>
          <t>#1f4e79</t>
        </is>
      </c>
      <c r="F11" s="10" t="inlineStr"/>
      <c r="G11" s="9" t="inlineStr">
        <is>
          <t>System Administrator</t>
        </is>
      </c>
      <c r="H11" s="9" t="inlineStr">
        <is>
          <t>Configuration</t>
        </is>
      </c>
      <c r="I11" s="11" t="inlineStr"/>
      <c r="J11" s="9" t="inlineStr">
        <is>
          <t>Open</t>
        </is>
      </c>
      <c r="K11" s="9" t="inlineStr">
        <is>
          <t>documents.accent_color</t>
        </is>
      </c>
    </row>
    <row r="12">
      <c r="A12" s="9" t="inlineStr">
        <is>
          <t>CO-11</t>
        </is>
      </c>
      <c r="B12" s="9" t="inlineStr">
        <is>
          <t>Branches</t>
        </is>
      </c>
      <c r="C12" s="9" t="inlineStr">
        <is>
          <t>List of branches: code, name, address, e-mail, telephone</t>
        </is>
      </c>
      <c r="D12" s="9" t="inlineStr">
        <is>
          <t>Master &gt; Generals &gt; Organization &gt; Branch</t>
        </is>
      </c>
      <c r="E12" s="9" t="inlineStr">
        <is>
          <t>HO Head Office, Makati City</t>
        </is>
      </c>
      <c r="F12" s="10" t="inlineStr"/>
      <c r="G12" s="9" t="inlineStr">
        <is>
          <t>Operations head</t>
        </is>
      </c>
      <c r="H12" s="9" t="inlineStr">
        <is>
          <t>Mock load 1</t>
        </is>
      </c>
      <c r="I12" s="11" t="inlineStr"/>
      <c r="J12" s="9" t="inlineStr">
        <is>
          <t>Open</t>
        </is>
      </c>
      <c r="K12" s="9" t="inlineStr">
        <is>
          <t>Branch_Upload_Template.xlsx</t>
        </is>
      </c>
    </row>
    <row r="13">
      <c r="A13" s="9" t="inlineStr">
        <is>
          <t>CO-12</t>
        </is>
      </c>
      <c r="B13" s="9" t="inlineStr">
        <is>
          <t>Branches</t>
        </is>
      </c>
      <c r="C13" s="9" t="inlineStr">
        <is>
          <t>Departments per branch</t>
        </is>
      </c>
      <c r="D13" s="9" t="inlineStr">
        <is>
          <t>Master &gt; Generals &gt; Organization &gt; Branch (Department_Upload_Template.xlsx)</t>
        </is>
      </c>
      <c r="E13" s="9" t="inlineStr">
        <is>
          <t>Seeded departments</t>
        </is>
      </c>
      <c r="F13" s="10" t="inlineStr"/>
      <c r="G13" s="9" t="inlineStr">
        <is>
          <t>Operations head</t>
        </is>
      </c>
      <c r="H13" s="9" t="inlineStr">
        <is>
          <t>Mock load 1</t>
        </is>
      </c>
      <c r="I13" s="11" t="inlineStr"/>
      <c r="J13" s="9" t="inlineStr">
        <is>
          <t>Open</t>
        </is>
      </c>
      <c r="K13" s="9" t="inlineStr">
        <is>
          <t>Department upload through the API route written on the template</t>
        </is>
      </c>
    </row>
    <row r="14">
      <c r="A14" s="9" t="inlineStr">
        <is>
          <t>CO-13</t>
        </is>
      </c>
      <c r="B14" s="9" t="inlineStr">
        <is>
          <t>People</t>
        </is>
      </c>
      <c r="C14" s="9" t="inlineStr">
        <is>
          <t>Employee hierarchy (ranks) and designations</t>
        </is>
      </c>
      <c r="D14" s="9" t="inlineStr">
        <is>
          <t>Master &gt; Generals &gt; Employee Management &gt; Hierarchy; Designation</t>
        </is>
      </c>
      <c r="E14" s="9" t="inlineStr">
        <is>
          <t>Seeded hierarchy and designations</t>
        </is>
      </c>
      <c r="F14" s="10" t="inlineStr"/>
      <c r="G14" s="9" t="inlineStr">
        <is>
          <t>HR</t>
        </is>
      </c>
      <c r="H14" s="9" t="inlineStr">
        <is>
          <t>Mock load 1</t>
        </is>
      </c>
      <c r="I14" s="11" t="inlineStr"/>
      <c r="J14" s="9" t="inlineStr">
        <is>
          <t>Open</t>
        </is>
      </c>
      <c r="K14" s="9" t="inlineStr">
        <is>
          <t>Hierarchy_ and Designation_Upload_Template.xlsx</t>
        </is>
      </c>
    </row>
    <row r="15">
      <c r="A15" s="9" t="inlineStr">
        <is>
          <t>CO-14</t>
        </is>
      </c>
      <c r="B15" s="9" t="inlineStr">
        <is>
          <t>People</t>
        </is>
      </c>
      <c r="C15" s="9" t="inlineStr">
        <is>
          <t>Employees and sales persons with branch, department, reporting line</t>
        </is>
      </c>
      <c r="D15" s="9" t="inlineStr">
        <is>
          <t>Master &gt; Generals &gt; Employee Management &gt; Employee</t>
        </is>
      </c>
      <c r="E15" s="9" t="inlineStr">
        <is>
          <t>None</t>
        </is>
      </c>
      <c r="F15" s="10" t="inlineStr"/>
      <c r="G15" s="9" t="inlineStr">
        <is>
          <t>HR</t>
        </is>
      </c>
      <c r="H15" s="9" t="inlineStr">
        <is>
          <t>Mock load 1</t>
        </is>
      </c>
      <c r="I15" s="11" t="inlineStr"/>
      <c r="J15" s="9" t="inlineStr">
        <is>
          <t>Open</t>
        </is>
      </c>
      <c r="K15" s="9" t="inlineStr">
        <is>
          <t>Employee codes EMP-0001 (series employee)</t>
        </is>
      </c>
    </row>
    <row r="16">
      <c r="A16" s="9" t="inlineStr">
        <is>
          <t>CO-15</t>
        </is>
      </c>
      <c r="B16" s="9" t="inlineStr">
        <is>
          <t>Calendar</t>
        </is>
      </c>
      <c r="C16" s="9" t="inlineStr">
        <is>
          <t>Fiscal year start month</t>
        </is>
      </c>
      <c r="D16" s="9" t="inlineStr">
        <is>
          <t>Master &gt; Configuration (Accounting &amp; Tax)</t>
        </is>
      </c>
      <c r="E16" s="9" t="inlineStr">
        <is>
          <t>1 (January)</t>
        </is>
      </c>
      <c r="F16" s="10" t="inlineStr"/>
      <c r="G16" s="9" t="inlineStr">
        <is>
          <t>Accounting Manager</t>
        </is>
      </c>
      <c r="H16" s="9" t="inlineStr">
        <is>
          <t>Discovery</t>
        </is>
      </c>
      <c r="I16" s="11" t="inlineStr"/>
      <c r="J16" s="9" t="inlineStr">
        <is>
          <t>Open</t>
        </is>
      </c>
      <c r="K16" s="9" t="inlineStr">
        <is>
          <t>accounting.fiscal_year_start_month</t>
        </is>
      </c>
    </row>
    <row r="17">
      <c r="A17" s="9" t="inlineStr">
        <is>
          <t>CO-16</t>
        </is>
      </c>
      <c r="B17" s="9" t="inlineStr">
        <is>
          <t>Calendar</t>
        </is>
      </c>
      <c r="C17" s="9" t="inlineStr">
        <is>
          <t>Time zone and date format</t>
        </is>
      </c>
      <c r="D17" s="9" t="inlineStr">
        <is>
          <t>Master &gt; System Settings</t>
        </is>
      </c>
      <c r="E17" s="9" t="inlineStr">
        <is>
          <t>Asia/Manila; DD/MM/YYYY</t>
        </is>
      </c>
      <c r="F17" s="10" t="inlineStr"/>
      <c r="G17" s="9" t="inlineStr">
        <is>
          <t>System Administrator</t>
        </is>
      </c>
      <c r="H17" s="9" t="inlineStr">
        <is>
          <t>Configuration</t>
        </is>
      </c>
      <c r="I17" s="11" t="inlineStr"/>
      <c r="J17" s="9" t="inlineStr">
        <is>
          <t>Open</t>
        </is>
      </c>
      <c r="K17" s="9" t="inlineStr">
        <is>
          <t>general.timezone, general.date_format</t>
        </is>
      </c>
    </row>
    <row r="18">
      <c r="A18" s="9" t="inlineStr">
        <is>
          <t>CO-17</t>
        </is>
      </c>
      <c r="B18" s="9" t="inlineStr">
        <is>
          <t>Calendar</t>
        </is>
      </c>
      <c r="C18" s="9" t="inlineStr">
        <is>
          <t>Go-live date and first open accounting period</t>
        </is>
      </c>
      <c r="D18" s="9" t="inlineStr">
        <is>
          <t>Accounts &gt; Period End &gt; Period Management</t>
        </is>
      </c>
      <c r="E18" s="9" t="inlineStr">
        <is>
          <t>None</t>
        </is>
      </c>
      <c r="F18" s="10" t="inlineStr"/>
      <c r="G18" s="9" t="inlineStr">
        <is>
          <t>Sponsor</t>
        </is>
      </c>
      <c r="H18" s="9" t="inlineStr">
        <is>
          <t>Mobilisation</t>
        </is>
      </c>
      <c r="I18" s="11" t="inlineStr"/>
      <c r="J18" s="9" t="inlineStr">
        <is>
          <t>Open</t>
        </is>
      </c>
      <c r="K18" s="9" t="inlineStr">
        <is>
          <t>Drives cutover and opening balance date</t>
        </is>
      </c>
    </row>
    <row r="19">
      <c r="A19" s="9" t="inlineStr">
        <is>
          <t>CO-18</t>
        </is>
      </c>
      <c r="B19" s="9" t="inlineStr">
        <is>
          <t>Calendar</t>
        </is>
      </c>
      <c r="C19" s="9" t="inlineStr">
        <is>
          <t>Month-end close calendar, BIR filing dates and peak renewal months to avoid for releases</t>
        </is>
      </c>
      <c r="D19" s="9" t="inlineStr">
        <is>
          <t>Not a system setting</t>
        </is>
      </c>
      <c r="E19" s="9" t="inlineStr">
        <is>
          <t>Not applicable</t>
        </is>
      </c>
      <c r="F19" s="10" t="inlineStr"/>
      <c r="G19" s="9" t="inlineStr">
        <is>
          <t>Accounting Manager</t>
        </is>
      </c>
      <c r="H19" s="9" t="inlineStr">
        <is>
          <t>Discovery</t>
        </is>
      </c>
      <c r="I19" s="11" t="inlineStr"/>
      <c r="J19" s="9" t="inlineStr">
        <is>
          <t>Open</t>
        </is>
      </c>
      <c r="K19" s="9" t="inlineStr">
        <is>
          <t>Used for the maintenance window and the BCP</t>
        </is>
      </c>
    </row>
    <row r="20">
      <c r="A20" s="9" t="inlineStr">
        <is>
          <t>CO-19</t>
        </is>
      </c>
      <c r="B20" s="9" t="inlineStr">
        <is>
          <t>Dashboards</t>
        </is>
      </c>
      <c r="C20" s="9" t="inlineStr">
        <is>
          <t>Management targets: revenue, active policies, new business, claims ratio, retention, satisfaction</t>
        </is>
      </c>
      <c r="D20" s="9" t="inlineStr">
        <is>
          <t>Master &gt; Configuration (Reports &amp; Dashboards)</t>
        </is>
      </c>
      <c r="E20" s="9" t="inlineStr">
        <is>
          <t>Revenue PHP 5,000,000.00; 250 policies; new business PHP 2,000,000.00; claims ratio 70; retention 90; satisfaction 95</t>
        </is>
      </c>
      <c r="F20" s="10" t="inlineStr"/>
      <c r="G20" s="9" t="inlineStr">
        <is>
          <t>Sponsor</t>
        </is>
      </c>
      <c r="H20" s="9" t="inlineStr">
        <is>
          <t>Configuration</t>
        </is>
      </c>
      <c r="I20" s="11" t="inlineStr"/>
      <c r="J20" s="9" t="inlineStr">
        <is>
          <t>Open</t>
        </is>
      </c>
      <c r="K20" s="9" t="inlineStr">
        <is>
          <t>dashboard.targets</t>
        </is>
      </c>
    </row>
    <row r="21">
      <c r="A21" s="9" t="inlineStr">
        <is>
          <t>CO-20</t>
        </is>
      </c>
      <c r="B21" s="9" t="inlineStr">
        <is>
          <t>Dashboards</t>
        </is>
      </c>
      <c r="C21" s="9" t="inlineStr">
        <is>
          <t>Sum insured above which a policy is flagged as high value</t>
        </is>
      </c>
      <c r="D21" s="9" t="inlineStr">
        <is>
          <t>Master &gt; Configuration (Reports &amp; Dashboards)</t>
        </is>
      </c>
      <c r="E21" s="9" t="inlineStr">
        <is>
          <t>PHP 5,000,000.00</t>
        </is>
      </c>
      <c r="F21" s="10" t="inlineStr"/>
      <c r="G21" s="9" t="inlineStr">
        <is>
          <t>Sponsor</t>
        </is>
      </c>
      <c r="H21" s="9" t="inlineStr">
        <is>
          <t>Configuration</t>
        </is>
      </c>
      <c r="I21" s="11" t="inlineStr"/>
      <c r="J21" s="9" t="inlineStr">
        <is>
          <t>Open</t>
        </is>
      </c>
      <c r="K21" s="9" t="inlineStr">
        <is>
          <t>dashboard.high_sum_insured</t>
        </is>
      </c>
    </row>
    <row r="22">
      <c r="A22" s="9" t="inlineStr">
        <is>
          <t>CO-21</t>
        </is>
      </c>
      <c r="B22" s="9" t="inlineStr">
        <is>
          <t>Hosting</t>
        </is>
      </c>
      <c r="C22" s="9" t="inlineStr">
        <is>
          <t>Hosting option: AWS Singapore, Azure Singapore, Philippine partner, or own data centre</t>
        </is>
      </c>
      <c r="D22" s="9" t="inlineStr">
        <is>
          <t>Not a system setting</t>
        </is>
      </c>
      <c r="E22" s="9" t="inlineStr">
        <is>
          <t>AWS Singapore (implementation assumption)</t>
        </is>
      </c>
      <c r="F22" s="10" t="inlineStr"/>
      <c r="G22" s="9" t="inlineStr">
        <is>
          <t>IT head</t>
        </is>
      </c>
      <c r="H22" s="9" t="inlineStr">
        <is>
          <t>Mobilisation</t>
        </is>
      </c>
      <c r="I22" s="11" t="inlineStr"/>
      <c r="J22" s="9" t="inlineStr">
        <is>
          <t>Open</t>
        </is>
      </c>
      <c r="K22" s="9" t="inlineStr">
        <is>
          <t>Architecture document; data residency decision recorded by the DPO</t>
        </is>
      </c>
    </row>
    <row r="23">
      <c r="A23" s="9" t="inlineStr">
        <is>
          <t>CO-22</t>
        </is>
      </c>
      <c r="B23" s="9" t="inlineStr">
        <is>
          <t>Hosting</t>
        </is>
      </c>
      <c r="C23" s="9" t="inlineStr">
        <is>
          <t>Planned maintenance window</t>
        </is>
      </c>
      <c r="D23" s="9" t="inlineStr">
        <is>
          <t>Not a system setting</t>
        </is>
      </c>
      <c r="E23" s="9" t="inlineStr">
        <is>
          <t>Saturday 20:00 to Sunday 06:00 PHT</t>
        </is>
      </c>
      <c r="F23" s="10" t="inlineStr"/>
      <c r="G23" s="9" t="inlineStr">
        <is>
          <t>IT head</t>
        </is>
      </c>
      <c r="H23" s="9" t="inlineStr">
        <is>
          <t>Discovery</t>
        </is>
      </c>
      <c r="I23" s="11" t="inlineStr"/>
      <c r="J23" s="9" t="inlineStr">
        <is>
          <t>Open</t>
        </is>
      </c>
      <c r="K23" s="9" t="inlineStr">
        <is>
          <t>Production Support Approach and Standards</t>
        </is>
      </c>
    </row>
  </sheetData>
  <autoFilter ref="A1:K23"/>
  <conditionalFormatting sqref="A2:K23">
    <cfRule type="expression" priority="1" dxfId="0">
      <formula>$J2="Configured"</formula>
    </cfRule>
    <cfRule type="expression" priority="2" dxfId="1">
      <formula>$J2="Gap (CR)"</formula>
    </cfRule>
  </conditionalFormatting>
  <dataValidations count="2">
    <dataValidation sqref="J2:J23" showDropDown="0" showInputMessage="0" showErrorMessage="0" allowBlank="1" type="list">
      <formula1>"Open,Answered,Confirmed,Configured,Not applicable,Gap (CR)"</formula1>
    </dataValidation>
    <dataValidation sqref="I2:I2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US-01</t>
        </is>
      </c>
      <c r="B2" s="9" t="inlineStr">
        <is>
          <t>Users</t>
        </is>
      </c>
      <c r="C2" s="9" t="inlineStr">
        <is>
          <t>List of named users: full name, user name, e-mail, branch, department, role</t>
        </is>
      </c>
      <c r="D2" s="9" t="inlineStr">
        <is>
          <t>Master &gt; Generals &gt; User Management &gt; User</t>
        </is>
      </c>
      <c r="E2" s="9" t="inlineStr">
        <is>
          <t>Administrator BrokerVerse only</t>
        </is>
      </c>
      <c r="F2" s="10" t="inlineStr"/>
      <c r="G2" s="9" t="inlineStr">
        <is>
          <t>System Administrator</t>
        </is>
      </c>
      <c r="H2" s="9" t="inlineStr">
        <is>
          <t>Mock load 1</t>
        </is>
      </c>
      <c r="I2" s="11" t="inlineStr"/>
      <c r="J2" s="9" t="inlineStr">
        <is>
          <t>Open</t>
        </is>
      </c>
      <c r="K2" s="9" t="inlineStr">
        <is>
          <t>Users_Provisioning_Template.xlsx; user list due two weeks before training</t>
        </is>
      </c>
    </row>
    <row r="3">
      <c r="A3" s="9" t="inlineStr">
        <is>
          <t>US-02</t>
        </is>
      </c>
      <c r="B3" s="9" t="inlineStr">
        <is>
          <t>Roles</t>
        </is>
      </c>
      <c r="C3" s="9" t="inlineStr">
        <is>
          <t>Map each job title to one of the seven delivered roles</t>
        </is>
      </c>
      <c r="D3" s="9" t="inlineStr">
        <is>
          <t>Master &gt; Generals &gt; User Management &gt; Role</t>
        </is>
      </c>
      <c r="E3" s="9" t="inlineStr">
        <is>
          <t>System Administrator, Sales &amp; Marketing, Processing Team, Operations, Claims, Accounting, Accounting Manager</t>
        </is>
      </c>
      <c r="F3" s="10" t="inlineStr"/>
      <c r="G3" s="9" t="inlineStr">
        <is>
          <t>Sponsor</t>
        </is>
      </c>
      <c r="H3" s="9" t="inlineStr">
        <is>
          <t>Discovery</t>
        </is>
      </c>
      <c r="I3" s="11" t="inlineStr"/>
      <c r="J3" s="9" t="inlineStr">
        <is>
          <t>Open</t>
        </is>
      </c>
      <c r="K3" s="9" t="inlineStr">
        <is>
          <t>One role per user is the norm</t>
        </is>
      </c>
    </row>
    <row r="4">
      <c r="A4" s="9" t="inlineStr">
        <is>
          <t>US-03</t>
        </is>
      </c>
      <c r="B4" s="9" t="inlineStr">
        <is>
          <t>Roles</t>
        </is>
      </c>
      <c r="C4" s="9" t="inlineStr">
        <is>
          <t>Changes to the permissions of a delivered role</t>
        </is>
      </c>
      <c r="D4" s="9" t="inlineStr">
        <is>
          <t>Master &gt; Generals &gt; User Management &gt; Role Permissions</t>
        </is>
      </c>
      <c r="E4" s="9" t="inlineStr">
        <is>
          <t>Delivered grants</t>
        </is>
      </c>
      <c r="F4" s="10" t="inlineStr"/>
      <c r="G4" s="9" t="inlineStr">
        <is>
          <t>Sponsor</t>
        </is>
      </c>
      <c r="H4" s="9" t="inlineStr">
        <is>
          <t>Discovery</t>
        </is>
      </c>
      <c r="I4" s="11" t="inlineStr"/>
      <c r="J4" s="9" t="inlineStr">
        <is>
          <t>Open</t>
        </is>
      </c>
      <c r="K4" s="9" t="inlineStr">
        <is>
          <t>Review with the User Access Matrix</t>
        </is>
      </c>
    </row>
    <row r="5">
      <c r="A5" s="9" t="inlineStr">
        <is>
          <t>US-04</t>
        </is>
      </c>
      <c r="B5" s="9" t="inlineStr">
        <is>
          <t>Administrators</t>
        </is>
      </c>
      <c r="C5" s="9" t="inlineStr">
        <is>
          <t>Names of the System Administrator and a deputy</t>
        </is>
      </c>
      <c r="D5" s="9" t="inlineStr">
        <is>
          <t>Master &gt; Generals &gt; User Management &gt; User</t>
        </is>
      </c>
      <c r="E5" s="9" t="inlineStr">
        <is>
          <t>None</t>
        </is>
      </c>
      <c r="F5" s="10" t="inlineStr"/>
      <c r="G5" s="9" t="inlineStr">
        <is>
          <t>IT head</t>
        </is>
      </c>
      <c r="H5" s="9" t="inlineStr">
        <is>
          <t>Mobilisation</t>
        </is>
      </c>
      <c r="I5" s="11" t="inlineStr"/>
      <c r="J5" s="9" t="inlineStr">
        <is>
          <t>Open</t>
        </is>
      </c>
      <c r="K5" s="9" t="inlineStr">
        <is>
          <t>At least two recommended</t>
        </is>
      </c>
    </row>
    <row r="6">
      <c r="A6" s="9" t="inlineStr">
        <is>
          <t>US-05</t>
        </is>
      </c>
      <c r="B6" s="9" t="inlineStr">
        <is>
          <t>Approvers</t>
        </is>
      </c>
      <c r="C6" s="9" t="inlineStr">
        <is>
          <t>Names of a second Accounting Manager and second checkers for each maker-checker flow</t>
        </is>
      </c>
      <c r="D6" s="9" t="inlineStr">
        <is>
          <t>Master &gt; Generals &gt; User Management &gt; User</t>
        </is>
      </c>
      <c r="E6" s="9" t="inlineStr">
        <is>
          <t>None</t>
        </is>
      </c>
      <c r="F6" s="10" t="inlineStr"/>
      <c r="G6" s="9" t="inlineStr">
        <is>
          <t>Accounting Manager</t>
        </is>
      </c>
      <c r="H6" s="9" t="inlineStr">
        <is>
          <t>Discovery</t>
        </is>
      </c>
      <c r="I6" s="11" t="inlineStr"/>
      <c r="J6" s="9" t="inlineStr">
        <is>
          <t>Open</t>
        </is>
      </c>
      <c r="K6" s="9" t="inlineStr">
        <is>
          <t>Maker and checker must be different users</t>
        </is>
      </c>
    </row>
    <row r="7">
      <c r="A7" s="9" t="inlineStr">
        <is>
          <t>US-06</t>
        </is>
      </c>
      <c r="B7" s="9" t="inlineStr">
        <is>
          <t>Security</t>
        </is>
      </c>
      <c r="C7" s="9" t="inlineStr">
        <is>
          <t>Roles that must use two-step verification (authenticator app)</t>
        </is>
      </c>
      <c r="D7" s="9" t="inlineStr">
        <is>
          <t>Master &gt; Configuration (Security &amp; Access)</t>
        </is>
      </c>
      <c r="E7" s="9" t="inlineStr">
        <is>
          <t>None</t>
        </is>
      </c>
      <c r="F7" s="10" t="inlineStr"/>
      <c r="G7" s="9" t="inlineStr">
        <is>
          <t>IT head</t>
        </is>
      </c>
      <c r="H7" s="9" t="inlineStr">
        <is>
          <t>Configuration</t>
        </is>
      </c>
      <c r="I7" s="11" t="inlineStr"/>
      <c r="J7" s="9" t="inlineStr">
        <is>
          <t>Open</t>
        </is>
      </c>
      <c r="K7" s="9" t="inlineStr">
        <is>
          <t>security.require_2fa_roles; recommended system-admin, accounting, accounting-manager</t>
        </is>
      </c>
    </row>
    <row r="8">
      <c r="A8" s="9" t="inlineStr">
        <is>
          <t>US-07</t>
        </is>
      </c>
      <c r="B8" s="9" t="inlineStr">
        <is>
          <t>Security</t>
        </is>
      </c>
      <c r="C8" s="9" t="inlineStr">
        <is>
          <t>Password policy: length, character classes, history, maximum age</t>
        </is>
      </c>
      <c r="D8" s="9" t="inlineStr">
        <is>
          <t>Master &gt; Configuration (Security &amp; Access)</t>
        </is>
      </c>
      <c r="E8" s="9" t="inlineStr">
        <is>
          <t>8 characters; upper, lower, digit, symbol; last 5 refused; 90 days</t>
        </is>
      </c>
      <c r="F8" s="10" t="inlineStr"/>
      <c r="G8" s="9" t="inlineStr">
        <is>
          <t>IT head</t>
        </is>
      </c>
      <c r="H8" s="9" t="inlineStr">
        <is>
          <t>Configuration</t>
        </is>
      </c>
      <c r="I8" s="11" t="inlineStr"/>
      <c r="J8" s="9" t="inlineStr">
        <is>
          <t>Open</t>
        </is>
      </c>
      <c r="K8" s="9" t="inlineStr">
        <is>
          <t>security.password_*</t>
        </is>
      </c>
    </row>
    <row r="9">
      <c r="A9" s="9" t="inlineStr">
        <is>
          <t>US-08</t>
        </is>
      </c>
      <c r="B9" s="9" t="inlineStr">
        <is>
          <t>Security</t>
        </is>
      </c>
      <c r="C9" s="9" t="inlineStr">
        <is>
          <t>Failed sign-ins before the account is locked</t>
        </is>
      </c>
      <c r="D9" s="9" t="inlineStr">
        <is>
          <t>Master &gt; Configuration (Security &amp; Access)</t>
        </is>
      </c>
      <c r="E9" s="9" t="inlineStr">
        <is>
          <t>5</t>
        </is>
      </c>
      <c r="F9" s="10" t="inlineStr"/>
      <c r="G9" s="9" t="inlineStr">
        <is>
          <t>IT head</t>
        </is>
      </c>
      <c r="H9" s="9" t="inlineStr">
        <is>
          <t>Configuration</t>
        </is>
      </c>
      <c r="I9" s="11" t="inlineStr"/>
      <c r="J9" s="9" t="inlineStr">
        <is>
          <t>Open</t>
        </is>
      </c>
      <c r="K9" s="9" t="inlineStr">
        <is>
          <t>limits.max_login_attempts</t>
        </is>
      </c>
    </row>
    <row r="10">
      <c r="A10" s="9" t="inlineStr">
        <is>
          <t>US-09</t>
        </is>
      </c>
      <c r="B10" s="9" t="inlineStr">
        <is>
          <t>Security</t>
        </is>
      </c>
      <c r="C10" s="9" t="inlineStr">
        <is>
          <t>Sign-in attempts per IP and user name</t>
        </is>
      </c>
      <c r="D10" s="9" t="inlineStr">
        <is>
          <t>Master &gt; Configuration (Security &amp; Access)</t>
        </is>
      </c>
      <c r="E10" s="9" t="inlineStr">
        <is>
          <t>10 per 300 seconds</t>
        </is>
      </c>
      <c r="F10" s="10" t="inlineStr"/>
      <c r="G10" s="9" t="inlineStr">
        <is>
          <t>IT head</t>
        </is>
      </c>
      <c r="H10" s="9" t="inlineStr">
        <is>
          <t>Configuration</t>
        </is>
      </c>
      <c r="I10" s="11" t="inlineStr"/>
      <c r="J10" s="9" t="inlineStr">
        <is>
          <t>Open</t>
        </is>
      </c>
      <c r="K10" s="9" t="inlineStr">
        <is>
          <t>security.login_rate_limit</t>
        </is>
      </c>
    </row>
    <row r="11">
      <c r="A11" s="9" t="inlineStr">
        <is>
          <t>US-10</t>
        </is>
      </c>
      <c r="B11" s="9" t="inlineStr">
        <is>
          <t>Security</t>
        </is>
      </c>
      <c r="C11" s="9" t="inlineStr">
        <is>
          <t>Idle sign-out</t>
        </is>
      </c>
      <c r="D11" s="9" t="inlineStr">
        <is>
          <t>Master &gt; Configuration (Security &amp; Access)</t>
        </is>
      </c>
      <c r="E11" s="9" t="inlineStr">
        <is>
          <t>30 minutes</t>
        </is>
      </c>
      <c r="F11" s="10" t="inlineStr"/>
      <c r="G11" s="9" t="inlineStr">
        <is>
          <t>IT head</t>
        </is>
      </c>
      <c r="H11" s="9" t="inlineStr">
        <is>
          <t>Configuration</t>
        </is>
      </c>
      <c r="I11" s="11" t="inlineStr"/>
      <c r="J11" s="9" t="inlineStr">
        <is>
          <t>Open</t>
        </is>
      </c>
      <c r="K11" s="9" t="inlineStr">
        <is>
          <t>limits.session_idle_minutes</t>
        </is>
      </c>
    </row>
    <row r="12">
      <c r="A12" s="9" t="inlineStr">
        <is>
          <t>US-11</t>
        </is>
      </c>
      <c r="B12" s="9" t="inlineStr">
        <is>
          <t>Security</t>
        </is>
      </c>
      <c r="C12" s="9" t="inlineStr">
        <is>
          <t>Days without sign-in before an account is deactivated</t>
        </is>
      </c>
      <c r="D12" s="9" t="inlineStr">
        <is>
          <t>Master &gt; Configuration (Security &amp; Access)</t>
        </is>
      </c>
      <c r="E12" s="9" t="inlineStr">
        <is>
          <t>90 days</t>
        </is>
      </c>
      <c r="F12" s="10" t="inlineStr"/>
      <c r="G12" s="9" t="inlineStr">
        <is>
          <t>IT head</t>
        </is>
      </c>
      <c r="H12" s="9" t="inlineStr">
        <is>
          <t>Configuration</t>
        </is>
      </c>
      <c r="I12" s="11" t="inlineStr"/>
      <c r="J12" s="9" t="inlineStr">
        <is>
          <t>Open</t>
        </is>
      </c>
      <c r="K12" s="9" t="inlineStr">
        <is>
          <t>access.dormant_days</t>
        </is>
      </c>
    </row>
    <row r="13">
      <c r="A13" s="9" t="inlineStr">
        <is>
          <t>US-12</t>
        </is>
      </c>
      <c r="B13" s="9" t="inlineStr">
        <is>
          <t>Scope</t>
        </is>
      </c>
      <c r="C13" s="9" t="inlineStr">
        <is>
          <t>Roles that see only their own book (records and clients they own)</t>
        </is>
      </c>
      <c r="D13" s="9" t="inlineStr">
        <is>
          <t>Master &gt; Configuration (Security &amp; Access)</t>
        </is>
      </c>
      <c r="E13" s="9" t="inlineStr">
        <is>
          <t>None</t>
        </is>
      </c>
      <c r="F13" s="10" t="inlineStr"/>
      <c r="G13" s="9" t="inlineStr">
        <is>
          <t>Sponsor</t>
        </is>
      </c>
      <c r="H13" s="9" t="inlineStr">
        <is>
          <t>Discovery</t>
        </is>
      </c>
      <c r="I13" s="11" t="inlineStr"/>
      <c r="J13" s="9" t="inlineStr">
        <is>
          <t>Open</t>
        </is>
      </c>
      <c r="K13" s="9" t="inlineStr">
        <is>
          <t>security.scoped_roles</t>
        </is>
      </c>
    </row>
    <row r="14">
      <c r="A14" s="9" t="inlineStr">
        <is>
          <t>US-13</t>
        </is>
      </c>
      <c r="B14" s="9" t="inlineStr">
        <is>
          <t>Segregation of duties</t>
        </is>
      </c>
      <c r="C14" s="9" t="inlineStr">
        <is>
          <t>Accept or change the SoD rules</t>
        </is>
      </c>
      <c r="D14" s="9" t="inlineStr">
        <is>
          <t>Master &gt; Generals &gt; User Management &gt; Segregation of Duties</t>
        </is>
      </c>
      <c r="E14" s="9" t="inlineStr">
        <is>
          <t>Block: placement and payment; placement and payment approval; claims and payment. Warn: sales and collection; sales and claims</t>
        </is>
      </c>
      <c r="F14" s="10" t="inlineStr"/>
      <c r="G14" s="9" t="inlineStr">
        <is>
          <t>Sponsor</t>
        </is>
      </c>
      <c r="H14" s="9" t="inlineStr">
        <is>
          <t>Discovery</t>
        </is>
      </c>
      <c r="I14" s="11" t="inlineStr"/>
      <c r="J14" s="9" t="inlineStr">
        <is>
          <t>Open</t>
        </is>
      </c>
      <c r="K14" s="9" t="inlineStr">
        <is>
          <t>access.sod_enforced = true</t>
        </is>
      </c>
    </row>
    <row r="15">
      <c r="A15" s="9" t="inlineStr">
        <is>
          <t>US-14</t>
        </is>
      </c>
      <c r="B15" s="9" t="inlineStr">
        <is>
          <t>Access reviews</t>
        </is>
      </c>
      <c r="C15" s="9" t="inlineStr">
        <is>
          <t>Frequency and reviewer of access recertification</t>
        </is>
      </c>
      <c r="D15" s="9" t="inlineStr">
        <is>
          <t>Master &gt; Generals &gt; User Management &gt; Access Reviews</t>
        </is>
      </c>
      <c r="E15" s="9" t="inlineStr">
        <is>
          <t>Not scheduled</t>
        </is>
      </c>
      <c r="F15" s="10" t="inlineStr"/>
      <c r="G15" s="9" t="inlineStr">
        <is>
          <t>IT head</t>
        </is>
      </c>
      <c r="H15" s="9" t="inlineStr">
        <is>
          <t>Discovery</t>
        </is>
      </c>
      <c r="I15" s="11" t="inlineStr"/>
      <c r="J15" s="9" t="inlineStr">
        <is>
          <t>Open</t>
        </is>
      </c>
      <c r="K15" s="9" t="inlineStr">
        <is>
          <t>Twice a year recommended</t>
        </is>
      </c>
    </row>
    <row r="16">
      <c r="A16" s="9" t="inlineStr">
        <is>
          <t>US-15</t>
        </is>
      </c>
      <c r="B16" s="9" t="inlineStr">
        <is>
          <t>Delegations</t>
        </is>
      </c>
      <c r="C16" s="9" t="inlineStr">
        <is>
          <t>Delegations of approval authority needed at go-live (leave, travel)</t>
        </is>
      </c>
      <c r="D16" s="9" t="inlineStr">
        <is>
          <t>Master &gt; Generals &gt; User Management &gt; Delegations</t>
        </is>
      </c>
      <c r="E16" s="9" t="inlineStr">
        <is>
          <t>None</t>
        </is>
      </c>
      <c r="F16" s="10" t="inlineStr"/>
      <c r="G16" s="9" t="inlineStr">
        <is>
          <t>Accounting Manager</t>
        </is>
      </c>
      <c r="H16" s="9" t="inlineStr">
        <is>
          <t>UAT</t>
        </is>
      </c>
      <c r="I16" s="11" t="inlineStr"/>
      <c r="J16" s="9" t="inlineStr">
        <is>
          <t>Open</t>
        </is>
      </c>
      <c r="K16" s="9" t="inlineStr"/>
    </row>
    <row r="17">
      <c r="A17" s="9" t="inlineStr">
        <is>
          <t>US-16</t>
        </is>
      </c>
      <c r="B17" s="9" t="inlineStr">
        <is>
          <t>Commission</t>
        </is>
      </c>
      <c r="C17" s="9" t="inlineStr">
        <is>
          <t>Roles that earn commission on the policies they produce</t>
        </is>
      </c>
      <c r="D17" s="9" t="inlineStr">
        <is>
          <t>Master &gt; Configuration (Commission &amp; Incentives)</t>
        </is>
      </c>
      <c r="E17" s="9" t="inlineStr">
        <is>
          <t>Sales &amp; Marketing</t>
        </is>
      </c>
      <c r="F17" s="10" t="inlineStr"/>
      <c r="G17" s="9" t="inlineStr">
        <is>
          <t>Sales head</t>
        </is>
      </c>
      <c r="H17" s="9" t="inlineStr">
        <is>
          <t>Discovery</t>
        </is>
      </c>
      <c r="I17" s="11" t="inlineStr"/>
      <c r="J17" s="9" t="inlineStr">
        <is>
          <t>Open</t>
        </is>
      </c>
      <c r="K17" s="9" t="inlineStr">
        <is>
          <t>commission.eligible_roles</t>
        </is>
      </c>
    </row>
    <row r="18">
      <c r="A18" s="9" t="inlineStr">
        <is>
          <t>US-17</t>
        </is>
      </c>
      <c r="B18" s="9" t="inlineStr">
        <is>
          <t>Notifications</t>
        </is>
      </c>
      <c r="C18" s="9" t="inlineStr">
        <is>
          <t>Roles told when a client approves a quotation</t>
        </is>
      </c>
      <c r="D18" s="9" t="inlineStr">
        <is>
          <t>Master &gt; Configuration (Sales, Quotations &amp; Placement)</t>
        </is>
      </c>
      <c r="E18" s="9" t="inlineStr">
        <is>
          <t>Processing Team</t>
        </is>
      </c>
      <c r="F18" s="10" t="inlineStr"/>
      <c r="G18" s="9" t="inlineStr">
        <is>
          <t>Sales head</t>
        </is>
      </c>
      <c r="H18" s="9" t="inlineStr">
        <is>
          <t>Discovery</t>
        </is>
      </c>
      <c r="I18" s="11" t="inlineStr"/>
      <c r="J18" s="9" t="inlineStr">
        <is>
          <t>Open</t>
        </is>
      </c>
      <c r="K18" s="9" t="inlineStr">
        <is>
          <t>quotations.approval_notify_roles</t>
        </is>
      </c>
    </row>
    <row r="19">
      <c r="A19" s="9" t="inlineStr">
        <is>
          <t>US-18</t>
        </is>
      </c>
      <c r="B19" s="9" t="inlineStr">
        <is>
          <t>Notifications</t>
        </is>
      </c>
      <c r="C19" s="9" t="inlineStr">
        <is>
          <t>Roles that approve renewals</t>
        </is>
      </c>
      <c r="D19" s="9" t="inlineStr">
        <is>
          <t>Master &gt; Configuration (Policies, Endorsements &amp; Renewals)</t>
        </is>
      </c>
      <c r="E19" s="9" t="inlineStr">
        <is>
          <t>Processing Team</t>
        </is>
      </c>
      <c r="F19" s="10" t="inlineStr"/>
      <c r="G19" s="9" t="inlineStr">
        <is>
          <t>Operations head</t>
        </is>
      </c>
      <c r="H19" s="9" t="inlineStr">
        <is>
          <t>Discovery</t>
        </is>
      </c>
      <c r="I19" s="11" t="inlineStr"/>
      <c r="J19" s="9" t="inlineStr">
        <is>
          <t>Open</t>
        </is>
      </c>
      <c r="K19" s="9" t="inlineStr">
        <is>
          <t>renewals.approver_roles</t>
        </is>
      </c>
    </row>
  </sheetData>
  <autoFilter ref="A1:K19"/>
  <conditionalFormatting sqref="A2:K19">
    <cfRule type="expression" priority="1" dxfId="0">
      <formula>$J2="Configured"</formula>
    </cfRule>
    <cfRule type="expression" priority="2" dxfId="1">
      <formula>$J2="Gap (CR)"</formula>
    </cfRule>
  </conditionalFormatting>
  <dataValidations count="2">
    <dataValidation sqref="J2:J19" showDropDown="0" showInputMessage="0" showErrorMessage="0" allowBlank="1" type="list">
      <formula1>"Open,Answered,Confirmed,Configured,Not applicable,Gap (CR)"</formula1>
    </dataValidation>
    <dataValidation sqref="I2:I19"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K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IN-01</t>
        </is>
      </c>
      <c r="B2" s="9" t="inlineStr">
        <is>
          <t>Insurer master</t>
        </is>
      </c>
      <c r="C2" s="9" t="inlineStr">
        <is>
          <t>Insurers the broker places with: legal name, short name, code, TIN, address</t>
        </is>
      </c>
      <c r="D2" s="9" t="inlineStr">
        <is>
          <t>Master &gt; Generals &gt; Insurance Management &gt; Insurance Company</t>
        </is>
      </c>
      <c r="E2" s="9" t="inlineStr">
        <is>
          <t>Six Philippine non-life insurers seeded (MAPFRE, Malayan, Pioneer, FPG, Standard, Mercantile) with example contact e-mails</t>
        </is>
      </c>
      <c r="F2" s="10" t="inlineStr"/>
      <c r="G2" s="9" t="inlineStr">
        <is>
          <t>Processing Team lead</t>
        </is>
      </c>
      <c r="H2" s="9" t="inlineStr">
        <is>
          <t>Mock load 1</t>
        </is>
      </c>
      <c r="I2" s="11" t="inlineStr"/>
      <c r="J2" s="9" t="inlineStr">
        <is>
          <t>Open</t>
        </is>
      </c>
      <c r="K2" s="9" t="inlineStr">
        <is>
          <t>Insurance_Company_Upload_Template.xlsx; replace example e-mails</t>
        </is>
      </c>
    </row>
    <row r="3">
      <c r="A3" s="9" t="inlineStr">
        <is>
          <t>IN-02</t>
        </is>
      </c>
      <c r="B3" s="9" t="inlineStr">
        <is>
          <t>Insurer master</t>
        </is>
      </c>
      <c r="C3" s="9" t="inlineStr">
        <is>
          <t>Default commission rate per insurer</t>
        </is>
      </c>
      <c r="D3" s="9" t="inlineStr">
        <is>
          <t>Master &gt; Generals &gt; Insurance Management &gt; Insurance Company</t>
        </is>
      </c>
      <c r="E3" s="9" t="inlineStr">
        <is>
          <t>14% to 17.5% on the seeded insurers</t>
        </is>
      </c>
      <c r="F3" s="10" t="inlineStr"/>
      <c r="G3" s="9" t="inlineStr">
        <is>
          <t>Accounting Manager</t>
        </is>
      </c>
      <c r="H3" s="9" t="inlineStr">
        <is>
          <t>Mock load 1</t>
        </is>
      </c>
      <c r="I3" s="11" t="inlineStr"/>
      <c r="J3" s="9" t="inlineStr">
        <is>
          <t>Open</t>
        </is>
      </c>
      <c r="K3" s="9" t="inlineStr">
        <is>
          <t>Rate matrix rows override it</t>
        </is>
      </c>
    </row>
    <row r="4">
      <c r="A4" s="9" t="inlineStr">
        <is>
          <t>IN-03</t>
        </is>
      </c>
      <c r="B4" s="9" t="inlineStr">
        <is>
          <t>Credit terms</t>
        </is>
      </c>
      <c r="C4" s="9" t="inlineStr">
        <is>
          <t>Premium payment warranty days per insurer</t>
        </is>
      </c>
      <c r="D4" s="9" t="inlineStr">
        <is>
          <t>Master &gt; Generals &gt; Insurance Management &gt; Insurance Company</t>
        </is>
      </c>
      <c r="E4" s="9" t="inlineStr">
        <is>
          <t>Blank</t>
        </is>
      </c>
      <c r="F4" s="10" t="inlineStr"/>
      <c r="G4" s="9" t="inlineStr">
        <is>
          <t>Accounting Manager</t>
        </is>
      </c>
      <c r="H4" s="9" t="inlineStr">
        <is>
          <t>Mock load 1</t>
        </is>
      </c>
      <c r="I4" s="11" t="inlineStr"/>
      <c r="J4" s="9" t="inlineStr">
        <is>
          <t>Open</t>
        </is>
      </c>
      <c r="K4" s="9" t="inlineStr">
        <is>
          <t>Field Premium Payment Warranty (days)</t>
        </is>
      </c>
    </row>
    <row r="5">
      <c r="A5" s="9" t="inlineStr">
        <is>
          <t>IN-04</t>
        </is>
      </c>
      <c r="B5" s="9" t="inlineStr">
        <is>
          <t>Credit terms</t>
        </is>
      </c>
      <c r="C5" s="9" t="inlineStr">
        <is>
          <t>Remittance terms: days after collection per insurer</t>
        </is>
      </c>
      <c r="D5" s="9" t="inlineStr">
        <is>
          <t>Master &gt; Generals &gt; Insurance Management &gt; Insurance Company</t>
        </is>
      </c>
      <c r="E5" s="9" t="inlineStr">
        <is>
          <t>Blank; fallback 30 days</t>
        </is>
      </c>
      <c r="F5" s="10" t="inlineStr"/>
      <c r="G5" s="9" t="inlineStr">
        <is>
          <t>Accounting Manager</t>
        </is>
      </c>
      <c r="H5" s="9" t="inlineStr">
        <is>
          <t>Mock load 1</t>
        </is>
      </c>
      <c r="I5" s="11" t="inlineStr"/>
      <c r="J5" s="9" t="inlineStr">
        <is>
          <t>Open</t>
        </is>
      </c>
      <c r="K5" s="9" t="inlineStr">
        <is>
          <t>Field Remittance Terms; remittance.default_due_days</t>
        </is>
      </c>
    </row>
    <row r="6">
      <c r="A6" s="9" t="inlineStr">
        <is>
          <t>IN-05</t>
        </is>
      </c>
      <c r="B6" s="9" t="inlineStr">
        <is>
          <t>Billing</t>
        </is>
      </c>
      <c r="C6" s="9" t="inlineStr">
        <is>
          <t>Default billing mode per insurer: broker billed or direct bill</t>
        </is>
      </c>
      <c r="D6" s="9" t="inlineStr">
        <is>
          <t>Master &gt; Generals &gt; Insurance Management &gt; Insurance Company</t>
        </is>
      </c>
      <c r="E6" s="9" t="inlineStr">
        <is>
          <t>Broker billed</t>
        </is>
      </c>
      <c r="F6" s="10" t="inlineStr"/>
      <c r="G6" s="9" t="inlineStr">
        <is>
          <t>Accounting Manager</t>
        </is>
      </c>
      <c r="H6" s="9" t="inlineStr">
        <is>
          <t>Discovery</t>
        </is>
      </c>
      <c r="I6" s="11" t="inlineStr"/>
      <c r="J6" s="9" t="inlineStr">
        <is>
          <t>Open</t>
        </is>
      </c>
      <c r="K6" s="9" t="inlineStr">
        <is>
          <t>Field Default Billing Mode; direct_bill.default_billing_mode</t>
        </is>
      </c>
    </row>
    <row r="7">
      <c r="A7" s="9" t="inlineStr">
        <is>
          <t>IN-06</t>
        </is>
      </c>
      <c r="B7" s="9" t="inlineStr">
        <is>
          <t>Contacts</t>
        </is>
      </c>
      <c r="C7" s="9" t="inlineStr">
        <is>
          <t>Underwriting, claims and accounting contacts per insurer (for slips, loss advice, remittance statements, debit notes)</t>
        </is>
      </c>
      <c r="D7" s="9" t="inlineStr">
        <is>
          <t>Master &gt; Generals &gt; Insurance Management &gt; Insurance Company</t>
        </is>
      </c>
      <c r="E7" s="9" t="inlineStr">
        <is>
          <t>Example addresses only</t>
        </is>
      </c>
      <c r="F7" s="10" t="inlineStr"/>
      <c r="G7" s="9" t="inlineStr">
        <is>
          <t>Processing Team lead</t>
        </is>
      </c>
      <c r="H7" s="9" t="inlineStr">
        <is>
          <t>Configuration</t>
        </is>
      </c>
      <c r="I7" s="11" t="inlineStr"/>
      <c r="J7" s="9" t="inlineStr">
        <is>
          <t>Open</t>
        </is>
      </c>
      <c r="K7" s="9" t="inlineStr"/>
    </row>
    <row r="8">
      <c r="A8" s="9" t="inlineStr">
        <is>
          <t>IN-07</t>
        </is>
      </c>
      <c r="B8" s="9" t="inlineStr">
        <is>
          <t>Claims</t>
        </is>
      </c>
      <c r="C8" s="9" t="inlineStr">
        <is>
          <t>Default recipient of the preliminary loss advice</t>
        </is>
      </c>
      <c r="D8" s="9" t="inlineStr">
        <is>
          <t>Master &gt; Configuration (Claims)</t>
        </is>
      </c>
      <c r="E8" s="9" t="inlineStr">
        <is>
          <t>claims@brokerverse.local (placeholder)</t>
        </is>
      </c>
      <c r="F8" s="10" t="inlineStr"/>
      <c r="G8" s="9" t="inlineStr">
        <is>
          <t>Claims head</t>
        </is>
      </c>
      <c r="H8" s="9" t="inlineStr">
        <is>
          <t>Configuration</t>
        </is>
      </c>
      <c r="I8" s="11" t="inlineStr"/>
      <c r="J8" s="9" t="inlineStr">
        <is>
          <t>Open</t>
        </is>
      </c>
      <c r="K8" s="9" t="inlineStr">
        <is>
          <t>claims.pla_default_recipient; replace before go-live</t>
        </is>
      </c>
    </row>
    <row r="9">
      <c r="A9" s="9" t="inlineStr">
        <is>
          <t>IN-08</t>
        </is>
      </c>
      <c r="B9" s="9" t="inlineStr">
        <is>
          <t>Statements</t>
        </is>
      </c>
      <c r="C9" s="9" t="inlineStr">
        <is>
          <t>Format of each insurer statement of account (columns, file type) and a sample file</t>
        </is>
      </c>
      <c r="D9" s="9" t="inlineStr">
        <is>
          <t>Master &gt; Finance &gt; Insurer Statement Formats</t>
        </is>
      </c>
      <c r="E9" s="9" t="inlineStr">
        <is>
          <t>None</t>
        </is>
      </c>
      <c r="F9" s="10" t="inlineStr"/>
      <c r="G9" s="9" t="inlineStr">
        <is>
          <t>Accounting</t>
        </is>
      </c>
      <c r="H9" s="9" t="inlineStr">
        <is>
          <t>Configuration</t>
        </is>
      </c>
      <c r="I9" s="11" t="inlineStr"/>
      <c r="J9" s="9" t="inlineStr">
        <is>
          <t>Open</t>
        </is>
      </c>
      <c r="K9" s="9" t="inlineStr">
        <is>
          <t>Used by Accounts &gt; Insurer Reconciliation</t>
        </is>
      </c>
    </row>
    <row r="10">
      <c r="A10" s="9" t="inlineStr">
        <is>
          <t>IN-09</t>
        </is>
      </c>
      <c r="B10" s="9" t="inlineStr">
        <is>
          <t>Co-insurance</t>
        </is>
      </c>
      <c r="C10" s="9" t="inlineStr">
        <is>
          <t>Lines usually co-insured; lead insurer practice; who confirms shares</t>
        </is>
      </c>
      <c r="D10" s="9" t="inlineStr">
        <is>
          <t>Operations &gt; Sales &amp; Marketing &gt; Placement Slips</t>
        </is>
      </c>
      <c r="E10" s="9" t="inlineStr">
        <is>
          <t>Shares must total 100%; rounding to the lead</t>
        </is>
      </c>
      <c r="F10" s="10" t="inlineStr"/>
      <c r="G10" s="9" t="inlineStr">
        <is>
          <t>Processing Team lead</t>
        </is>
      </c>
      <c r="H10" s="9" t="inlineStr">
        <is>
          <t>Discovery</t>
        </is>
      </c>
      <c r="I10" s="11" t="inlineStr"/>
      <c r="J10" s="9" t="inlineStr">
        <is>
          <t>Open</t>
        </is>
      </c>
      <c r="K10" s="9" t="inlineStr"/>
    </row>
    <row r="11">
      <c r="A11" s="9" t="inlineStr">
        <is>
          <t>IN-10</t>
        </is>
      </c>
      <c r="B11" s="9" t="inlineStr">
        <is>
          <t>Placement</t>
        </is>
      </c>
      <c r="C11" s="9" t="inlineStr">
        <is>
          <t>Days an insurer offer stays valid</t>
        </is>
      </c>
      <c r="D11" s="9" t="inlineStr">
        <is>
          <t>Master &gt; Configuration (Sales, Quotations &amp; Placement)</t>
        </is>
      </c>
      <c r="E11" s="9" t="inlineStr">
        <is>
          <t>30 days</t>
        </is>
      </c>
      <c r="F11" s="10" t="inlineStr"/>
      <c r="G11" s="9" t="inlineStr">
        <is>
          <t>Processing Team lead</t>
        </is>
      </c>
      <c r="H11" s="9" t="inlineStr">
        <is>
          <t>Discovery</t>
        </is>
      </c>
      <c r="I11" s="11" t="inlineStr"/>
      <c r="J11" s="9" t="inlineStr">
        <is>
          <t>Open</t>
        </is>
      </c>
      <c r="K11" s="9" t="inlineStr">
        <is>
          <t>placement.offer_validity_days</t>
        </is>
      </c>
    </row>
    <row r="12">
      <c r="A12" s="9" t="inlineStr">
        <is>
          <t>IN-11</t>
        </is>
      </c>
      <c r="B12" s="9" t="inlineStr">
        <is>
          <t>Signatories</t>
        </is>
      </c>
      <c r="C12" s="9" t="inlineStr">
        <is>
          <t>Authorised signatories printed on documents</t>
        </is>
      </c>
      <c r="D12" s="9" t="inlineStr">
        <is>
          <t>Master &gt; Generals &gt; Insurance Management &gt; Signatories</t>
        </is>
      </c>
      <c r="E12" s="9" t="inlineStr">
        <is>
          <t>None in production</t>
        </is>
      </c>
      <c r="F12" s="10" t="inlineStr"/>
      <c r="G12" s="9" t="inlineStr">
        <is>
          <t>Sponsor</t>
        </is>
      </c>
      <c r="H12" s="9" t="inlineStr">
        <is>
          <t>Configuration</t>
        </is>
      </c>
      <c r="I12" s="11" t="inlineStr"/>
      <c r="J12" s="9" t="inlineStr">
        <is>
          <t>Open</t>
        </is>
      </c>
      <c r="K12" s="9" t="inlineStr">
        <is>
          <t>Signatories_Upload_Template.xlsx</t>
        </is>
      </c>
    </row>
    <row r="13">
      <c r="A13" s="9" t="inlineStr">
        <is>
          <t>IN-12</t>
        </is>
      </c>
      <c r="B13" s="9" t="inlineStr">
        <is>
          <t>Reinsurance</t>
        </is>
      </c>
      <c r="C13" s="9" t="inlineStr">
        <is>
          <t>Does the broker arrange reinsurance? Reinsurers and treaties</t>
        </is>
      </c>
      <c r="D13" s="9" t="inlineStr">
        <is>
          <t>Master &gt; Finance &gt; Reinsurance Treaty</t>
        </is>
      </c>
      <c r="E13" s="9" t="inlineStr">
        <is>
          <t>Minimum security rating A-; treaty approval required; retention target 65%</t>
        </is>
      </c>
      <c r="F13" s="10" t="inlineStr"/>
      <c r="G13" s="9" t="inlineStr">
        <is>
          <t>Processing Team lead</t>
        </is>
      </c>
      <c r="H13" s="9" t="inlineStr">
        <is>
          <t>Discovery</t>
        </is>
      </c>
      <c r="I13" s="11" t="inlineStr"/>
      <c r="J13" s="9" t="inlineStr">
        <is>
          <t>Open</t>
        </is>
      </c>
      <c r="K13" s="9" t="inlineStr">
        <is>
          <t>reinsurance.*; skip if not used</t>
        </is>
      </c>
    </row>
    <row r="14">
      <c r="A14" s="9" t="inlineStr">
        <is>
          <t>IN-13</t>
        </is>
      </c>
      <c r="B14" s="9" t="inlineStr">
        <is>
          <t>Direct bill</t>
        </is>
      </c>
      <c r="C14" s="9" t="inlineStr">
        <is>
          <t>EWT the insurer withholds on direct-bill commission</t>
        </is>
      </c>
      <c r="D14" s="9" t="inlineStr">
        <is>
          <t>Master &gt; Finance &gt; Taxation</t>
        </is>
      </c>
      <c r="E14" s="9" t="inlineStr">
        <is>
          <t>WC139 10%</t>
        </is>
      </c>
      <c r="F14" s="10" t="inlineStr"/>
      <c r="G14" s="9" t="inlineStr">
        <is>
          <t>Accounting Manager</t>
        </is>
      </c>
      <c r="H14" s="9" t="inlineStr">
        <is>
          <t>Configuration</t>
        </is>
      </c>
      <c r="I14" s="11" t="inlineStr"/>
      <c r="J14" s="9" t="inlineStr">
        <is>
          <t>Open</t>
        </is>
      </c>
      <c r="K14" s="9" t="inlineStr">
        <is>
          <t>direct_bill.insurer_ewt_code</t>
        </is>
      </c>
    </row>
    <row r="15">
      <c r="A15" s="9" t="inlineStr">
        <is>
          <t>IN-14</t>
        </is>
      </c>
      <c r="B15" s="9" t="inlineStr">
        <is>
          <t>Direct bill</t>
        </is>
      </c>
      <c r="C15" s="9" t="inlineStr">
        <is>
          <t>Commission debit note: title, remarks, due days, e-mail text</t>
        </is>
      </c>
      <c r="D15" s="9" t="inlineStr">
        <is>
          <t>Master &gt; Configuration (Billing, Collections &amp; Credit)</t>
        </is>
      </c>
      <c r="E15" s="9" t="inlineStr">
        <is>
          <t>Commission Debit Note; 30 days</t>
        </is>
      </c>
      <c r="F15" s="10" t="inlineStr"/>
      <c r="G15" s="9" t="inlineStr">
        <is>
          <t>Accounting Manager</t>
        </is>
      </c>
      <c r="H15" s="9" t="inlineStr">
        <is>
          <t>Configuration</t>
        </is>
      </c>
      <c r="I15" s="11" t="inlineStr"/>
      <c r="J15" s="9" t="inlineStr">
        <is>
          <t>Open</t>
        </is>
      </c>
      <c r="K15" s="9" t="inlineStr">
        <is>
          <t>direct_bill.debit_note_*</t>
        </is>
      </c>
    </row>
    <row r="16">
      <c r="A16" s="9" t="inlineStr">
        <is>
          <t>IN-15</t>
        </is>
      </c>
      <c r="B16" s="9" t="inlineStr">
        <is>
          <t>Reconciliation</t>
        </is>
      </c>
      <c r="C16" s="9" t="inlineStr">
        <is>
          <t>Tolerance for remittance reconciliation differences</t>
        </is>
      </c>
      <c r="D16" s="9" t="inlineStr">
        <is>
          <t>Master &gt; Configuration (Remittance &amp; Reconciliation)</t>
        </is>
      </c>
      <c r="E16" s="9" t="inlineStr">
        <is>
          <t>PHP 0.50</t>
        </is>
      </c>
      <c r="F16" s="10" t="inlineStr"/>
      <c r="G16" s="9" t="inlineStr">
        <is>
          <t>Accounting Manager</t>
        </is>
      </c>
      <c r="H16" s="9" t="inlineStr">
        <is>
          <t>Configuration</t>
        </is>
      </c>
      <c r="I16" s="11" t="inlineStr"/>
      <c r="J16" s="9" t="inlineStr">
        <is>
          <t>Open</t>
        </is>
      </c>
      <c r="K16" s="9" t="inlineStr">
        <is>
          <t>remittance.reconciliation_tolerance</t>
        </is>
      </c>
    </row>
  </sheetData>
  <autoFilter ref="A1:K16"/>
  <conditionalFormatting sqref="A2:K16">
    <cfRule type="expression" priority="1" dxfId="0">
      <formula>$J2="Configured"</formula>
    </cfRule>
    <cfRule type="expression" priority="2" dxfId="1">
      <formula>$J2="Gap (CR)"</formula>
    </cfRule>
  </conditionalFormatting>
  <dataValidations count="2">
    <dataValidation sqref="J2:J16" showDropDown="0" showInputMessage="0" showErrorMessage="0" allowBlank="1" type="list">
      <formula1>"Open,Answered,Confirmed,Configured,Not applicable,Gap (CR)"</formula1>
    </dataValidation>
    <dataValidation sqref="I2:I16"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K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PR-01</t>
        </is>
      </c>
      <c r="B2" s="9" t="inlineStr">
        <is>
          <t>Lines</t>
        </is>
      </c>
      <c r="C2" s="9" t="inlineStr">
        <is>
          <t>Lines of business written; the three with the most premium</t>
        </is>
      </c>
      <c r="D2" s="9" t="inlineStr">
        <is>
          <t>Master &gt; Generals &gt; Insurance Management &gt; Line of Business</t>
        </is>
      </c>
      <c r="E2" s="9" t="inlineStr">
        <is>
          <t>Philippine non-life lines delivered</t>
        </is>
      </c>
      <c r="F2" s="10" t="inlineStr"/>
      <c r="G2" s="9" t="inlineStr">
        <is>
          <t>Sales head</t>
        </is>
      </c>
      <c r="H2" s="9" t="inlineStr">
        <is>
          <t>Discovery</t>
        </is>
      </c>
      <c r="I2" s="11" t="inlineStr"/>
      <c r="J2" s="9" t="inlineStr">
        <is>
          <t>Open</t>
        </is>
      </c>
      <c r="K2" s="9" t="inlineStr">
        <is>
          <t>Number of lines drives the implementation fee</t>
        </is>
      </c>
    </row>
    <row r="3">
      <c r="A3" s="9" t="inlineStr">
        <is>
          <t>PR-02</t>
        </is>
      </c>
      <c r="B3" s="9" t="inlineStr">
        <is>
          <t>Products</t>
        </is>
      </c>
      <c r="C3" s="9" t="inlineStr">
        <is>
          <t>Products per line, mapped to the delivered products</t>
        </is>
      </c>
      <c r="D3" s="9" t="inlineStr">
        <is>
          <t>Master &gt; Generals &gt; Insurance Management &gt; Product</t>
        </is>
      </c>
      <c r="E3" s="9" t="inlineStr">
        <is>
          <t>Motor, CTPL, Fire, Marine Cargo, PA, CGL, Group EB, Surety Bond; travel, householder, micro-insurance, group PA, CAR, EAR, machinery breakdown, marine hull, money and securities</t>
        </is>
      </c>
      <c r="F3" s="10" t="inlineStr"/>
      <c r="G3" s="9" t="inlineStr">
        <is>
          <t>Processing Team lead</t>
        </is>
      </c>
      <c r="H3" s="9" t="inlineStr">
        <is>
          <t>Discovery</t>
        </is>
      </c>
      <c r="I3" s="11" t="inlineStr"/>
      <c r="J3" s="9" t="inlineStr">
        <is>
          <t>Open</t>
        </is>
      </c>
      <c r="K3" s="9" t="inlineStr">
        <is>
          <t>Product_Upload_Template.xlsx for additions</t>
        </is>
      </c>
    </row>
    <row r="4">
      <c r="A4" s="9" t="inlineStr">
        <is>
          <t>PR-03</t>
        </is>
      </c>
      <c r="B4" s="9" t="inlineStr">
        <is>
          <t>Products</t>
        </is>
      </c>
      <c r="C4" s="9" t="inlineStr">
        <is>
          <t>Policy types per product</t>
        </is>
      </c>
      <c r="D4" s="9" t="inlineStr">
        <is>
          <t>Master &gt; Generals &gt; Insurance Management &gt; Product</t>
        </is>
      </c>
      <c r="E4" s="9" t="inlineStr">
        <is>
          <t>For example Comprehensive, TPL, Own Damage / Theft; Residential, Commercial; Import, Domestic</t>
        </is>
      </c>
      <c r="F4" s="10" t="inlineStr"/>
      <c r="G4" s="9" t="inlineStr">
        <is>
          <t>Processing Team lead</t>
        </is>
      </c>
      <c r="H4" s="9" t="inlineStr">
        <is>
          <t>Configuration</t>
        </is>
      </c>
      <c r="I4" s="11" t="inlineStr"/>
      <c r="J4" s="9" t="inlineStr">
        <is>
          <t>Open</t>
        </is>
      </c>
      <c r="K4" s="9" t="inlineStr">
        <is>
          <t>Policy_Type_Upload_Template.xlsx</t>
        </is>
      </c>
    </row>
    <row r="5">
      <c r="A5" s="9" t="inlineStr">
        <is>
          <t>PR-04</t>
        </is>
      </c>
      <c r="B5" s="9" t="inlineStr">
        <is>
          <t>Products</t>
        </is>
      </c>
      <c r="C5" s="9" t="inlineStr">
        <is>
          <t>Package or non-package classification per product</t>
        </is>
      </c>
      <c r="D5" s="9" t="inlineStr">
        <is>
          <t>Master &gt; Generals &gt; Insurance Management &gt; Product</t>
        </is>
      </c>
      <c r="E5" s="9" t="inlineStr">
        <is>
          <t>Set per delivered product</t>
        </is>
      </c>
      <c r="F5" s="10" t="inlineStr"/>
      <c r="G5" s="9" t="inlineStr">
        <is>
          <t>Processing Team lead</t>
        </is>
      </c>
      <c r="H5" s="9" t="inlineStr">
        <is>
          <t>Discovery</t>
        </is>
      </c>
      <c r="I5" s="11" t="inlineStr"/>
      <c r="J5" s="9" t="inlineStr">
        <is>
          <t>Open</t>
        </is>
      </c>
      <c r="K5" s="9" t="inlineStr">
        <is>
          <t>Drives the placement journey</t>
        </is>
      </c>
    </row>
    <row r="6">
      <c r="A6" s="9" t="inlineStr">
        <is>
          <t>PR-05</t>
        </is>
      </c>
      <c r="B6" s="9" t="inlineStr">
        <is>
          <t>Products</t>
        </is>
      </c>
      <c r="C6" s="9" t="inlineStr">
        <is>
          <t>Tax regime per product: VAT or premium tax</t>
        </is>
      </c>
      <c r="D6" s="9" t="inlineStr">
        <is>
          <t>Master &gt; Generals &gt; Insurance Management &gt; Product</t>
        </is>
      </c>
      <c r="E6" s="9" t="inlineStr">
        <is>
          <t>As delivered per product</t>
        </is>
      </c>
      <c r="F6" s="10" t="inlineStr"/>
      <c r="G6" s="9" t="inlineStr">
        <is>
          <t>Accounting Manager</t>
        </is>
      </c>
      <c r="H6" s="9" t="inlineStr">
        <is>
          <t>Discovery</t>
        </is>
      </c>
      <c r="I6" s="11" t="inlineStr"/>
      <c r="J6" s="9" t="inlineStr">
        <is>
          <t>Open</t>
        </is>
      </c>
      <c r="K6" s="9" t="inlineStr">
        <is>
          <t>Confirm with each insurer</t>
        </is>
      </c>
    </row>
    <row r="7">
      <c r="A7" s="9" t="inlineStr">
        <is>
          <t>PR-06</t>
        </is>
      </c>
      <c r="B7" s="9" t="inlineStr">
        <is>
          <t>Covers</t>
        </is>
      </c>
      <c r="C7" s="9" t="inlineStr">
        <is>
          <t>Covers and limits offered; excess bodily injury and property damage limits on motor</t>
        </is>
      </c>
      <c r="D7" s="9" t="inlineStr">
        <is>
          <t>Master &gt; Generals &gt; Insurance Management &gt; Cover</t>
        </is>
      </c>
      <c r="E7" s="9" t="inlineStr">
        <is>
          <t>BI and PD limits PHP 100,000.00 to 500,000.00</t>
        </is>
      </c>
      <c r="F7" s="10" t="inlineStr"/>
      <c r="G7" s="9" t="inlineStr">
        <is>
          <t>Processing Team lead</t>
        </is>
      </c>
      <c r="H7" s="9" t="inlineStr">
        <is>
          <t>Configuration</t>
        </is>
      </c>
      <c r="I7" s="11" t="inlineStr"/>
      <c r="J7" s="9" t="inlineStr">
        <is>
          <t>Open</t>
        </is>
      </c>
      <c r="K7" s="9" t="inlineStr">
        <is>
          <t>quote.bodily_injury_limits, quote.property_damage_limits</t>
        </is>
      </c>
    </row>
    <row r="8">
      <c r="A8" s="9" t="inlineStr">
        <is>
          <t>PR-07</t>
        </is>
      </c>
      <c r="B8" s="9" t="inlineStr">
        <is>
          <t>Journey</t>
        </is>
      </c>
      <c r="C8" s="9" t="inlineStr">
        <is>
          <t>Placement journey per line: Request for Quotation, Quotation Slip, Placement Slip, Record Issued Policy</t>
        </is>
      </c>
      <c r="D8" s="9" t="inlineStr">
        <is>
          <t>Master &gt; Configuration (Sales, Quotations &amp; Placement)</t>
        </is>
      </c>
      <c r="E8" s="9" t="inlineStr">
        <is>
          <t>Motor: Quotation Slip required. Fire, IAR, Marine, Casualty, Engineering: Placement Slip required. Others optional</t>
        </is>
      </c>
      <c r="F8" s="10" t="inlineStr"/>
      <c r="G8" s="9" t="inlineStr">
        <is>
          <t>Processing Team lead</t>
        </is>
      </c>
      <c r="H8" s="9" t="inlineStr">
        <is>
          <t>Discovery</t>
        </is>
      </c>
      <c r="I8" s="11" t="inlineStr"/>
      <c r="J8" s="9" t="inlineStr">
        <is>
          <t>Open</t>
        </is>
      </c>
      <c r="K8" s="9" t="inlineStr">
        <is>
          <t>placement.journey</t>
        </is>
      </c>
    </row>
    <row r="9">
      <c r="A9" s="9" t="inlineStr">
        <is>
          <t>PR-08</t>
        </is>
      </c>
      <c r="B9" s="9" t="inlineStr">
        <is>
          <t>Motor</t>
        </is>
      </c>
      <c r="C9" s="9" t="inlineStr">
        <is>
          <t>Confirm the motor tariff, CTPL 1-year and 3-year amounts per vehicle class</t>
        </is>
      </c>
      <c r="D9" s="9" t="inlineStr">
        <is>
          <t>Product Configurator &gt; Product Templates (MOT-003-2025)</t>
        </is>
      </c>
      <c r="E9" s="9" t="inlineStr">
        <is>
          <t>2025 tariff, confirmed 29 September 2026</t>
        </is>
      </c>
      <c r="F9" s="10" t="inlineStr"/>
      <c r="G9" s="9" t="inlineStr">
        <is>
          <t>Processing Team lead</t>
        </is>
      </c>
      <c r="H9" s="9" t="inlineStr">
        <is>
          <t>Configuration</t>
        </is>
      </c>
      <c r="I9" s="11" t="inlineStr"/>
      <c r="J9" s="9" t="inlineStr">
        <is>
          <t>Open</t>
        </is>
      </c>
      <c r="K9" s="9" t="inlineStr">
        <is>
          <t>motor.pricing_template_code</t>
        </is>
      </c>
    </row>
    <row r="10">
      <c r="A10" s="9" t="inlineStr">
        <is>
          <t>PR-09</t>
        </is>
      </c>
      <c r="B10" s="9" t="inlineStr">
        <is>
          <t>Motor</t>
        </is>
      </c>
      <c r="C10" s="9" t="inlineStr">
        <is>
          <t>Auto Passenger PA rates and limits</t>
        </is>
      </c>
      <c r="D10" s="9" t="inlineStr">
        <is>
          <t>Product Configurator &gt; Product Templates</t>
        </is>
      </c>
      <c r="E10" s="9" t="inlineStr">
        <is>
          <t>Per seat from the motor template</t>
        </is>
      </c>
      <c r="F10" s="10" t="inlineStr"/>
      <c r="G10" s="9" t="inlineStr">
        <is>
          <t>Processing Team lead</t>
        </is>
      </c>
      <c r="H10" s="9" t="inlineStr">
        <is>
          <t>Configuration</t>
        </is>
      </c>
      <c r="I10" s="11" t="inlineStr"/>
      <c r="J10" s="9" t="inlineStr">
        <is>
          <t>Open</t>
        </is>
      </c>
      <c r="K10" s="9" t="inlineStr"/>
    </row>
    <row r="11">
      <c r="A11" s="9" t="inlineStr">
        <is>
          <t>PR-10</t>
        </is>
      </c>
      <c r="B11" s="9" t="inlineStr">
        <is>
          <t>Motor</t>
        </is>
      </c>
      <c r="C11" s="9" t="inlineStr">
        <is>
          <t>Vehicle makes, models and variants to add</t>
        </is>
      </c>
      <c r="D11" s="9" t="inlineStr">
        <is>
          <t>Master &gt; Generals &gt; Insurance Management &gt; Vehicle</t>
        </is>
      </c>
      <c r="E11" s="9" t="inlineStr">
        <is>
          <t>Toyota, Mitsubishi, Honda, Ford, Nissan, Hyundai, Suzuki, Isuzu with models</t>
        </is>
      </c>
      <c r="F11" s="10" t="inlineStr"/>
      <c r="G11" s="9" t="inlineStr">
        <is>
          <t>Processing Team lead</t>
        </is>
      </c>
      <c r="H11" s="9" t="inlineStr">
        <is>
          <t>Mock load 1</t>
        </is>
      </c>
      <c r="I11" s="11" t="inlineStr"/>
      <c r="J11" s="9" t="inlineStr">
        <is>
          <t>Open</t>
        </is>
      </c>
      <c r="K11" s="9" t="inlineStr">
        <is>
          <t>Vehicle_* templates</t>
        </is>
      </c>
    </row>
    <row r="12">
      <c r="A12" s="9" t="inlineStr">
        <is>
          <t>PR-11</t>
        </is>
      </c>
      <c r="B12" s="9" t="inlineStr">
        <is>
          <t>KYC</t>
        </is>
      </c>
      <c r="C12" s="9" t="inlineStr">
        <is>
          <t>Identifiers required before issue, per line</t>
        </is>
      </c>
      <c r="D12" s="9" t="inlineStr">
        <is>
          <t>Master &gt; Configuration (Policies, Endorsements &amp; Renewals)</t>
        </is>
      </c>
      <c r="E12" s="9" t="inlineStr">
        <is>
          <t>Motor: ID type, number, image, chassis, motor and plate number</t>
        </is>
      </c>
      <c r="F12" s="10" t="inlineStr"/>
      <c r="G12" s="9" t="inlineStr">
        <is>
          <t>Compliance officer</t>
        </is>
      </c>
      <c r="H12" s="9" t="inlineStr">
        <is>
          <t>Discovery</t>
        </is>
      </c>
      <c r="I12" s="11" t="inlineStr"/>
      <c r="J12" s="9" t="inlineStr">
        <is>
          <t>Open</t>
        </is>
      </c>
      <c r="K12" s="9" t="inlineStr">
        <is>
          <t>policy.kyc_required_fields</t>
        </is>
      </c>
    </row>
    <row r="13">
      <c r="A13" s="9" t="inlineStr">
        <is>
          <t>PR-12</t>
        </is>
      </c>
      <c r="B13" s="9" t="inlineStr">
        <is>
          <t>KYC</t>
        </is>
      </c>
      <c r="C13" s="9" t="inlineStr">
        <is>
          <t>Accepted government ID documents</t>
        </is>
      </c>
      <c r="D13" s="9" t="inlineStr">
        <is>
          <t>Master &gt; Configuration (Policies, Endorsements &amp; Renewals)</t>
        </is>
      </c>
      <c r="E13" s="9" t="inlineStr">
        <is>
          <t>PhilSys ID, UMID, Passport, Driver's License, PRC ID, SSS ID, GSIS and others</t>
        </is>
      </c>
      <c r="F13" s="10" t="inlineStr"/>
      <c r="G13" s="9" t="inlineStr">
        <is>
          <t>Compliance officer</t>
        </is>
      </c>
      <c r="H13" s="9" t="inlineStr">
        <is>
          <t>Discovery</t>
        </is>
      </c>
      <c r="I13" s="11" t="inlineStr"/>
      <c r="J13" s="9" t="inlineStr">
        <is>
          <t>Open</t>
        </is>
      </c>
      <c r="K13" s="9" t="inlineStr">
        <is>
          <t>policy.kyc_id_types</t>
        </is>
      </c>
    </row>
    <row r="14">
      <c r="A14" s="9" t="inlineStr">
        <is>
          <t>PR-13</t>
        </is>
      </c>
      <c r="B14" s="9" t="inlineStr">
        <is>
          <t>Quick Quote</t>
        </is>
      </c>
      <c r="C14" s="9" t="inlineStr">
        <is>
          <t>Package bundles and insurer rate tables for Quick Quote and Compare Insurers</t>
        </is>
      </c>
      <c r="D14" s="9" t="inlineStr">
        <is>
          <t>Master &gt; Finance &gt; Package Bundles; Insurer Rate Tables</t>
        </is>
      </c>
      <c r="E14" s="9" t="inlineStr">
        <is>
          <t>Delivered bundles</t>
        </is>
      </c>
      <c r="F14" s="10" t="inlineStr"/>
      <c r="G14" s="9" t="inlineStr">
        <is>
          <t>Sales head</t>
        </is>
      </c>
      <c r="H14" s="9" t="inlineStr">
        <is>
          <t>Configuration</t>
        </is>
      </c>
      <c r="I14" s="11" t="inlineStr"/>
      <c r="J14" s="9" t="inlineStr">
        <is>
          <t>Open</t>
        </is>
      </c>
      <c r="K14" s="9" t="inlineStr">
        <is>
          <t>packages.*</t>
        </is>
      </c>
    </row>
    <row r="15">
      <c r="A15" s="9" t="inlineStr">
        <is>
          <t>PR-14</t>
        </is>
      </c>
      <c r="B15" s="9" t="inlineStr">
        <is>
          <t>Rules</t>
        </is>
      </c>
      <c r="C15" s="9" t="inlineStr">
        <is>
          <t>Acceptance rules and product approval workflows</t>
        </is>
      </c>
      <c r="D15" s="9" t="inlineStr">
        <is>
          <t>Product Configurator &gt; Acceptance Rules; Approval Workflows</t>
        </is>
      </c>
      <c r="E15" s="9" t="inlineStr">
        <is>
          <t>Delivered rules</t>
        </is>
      </c>
      <c r="F15" s="10" t="inlineStr"/>
      <c r="G15" s="9" t="inlineStr">
        <is>
          <t>Processing Team lead</t>
        </is>
      </c>
      <c r="H15" s="9" t="inlineStr">
        <is>
          <t>Configuration</t>
        </is>
      </c>
      <c r="I15" s="11" t="inlineStr"/>
      <c r="J15" s="9" t="inlineStr">
        <is>
          <t>Open</t>
        </is>
      </c>
      <c r="K15" s="9" t="inlineStr"/>
    </row>
    <row r="16">
      <c r="A16" s="9" t="inlineStr">
        <is>
          <t>PR-15</t>
        </is>
      </c>
      <c r="B16" s="9" t="inlineStr">
        <is>
          <t>Documents</t>
        </is>
      </c>
      <c r="C16" s="9" t="inlineStr">
        <is>
          <t>Policy schedule, quotation and endorsement layouts; wording to print</t>
        </is>
      </c>
      <c r="D16" s="9" t="inlineStr">
        <is>
          <t>Product Configurator &gt; Document Manager</t>
        </is>
      </c>
      <c r="E16" s="9" t="inlineStr">
        <is>
          <t>Delivered layouts</t>
        </is>
      </c>
      <c r="F16" s="10" t="inlineStr"/>
      <c r="G16" s="9" t="inlineStr">
        <is>
          <t>Processing Team lead</t>
        </is>
      </c>
      <c r="H16" s="9" t="inlineStr">
        <is>
          <t>Configuration</t>
        </is>
      </c>
      <c r="I16" s="11" t="inlineStr"/>
      <c r="J16" s="9" t="inlineStr">
        <is>
          <t>Open</t>
        </is>
      </c>
      <c r="K16" s="9" t="inlineStr">
        <is>
          <t>Layout changes outside OOTB are change requests</t>
        </is>
      </c>
    </row>
    <row r="17">
      <c r="A17" s="9" t="inlineStr">
        <is>
          <t>PR-16</t>
        </is>
      </c>
      <c r="B17" s="9" t="inlineStr">
        <is>
          <t>Quotation</t>
        </is>
      </c>
      <c r="C17" s="9" t="inlineStr">
        <is>
          <t>Quotation validity; maker-checker on quotations; approval link validity</t>
        </is>
      </c>
      <c r="D17" s="9" t="inlineStr">
        <is>
          <t>Master &gt; Configuration (Sales, Quotations &amp; Placement)</t>
        </is>
      </c>
      <c r="E17" s="9" t="inlineStr">
        <is>
          <t>30 days; on; 168 hours</t>
        </is>
      </c>
      <c r="F17" s="10" t="inlineStr"/>
      <c r="G17" s="9" t="inlineStr">
        <is>
          <t>Sales head</t>
        </is>
      </c>
      <c r="H17" s="9" t="inlineStr">
        <is>
          <t>Discovery</t>
        </is>
      </c>
      <c r="I17" s="11" t="inlineStr"/>
      <c r="J17" s="9" t="inlineStr">
        <is>
          <t>Open</t>
        </is>
      </c>
      <c r="K17" s="9" t="inlineStr">
        <is>
          <t>limits.quote_validity_days, workflow.quote_maker_checker, quotations.approval_link_ttl_hours</t>
        </is>
      </c>
    </row>
    <row r="18">
      <c r="A18" s="9" t="inlineStr">
        <is>
          <t>PR-17</t>
        </is>
      </c>
      <c r="B18" s="9" t="inlineStr">
        <is>
          <t>Policy</t>
        </is>
      </c>
      <c r="C18" s="9" t="inlineStr">
        <is>
          <t>Default policy term</t>
        </is>
      </c>
      <c r="D18" s="9" t="inlineStr">
        <is>
          <t>Master &gt; Configuration (Policies, Endorsements &amp; Renewals)</t>
        </is>
      </c>
      <c r="E18" s="9" t="inlineStr">
        <is>
          <t>12 months</t>
        </is>
      </c>
      <c r="F18" s="10" t="inlineStr"/>
      <c r="G18" s="9" t="inlineStr">
        <is>
          <t>Processing Team lead</t>
        </is>
      </c>
      <c r="H18" s="9" t="inlineStr">
        <is>
          <t>Discovery</t>
        </is>
      </c>
      <c r="I18" s="11" t="inlineStr"/>
      <c r="J18" s="9" t="inlineStr">
        <is>
          <t>Open</t>
        </is>
      </c>
      <c r="K18" s="9" t="inlineStr">
        <is>
          <t>policies.default_term_months</t>
        </is>
      </c>
    </row>
    <row r="19">
      <c r="A19" s="9" t="inlineStr">
        <is>
          <t>PR-18</t>
        </is>
      </c>
      <c r="B19" s="9" t="inlineStr">
        <is>
          <t>Renewals</t>
        </is>
      </c>
      <c r="C19" s="9" t="inlineStr">
        <is>
          <t>Renewal timetable: pipeline, notices, grace, reinstatement</t>
        </is>
      </c>
      <c r="D19" s="9" t="inlineStr">
        <is>
          <t>Master &gt; Configuration (Policies, Endorsements &amp; Renewals)</t>
        </is>
      </c>
      <c r="E19" s="9" t="inlineStr">
        <is>
          <t>Pipeline 90 days; notices 60, 30, 15 days; grace 30 days; reinstatement 90 days</t>
        </is>
      </c>
      <c r="F19" s="10" t="inlineStr"/>
      <c r="G19" s="9" t="inlineStr">
        <is>
          <t>Operations head</t>
        </is>
      </c>
      <c r="H19" s="9" t="inlineStr">
        <is>
          <t>Discovery</t>
        </is>
      </c>
      <c r="I19" s="11" t="inlineStr"/>
      <c r="J19" s="9" t="inlineStr">
        <is>
          <t>Open</t>
        </is>
      </c>
      <c r="K19" s="9" t="inlineStr">
        <is>
          <t>renewals.pipeline_days, limits.renewal_notice_days, renewals.grace_period_days, renewals.reinstatement_days</t>
        </is>
      </c>
    </row>
    <row r="20">
      <c r="A20" s="9" t="inlineStr">
        <is>
          <t>PR-19</t>
        </is>
      </c>
      <c r="B20" s="9" t="inlineStr">
        <is>
          <t>Renewals</t>
        </is>
      </c>
      <c r="C20" s="9" t="inlineStr">
        <is>
          <t>Renewal pricing: claims loading, loyalty discount, maker-checker</t>
        </is>
      </c>
      <c r="D20" s="9" t="inlineStr">
        <is>
          <t>Master &gt; Configuration (Policies, Endorsements &amp; Renewals)</t>
        </is>
      </c>
      <c r="E20" s="9" t="inlineStr">
        <is>
          <t>Loading 10% (cap 30%); loyalty 2% (cap 10%); maker-checker on</t>
        </is>
      </c>
      <c r="F20" s="10" t="inlineStr"/>
      <c r="G20" s="9" t="inlineStr">
        <is>
          <t>Operations head</t>
        </is>
      </c>
      <c r="H20" s="9" t="inlineStr">
        <is>
          <t>Discovery</t>
        </is>
      </c>
      <c r="I20" s="11" t="inlineStr"/>
      <c r="J20" s="9" t="inlineStr">
        <is>
          <t>Open</t>
        </is>
      </c>
      <c r="K20" s="9" t="inlineStr">
        <is>
          <t>renewals.claims_loading_*, renewals.loyalty_discount_*</t>
        </is>
      </c>
    </row>
    <row r="21">
      <c r="A21" s="9" t="inlineStr">
        <is>
          <t>PR-20</t>
        </is>
      </c>
      <c r="B21" s="9" t="inlineStr">
        <is>
          <t>Claims</t>
        </is>
      </c>
      <c r="C21" s="9" t="inlineStr">
        <is>
          <t>Claims controls: refuse claims on unpaid premium, check loss date, settlement maker-checker, SLA days, ageing</t>
        </is>
      </c>
      <c r="D21" s="9" t="inlineStr">
        <is>
          <t>Master &gt; Configuration (Claims)</t>
        </is>
      </c>
      <c r="E21" s="9" t="inlineStr">
        <is>
          <t>On; on; on; 20 days; 7, 15, 30 days</t>
        </is>
      </c>
      <c r="F21" s="10" t="inlineStr"/>
      <c r="G21" s="9" t="inlineStr">
        <is>
          <t>Claims head</t>
        </is>
      </c>
      <c r="H21" s="9" t="inlineStr">
        <is>
          <t>Discovery</t>
        </is>
      </c>
      <c r="I21" s="11" t="inlineStr"/>
      <c r="J21" s="9" t="inlineStr">
        <is>
          <t>Open</t>
        </is>
      </c>
      <c r="K21" s="9" t="inlineStr">
        <is>
          <t>claims.block_unpaid_premium, claims.sla_days, claims.aging_thresholds</t>
        </is>
      </c>
    </row>
    <row r="22">
      <c r="A22" s="9" t="inlineStr">
        <is>
          <t>PR-21</t>
        </is>
      </c>
      <c r="B22" s="9" t="inlineStr">
        <is>
          <t>Packages</t>
        </is>
      </c>
      <c r="C22" s="9" t="inlineStr">
        <is>
          <t>Pro-rata pricing of section endorsements on package policies</t>
        </is>
      </c>
      <c r="D22" s="9" t="inlineStr">
        <is>
          <t>Master &gt; Configuration (Sales, Quotations &amp; Placement)</t>
        </is>
      </c>
      <c r="E22" s="9" t="inlineStr">
        <is>
          <t>On</t>
        </is>
      </c>
      <c r="F22" s="10" t="inlineStr"/>
      <c r="G22" s="9" t="inlineStr">
        <is>
          <t>Processing Team lead</t>
        </is>
      </c>
      <c r="H22" s="9" t="inlineStr">
        <is>
          <t>Discovery</t>
        </is>
      </c>
      <c r="I22" s="11" t="inlineStr"/>
      <c r="J22" s="9" t="inlineStr">
        <is>
          <t>Open</t>
        </is>
      </c>
      <c r="K22" s="9" t="inlineStr">
        <is>
          <t>packages.endorsement_prorata</t>
        </is>
      </c>
    </row>
    <row r="23">
      <c r="A23" s="9" t="inlineStr">
        <is>
          <t>PR-22</t>
        </is>
      </c>
      <c r="B23" s="9" t="inlineStr">
        <is>
          <t>Prospects</t>
        </is>
      </c>
      <c r="C23" s="9" t="inlineStr">
        <is>
          <t>Age limits for a prospect or client date of birth</t>
        </is>
      </c>
      <c r="D23" s="9" t="inlineStr">
        <is>
          <t>Master &gt; Configuration (Sales, Quotations &amp; Placement)</t>
        </is>
      </c>
      <c r="E23" s="9" t="inlineStr">
        <is>
          <t>18 to 100 years</t>
        </is>
      </c>
      <c r="F23" s="10" t="inlineStr"/>
      <c r="G23" s="9" t="inlineStr">
        <is>
          <t>Sales head</t>
        </is>
      </c>
      <c r="H23" s="9" t="inlineStr">
        <is>
          <t>Configuration</t>
        </is>
      </c>
      <c r="I23" s="11" t="inlineStr"/>
      <c r="J23" s="9" t="inlineStr">
        <is>
          <t>Open</t>
        </is>
      </c>
      <c r="K23" s="9" t="inlineStr">
        <is>
          <t>leads.min_age_years, leads.max_age_years</t>
        </is>
      </c>
    </row>
  </sheetData>
  <autoFilter ref="A1:K23"/>
  <conditionalFormatting sqref="A2:K23">
    <cfRule type="expression" priority="1" dxfId="0">
      <formula>$J2="Configured"</formula>
    </cfRule>
    <cfRule type="expression" priority="2" dxfId="1">
      <formula>$J2="Gap (CR)"</formula>
    </cfRule>
  </conditionalFormatting>
  <dataValidations count="2">
    <dataValidation sqref="J2:J23" showDropDown="0" showInputMessage="0" showErrorMessage="0" allowBlank="1" type="list">
      <formula1>"Open,Answered,Confirmed,Configured,Not applicable,Gap (CR)"</formula1>
    </dataValidation>
    <dataValidation sqref="I2:I2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K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CM-01</t>
        </is>
      </c>
      <c r="B2" s="9" t="inlineStr">
        <is>
          <t>Insurer commission</t>
        </is>
      </c>
      <c r="C2" s="9" t="inlineStr">
        <is>
          <t>Commission rate by insurer, product or line, new or renewal, with effective dates</t>
        </is>
      </c>
      <c r="D2" s="9" t="inlineStr">
        <is>
          <t>Master &gt; Finance &gt; Commission Rate Matrix</t>
        </is>
      </c>
      <c r="E2" s="9" t="inlineStr">
        <is>
          <t>Fallback 15%</t>
        </is>
      </c>
      <c r="F2" s="10" t="inlineStr"/>
      <c r="G2" s="9" t="inlineStr">
        <is>
          <t>Accounting Manager</t>
        </is>
      </c>
      <c r="H2" s="9" t="inlineStr">
        <is>
          <t>Configuration</t>
        </is>
      </c>
      <c r="I2" s="11" t="inlineStr"/>
      <c r="J2" s="9" t="inlineStr">
        <is>
          <t>Open</t>
        </is>
      </c>
      <c r="K2" s="9" t="inlineStr">
        <is>
          <t>commission.default_rate; no upload template, entered on screen</t>
        </is>
      </c>
    </row>
    <row r="3">
      <c r="A3" s="9" t="inlineStr">
        <is>
          <t>CM-02</t>
        </is>
      </c>
      <c r="B3" s="9" t="inlineStr">
        <is>
          <t>Referrers</t>
        </is>
      </c>
      <c r="C3" s="9" t="inlineStr">
        <is>
          <t>Referrers and sub-agents: name, payee type, TIN, bank account</t>
        </is>
      </c>
      <c r="D3" s="9" t="inlineStr">
        <is>
          <t>Commission &gt; Agents/Referrer Accounts</t>
        </is>
      </c>
      <c r="E3" s="9" t="inlineStr">
        <is>
          <t>None in production</t>
        </is>
      </c>
      <c r="F3" s="10" t="inlineStr"/>
      <c r="G3" s="9" t="inlineStr">
        <is>
          <t>Accounting</t>
        </is>
      </c>
      <c r="H3" s="9" t="inlineStr">
        <is>
          <t>Mock load 1</t>
        </is>
      </c>
      <c r="I3" s="11" t="inlineStr"/>
      <c r="J3" s="9" t="inlineStr">
        <is>
          <t>Open</t>
        </is>
      </c>
      <c r="K3" s="9" t="inlineStr">
        <is>
          <t>A referrer needs a bank account before payout (commission.require_bank_account)</t>
        </is>
      </c>
    </row>
    <row r="4">
      <c r="A4" s="9" t="inlineStr">
        <is>
          <t>CM-03</t>
        </is>
      </c>
      <c r="B4" s="9" t="inlineStr">
        <is>
          <t>Sharing</t>
        </is>
      </c>
      <c r="C4" s="9" t="inlineStr">
        <is>
          <t>Sub-agent (comsub) share by level</t>
        </is>
      </c>
      <c r="D4" s="9" t="inlineStr">
        <is>
          <t>Master &gt; Configuration (Commission &amp; Incentives)</t>
        </is>
      </c>
      <c r="E4" s="9" t="inlineStr">
        <is>
          <t>Level 1 8%; level 2 5%</t>
        </is>
      </c>
      <c r="F4" s="10" t="inlineStr"/>
      <c r="G4" s="9" t="inlineStr">
        <is>
          <t>Sales head</t>
        </is>
      </c>
      <c r="H4" s="9" t="inlineStr">
        <is>
          <t>Discovery</t>
        </is>
      </c>
      <c r="I4" s="11" t="inlineStr"/>
      <c r="J4" s="9" t="inlineStr">
        <is>
          <t>Open</t>
        </is>
      </c>
      <c r="K4" s="9" t="inlineStr">
        <is>
          <t>commission.comsub_rate_by_level</t>
        </is>
      </c>
    </row>
    <row r="5">
      <c r="A5" s="9" t="inlineStr">
        <is>
          <t>CM-04</t>
        </is>
      </c>
      <c r="B5" s="9" t="inlineStr">
        <is>
          <t>Withholding</t>
        </is>
      </c>
      <c r="C5" s="9" t="inlineStr">
        <is>
          <t>Withholding tax code per payee type</t>
        </is>
      </c>
      <c r="D5" s="9" t="inlineStr">
        <is>
          <t>Master &gt; Configuration (Commission &amp; Incentives)</t>
        </is>
      </c>
      <c r="E5" s="9" t="inlineStr">
        <is>
          <t>Agent WI515 5%; Sub-agent WI515 5%; External WC515 10%</t>
        </is>
      </c>
      <c r="F5" s="10" t="inlineStr"/>
      <c r="G5" s="9" t="inlineStr">
        <is>
          <t>Accounting Manager</t>
        </is>
      </c>
      <c r="H5" s="9" t="inlineStr">
        <is>
          <t>Discovery</t>
        </is>
      </c>
      <c r="I5" s="11" t="inlineStr"/>
      <c r="J5" s="9" t="inlineStr">
        <is>
          <t>Open</t>
        </is>
      </c>
      <c r="K5" s="9" t="inlineStr">
        <is>
          <t>commission.wht_code_by_type; confirm with the tax adviser</t>
        </is>
      </c>
    </row>
    <row r="6">
      <c r="A6" s="9" t="inlineStr">
        <is>
          <t>CM-05</t>
        </is>
      </c>
      <c r="B6" s="9" t="inlineStr">
        <is>
          <t>Payout rule</t>
        </is>
      </c>
      <c r="C6" s="9" t="inlineStr">
        <is>
          <t>Commission payable only when the premium is fully paid</t>
        </is>
      </c>
      <c r="D6" s="9" t="inlineStr">
        <is>
          <t>Master &gt; Configuration (Commission &amp; Incentives)</t>
        </is>
      </c>
      <c r="E6" s="9" t="inlineStr">
        <is>
          <t>On; eligible automatically on full payment</t>
        </is>
      </c>
      <c r="F6" s="10" t="inlineStr"/>
      <c r="G6" s="9" t="inlineStr">
        <is>
          <t>Accounting Manager</t>
        </is>
      </c>
      <c r="H6" s="9" t="inlineStr">
        <is>
          <t>Discovery</t>
        </is>
      </c>
      <c r="I6" s="11" t="inlineStr"/>
      <c r="J6" s="9" t="inlineStr">
        <is>
          <t>Open</t>
        </is>
      </c>
      <c r="K6" s="9" t="inlineStr">
        <is>
          <t>commission.require_full_payment, commission.auto_eligible_on_full_payment</t>
        </is>
      </c>
    </row>
    <row r="7">
      <c r="A7" s="9" t="inlineStr">
        <is>
          <t>CM-06</t>
        </is>
      </c>
      <c r="B7" s="9" t="inlineStr">
        <is>
          <t>Commission master</t>
        </is>
      </c>
      <c r="C7" s="9" t="inlineStr">
        <is>
          <t>Commission master records (codes) used by sales</t>
        </is>
      </c>
      <c r="D7" s="9" t="inlineStr">
        <is>
          <t>Master &gt; Generals &gt; Commission</t>
        </is>
      </c>
      <c r="E7" s="9" t="inlineStr">
        <is>
          <t>COM- series</t>
        </is>
      </c>
      <c r="F7" s="10" t="inlineStr"/>
      <c r="G7" s="9" t="inlineStr">
        <is>
          <t>Sales head</t>
        </is>
      </c>
      <c r="H7" s="9" t="inlineStr">
        <is>
          <t>Configuration</t>
        </is>
      </c>
      <c r="I7" s="11" t="inlineStr"/>
      <c r="J7" s="9" t="inlineStr">
        <is>
          <t>Open</t>
        </is>
      </c>
      <c r="K7" s="9" t="inlineStr"/>
    </row>
    <row r="8">
      <c r="A8" s="9" t="inlineStr">
        <is>
          <t>CM-07</t>
        </is>
      </c>
      <c r="B8" s="9" t="inlineStr">
        <is>
          <t>VAT</t>
        </is>
      </c>
      <c r="C8" s="9" t="inlineStr">
        <is>
          <t>Is the broker VAT-registered; is commission quoted VAT-inclusive</t>
        </is>
      </c>
      <c r="D8" s="9" t="inlineStr">
        <is>
          <t>Master &gt; Configuration (Billing, Collections &amp; Credit)</t>
        </is>
      </c>
      <c r="E8" s="9" t="inlineStr">
        <is>
          <t>VAT-registered: yes; VAT-inclusive: no</t>
        </is>
      </c>
      <c r="F8" s="10" t="inlineStr"/>
      <c r="G8" s="9" t="inlineStr">
        <is>
          <t>Accounting Manager</t>
        </is>
      </c>
      <c r="H8" s="9" t="inlineStr">
        <is>
          <t>Discovery</t>
        </is>
      </c>
      <c r="I8" s="11" t="inlineStr"/>
      <c r="J8" s="9" t="inlineStr">
        <is>
          <t>Open</t>
        </is>
      </c>
      <c r="K8" s="9" t="inlineStr">
        <is>
          <t>direct_bill.broker_vat_registered, direct_bill.commission_vat_inclusive</t>
        </is>
      </c>
    </row>
    <row r="9">
      <c r="A9" s="9" t="inlineStr">
        <is>
          <t>CM-08</t>
        </is>
      </c>
      <c r="B9" s="9" t="inlineStr">
        <is>
          <t>Incentives</t>
        </is>
      </c>
      <c r="C9" s="9" t="inlineStr">
        <is>
          <t>Incentive programmes for sales staff: basis, period, targets, payout</t>
        </is>
      </c>
      <c r="D9" s="9" t="inlineStr">
        <is>
          <t>Master &gt; Finance &gt; Incentive Programs</t>
        </is>
      </c>
      <c r="E9" s="9" t="inlineStr">
        <is>
          <t>None in production</t>
        </is>
      </c>
      <c r="F9" s="10" t="inlineStr"/>
      <c r="G9" s="9" t="inlineStr">
        <is>
          <t>Sales head</t>
        </is>
      </c>
      <c r="H9" s="9" t="inlineStr">
        <is>
          <t>Configuration</t>
        </is>
      </c>
      <c r="I9" s="11" t="inlineStr"/>
      <c r="J9" s="9" t="inlineStr">
        <is>
          <t>Open</t>
        </is>
      </c>
      <c r="K9" s="9" t="inlineStr">
        <is>
          <t>Skip if not used</t>
        </is>
      </c>
    </row>
    <row r="10">
      <c r="A10" s="9" t="inlineStr">
        <is>
          <t>CM-09</t>
        </is>
      </c>
      <c r="B10" s="9" t="inlineStr">
        <is>
          <t>Open balances</t>
        </is>
      </c>
      <c r="C10" s="9" t="inlineStr">
        <is>
          <t>Commission due to referrers earned before go-live</t>
        </is>
      </c>
      <c r="D10" s="9" t="inlineStr">
        <is>
          <t>Accounts &gt; Disbursement</t>
        </is>
      </c>
      <c r="E10" s="9" t="inlineStr">
        <is>
          <t>Part of the commission payable opening balance</t>
        </is>
      </c>
      <c r="F10" s="10" t="inlineStr"/>
      <c r="G10" s="9" t="inlineStr">
        <is>
          <t>Accounting</t>
        </is>
      </c>
      <c r="H10" s="9" t="inlineStr">
        <is>
          <t>Mock load 1</t>
        </is>
      </c>
      <c r="I10" s="11" t="inlineStr"/>
      <c r="J10" s="9" t="inlineStr">
        <is>
          <t>Open</t>
        </is>
      </c>
      <c r="K10" s="9" t="inlineStr">
        <is>
          <t>Paid with payment vouchers</t>
        </is>
      </c>
    </row>
  </sheetData>
  <autoFilter ref="A1:K10"/>
  <conditionalFormatting sqref="A2:K10">
    <cfRule type="expression" priority="1" dxfId="0">
      <formula>$J2="Configured"</formula>
    </cfRule>
    <cfRule type="expression" priority="2" dxfId="1">
      <formula>$J2="Gap (CR)"</formula>
    </cfRule>
  </conditionalFormatting>
  <dataValidations count="2">
    <dataValidation sqref="J2:J10" showDropDown="0" showInputMessage="0" showErrorMessage="0" allowBlank="1" type="list">
      <formula1>"Open,Answered,Confirmed,Configured,Not applicable,Gap (CR)"</formula1>
    </dataValidation>
    <dataValidation sqref="I2:I10"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K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GL-01</t>
        </is>
      </c>
      <c r="B2" s="9" t="inlineStr">
        <is>
          <t>Chart</t>
        </is>
      </c>
      <c r="C2" s="9" t="inlineStr">
        <is>
          <t>Adopt the delivered Philippine broker chart of accounts, or map the broker's chart to it</t>
        </is>
      </c>
      <c r="D2" s="9" t="inlineStr">
        <is>
          <t>Master &gt; Finance &gt; Account Category; Main Account; Sub Account</t>
        </is>
      </c>
      <c r="E2" s="9" t="inlineStr">
        <is>
          <t>Delivered chart of about 110 accounts</t>
        </is>
      </c>
      <c r="F2" s="10" t="inlineStr"/>
      <c r="G2" s="9" t="inlineStr">
        <is>
          <t>Accounting Manager</t>
        </is>
      </c>
      <c r="H2" s="9" t="inlineStr">
        <is>
          <t>Discovery</t>
        </is>
      </c>
      <c r="I2" s="11" t="inlineStr"/>
      <c r="J2" s="9" t="inlineStr">
        <is>
          <t>Open</t>
        </is>
      </c>
      <c r="K2" s="9" t="inlineStr">
        <is>
          <t>Chart_of_Accounts_Upload_Template.xlsx</t>
        </is>
      </c>
    </row>
    <row r="3">
      <c r="A3" s="9" t="inlineStr">
        <is>
          <t>GL-02</t>
        </is>
      </c>
      <c r="B3" s="9" t="inlineStr">
        <is>
          <t>Chart</t>
        </is>
      </c>
      <c r="C3" s="9" t="inlineStr">
        <is>
          <t>Premium trust account and other bank GL accounts needed</t>
        </is>
      </c>
      <c r="D3" s="9" t="inlineStr">
        <is>
          <t>Master &gt; Finance &gt; Main Account; Sub Account</t>
        </is>
      </c>
      <c r="E3" s="9" t="inlineStr">
        <is>
          <t>Cash in Bank: Operating, E-wallet Clearing, Premium Trust, Payroll</t>
        </is>
      </c>
      <c r="F3" s="10" t="inlineStr"/>
      <c r="G3" s="9" t="inlineStr">
        <is>
          <t>Accounting Manager</t>
        </is>
      </c>
      <c r="H3" s="9" t="inlineStr">
        <is>
          <t>Discovery</t>
        </is>
      </c>
      <c r="I3" s="11" t="inlineStr"/>
      <c r="J3" s="9" t="inlineStr">
        <is>
          <t>Open</t>
        </is>
      </c>
      <c r="K3" s="9" t="inlineStr"/>
    </row>
    <row r="4">
      <c r="A4" s="9" t="inlineStr">
        <is>
          <t>GL-03</t>
        </is>
      </c>
      <c r="B4" s="9" t="inlineStr">
        <is>
          <t>Account determination</t>
        </is>
      </c>
      <c r="C4" s="9" t="inlineStr">
        <is>
          <t>GL account for cash on hand</t>
        </is>
      </c>
      <c r="D4" s="9" t="inlineStr">
        <is>
          <t>Master &gt; Finance &gt; Account Determination</t>
        </is>
      </c>
      <c r="E4" s="9" t="inlineStr">
        <is>
          <t>1101001</t>
        </is>
      </c>
      <c r="F4" s="10" t="inlineStr"/>
      <c r="G4" s="9" t="inlineStr">
        <is>
          <t>Accounting Manager</t>
        </is>
      </c>
      <c r="H4" s="9" t="inlineStr">
        <is>
          <t>Configuration</t>
        </is>
      </c>
      <c r="I4" s="11" t="inlineStr"/>
      <c r="J4" s="9" t="inlineStr">
        <is>
          <t>Open</t>
        </is>
      </c>
      <c r="K4" s="9" t="inlineStr">
        <is>
          <t>accounting.account.*</t>
        </is>
      </c>
    </row>
    <row r="5">
      <c r="A5" s="9" t="inlineStr">
        <is>
          <t>GL-04</t>
        </is>
      </c>
      <c r="B5" s="9" t="inlineStr">
        <is>
          <t>Account determination</t>
        </is>
      </c>
      <c r="C5" s="9" t="inlineStr">
        <is>
          <t>GL account for cash in bank (default)</t>
        </is>
      </c>
      <c r="D5" s="9" t="inlineStr">
        <is>
          <t>Master &gt; Finance &gt; Account Determination</t>
        </is>
      </c>
      <c r="E5" s="9" t="inlineStr">
        <is>
          <t>1102001</t>
        </is>
      </c>
      <c r="F5" s="10" t="inlineStr"/>
      <c r="G5" s="9" t="inlineStr">
        <is>
          <t>Accounting Manager</t>
        </is>
      </c>
      <c r="H5" s="9" t="inlineStr">
        <is>
          <t>Configuration</t>
        </is>
      </c>
      <c r="I5" s="11" t="inlineStr"/>
      <c r="J5" s="9" t="inlineStr">
        <is>
          <t>Open</t>
        </is>
      </c>
      <c r="K5" s="9" t="inlineStr">
        <is>
          <t>accounting.account.*</t>
        </is>
      </c>
    </row>
    <row r="6">
      <c r="A6" s="9" t="inlineStr">
        <is>
          <t>GL-05</t>
        </is>
      </c>
      <c r="B6" s="9" t="inlineStr">
        <is>
          <t>Account determination</t>
        </is>
      </c>
      <c r="C6" s="9" t="inlineStr">
        <is>
          <t>GL account for petty cash fund</t>
        </is>
      </c>
      <c r="D6" s="9" t="inlineStr">
        <is>
          <t>Master &gt; Finance &gt; Account Determination</t>
        </is>
      </c>
      <c r="E6" s="9" t="inlineStr">
        <is>
          <t>1103001</t>
        </is>
      </c>
      <c r="F6" s="10" t="inlineStr"/>
      <c r="G6" s="9" t="inlineStr">
        <is>
          <t>Accounting Manager</t>
        </is>
      </c>
      <c r="H6" s="9" t="inlineStr">
        <is>
          <t>Configuration</t>
        </is>
      </c>
      <c r="I6" s="11" t="inlineStr"/>
      <c r="J6" s="9" t="inlineStr">
        <is>
          <t>Open</t>
        </is>
      </c>
      <c r="K6" s="9" t="inlineStr">
        <is>
          <t>accounting.account.*</t>
        </is>
      </c>
    </row>
    <row r="7">
      <c r="A7" s="9" t="inlineStr">
        <is>
          <t>GL-06</t>
        </is>
      </c>
      <c r="B7" s="9" t="inlineStr">
        <is>
          <t>Account determination</t>
        </is>
      </c>
      <c r="C7" s="9" t="inlineStr">
        <is>
          <t>GL account for premium receivable</t>
        </is>
      </c>
      <c r="D7" s="9" t="inlineStr">
        <is>
          <t>Master &gt; Finance &gt; Account Determination</t>
        </is>
      </c>
      <c r="E7" s="9" t="inlineStr">
        <is>
          <t>1202001</t>
        </is>
      </c>
      <c r="F7" s="10" t="inlineStr"/>
      <c r="G7" s="9" t="inlineStr">
        <is>
          <t>Accounting Manager</t>
        </is>
      </c>
      <c r="H7" s="9" t="inlineStr">
        <is>
          <t>Configuration</t>
        </is>
      </c>
      <c r="I7" s="11" t="inlineStr"/>
      <c r="J7" s="9" t="inlineStr">
        <is>
          <t>Open</t>
        </is>
      </c>
      <c r="K7" s="9" t="inlineStr">
        <is>
          <t>accounting.account.*</t>
        </is>
      </c>
    </row>
    <row r="8">
      <c r="A8" s="9" t="inlineStr">
        <is>
          <t>GL-07</t>
        </is>
      </c>
      <c r="B8" s="9" t="inlineStr">
        <is>
          <t>Account determination</t>
        </is>
      </c>
      <c r="C8" s="9" t="inlineStr">
        <is>
          <t>GL account for commission receivable</t>
        </is>
      </c>
      <c r="D8" s="9" t="inlineStr">
        <is>
          <t>Master &gt; Finance &gt; Account Determination</t>
        </is>
      </c>
      <c r="E8" s="9" t="inlineStr">
        <is>
          <t>1203001</t>
        </is>
      </c>
      <c r="F8" s="10" t="inlineStr"/>
      <c r="G8" s="9" t="inlineStr">
        <is>
          <t>Accounting Manager</t>
        </is>
      </c>
      <c r="H8" s="9" t="inlineStr">
        <is>
          <t>Configuration</t>
        </is>
      </c>
      <c r="I8" s="11" t="inlineStr"/>
      <c r="J8" s="9" t="inlineStr">
        <is>
          <t>Open</t>
        </is>
      </c>
      <c r="K8" s="9" t="inlineStr">
        <is>
          <t>accounting.account.*</t>
        </is>
      </c>
    </row>
    <row r="9">
      <c r="A9" s="9" t="inlineStr">
        <is>
          <t>GL-08</t>
        </is>
      </c>
      <c r="B9" s="9" t="inlineStr">
        <is>
          <t>Account determination</t>
        </is>
      </c>
      <c r="C9" s="9" t="inlineStr">
        <is>
          <t>GL account for agent receivable</t>
        </is>
      </c>
      <c r="D9" s="9" t="inlineStr">
        <is>
          <t>Master &gt; Finance &gt; Account Determination</t>
        </is>
      </c>
      <c r="E9" s="9" t="inlineStr">
        <is>
          <t>1204001</t>
        </is>
      </c>
      <c r="F9" s="10" t="inlineStr"/>
      <c r="G9" s="9" t="inlineStr">
        <is>
          <t>Accounting Manager</t>
        </is>
      </c>
      <c r="H9" s="9" t="inlineStr">
        <is>
          <t>Configuration</t>
        </is>
      </c>
      <c r="I9" s="11" t="inlineStr"/>
      <c r="J9" s="9" t="inlineStr">
        <is>
          <t>Open</t>
        </is>
      </c>
      <c r="K9" s="9" t="inlineStr">
        <is>
          <t>accounting.account.*</t>
        </is>
      </c>
    </row>
    <row r="10">
      <c r="A10" s="9" t="inlineStr">
        <is>
          <t>GL-09</t>
        </is>
      </c>
      <c r="B10" s="9" t="inlineStr">
        <is>
          <t>Account determination</t>
        </is>
      </c>
      <c r="C10" s="9" t="inlineStr">
        <is>
          <t>GL account for insurer refund receivable</t>
        </is>
      </c>
      <c r="D10" s="9" t="inlineStr">
        <is>
          <t>Master &gt; Finance &gt; Account Determination</t>
        </is>
      </c>
      <c r="E10" s="9" t="inlineStr">
        <is>
          <t>1203002</t>
        </is>
      </c>
      <c r="F10" s="10" t="inlineStr"/>
      <c r="G10" s="9" t="inlineStr">
        <is>
          <t>Accounting Manager</t>
        </is>
      </c>
      <c r="H10" s="9" t="inlineStr">
        <is>
          <t>Configuration</t>
        </is>
      </c>
      <c r="I10" s="11" t="inlineStr"/>
      <c r="J10" s="9" t="inlineStr">
        <is>
          <t>Open</t>
        </is>
      </c>
      <c r="K10" s="9" t="inlineStr">
        <is>
          <t>accounting.account.*</t>
        </is>
      </c>
    </row>
    <row r="11">
      <c r="A11" s="9" t="inlineStr">
        <is>
          <t>GL-10</t>
        </is>
      </c>
      <c r="B11" s="9" t="inlineStr">
        <is>
          <t>Account determination</t>
        </is>
      </c>
      <c r="C11" s="9" t="inlineStr">
        <is>
          <t>GL account for employee advances</t>
        </is>
      </c>
      <c r="D11" s="9" t="inlineStr">
        <is>
          <t>Master &gt; Finance &gt; Account Determination</t>
        </is>
      </c>
      <c r="E11" s="9" t="inlineStr">
        <is>
          <t>1205001</t>
        </is>
      </c>
      <c r="F11" s="10" t="inlineStr"/>
      <c r="G11" s="9" t="inlineStr">
        <is>
          <t>Accounting Manager</t>
        </is>
      </c>
      <c r="H11" s="9" t="inlineStr">
        <is>
          <t>Configuration</t>
        </is>
      </c>
      <c r="I11" s="11" t="inlineStr"/>
      <c r="J11" s="9" t="inlineStr">
        <is>
          <t>Open</t>
        </is>
      </c>
      <c r="K11" s="9" t="inlineStr">
        <is>
          <t>accounting.account.*</t>
        </is>
      </c>
    </row>
    <row r="12">
      <c r="A12" s="9" t="inlineStr">
        <is>
          <t>GL-11</t>
        </is>
      </c>
      <c r="B12" s="9" t="inlineStr">
        <is>
          <t>Account determination</t>
        </is>
      </c>
      <c r="C12" s="9" t="inlineStr">
        <is>
          <t>GL account for input vat</t>
        </is>
      </c>
      <c r="D12" s="9" t="inlineStr">
        <is>
          <t>Master &gt; Finance &gt; Account Determination</t>
        </is>
      </c>
      <c r="E12" s="9" t="inlineStr">
        <is>
          <t>1301001</t>
        </is>
      </c>
      <c r="F12" s="10" t="inlineStr"/>
      <c r="G12" s="9" t="inlineStr">
        <is>
          <t>Accounting Manager</t>
        </is>
      </c>
      <c r="H12" s="9" t="inlineStr">
        <is>
          <t>Configuration</t>
        </is>
      </c>
      <c r="I12" s="11" t="inlineStr"/>
      <c r="J12" s="9" t="inlineStr">
        <is>
          <t>Open</t>
        </is>
      </c>
      <c r="K12" s="9" t="inlineStr">
        <is>
          <t>accounting.account.*</t>
        </is>
      </c>
    </row>
    <row r="13">
      <c r="A13" s="9" t="inlineStr">
        <is>
          <t>GL-12</t>
        </is>
      </c>
      <c r="B13" s="9" t="inlineStr">
        <is>
          <t>Account determination</t>
        </is>
      </c>
      <c r="C13" s="9" t="inlineStr">
        <is>
          <t>GL account for creditable withholding tax</t>
        </is>
      </c>
      <c r="D13" s="9" t="inlineStr">
        <is>
          <t>Master &gt; Finance &gt; Account Determination</t>
        </is>
      </c>
      <c r="E13" s="9" t="inlineStr">
        <is>
          <t>1302001</t>
        </is>
      </c>
      <c r="F13" s="10" t="inlineStr"/>
      <c r="G13" s="9" t="inlineStr">
        <is>
          <t>Accounting Manager</t>
        </is>
      </c>
      <c r="H13" s="9" t="inlineStr">
        <is>
          <t>Configuration</t>
        </is>
      </c>
      <c r="I13" s="11" t="inlineStr"/>
      <c r="J13" s="9" t="inlineStr">
        <is>
          <t>Open</t>
        </is>
      </c>
      <c r="K13" s="9" t="inlineStr">
        <is>
          <t>accounting.account.*</t>
        </is>
      </c>
    </row>
    <row r="14">
      <c r="A14" s="9" t="inlineStr">
        <is>
          <t>GL-13</t>
        </is>
      </c>
      <c r="B14" s="9" t="inlineStr">
        <is>
          <t>Account determination</t>
        </is>
      </c>
      <c r="C14" s="9" t="inlineStr">
        <is>
          <t>GL account for output vat</t>
        </is>
      </c>
      <c r="D14" s="9" t="inlineStr">
        <is>
          <t>Master &gt; Finance &gt; Account Determination</t>
        </is>
      </c>
      <c r="E14" s="9" t="inlineStr">
        <is>
          <t>2204003</t>
        </is>
      </c>
      <c r="F14" s="10" t="inlineStr"/>
      <c r="G14" s="9" t="inlineStr">
        <is>
          <t>Accounting Manager</t>
        </is>
      </c>
      <c r="H14" s="9" t="inlineStr">
        <is>
          <t>Configuration</t>
        </is>
      </c>
      <c r="I14" s="11" t="inlineStr"/>
      <c r="J14" s="9" t="inlineStr">
        <is>
          <t>Open</t>
        </is>
      </c>
      <c r="K14" s="9" t="inlineStr">
        <is>
          <t>accounting.account.*</t>
        </is>
      </c>
    </row>
    <row r="15">
      <c r="A15" s="9" t="inlineStr">
        <is>
          <t>GL-14</t>
        </is>
      </c>
      <c r="B15" s="9" t="inlineStr">
        <is>
          <t>Account determination</t>
        </is>
      </c>
      <c r="C15" s="9" t="inlineStr">
        <is>
          <t>GL account for due to insurers</t>
        </is>
      </c>
      <c r="D15" s="9" t="inlineStr">
        <is>
          <t>Master &gt; Finance &gt; Account Determination</t>
        </is>
      </c>
      <c r="E15" s="9" t="inlineStr">
        <is>
          <t>2201001</t>
        </is>
      </c>
      <c r="F15" s="10" t="inlineStr"/>
      <c r="G15" s="9" t="inlineStr">
        <is>
          <t>Accounting Manager</t>
        </is>
      </c>
      <c r="H15" s="9" t="inlineStr">
        <is>
          <t>Configuration</t>
        </is>
      </c>
      <c r="I15" s="11" t="inlineStr"/>
      <c r="J15" s="9" t="inlineStr">
        <is>
          <t>Open</t>
        </is>
      </c>
      <c r="K15" s="9" t="inlineStr">
        <is>
          <t>accounting.account.*</t>
        </is>
      </c>
    </row>
    <row r="16">
      <c r="A16" s="9" t="inlineStr">
        <is>
          <t>GL-15</t>
        </is>
      </c>
      <c r="B16" s="9" t="inlineStr">
        <is>
          <t>Account determination</t>
        </is>
      </c>
      <c r="C16" s="9" t="inlineStr">
        <is>
          <t>GL account for commission payable</t>
        </is>
      </c>
      <c r="D16" s="9" t="inlineStr">
        <is>
          <t>Master &gt; Finance &gt; Account Determination</t>
        </is>
      </c>
      <c r="E16" s="9" t="inlineStr">
        <is>
          <t>2203001</t>
        </is>
      </c>
      <c r="F16" s="10" t="inlineStr"/>
      <c r="G16" s="9" t="inlineStr">
        <is>
          <t>Accounting Manager</t>
        </is>
      </c>
      <c r="H16" s="9" t="inlineStr">
        <is>
          <t>Configuration</t>
        </is>
      </c>
      <c r="I16" s="11" t="inlineStr"/>
      <c r="J16" s="9" t="inlineStr">
        <is>
          <t>Open</t>
        </is>
      </c>
      <c r="K16" s="9" t="inlineStr">
        <is>
          <t>accounting.account.*</t>
        </is>
      </c>
    </row>
    <row r="17">
      <c r="A17" s="9" t="inlineStr">
        <is>
          <t>GL-16</t>
        </is>
      </c>
      <c r="B17" s="9" t="inlineStr">
        <is>
          <t>Account determination</t>
        </is>
      </c>
      <c r="C17" s="9" t="inlineStr">
        <is>
          <t>GL account for withholding tax payable</t>
        </is>
      </c>
      <c r="D17" s="9" t="inlineStr">
        <is>
          <t>Master &gt; Finance &gt; Account Determination</t>
        </is>
      </c>
      <c r="E17" s="9" t="inlineStr">
        <is>
          <t>2204001</t>
        </is>
      </c>
      <c r="F17" s="10" t="inlineStr"/>
      <c r="G17" s="9" t="inlineStr">
        <is>
          <t>Accounting Manager</t>
        </is>
      </c>
      <c r="H17" s="9" t="inlineStr">
        <is>
          <t>Configuration</t>
        </is>
      </c>
      <c r="I17" s="11" t="inlineStr"/>
      <c r="J17" s="9" t="inlineStr">
        <is>
          <t>Open</t>
        </is>
      </c>
      <c r="K17" s="9" t="inlineStr">
        <is>
          <t>accounting.account.*</t>
        </is>
      </c>
    </row>
    <row r="18">
      <c r="A18" s="9" t="inlineStr">
        <is>
          <t>GL-17</t>
        </is>
      </c>
      <c r="B18" s="9" t="inlineStr">
        <is>
          <t>Account determination</t>
        </is>
      </c>
      <c r="C18" s="9" t="inlineStr">
        <is>
          <t>GL account for client refund payable</t>
        </is>
      </c>
      <c r="D18" s="9" t="inlineStr">
        <is>
          <t>Master &gt; Finance &gt; Account Determination</t>
        </is>
      </c>
      <c r="E18" s="9" t="inlineStr">
        <is>
          <t>2205001</t>
        </is>
      </c>
      <c r="F18" s="10" t="inlineStr"/>
      <c r="G18" s="9" t="inlineStr">
        <is>
          <t>Accounting Manager</t>
        </is>
      </c>
      <c r="H18" s="9" t="inlineStr">
        <is>
          <t>Configuration</t>
        </is>
      </c>
      <c r="I18" s="11" t="inlineStr"/>
      <c r="J18" s="9" t="inlineStr">
        <is>
          <t>Open</t>
        </is>
      </c>
      <c r="K18" s="9" t="inlineStr">
        <is>
          <t>accounting.account.*</t>
        </is>
      </c>
    </row>
    <row r="19">
      <c r="A19" s="9" t="inlineStr">
        <is>
          <t>GL-18</t>
        </is>
      </c>
      <c r="B19" s="9" t="inlineStr">
        <is>
          <t>Account determination</t>
        </is>
      </c>
      <c r="C19" s="9" t="inlineStr">
        <is>
          <t>GL account for supplier payable</t>
        </is>
      </c>
      <c r="D19" s="9" t="inlineStr">
        <is>
          <t>Master &gt; Finance &gt; Account Determination</t>
        </is>
      </c>
      <c r="E19" s="9" t="inlineStr">
        <is>
          <t>2206001</t>
        </is>
      </c>
      <c r="F19" s="10" t="inlineStr"/>
      <c r="G19" s="9" t="inlineStr">
        <is>
          <t>Accounting Manager</t>
        </is>
      </c>
      <c r="H19" s="9" t="inlineStr">
        <is>
          <t>Configuration</t>
        </is>
      </c>
      <c r="I19" s="11" t="inlineStr"/>
      <c r="J19" s="9" t="inlineStr">
        <is>
          <t>Open</t>
        </is>
      </c>
      <c r="K19" s="9" t="inlineStr">
        <is>
          <t>accounting.account.*</t>
        </is>
      </c>
    </row>
    <row r="20">
      <c r="A20" s="9" t="inlineStr">
        <is>
          <t>GL-19</t>
        </is>
      </c>
      <c r="B20" s="9" t="inlineStr">
        <is>
          <t>Account determination</t>
        </is>
      </c>
      <c r="C20" s="9" t="inlineStr">
        <is>
          <t>GL account for commission income</t>
        </is>
      </c>
      <c r="D20" s="9" t="inlineStr">
        <is>
          <t>Master &gt; Finance &gt; Account Determination</t>
        </is>
      </c>
      <c r="E20" s="9" t="inlineStr">
        <is>
          <t>3201001</t>
        </is>
      </c>
      <c r="F20" s="10" t="inlineStr"/>
      <c r="G20" s="9" t="inlineStr">
        <is>
          <t>Accounting Manager</t>
        </is>
      </c>
      <c r="H20" s="9" t="inlineStr">
        <is>
          <t>Configuration</t>
        </is>
      </c>
      <c r="I20" s="11" t="inlineStr"/>
      <c r="J20" s="9" t="inlineStr">
        <is>
          <t>Open</t>
        </is>
      </c>
      <c r="K20" s="9" t="inlineStr">
        <is>
          <t>accounting.account.*</t>
        </is>
      </c>
    </row>
    <row r="21">
      <c r="A21" s="9" t="inlineStr">
        <is>
          <t>GL-20</t>
        </is>
      </c>
      <c r="B21" s="9" t="inlineStr">
        <is>
          <t>Account determination</t>
        </is>
      </c>
      <c r="C21" s="9" t="inlineStr">
        <is>
          <t>GL account for commission expense</t>
        </is>
      </c>
      <c r="D21" s="9" t="inlineStr">
        <is>
          <t>Master &gt; Finance &gt; Account Determination</t>
        </is>
      </c>
      <c r="E21" s="9" t="inlineStr">
        <is>
          <t>4401010</t>
        </is>
      </c>
      <c r="F21" s="10" t="inlineStr"/>
      <c r="G21" s="9" t="inlineStr">
        <is>
          <t>Accounting Manager</t>
        </is>
      </c>
      <c r="H21" s="9" t="inlineStr">
        <is>
          <t>Configuration</t>
        </is>
      </c>
      <c r="I21" s="11" t="inlineStr"/>
      <c r="J21" s="9" t="inlineStr">
        <is>
          <t>Open</t>
        </is>
      </c>
      <c r="K21" s="9" t="inlineStr">
        <is>
          <t>accounting.account.*</t>
        </is>
      </c>
    </row>
    <row r="22">
      <c r="A22" s="9" t="inlineStr">
        <is>
          <t>GL-21</t>
        </is>
      </c>
      <c r="B22" s="9" t="inlineStr">
        <is>
          <t>Account determination</t>
        </is>
      </c>
      <c r="C22" s="9" t="inlineStr">
        <is>
          <t>GL account for write-off</t>
        </is>
      </c>
      <c r="D22" s="9" t="inlineStr">
        <is>
          <t>Master &gt; Finance &gt; Account Determination</t>
        </is>
      </c>
      <c r="E22" s="9" t="inlineStr">
        <is>
          <t>4401009</t>
        </is>
      </c>
      <c r="F22" s="10" t="inlineStr"/>
      <c r="G22" s="9" t="inlineStr">
        <is>
          <t>Accounting Manager</t>
        </is>
      </c>
      <c r="H22" s="9" t="inlineStr">
        <is>
          <t>Configuration</t>
        </is>
      </c>
      <c r="I22" s="11" t="inlineStr"/>
      <c r="J22" s="9" t="inlineStr">
        <is>
          <t>Open</t>
        </is>
      </c>
      <c r="K22" s="9" t="inlineStr">
        <is>
          <t>accounting.account.*</t>
        </is>
      </c>
    </row>
    <row r="23">
      <c r="A23" s="9" t="inlineStr">
        <is>
          <t>GL-22</t>
        </is>
      </c>
      <c r="B23" s="9" t="inlineStr">
        <is>
          <t>Account determination</t>
        </is>
      </c>
      <c r="C23" s="9" t="inlineStr">
        <is>
          <t>Payable account per payee type</t>
        </is>
      </c>
      <c r="D23" s="9" t="inlineStr">
        <is>
          <t>Master &gt; Finance &gt; Account Determination</t>
        </is>
      </c>
      <c r="E23" s="9" t="inlineStr">
        <is>
          <t>Insurer 2201001; Client 2205001; Agent/Referrer 2203001; Supplier 2206001</t>
        </is>
      </c>
      <c r="F23" s="10" t="inlineStr"/>
      <c r="G23" s="9" t="inlineStr">
        <is>
          <t>Accounting Manager</t>
        </is>
      </c>
      <c r="H23" s="9" t="inlineStr">
        <is>
          <t>Configuration</t>
        </is>
      </c>
      <c r="I23" s="11" t="inlineStr"/>
      <c r="J23" s="9" t="inlineStr">
        <is>
          <t>Open</t>
        </is>
      </c>
      <c r="K23" s="9" t="inlineStr">
        <is>
          <t>accounting.payable_account_by_payee</t>
        </is>
      </c>
    </row>
    <row r="24">
      <c r="A24" s="9" t="inlineStr">
        <is>
          <t>GL-23</t>
        </is>
      </c>
      <c r="B24" s="9" t="inlineStr">
        <is>
          <t>Account determination</t>
        </is>
      </c>
      <c r="C24" s="9" t="inlineStr">
        <is>
          <t>Cash account per payment mode</t>
        </is>
      </c>
      <c r="D24" s="9" t="inlineStr">
        <is>
          <t>Master &gt; Finance &gt; Account Determination</t>
        </is>
      </c>
      <c r="E24" s="9" t="inlineStr">
        <is>
          <t>Cash 1101001; cheque, bank transfer, card 1102001; GCash and online 1102002</t>
        </is>
      </c>
      <c r="F24" s="10" t="inlineStr"/>
      <c r="G24" s="9" t="inlineStr">
        <is>
          <t>Accounting Manager</t>
        </is>
      </c>
      <c r="H24" s="9" t="inlineStr">
        <is>
          <t>Configuration</t>
        </is>
      </c>
      <c r="I24" s="11" t="inlineStr"/>
      <c r="J24" s="9" t="inlineStr">
        <is>
          <t>Open</t>
        </is>
      </c>
      <c r="K24" s="9" t="inlineStr">
        <is>
          <t>accounting.cash_account_by_payment_mode</t>
        </is>
      </c>
    </row>
    <row r="25">
      <c r="A25" s="9" t="inlineStr">
        <is>
          <t>GL-24</t>
        </is>
      </c>
      <c r="B25" s="9" t="inlineStr">
        <is>
          <t>Posting rules</t>
        </is>
      </c>
      <c r="C25" s="9" t="inlineStr">
        <is>
          <t>Review the posting rule of each business event; agree changes</t>
        </is>
      </c>
      <c r="D25" s="9" t="inlineStr">
        <is>
          <t>Master &gt; Finance &gt; Posting Rules; Accounting Flow</t>
        </is>
      </c>
      <c r="E25" s="9" t="inlineStr">
        <is>
          <t>Delivered rules</t>
        </is>
      </c>
      <c r="F25" s="10" t="inlineStr"/>
      <c r="G25" s="9" t="inlineStr">
        <is>
          <t>Accounting Manager</t>
        </is>
      </c>
      <c r="H25" s="9" t="inlineStr">
        <is>
          <t>Configuration</t>
        </is>
      </c>
      <c r="I25" s="11" t="inlineStr"/>
      <c r="J25" s="9" t="inlineStr">
        <is>
          <t>Open</t>
        </is>
      </c>
      <c r="K25" s="9" t="inlineStr">
        <is>
          <t>Changes approved by a second user in Configuration Approvals</t>
        </is>
      </c>
    </row>
    <row r="26">
      <c r="A26" s="9" t="inlineStr">
        <is>
          <t>GL-25</t>
        </is>
      </c>
      <c r="B26" s="9" t="inlineStr">
        <is>
          <t>Controls</t>
        </is>
      </c>
      <c r="C26" s="9" t="inlineStr">
        <is>
          <t>Maker-checker on finance documents; journal approval; period close approval</t>
        </is>
      </c>
      <c r="D26" s="9" t="inlineStr">
        <is>
          <t>Master &gt; Configuration (Accounting &amp; Tax)</t>
        </is>
      </c>
      <c r="E26" s="9" t="inlineStr">
        <is>
          <t>All on</t>
        </is>
      </c>
      <c r="F26" s="10" t="inlineStr"/>
      <c r="G26" s="9" t="inlineStr">
        <is>
          <t>Accounting Manager</t>
        </is>
      </c>
      <c r="H26" s="9" t="inlineStr">
        <is>
          <t>Discovery</t>
        </is>
      </c>
      <c r="I26" s="11" t="inlineStr"/>
      <c r="J26" s="9" t="inlineStr">
        <is>
          <t>Open</t>
        </is>
      </c>
      <c r="K26" s="9" t="inlineStr">
        <is>
          <t>finance.maker_checker_enabled, journal.require_approval, accounting.period_close_requires_approval</t>
        </is>
      </c>
    </row>
    <row r="27">
      <c r="A27" s="9" t="inlineStr">
        <is>
          <t>GL-26</t>
        </is>
      </c>
      <c r="B27" s="9" t="inlineStr">
        <is>
          <t>Transaction codes</t>
        </is>
      </c>
      <c r="C27" s="9" t="inlineStr">
        <is>
          <t>Transaction codes with GL accounts and user limits</t>
        </is>
      </c>
      <c r="D27" s="9" t="inlineStr">
        <is>
          <t>Master &gt; Finance &gt; Transaction Code</t>
        </is>
      </c>
      <c r="E27" s="9" t="inlineStr">
        <is>
          <t>Delivered codes</t>
        </is>
      </c>
      <c r="F27" s="10" t="inlineStr"/>
      <c r="G27" s="9" t="inlineStr">
        <is>
          <t>Accounting Manager</t>
        </is>
      </c>
      <c r="H27" s="9" t="inlineStr">
        <is>
          <t>Configuration</t>
        </is>
      </c>
      <c r="I27" s="11" t="inlineStr"/>
      <c r="J27" s="9" t="inlineStr">
        <is>
          <t>Open</t>
        </is>
      </c>
      <c r="K27" s="9" t="inlineStr">
        <is>
          <t>Transaction_Code_Upload_Template.xlsx</t>
        </is>
      </c>
    </row>
    <row r="28">
      <c r="A28" s="9" t="inlineStr">
        <is>
          <t>GL-27</t>
        </is>
      </c>
      <c r="B28" s="9" t="inlineStr">
        <is>
          <t>Write-off</t>
        </is>
      </c>
      <c r="C28" s="9" t="inlineStr">
        <is>
          <t>Write-off reasons, GL account and maximum amount</t>
        </is>
      </c>
      <c r="D28" s="9" t="inlineStr">
        <is>
          <t>Master &gt; Finance &gt; Account Determination</t>
        </is>
      </c>
      <c r="E28" s="9" t="inlineStr">
        <is>
          <t>Delivered reasons</t>
        </is>
      </c>
      <c r="F28" s="10" t="inlineStr"/>
      <c r="G28" s="9" t="inlineStr">
        <is>
          <t>Accounting Manager</t>
        </is>
      </c>
      <c r="H28" s="9" t="inlineStr">
        <is>
          <t>Configuration</t>
        </is>
      </c>
      <c r="I28" s="11" t="inlineStr"/>
      <c r="J28" s="9" t="inlineStr">
        <is>
          <t>Open</t>
        </is>
      </c>
      <c r="K28" s="9" t="inlineStr">
        <is>
          <t>Write_off_Reason_Upload_Template.xlsx</t>
        </is>
      </c>
    </row>
    <row r="29">
      <c r="A29" s="9" t="inlineStr">
        <is>
          <t>GL-28</t>
        </is>
      </c>
      <c r="B29" s="9" t="inlineStr">
        <is>
          <t>Close</t>
        </is>
      </c>
      <c r="C29" s="9" t="inlineStr">
        <is>
          <t>Month-end close checklist items</t>
        </is>
      </c>
      <c r="D29" s="9" t="inlineStr">
        <is>
          <t>Master &gt; Finance &gt; Close Checklist</t>
        </is>
      </c>
      <c r="E29" s="9" t="inlineStr">
        <is>
          <t>Delivered checklist incl. sub-ledger tie-out and bank reconciliation</t>
        </is>
      </c>
      <c r="F29" s="10" t="inlineStr"/>
      <c r="G29" s="9" t="inlineStr">
        <is>
          <t>Accounting Manager</t>
        </is>
      </c>
      <c r="H29" s="9" t="inlineStr">
        <is>
          <t>Configuration</t>
        </is>
      </c>
      <c r="I29" s="11" t="inlineStr"/>
      <c r="J29" s="9" t="inlineStr">
        <is>
          <t>Open</t>
        </is>
      </c>
      <c r="K29" s="9" t="inlineStr"/>
    </row>
    <row r="30">
      <c r="A30" s="9" t="inlineStr">
        <is>
          <t>GL-29</t>
        </is>
      </c>
      <c r="B30" s="9" t="inlineStr">
        <is>
          <t>Close</t>
        </is>
      </c>
      <c r="C30" s="9" t="inlineStr">
        <is>
          <t>Recurring journals (rent, depreciation, accruals)</t>
        </is>
      </c>
      <c r="D30" s="9" t="inlineStr">
        <is>
          <t>Accounts &gt; Period End &gt; Recurring Journals</t>
        </is>
      </c>
      <c r="E30" s="9" t="inlineStr">
        <is>
          <t>None</t>
        </is>
      </c>
      <c r="F30" s="10" t="inlineStr"/>
      <c r="G30" s="9" t="inlineStr">
        <is>
          <t>Accounting</t>
        </is>
      </c>
      <c r="H30" s="9" t="inlineStr">
        <is>
          <t>UAT</t>
        </is>
      </c>
      <c r="I30" s="11" t="inlineStr"/>
      <c r="J30" s="9" t="inlineStr">
        <is>
          <t>Open</t>
        </is>
      </c>
      <c r="K30" s="9" t="inlineStr"/>
    </row>
    <row r="31">
      <c r="A31" s="9" t="inlineStr">
        <is>
          <t>GL-30</t>
        </is>
      </c>
      <c r="B31" s="9" t="inlineStr">
        <is>
          <t>Opening balances</t>
        </is>
      </c>
      <c r="C31" s="9" t="inlineStr">
        <is>
          <t>Trial balance at the day before go-live and its date</t>
        </is>
      </c>
      <c r="D31" s="9" t="inlineStr">
        <is>
          <t>Accounts &gt; Period End &gt; Period Management (Import opening balances)</t>
        </is>
      </c>
      <c r="E31" s="9" t="inlineStr">
        <is>
          <t>None</t>
        </is>
      </c>
      <c r="F31" s="10" t="inlineStr"/>
      <c r="G31" s="9" t="inlineStr">
        <is>
          <t>Accounting Manager</t>
        </is>
      </c>
      <c r="H31" s="9" t="inlineStr">
        <is>
          <t>Mock load 1</t>
        </is>
      </c>
      <c r="I31" s="11" t="inlineStr"/>
      <c r="J31" s="9" t="inlineStr">
        <is>
          <t>Open</t>
        </is>
      </c>
      <c r="K31" s="9" t="inlineStr">
        <is>
          <t>Opening_Balances_Upload_Template.xlsx</t>
        </is>
      </c>
    </row>
    <row r="32">
      <c r="A32" s="9" t="inlineStr">
        <is>
          <t>GL-31</t>
        </is>
      </c>
      <c r="B32" s="9" t="inlineStr">
        <is>
          <t>Currency</t>
        </is>
      </c>
      <c r="C32" s="9" t="inlineStr">
        <is>
          <t>Currencies used and source of exchange rates</t>
        </is>
      </c>
      <c r="D32" s="9" t="inlineStr">
        <is>
          <t>Master &gt; Finance &gt; Currency; Exchange Rate</t>
        </is>
      </c>
      <c r="E32" s="9" t="inlineStr">
        <is>
          <t>PHP base; USD, EUR, SGD, JPY</t>
        </is>
      </c>
      <c r="F32" s="10" t="inlineStr"/>
      <c r="G32" s="9" t="inlineStr">
        <is>
          <t>Accounting Manager</t>
        </is>
      </c>
      <c r="H32" s="9" t="inlineStr">
        <is>
          <t>Configuration</t>
        </is>
      </c>
      <c r="I32" s="11" t="inlineStr"/>
      <c r="J32" s="9" t="inlineStr">
        <is>
          <t>Open</t>
        </is>
      </c>
      <c r="K32" s="9" t="inlineStr">
        <is>
          <t>Exchange_Rate_Upload_Template.xlsx</t>
        </is>
      </c>
    </row>
    <row r="33">
      <c r="A33" s="9" t="inlineStr">
        <is>
          <t>GL-32</t>
        </is>
      </c>
      <c r="B33" s="9" t="inlineStr">
        <is>
          <t>Receivables</t>
        </is>
      </c>
      <c r="C33" s="9" t="inlineStr">
        <is>
          <t>Ageing buckets; receivable due days</t>
        </is>
      </c>
      <c r="D33" s="9" t="inlineStr">
        <is>
          <t>Master &gt; Configuration (Billing, Collections &amp; Credit)</t>
        </is>
      </c>
      <c r="E33" s="9" t="inlineStr">
        <is>
          <t>30, 60, 90, 120 days; due in 30 days</t>
        </is>
      </c>
      <c r="F33" s="10" t="inlineStr"/>
      <c r="G33" s="9" t="inlineStr">
        <is>
          <t>Accounting Manager</t>
        </is>
      </c>
      <c r="H33" s="9" t="inlineStr">
        <is>
          <t>Discovery</t>
        </is>
      </c>
      <c r="I33" s="11" t="inlineStr"/>
      <c r="J33" s="9" t="inlineStr">
        <is>
          <t>Open</t>
        </is>
      </c>
      <c r="K33" s="9" t="inlineStr">
        <is>
          <t>limits.receivable_ageing_buckets, receivables.due_days</t>
        </is>
      </c>
    </row>
    <row r="34">
      <c r="A34" s="9" t="inlineStr">
        <is>
          <t>GL-33</t>
        </is>
      </c>
      <c r="B34" s="9" t="inlineStr">
        <is>
          <t>Collections</t>
        </is>
      </c>
      <c r="C34" s="9" t="inlineStr">
        <is>
          <t>Credit days, overdue levels, reminder timing</t>
        </is>
      </c>
      <c r="D34" s="9" t="inlineStr">
        <is>
          <t>Master &gt; Configuration (Billing, Collections &amp; Credit)</t>
        </is>
      </c>
      <c r="E34" s="9" t="inlineStr">
        <is>
          <t>30 days; 30 and 60 days; 7 days before, every 7 days</t>
        </is>
      </c>
      <c r="F34" s="10" t="inlineStr"/>
      <c r="G34" s="9" t="inlineStr">
        <is>
          <t>Accounting Manager</t>
        </is>
      </c>
      <c r="H34" s="9" t="inlineStr">
        <is>
          <t>Discovery</t>
        </is>
      </c>
      <c r="I34" s="11" t="inlineStr"/>
      <c r="J34" s="9" t="inlineStr">
        <is>
          <t>Open</t>
        </is>
      </c>
      <c r="K34" s="9" t="inlineStr">
        <is>
          <t>collections.*</t>
        </is>
      </c>
    </row>
    <row r="35">
      <c r="A35" s="9" t="inlineStr">
        <is>
          <t>GL-34</t>
        </is>
      </c>
      <c r="B35" s="9" t="inlineStr">
        <is>
          <t>Petty cash</t>
        </is>
      </c>
      <c r="C35" s="9" t="inlineStr">
        <is>
          <t>Petty cash funds: custodian, amount, replenishment limit</t>
        </is>
      </c>
      <c r="D35" s="9" t="inlineStr">
        <is>
          <t>Master &gt; Finance &gt; Petty Cash</t>
        </is>
      </c>
      <c r="E35" s="9" t="inlineStr">
        <is>
          <t>None</t>
        </is>
      </c>
      <c r="F35" s="10" t="inlineStr"/>
      <c r="G35" s="9" t="inlineStr">
        <is>
          <t>Accounting Manager</t>
        </is>
      </c>
      <c r="H35" s="9" t="inlineStr">
        <is>
          <t>Configuration</t>
        </is>
      </c>
      <c r="I35" s="11" t="inlineStr"/>
      <c r="J35" s="9" t="inlineStr">
        <is>
          <t>Open</t>
        </is>
      </c>
      <c r="K35" s="9" t="inlineStr">
        <is>
          <t>PCF- codes</t>
        </is>
      </c>
    </row>
    <row r="36">
      <c r="A36" s="9" t="inlineStr">
        <is>
          <t>GL-35</t>
        </is>
      </c>
      <c r="B36" s="9" t="inlineStr">
        <is>
          <t>External ledger</t>
        </is>
      </c>
      <c r="C36" s="9" t="inlineStr">
        <is>
          <t>Will a corporate ledger be kept in another package? Export needs</t>
        </is>
      </c>
      <c r="D36" s="9" t="inlineStr">
        <is>
          <t>Reports &gt; Financial Reports &gt; Trial Balance; Journal</t>
        </is>
      </c>
      <c r="E36" s="9" t="inlineStr">
        <is>
          <t>Ledger kept in BrokerVerse</t>
        </is>
      </c>
      <c r="F36" s="10" t="inlineStr"/>
      <c r="G36" s="9" t="inlineStr">
        <is>
          <t>Accounting Manager</t>
        </is>
      </c>
      <c r="H36" s="9" t="inlineStr">
        <is>
          <t>Discovery</t>
        </is>
      </c>
      <c r="I36" s="11" t="inlineStr"/>
      <c r="J36" s="9" t="inlineStr">
        <is>
          <t>Open</t>
        </is>
      </c>
      <c r="K36" s="9" t="inlineStr">
        <is>
          <t>Excel or CSV export; a direct interface is a change request</t>
        </is>
      </c>
    </row>
  </sheetData>
  <autoFilter ref="A1:K36"/>
  <conditionalFormatting sqref="A2:K36">
    <cfRule type="expression" priority="1" dxfId="0">
      <formula>$J2="Configured"</formula>
    </cfRule>
    <cfRule type="expression" priority="2" dxfId="1">
      <formula>$J2="Gap (CR)"</formula>
    </cfRule>
  </conditionalFormatting>
  <dataValidations count="2">
    <dataValidation sqref="J2:J36" showDropDown="0" showInputMessage="0" showErrorMessage="0" allowBlank="1" type="list">
      <formula1>"Open,Answered,Confirmed,Configured,Not applicable,Gap (CR)"</formula1>
    </dataValidation>
    <dataValidation sqref="I2:I36"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K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BK-01</t>
        </is>
      </c>
      <c r="B2" s="9" t="inlineStr">
        <is>
          <t>Bank accounts</t>
        </is>
      </c>
      <c r="C2" s="9" t="inlineStr">
        <is>
          <t>Broker's bank accounts: bank, branch, account number, purpose (operating, premium trust, payroll), GL cash account</t>
        </is>
      </c>
      <c r="D2" s="9" t="inlineStr">
        <is>
          <t>Master &gt; Finance &gt; Bank</t>
        </is>
      </c>
      <c r="E2" s="9" t="inlineStr">
        <is>
          <t>Banks seeded: BDO, BPI, Metrobank, Land Bank, Security Bank, China Bank; no accounts</t>
        </is>
      </c>
      <c r="F2" s="10" t="inlineStr"/>
      <c r="G2" s="9" t="inlineStr">
        <is>
          <t>Accounting Manager</t>
        </is>
      </c>
      <c r="H2" s="9" t="inlineStr">
        <is>
          <t>Mock load 1</t>
        </is>
      </c>
      <c r="I2" s="11" t="inlineStr"/>
      <c r="J2" s="9" t="inlineStr">
        <is>
          <t>Open</t>
        </is>
      </c>
      <c r="K2" s="9" t="inlineStr">
        <is>
          <t>Bank_Account_Upload_Template.xlsx</t>
        </is>
      </c>
    </row>
    <row r="3">
      <c r="A3" s="9" t="inlineStr">
        <is>
          <t>BK-02</t>
        </is>
      </c>
      <c r="B3" s="9" t="inlineStr">
        <is>
          <t>Statements</t>
        </is>
      </c>
      <c r="C3" s="9" t="inlineStr">
        <is>
          <t>Statement export format per account and one sample statement</t>
        </is>
      </c>
      <c r="D3" s="9" t="inlineStr">
        <is>
          <t>Master &gt; Finance &gt; Bank Statement Formats</t>
        </is>
      </c>
      <c r="E3" s="9" t="inlineStr">
        <is>
          <t>BDO-SAMPLE, BPI-SAMPLE, MBT-SAMPLE, GENERIC</t>
        </is>
      </c>
      <c r="F3" s="10" t="inlineStr"/>
      <c r="G3" s="9" t="inlineStr">
        <is>
          <t>Accounting</t>
        </is>
      </c>
      <c r="H3" s="9" t="inlineStr">
        <is>
          <t>Configuration</t>
        </is>
      </c>
      <c r="I3" s="11" t="inlineStr"/>
      <c r="J3" s="9" t="inlineStr">
        <is>
          <t>Open</t>
        </is>
      </c>
      <c r="K3" s="9" t="inlineStr"/>
    </row>
    <row r="4">
      <c r="A4" s="9" t="inlineStr">
        <is>
          <t>BK-03</t>
        </is>
      </c>
      <c r="B4" s="9" t="inlineStr">
        <is>
          <t>Statements</t>
        </is>
      </c>
      <c r="C4" s="9" t="inlineStr">
        <is>
          <t>Reconcile-from date per account</t>
        </is>
      </c>
      <c r="D4" s="9" t="inlineStr">
        <is>
          <t>Master &gt; Finance &gt; Bank</t>
        </is>
      </c>
      <c r="E4" s="9" t="inlineStr">
        <is>
          <t>Go-live date</t>
        </is>
      </c>
      <c r="F4" s="10" t="inlineStr"/>
      <c r="G4" s="9" t="inlineStr">
        <is>
          <t>Accounting Manager</t>
        </is>
      </c>
      <c r="H4" s="9" t="inlineStr">
        <is>
          <t>Mock load 1</t>
        </is>
      </c>
      <c r="I4" s="11" t="inlineStr"/>
      <c r="J4" s="9" t="inlineStr">
        <is>
          <t>Open</t>
        </is>
      </c>
      <c r="K4" s="9" t="inlineStr">
        <is>
          <t>Older items stay on the old reconciliation</t>
        </is>
      </c>
    </row>
    <row r="5">
      <c r="A5" s="9" t="inlineStr">
        <is>
          <t>BK-04</t>
        </is>
      </c>
      <c r="B5" s="9" t="inlineStr">
        <is>
          <t>Statements</t>
        </is>
      </c>
      <c r="C5" s="9" t="inlineStr">
        <is>
          <t>Bank transaction types: charges, interest, final tax, others</t>
        </is>
      </c>
      <c r="D5" s="9" t="inlineStr">
        <is>
          <t>Master &gt; Finance &gt; Bank Transaction Types</t>
        </is>
      </c>
      <c r="E5" s="9" t="inlineStr">
        <is>
          <t>Delivered types</t>
        </is>
      </c>
      <c r="F5" s="10" t="inlineStr"/>
      <c r="G5" s="9" t="inlineStr">
        <is>
          <t>Accounting</t>
        </is>
      </c>
      <c r="H5" s="9" t="inlineStr">
        <is>
          <t>Configuration</t>
        </is>
      </c>
      <c r="I5" s="11" t="inlineStr"/>
      <c r="J5" s="9" t="inlineStr">
        <is>
          <t>Open</t>
        </is>
      </c>
      <c r="K5" s="9" t="inlineStr"/>
    </row>
    <row r="6">
      <c r="A6" s="9" t="inlineStr">
        <is>
          <t>BK-05</t>
        </is>
      </c>
      <c r="B6" s="9" t="inlineStr">
        <is>
          <t>Payments in</t>
        </is>
      </c>
      <c r="C6" s="9" t="inlineStr">
        <is>
          <t>How clients may pay</t>
        </is>
      </c>
      <c r="D6" s="9" t="inlineStr">
        <is>
          <t>Master &gt; Configuration (Billing, Collections &amp; Credit)</t>
        </is>
      </c>
      <c r="E6" s="9" t="inlineStr">
        <is>
          <t>Bank transfer, cheque, online, cash</t>
        </is>
      </c>
      <c r="F6" s="10" t="inlineStr"/>
      <c r="G6" s="9" t="inlineStr">
        <is>
          <t>Accounting Manager</t>
        </is>
      </c>
      <c r="H6" s="9" t="inlineStr">
        <is>
          <t>Discovery</t>
        </is>
      </c>
      <c r="I6" s="11" t="inlineStr"/>
      <c r="J6" s="9" t="inlineStr">
        <is>
          <t>Open</t>
        </is>
      </c>
      <c r="K6" s="9" t="inlineStr">
        <is>
          <t>policy.payment_capture_modes</t>
        </is>
      </c>
    </row>
    <row r="7">
      <c r="A7" s="9" t="inlineStr">
        <is>
          <t>BK-06</t>
        </is>
      </c>
      <c r="B7" s="9" t="inlineStr">
        <is>
          <t>Payments in</t>
        </is>
      </c>
      <c r="C7" s="9" t="inlineStr">
        <is>
          <t>Default payment mode on receipts; on disbursements</t>
        </is>
      </c>
      <c r="D7" s="9" t="inlineStr">
        <is>
          <t>Master &gt; Configuration (Billing, Collections &amp; Credit)</t>
        </is>
      </c>
      <c r="E7" s="9" t="inlineStr">
        <is>
          <t>Bank transfer; cheque</t>
        </is>
      </c>
      <c r="F7" s="10" t="inlineStr"/>
      <c r="G7" s="9" t="inlineStr">
        <is>
          <t>Accounting</t>
        </is>
      </c>
      <c r="H7" s="9" t="inlineStr">
        <is>
          <t>Configuration</t>
        </is>
      </c>
      <c r="I7" s="11" t="inlineStr"/>
      <c r="J7" s="9" t="inlineStr">
        <is>
          <t>Open</t>
        </is>
      </c>
      <c r="K7" s="9" t="inlineStr">
        <is>
          <t>receipts.default_payment_mode, disbursements.default_payment_mode</t>
        </is>
      </c>
    </row>
    <row r="8">
      <c r="A8" s="9" t="inlineStr">
        <is>
          <t>BK-07</t>
        </is>
      </c>
      <c r="B8" s="9" t="inlineStr">
        <is>
          <t>Gateway</t>
        </is>
      </c>
      <c r="C8" s="9" t="inlineStr">
        <is>
          <t>Online payment gateway to use: PayMongo, Dragonpay or none; merchant account owner</t>
        </is>
      </c>
      <c r="D8" s="9" t="inlineStr">
        <is>
          <t>Master &gt; Finance &gt; Payment Gateways</t>
        </is>
      </c>
      <c r="E8" s="9" t="inlineStr">
        <is>
          <t>PayMongo and Dragonpay off (sandbox mode); Sandbox gateway on (switch off in production)</t>
        </is>
      </c>
      <c r="F8" s="10" t="inlineStr"/>
      <c r="G8" s="9" t="inlineStr">
        <is>
          <t>Accounting Manager</t>
        </is>
      </c>
      <c r="H8" s="9" t="inlineStr">
        <is>
          <t>Discovery</t>
        </is>
      </c>
      <c r="I8" s="11" t="inlineStr"/>
      <c r="J8" s="9" t="inlineStr">
        <is>
          <t>Open</t>
        </is>
      </c>
      <c r="K8" s="9" t="inlineStr">
        <is>
          <t>Keys only in the secret store: PAYMONGO_*, DRAGONPAY_*</t>
        </is>
      </c>
    </row>
    <row r="9">
      <c r="A9" s="9" t="inlineStr">
        <is>
          <t>BK-08</t>
        </is>
      </c>
      <c r="B9" s="9" t="inlineStr">
        <is>
          <t>Gateway</t>
        </is>
      </c>
      <c r="C9" s="9" t="inlineStr">
        <is>
          <t>Methods offered and fee handling (absorbed or charged)</t>
        </is>
      </c>
      <c r="D9" s="9" t="inlineStr">
        <is>
          <t>Master &gt; Finance &gt; Payment Gateways</t>
        </is>
      </c>
      <c r="E9" s="9" t="inlineStr">
        <is>
          <t>Absorb; PayMongo 2.5%; Dragonpay PHP 20.00</t>
        </is>
      </c>
      <c r="F9" s="10" t="inlineStr"/>
      <c r="G9" s="9" t="inlineStr">
        <is>
          <t>Accounting Manager</t>
        </is>
      </c>
      <c r="H9" s="9" t="inlineStr">
        <is>
          <t>Configuration</t>
        </is>
      </c>
      <c r="I9" s="11" t="inlineStr"/>
      <c r="J9" s="9" t="inlineStr">
        <is>
          <t>Open</t>
        </is>
      </c>
      <c r="K9" s="9" t="inlineStr">
        <is>
          <t>Confirm with the merchant agreement</t>
        </is>
      </c>
    </row>
    <row r="10">
      <c r="A10" s="9" t="inlineStr">
        <is>
          <t>BK-09</t>
        </is>
      </c>
      <c r="B10" s="9" t="inlineStr">
        <is>
          <t>Gateway</t>
        </is>
      </c>
      <c r="C10" s="9" t="inlineStr">
        <is>
          <t>Payment link validity; automatic official receipt on confirmed payment</t>
        </is>
      </c>
      <c r="D10" s="9" t="inlineStr">
        <is>
          <t>Master &gt; Configuration (Billing, Collections &amp; Credit)</t>
        </is>
      </c>
      <c r="E10" s="9" t="inlineStr">
        <is>
          <t>72 hours; on</t>
        </is>
      </c>
      <c r="F10" s="10" t="inlineStr"/>
      <c r="G10" s="9" t="inlineStr">
        <is>
          <t>Accounting Manager</t>
        </is>
      </c>
      <c r="H10" s="9" t="inlineStr">
        <is>
          <t>Configuration</t>
        </is>
      </c>
      <c r="I10" s="11" t="inlineStr"/>
      <c r="J10" s="9" t="inlineStr">
        <is>
          <t>Open</t>
        </is>
      </c>
      <c r="K10" s="9" t="inlineStr">
        <is>
          <t>payments.link_validity_hours, payments.auto_receipt</t>
        </is>
      </c>
    </row>
    <row r="11">
      <c r="A11" s="9" t="inlineStr">
        <is>
          <t>BK-10</t>
        </is>
      </c>
      <c r="B11" s="9" t="inlineStr">
        <is>
          <t>Payments out</t>
        </is>
      </c>
      <c r="C11" s="9" t="inlineStr">
        <is>
          <t>Transfer methods to insurers (InstaPay, PESONet, RTGS, cheque) and who executes them in the bank portal</t>
        </is>
      </c>
      <c r="D11" s="9" t="inlineStr">
        <is>
          <t>Accounts &gt; Remittance &gt; Electronic Transfer</t>
        </is>
      </c>
      <c r="E11" s="9" t="inlineStr">
        <is>
          <t>Recorded and approved in BrokerVerse; executed in the bank portal</t>
        </is>
      </c>
      <c r="F11" s="10" t="inlineStr"/>
      <c r="G11" s="9" t="inlineStr">
        <is>
          <t>Accounting Manager</t>
        </is>
      </c>
      <c r="H11" s="9" t="inlineStr">
        <is>
          <t>Discovery</t>
        </is>
      </c>
      <c r="I11" s="11" t="inlineStr"/>
      <c r="J11" s="9" t="inlineStr">
        <is>
          <t>Open</t>
        </is>
      </c>
      <c r="K11" s="9" t="inlineStr">
        <is>
          <t>Bank payment files are a change request</t>
        </is>
      </c>
    </row>
    <row r="12">
      <c r="A12" s="9" t="inlineStr">
        <is>
          <t>BK-11</t>
        </is>
      </c>
      <c r="B12" s="9" t="inlineStr">
        <is>
          <t>Payments out</t>
        </is>
      </c>
      <c r="C12" s="9" t="inlineStr">
        <is>
          <t>Cheque series in use per account</t>
        </is>
      </c>
      <c r="D12" s="9" t="inlineStr">
        <is>
          <t>Accounts &gt; Disbursement</t>
        </is>
      </c>
      <c r="E12" s="9" t="inlineStr">
        <is>
          <t>None</t>
        </is>
      </c>
      <c r="F12" s="10" t="inlineStr"/>
      <c r="G12" s="9" t="inlineStr">
        <is>
          <t>Accounting</t>
        </is>
      </c>
      <c r="H12" s="9" t="inlineStr">
        <is>
          <t>Mock load 1</t>
        </is>
      </c>
      <c r="I12" s="11" t="inlineStr"/>
      <c r="J12" s="9" t="inlineStr">
        <is>
          <t>Open</t>
        </is>
      </c>
      <c r="K12" s="9" t="inlineStr"/>
    </row>
    <row r="13">
      <c r="A13" s="9" t="inlineStr">
        <is>
          <t>BK-12</t>
        </is>
      </c>
      <c r="B13" s="9" t="inlineStr">
        <is>
          <t>Remittance</t>
        </is>
      </c>
      <c r="C13" s="9" t="inlineStr">
        <is>
          <t>Bank account used for remittance reconciliation</t>
        </is>
      </c>
      <c r="D13" s="9" t="inlineStr">
        <is>
          <t>Master &gt; Configuration (Remittance &amp; Reconciliation)</t>
        </is>
      </c>
      <c r="E13" s="9" t="inlineStr">
        <is>
          <t>Blank</t>
        </is>
      </c>
      <c r="F13" s="10" t="inlineStr"/>
      <c r="G13" s="9" t="inlineStr">
        <is>
          <t>Accounting</t>
        </is>
      </c>
      <c r="H13" s="9" t="inlineStr">
        <is>
          <t>Configuration</t>
        </is>
      </c>
      <c r="I13" s="11" t="inlineStr"/>
      <c r="J13" s="9" t="inlineStr">
        <is>
          <t>Open</t>
        </is>
      </c>
      <c r="K13" s="9" t="inlineStr">
        <is>
          <t>remittance.reconciliation_bank_account</t>
        </is>
      </c>
    </row>
  </sheetData>
  <autoFilter ref="A1:K13"/>
  <conditionalFormatting sqref="A2:K13">
    <cfRule type="expression" priority="1" dxfId="0">
      <formula>$J2="Configured"</formula>
    </cfRule>
    <cfRule type="expression" priority="2" dxfId="1">
      <formula>$J2="Gap (CR)"</formula>
    </cfRule>
  </conditionalFormatting>
  <dataValidations count="2">
    <dataValidation sqref="J2:J13" showDropDown="0" showInputMessage="0" showErrorMessage="0" allowBlank="1" type="list">
      <formula1>"Open,Answered,Confirmed,Configured,Not applicable,Gap (CR)"</formula1>
    </dataValidation>
    <dataValidation sqref="I2:I1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K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NU-01</t>
        </is>
      </c>
      <c r="B2" s="9" t="inlineStr">
        <is>
          <t>Rules</t>
        </is>
      </c>
      <c r="C2" s="9" t="inlineStr">
        <is>
          <t>Continue the old system's numbers at go-live? Next number per series</t>
        </is>
      </c>
      <c r="D2" s="9" t="inlineStr">
        <is>
          <t>Master &gt; Document Numbering</t>
        </is>
      </c>
      <c r="E2" s="9" t="inlineStr">
        <is>
          <t>Counters start at 1; can be set to continue</t>
        </is>
      </c>
      <c r="F2" s="10" t="inlineStr"/>
      <c r="G2" s="9" t="inlineStr">
        <is>
          <t>Accounting Manager</t>
        </is>
      </c>
      <c r="H2" s="9" t="inlineStr">
        <is>
          <t>Configuration</t>
        </is>
      </c>
      <c r="I2" s="11" t="inlineStr"/>
      <c r="J2" s="9" t="inlineStr">
        <is>
          <t>Open</t>
        </is>
      </c>
      <c r="K2" s="9" t="inlineStr">
        <is>
          <t>Counters only move forward</t>
        </is>
      </c>
    </row>
    <row r="3">
      <c r="A3" s="9" t="inlineStr">
        <is>
          <t>NU-02</t>
        </is>
      </c>
      <c r="B3" s="9" t="inlineStr">
        <is>
          <t>Series</t>
        </is>
      </c>
      <c r="C3" s="9" t="inlineStr">
        <is>
          <t>Lead: prefix, pattern and reset rule</t>
        </is>
      </c>
      <c r="D3" s="9" t="inlineStr">
        <is>
          <t>Master &gt; Document Numbering</t>
        </is>
      </c>
      <c r="E3" s="9" t="inlineStr">
        <is>
          <t>LD, {PREFIX}-{YYYY}-{SEQ}, width 5, yearly reset</t>
        </is>
      </c>
      <c r="F3" s="10" t="inlineStr"/>
      <c r="G3" s="9" t="inlineStr">
        <is>
          <t>System Administrator</t>
        </is>
      </c>
      <c r="H3" s="9" t="inlineStr">
        <is>
          <t>Configuration</t>
        </is>
      </c>
      <c r="I3" s="11" t="inlineStr"/>
      <c r="J3" s="9" t="inlineStr">
        <is>
          <t>Open</t>
        </is>
      </c>
      <c r="K3" s="9" t="inlineStr">
        <is>
          <t>Series code lead</t>
        </is>
      </c>
    </row>
    <row r="4">
      <c r="A4" s="9" t="inlineStr">
        <is>
          <t>NU-03</t>
        </is>
      </c>
      <c r="B4" s="9" t="inlineStr">
        <is>
          <t>Series</t>
        </is>
      </c>
      <c r="C4" s="9" t="inlineStr">
        <is>
          <t>Quotation: prefix, pattern and reset rule</t>
        </is>
      </c>
      <c r="D4" s="9" t="inlineStr">
        <is>
          <t>Master &gt; Document Numbering</t>
        </is>
      </c>
      <c r="E4" s="9" t="inlineStr">
        <is>
          <t>QT, {PREFIX}-{YYYY}-{SEQ}, width 5, yearly reset</t>
        </is>
      </c>
      <c r="F4" s="10" t="inlineStr"/>
      <c r="G4" s="9" t="inlineStr">
        <is>
          <t>System Administrator</t>
        </is>
      </c>
      <c r="H4" s="9" t="inlineStr">
        <is>
          <t>Configuration</t>
        </is>
      </c>
      <c r="I4" s="11" t="inlineStr"/>
      <c r="J4" s="9" t="inlineStr">
        <is>
          <t>Open</t>
        </is>
      </c>
      <c r="K4" s="9" t="inlineStr">
        <is>
          <t>Series code quote</t>
        </is>
      </c>
    </row>
    <row r="5">
      <c r="A5" s="9" t="inlineStr">
        <is>
          <t>NU-04</t>
        </is>
      </c>
      <c r="B5" s="9" t="inlineStr">
        <is>
          <t>Series</t>
        </is>
      </c>
      <c r="C5" s="9" t="inlineStr">
        <is>
          <t>Client Code: prefix, pattern and reset rule</t>
        </is>
      </c>
      <c r="D5" s="9" t="inlineStr">
        <is>
          <t>Master &gt; Document Numbering</t>
        </is>
      </c>
      <c r="E5" s="9" t="inlineStr">
        <is>
          <t>CL, {PREFIX}-{YYYY}-{SEQ}, width 5, yearly reset</t>
        </is>
      </c>
      <c r="F5" s="10" t="inlineStr"/>
      <c r="G5" s="9" t="inlineStr">
        <is>
          <t>System Administrator</t>
        </is>
      </c>
      <c r="H5" s="9" t="inlineStr">
        <is>
          <t>Configuration</t>
        </is>
      </c>
      <c r="I5" s="11" t="inlineStr"/>
      <c r="J5" s="9" t="inlineStr">
        <is>
          <t>Open</t>
        </is>
      </c>
      <c r="K5" s="9" t="inlineStr">
        <is>
          <t>Series code client</t>
        </is>
      </c>
    </row>
    <row r="6">
      <c r="A6" s="9" t="inlineStr">
        <is>
          <t>NU-05</t>
        </is>
      </c>
      <c r="B6" s="9" t="inlineStr">
        <is>
          <t>Series</t>
        </is>
      </c>
      <c r="C6" s="9" t="inlineStr">
        <is>
          <t>Policy (when the insurer number is not given): prefix, pattern and reset rule</t>
        </is>
      </c>
      <c r="D6" s="9" t="inlineStr">
        <is>
          <t>Master &gt; Document Numbering</t>
        </is>
      </c>
      <c r="E6" s="9" t="inlineStr">
        <is>
          <t>POL, {PREFIX}-{YYYY}-{SEQ}, width 5, yearly reset</t>
        </is>
      </c>
      <c r="F6" s="10" t="inlineStr"/>
      <c r="G6" s="9" t="inlineStr">
        <is>
          <t>System Administrator</t>
        </is>
      </c>
      <c r="H6" s="9" t="inlineStr">
        <is>
          <t>Configuration</t>
        </is>
      </c>
      <c r="I6" s="11" t="inlineStr"/>
      <c r="J6" s="9" t="inlineStr">
        <is>
          <t>Open</t>
        </is>
      </c>
      <c r="K6" s="9" t="inlineStr">
        <is>
          <t>Series code policy</t>
        </is>
      </c>
    </row>
    <row r="7">
      <c r="A7" s="9" t="inlineStr">
        <is>
          <t>NU-06</t>
        </is>
      </c>
      <c r="B7" s="9" t="inlineStr">
        <is>
          <t>Series</t>
        </is>
      </c>
      <c r="C7" s="9" t="inlineStr">
        <is>
          <t>Endorsement: prefix, pattern and reset rule</t>
        </is>
      </c>
      <c r="D7" s="9" t="inlineStr">
        <is>
          <t>Master &gt; Document Numbering</t>
        </is>
      </c>
      <c r="E7" s="9" t="inlineStr">
        <is>
          <t>END, {PREFIX}-{YYYY}-{SEQ}, width 5, yearly reset</t>
        </is>
      </c>
      <c r="F7" s="10" t="inlineStr"/>
      <c r="G7" s="9" t="inlineStr">
        <is>
          <t>System Administrator</t>
        </is>
      </c>
      <c r="H7" s="9" t="inlineStr">
        <is>
          <t>Configuration</t>
        </is>
      </c>
      <c r="I7" s="11" t="inlineStr"/>
      <c r="J7" s="9" t="inlineStr">
        <is>
          <t>Open</t>
        </is>
      </c>
      <c r="K7" s="9" t="inlineStr">
        <is>
          <t>Series code endorsement</t>
        </is>
      </c>
    </row>
    <row r="8">
      <c r="A8" s="9" t="inlineStr">
        <is>
          <t>NU-07</t>
        </is>
      </c>
      <c r="B8" s="9" t="inlineStr">
        <is>
          <t>Series</t>
        </is>
      </c>
      <c r="C8" s="9" t="inlineStr">
        <is>
          <t>Renewal: prefix, pattern and reset rule</t>
        </is>
      </c>
      <c r="D8" s="9" t="inlineStr">
        <is>
          <t>Master &gt; Document Numbering</t>
        </is>
      </c>
      <c r="E8" s="9" t="inlineStr">
        <is>
          <t>RN, {PREFIX}-{YYYY}-{SEQ}, width 5, yearly reset</t>
        </is>
      </c>
      <c r="F8" s="10" t="inlineStr"/>
      <c r="G8" s="9" t="inlineStr">
        <is>
          <t>System Administrator</t>
        </is>
      </c>
      <c r="H8" s="9" t="inlineStr">
        <is>
          <t>Configuration</t>
        </is>
      </c>
      <c r="I8" s="11" t="inlineStr"/>
      <c r="J8" s="9" t="inlineStr">
        <is>
          <t>Open</t>
        </is>
      </c>
      <c r="K8" s="9" t="inlineStr">
        <is>
          <t>Series code renewal</t>
        </is>
      </c>
    </row>
    <row r="9">
      <c r="A9" s="9" t="inlineStr">
        <is>
          <t>NU-08</t>
        </is>
      </c>
      <c r="B9" s="9" t="inlineStr">
        <is>
          <t>Series</t>
        </is>
      </c>
      <c r="C9" s="9" t="inlineStr">
        <is>
          <t>Renewal Quotation: prefix, pattern and reset rule</t>
        </is>
      </c>
      <c r="D9" s="9" t="inlineStr">
        <is>
          <t>Master &gt; Document Numbering</t>
        </is>
      </c>
      <c r="E9" s="9" t="inlineStr">
        <is>
          <t>RQ, {PREFIX}-{YYYY}-{SEQ}, width 5, yearly reset</t>
        </is>
      </c>
      <c r="F9" s="10" t="inlineStr"/>
      <c r="G9" s="9" t="inlineStr">
        <is>
          <t>System Administrator</t>
        </is>
      </c>
      <c r="H9" s="9" t="inlineStr">
        <is>
          <t>Configuration</t>
        </is>
      </c>
      <c r="I9" s="11" t="inlineStr"/>
      <c r="J9" s="9" t="inlineStr">
        <is>
          <t>Open</t>
        </is>
      </c>
      <c r="K9" s="9" t="inlineStr">
        <is>
          <t>Series code renewal_quote</t>
        </is>
      </c>
    </row>
    <row r="10">
      <c r="A10" s="9" t="inlineStr">
        <is>
          <t>NU-09</t>
        </is>
      </c>
      <c r="B10" s="9" t="inlineStr">
        <is>
          <t>Series</t>
        </is>
      </c>
      <c r="C10" s="9" t="inlineStr">
        <is>
          <t>Renewal Batch: prefix, pattern and reset rule</t>
        </is>
      </c>
      <c r="D10" s="9" t="inlineStr">
        <is>
          <t>Master &gt; Document Numbering</t>
        </is>
      </c>
      <c r="E10" s="9" t="inlineStr">
        <is>
          <t>RB, {PREFIX}-{YYYY}-{SEQ}, width 5, yearly reset</t>
        </is>
      </c>
      <c r="F10" s="10" t="inlineStr"/>
      <c r="G10" s="9" t="inlineStr">
        <is>
          <t>System Administrator</t>
        </is>
      </c>
      <c r="H10" s="9" t="inlineStr">
        <is>
          <t>Configuration</t>
        </is>
      </c>
      <c r="I10" s="11" t="inlineStr"/>
      <c r="J10" s="9" t="inlineStr">
        <is>
          <t>Open</t>
        </is>
      </c>
      <c r="K10" s="9" t="inlineStr">
        <is>
          <t>Series code renewal_batch</t>
        </is>
      </c>
    </row>
    <row r="11">
      <c r="A11" s="9" t="inlineStr">
        <is>
          <t>NU-10</t>
        </is>
      </c>
      <c r="B11" s="9" t="inlineStr">
        <is>
          <t>Series</t>
        </is>
      </c>
      <c r="C11" s="9" t="inlineStr">
        <is>
          <t>Win-back Campaign: prefix, pattern and reset rule</t>
        </is>
      </c>
      <c r="D11" s="9" t="inlineStr">
        <is>
          <t>Master &gt; Document Numbering</t>
        </is>
      </c>
      <c r="E11" s="9" t="inlineStr">
        <is>
          <t>WB, {PREFIX}-{YYYY}-{SEQ}, width 5, yearly reset</t>
        </is>
      </c>
      <c r="F11" s="10" t="inlineStr"/>
      <c r="G11" s="9" t="inlineStr">
        <is>
          <t>System Administrator</t>
        </is>
      </c>
      <c r="H11" s="9" t="inlineStr">
        <is>
          <t>Configuration</t>
        </is>
      </c>
      <c r="I11" s="11" t="inlineStr"/>
      <c r="J11" s="9" t="inlineStr">
        <is>
          <t>Open</t>
        </is>
      </c>
      <c r="K11" s="9" t="inlineStr">
        <is>
          <t>Series code campaign</t>
        </is>
      </c>
    </row>
    <row r="12">
      <c r="A12" s="9" t="inlineStr">
        <is>
          <t>NU-11</t>
        </is>
      </c>
      <c r="B12" s="9" t="inlineStr">
        <is>
          <t>Series</t>
        </is>
      </c>
      <c r="C12" s="9" t="inlineStr">
        <is>
          <t>Claim: prefix, pattern and reset rule</t>
        </is>
      </c>
      <c r="D12" s="9" t="inlineStr">
        <is>
          <t>Master &gt; Document Numbering</t>
        </is>
      </c>
      <c r="E12" s="9" t="inlineStr">
        <is>
          <t>CLM, {PREFIX}-{YYYY}-{SEQ}, width 5, yearly reset</t>
        </is>
      </c>
      <c r="F12" s="10" t="inlineStr"/>
      <c r="G12" s="9" t="inlineStr">
        <is>
          <t>System Administrator</t>
        </is>
      </c>
      <c r="H12" s="9" t="inlineStr">
        <is>
          <t>Configuration</t>
        </is>
      </c>
      <c r="I12" s="11" t="inlineStr"/>
      <c r="J12" s="9" t="inlineStr">
        <is>
          <t>Open</t>
        </is>
      </c>
      <c r="K12" s="9" t="inlineStr">
        <is>
          <t>Series code claim</t>
        </is>
      </c>
    </row>
    <row r="13">
      <c r="A13" s="9" t="inlineStr">
        <is>
          <t>NU-12</t>
        </is>
      </c>
      <c r="B13" s="9" t="inlineStr">
        <is>
          <t>Series</t>
        </is>
      </c>
      <c r="C13" s="9" t="inlineStr">
        <is>
          <t>Broker Slip: prefix, pattern and reset rule</t>
        </is>
      </c>
      <c r="D13" s="9" t="inlineStr">
        <is>
          <t>Master &gt; Document Numbering</t>
        </is>
      </c>
      <c r="E13" s="9" t="inlineStr">
        <is>
          <t>BS, {PREFIX}-{YYYY}-{SEQ}, width 5, yearly reset</t>
        </is>
      </c>
      <c r="F13" s="10" t="inlineStr"/>
      <c r="G13" s="9" t="inlineStr">
        <is>
          <t>System Administrator</t>
        </is>
      </c>
      <c r="H13" s="9" t="inlineStr">
        <is>
          <t>Configuration</t>
        </is>
      </c>
      <c r="I13" s="11" t="inlineStr"/>
      <c r="J13" s="9" t="inlineStr">
        <is>
          <t>Open</t>
        </is>
      </c>
      <c r="K13" s="9" t="inlineStr">
        <is>
          <t>Series code broker_slip</t>
        </is>
      </c>
    </row>
    <row r="14">
      <c r="A14" s="9" t="inlineStr">
        <is>
          <t>NU-13</t>
        </is>
      </c>
      <c r="B14" s="9" t="inlineStr">
        <is>
          <t>Series</t>
        </is>
      </c>
      <c r="C14" s="9" t="inlineStr">
        <is>
          <t>Placement Slip: prefix, pattern and reset rule</t>
        </is>
      </c>
      <c r="D14" s="9" t="inlineStr">
        <is>
          <t>Master &gt; Document Numbering</t>
        </is>
      </c>
      <c r="E14" s="9" t="inlineStr">
        <is>
          <t>PS, {PREFIX}-{YYYY}-{SEQ}, width 5, yearly reset</t>
        </is>
      </c>
      <c r="F14" s="10" t="inlineStr"/>
      <c r="G14" s="9" t="inlineStr">
        <is>
          <t>System Administrator</t>
        </is>
      </c>
      <c r="H14" s="9" t="inlineStr">
        <is>
          <t>Configuration</t>
        </is>
      </c>
      <c r="I14" s="11" t="inlineStr"/>
      <c r="J14" s="9" t="inlineStr">
        <is>
          <t>Open</t>
        </is>
      </c>
      <c r="K14" s="9" t="inlineStr">
        <is>
          <t>Series code placement</t>
        </is>
      </c>
    </row>
    <row r="15">
      <c r="A15" s="9" t="inlineStr">
        <is>
          <t>NU-14</t>
        </is>
      </c>
      <c r="B15" s="9" t="inlineStr">
        <is>
          <t>Series</t>
        </is>
      </c>
      <c r="C15" s="9" t="inlineStr">
        <is>
          <t>Insurer Offer: prefix, pattern and reset rule</t>
        </is>
      </c>
      <c r="D15" s="9" t="inlineStr">
        <is>
          <t>Master &gt; Document Numbering</t>
        </is>
      </c>
      <c r="E15" s="9" t="inlineStr">
        <is>
          <t>OFR, {PREFIX}-{YYYY}-{SEQ}, width 5, yearly reset</t>
        </is>
      </c>
      <c r="F15" s="10" t="inlineStr"/>
      <c r="G15" s="9" t="inlineStr">
        <is>
          <t>System Administrator</t>
        </is>
      </c>
      <c r="H15" s="9" t="inlineStr">
        <is>
          <t>Configuration</t>
        </is>
      </c>
      <c r="I15" s="11" t="inlineStr"/>
      <c r="J15" s="9" t="inlineStr">
        <is>
          <t>Open</t>
        </is>
      </c>
      <c r="K15" s="9" t="inlineStr">
        <is>
          <t>Series code insurer_offer</t>
        </is>
      </c>
    </row>
    <row r="16">
      <c r="A16" s="9" t="inlineStr">
        <is>
          <t>NU-15</t>
        </is>
      </c>
      <c r="B16" s="9" t="inlineStr">
        <is>
          <t>Series</t>
        </is>
      </c>
      <c r="C16" s="9" t="inlineStr">
        <is>
          <t>Package Quotation: prefix, pattern and reset rule</t>
        </is>
      </c>
      <c r="D16" s="9" t="inlineStr">
        <is>
          <t>Master &gt; Document Numbering</t>
        </is>
      </c>
      <c r="E16" s="9" t="inlineStr">
        <is>
          <t>PQ, {PREFIX}-{YYYY}-{SEQ}, width 5, yearly reset</t>
        </is>
      </c>
      <c r="F16" s="10" t="inlineStr"/>
      <c r="G16" s="9" t="inlineStr">
        <is>
          <t>System Administrator</t>
        </is>
      </c>
      <c r="H16" s="9" t="inlineStr">
        <is>
          <t>Configuration</t>
        </is>
      </c>
      <c r="I16" s="11" t="inlineStr"/>
      <c r="J16" s="9" t="inlineStr">
        <is>
          <t>Open</t>
        </is>
      </c>
      <c r="K16" s="9" t="inlineStr">
        <is>
          <t>Series code package_quote</t>
        </is>
      </c>
    </row>
    <row r="17">
      <c r="A17" s="9" t="inlineStr">
        <is>
          <t>NU-16</t>
        </is>
      </c>
      <c r="B17" s="9" t="inlineStr">
        <is>
          <t>Series</t>
        </is>
      </c>
      <c r="C17" s="9" t="inlineStr">
        <is>
          <t>Package Policy: prefix, pattern and reset rule</t>
        </is>
      </c>
      <c r="D17" s="9" t="inlineStr">
        <is>
          <t>Master &gt; Document Numbering</t>
        </is>
      </c>
      <c r="E17" s="9" t="inlineStr">
        <is>
          <t>PKG, {PREFIX}-{YYYY}-{SEQ}, width 5, yearly reset</t>
        </is>
      </c>
      <c r="F17" s="10" t="inlineStr"/>
      <c r="G17" s="9" t="inlineStr">
        <is>
          <t>System Administrator</t>
        </is>
      </c>
      <c r="H17" s="9" t="inlineStr">
        <is>
          <t>Configuration</t>
        </is>
      </c>
      <c r="I17" s="11" t="inlineStr"/>
      <c r="J17" s="9" t="inlineStr">
        <is>
          <t>Open</t>
        </is>
      </c>
      <c r="K17" s="9" t="inlineStr">
        <is>
          <t>Series code package_policy</t>
        </is>
      </c>
    </row>
    <row r="18">
      <c r="A18" s="9" t="inlineStr">
        <is>
          <t>NU-17</t>
        </is>
      </c>
      <c r="B18" s="9" t="inlineStr">
        <is>
          <t>BIR document</t>
        </is>
      </c>
      <c r="C18" s="9" t="inlineStr">
        <is>
          <t>Official Receipt: prefix, pattern and reset rule; registered series (ATP or system-generated equivalent)</t>
        </is>
      </c>
      <c r="D18" s="9" t="inlineStr">
        <is>
          <t>Master &gt; Document Numbering</t>
        </is>
      </c>
      <c r="E18" s="9" t="inlineStr">
        <is>
          <t>OR, {PREFIX}-{YYYY}-{SEQ}, width 5, yearly reset</t>
        </is>
      </c>
      <c r="F18" s="10" t="inlineStr"/>
      <c r="G18" s="9" t="inlineStr">
        <is>
          <t>Accounting Manager</t>
        </is>
      </c>
      <c r="H18" s="9" t="inlineStr">
        <is>
          <t>Configuration</t>
        </is>
      </c>
      <c r="I18" s="11" t="inlineStr"/>
      <c r="J18" s="9" t="inlineStr">
        <is>
          <t>Open</t>
        </is>
      </c>
      <c r="K18" s="9" t="inlineStr">
        <is>
          <t>Series code receipt; confirm with the tax adviser</t>
        </is>
      </c>
    </row>
    <row r="19">
      <c r="A19" s="9" t="inlineStr">
        <is>
          <t>NU-18</t>
        </is>
      </c>
      <c r="B19" s="9" t="inlineStr">
        <is>
          <t>Series</t>
        </is>
      </c>
      <c r="C19" s="9" t="inlineStr">
        <is>
          <t>Receipt Transaction: prefix, pattern and reset rule</t>
        </is>
      </c>
      <c r="D19" s="9" t="inlineStr">
        <is>
          <t>Master &gt; Document Numbering</t>
        </is>
      </c>
      <c r="E19" s="9" t="inlineStr">
        <is>
          <t>RT, {PREFIX}-{YYYY}-{SEQ}, width 5, yearly reset</t>
        </is>
      </c>
      <c r="F19" s="10" t="inlineStr"/>
      <c r="G19" s="9" t="inlineStr">
        <is>
          <t>System Administrator</t>
        </is>
      </c>
      <c r="H19" s="9" t="inlineStr">
        <is>
          <t>Configuration</t>
        </is>
      </c>
      <c r="I19" s="11" t="inlineStr"/>
      <c r="J19" s="9" t="inlineStr">
        <is>
          <t>Open</t>
        </is>
      </c>
      <c r="K19" s="9" t="inlineStr">
        <is>
          <t>Series code receipt_txn</t>
        </is>
      </c>
    </row>
    <row r="20">
      <c r="A20" s="9" t="inlineStr">
        <is>
          <t>NU-19</t>
        </is>
      </c>
      <c r="B20" s="9" t="inlineStr">
        <is>
          <t>BIR document</t>
        </is>
      </c>
      <c r="C20" s="9" t="inlineStr">
        <is>
          <t>Acknowledgement Receipt: prefix, pattern and reset rule; registered series (ATP or system-generated equivalent)</t>
        </is>
      </c>
      <c r="D20" s="9" t="inlineStr">
        <is>
          <t>Master &gt; Document Numbering</t>
        </is>
      </c>
      <c r="E20" s="9" t="inlineStr">
        <is>
          <t>AR, {PREFIX}-{YYYY}-{SEQ}, width 5, yearly reset</t>
        </is>
      </c>
      <c r="F20" s="10" t="inlineStr"/>
      <c r="G20" s="9" t="inlineStr">
        <is>
          <t>Accounting Manager</t>
        </is>
      </c>
      <c r="H20" s="9" t="inlineStr">
        <is>
          <t>Configuration</t>
        </is>
      </c>
      <c r="I20" s="11" t="inlineStr"/>
      <c r="J20" s="9" t="inlineStr">
        <is>
          <t>Open</t>
        </is>
      </c>
      <c r="K20" s="9" t="inlineStr">
        <is>
          <t>Series code acknowledgement_receipt; confirm with the tax adviser</t>
        </is>
      </c>
    </row>
    <row r="21">
      <c r="A21" s="9" t="inlineStr">
        <is>
          <t>NU-20</t>
        </is>
      </c>
      <c r="B21" s="9" t="inlineStr">
        <is>
          <t>BIR document</t>
        </is>
      </c>
      <c r="C21" s="9" t="inlineStr">
        <is>
          <t>Invoice / Bill: prefix, pattern and reset rule; registered series (ATP or system-generated equivalent)</t>
        </is>
      </c>
      <c r="D21" s="9" t="inlineStr">
        <is>
          <t>Master &gt; Document Numbering</t>
        </is>
      </c>
      <c r="E21" s="9" t="inlineStr">
        <is>
          <t>INV, {PREFIX}-{YYYY}-{SEQ}, width 5, yearly reset</t>
        </is>
      </c>
      <c r="F21" s="10" t="inlineStr"/>
      <c r="G21" s="9" t="inlineStr">
        <is>
          <t>Accounting Manager</t>
        </is>
      </c>
      <c r="H21" s="9" t="inlineStr">
        <is>
          <t>Configuration</t>
        </is>
      </c>
      <c r="I21" s="11" t="inlineStr"/>
      <c r="J21" s="9" t="inlineStr">
        <is>
          <t>Open</t>
        </is>
      </c>
      <c r="K21" s="9" t="inlineStr">
        <is>
          <t>Series code invoice; confirm with the tax adviser</t>
        </is>
      </c>
    </row>
    <row r="22">
      <c r="A22" s="9" t="inlineStr">
        <is>
          <t>NU-21</t>
        </is>
      </c>
      <c r="B22" s="9" t="inlineStr">
        <is>
          <t>Series</t>
        </is>
      </c>
      <c r="C22" s="9" t="inlineStr">
        <is>
          <t>Payment Link: prefix, pattern and reset rule</t>
        </is>
      </c>
      <c r="D22" s="9" t="inlineStr">
        <is>
          <t>Master &gt; Document Numbering</t>
        </is>
      </c>
      <c r="E22" s="9" t="inlineStr">
        <is>
          <t>PL, {PREFIX}-{YYYY}-{SEQ}, width 5, yearly reset</t>
        </is>
      </c>
      <c r="F22" s="10" t="inlineStr"/>
      <c r="G22" s="9" t="inlineStr">
        <is>
          <t>System Administrator</t>
        </is>
      </c>
      <c r="H22" s="9" t="inlineStr">
        <is>
          <t>Configuration</t>
        </is>
      </c>
      <c r="I22" s="11" t="inlineStr"/>
      <c r="J22" s="9" t="inlineStr">
        <is>
          <t>Open</t>
        </is>
      </c>
      <c r="K22" s="9" t="inlineStr">
        <is>
          <t>Series code payment_link</t>
        </is>
      </c>
    </row>
    <row r="23">
      <c r="A23" s="9" t="inlineStr">
        <is>
          <t>NU-22</t>
        </is>
      </c>
      <c r="B23" s="9" t="inlineStr">
        <is>
          <t>Series</t>
        </is>
      </c>
      <c r="C23" s="9" t="inlineStr">
        <is>
          <t>Payment Voucher: prefix, pattern and reset rule</t>
        </is>
      </c>
      <c r="D23" s="9" t="inlineStr">
        <is>
          <t>Master &gt; Document Numbering</t>
        </is>
      </c>
      <c r="E23" s="9" t="inlineStr">
        <is>
          <t>PV, {PREFIX}-{YYYY}-{SEQ}, width 5, yearly reset</t>
        </is>
      </c>
      <c r="F23" s="10" t="inlineStr"/>
      <c r="G23" s="9" t="inlineStr">
        <is>
          <t>System Administrator</t>
        </is>
      </c>
      <c r="H23" s="9" t="inlineStr">
        <is>
          <t>Configuration</t>
        </is>
      </c>
      <c r="I23" s="11" t="inlineStr"/>
      <c r="J23" s="9" t="inlineStr">
        <is>
          <t>Open</t>
        </is>
      </c>
      <c r="K23" s="9" t="inlineStr">
        <is>
          <t>Series code voucher</t>
        </is>
      </c>
    </row>
    <row r="24">
      <c r="A24" s="9" t="inlineStr">
        <is>
          <t>NU-23</t>
        </is>
      </c>
      <c r="B24" s="9" t="inlineStr">
        <is>
          <t>Series</t>
        </is>
      </c>
      <c r="C24" s="9" t="inlineStr">
        <is>
          <t>Disbursement Transaction: prefix, pattern and reset rule</t>
        </is>
      </c>
      <c r="D24" s="9" t="inlineStr">
        <is>
          <t>Master &gt; Document Numbering</t>
        </is>
      </c>
      <c r="E24" s="9" t="inlineStr">
        <is>
          <t>DT, {PREFIX}-{YYYY}-{SEQ}, width 5, yearly reset</t>
        </is>
      </c>
      <c r="F24" s="10" t="inlineStr"/>
      <c r="G24" s="9" t="inlineStr">
        <is>
          <t>System Administrator</t>
        </is>
      </c>
      <c r="H24" s="9" t="inlineStr">
        <is>
          <t>Configuration</t>
        </is>
      </c>
      <c r="I24" s="11" t="inlineStr"/>
      <c r="J24" s="9" t="inlineStr">
        <is>
          <t>Open</t>
        </is>
      </c>
      <c r="K24" s="9" t="inlineStr">
        <is>
          <t>Series code disbursement_txn</t>
        </is>
      </c>
    </row>
    <row r="25">
      <c r="A25" s="9" t="inlineStr">
        <is>
          <t>NU-24</t>
        </is>
      </c>
      <c r="B25" s="9" t="inlineStr">
        <is>
          <t>Series</t>
        </is>
      </c>
      <c r="C25" s="9" t="inlineStr">
        <is>
          <t>Payable (Invoice List): prefix, pattern and reset rule</t>
        </is>
      </c>
      <c r="D25" s="9" t="inlineStr">
        <is>
          <t>Master &gt; Document Numbering</t>
        </is>
      </c>
      <c r="E25" s="9" t="inlineStr">
        <is>
          <t>IL, {PREFIX}-{YYYY}-{SEQ}, width 5, yearly reset</t>
        </is>
      </c>
      <c r="F25" s="10" t="inlineStr"/>
      <c r="G25" s="9" t="inlineStr">
        <is>
          <t>System Administrator</t>
        </is>
      </c>
      <c r="H25" s="9" t="inlineStr">
        <is>
          <t>Configuration</t>
        </is>
      </c>
      <c r="I25" s="11" t="inlineStr"/>
      <c r="J25" s="9" t="inlineStr">
        <is>
          <t>Open</t>
        </is>
      </c>
      <c r="K25" s="9" t="inlineStr">
        <is>
          <t>Series code invoice_list</t>
        </is>
      </c>
    </row>
    <row r="26">
      <c r="A26" s="9" t="inlineStr">
        <is>
          <t>NU-25</t>
        </is>
      </c>
      <c r="B26" s="9" t="inlineStr">
        <is>
          <t>Series</t>
        </is>
      </c>
      <c r="C26" s="9" t="inlineStr">
        <is>
          <t>Petty Cash Transaction: prefix, pattern and reset rule</t>
        </is>
      </c>
      <c r="D26" s="9" t="inlineStr">
        <is>
          <t>Master &gt; Document Numbering</t>
        </is>
      </c>
      <c r="E26" s="9" t="inlineStr">
        <is>
          <t>PC, {PREFIX}-{YYYY}-{SEQ}, width 5, yearly reset</t>
        </is>
      </c>
      <c r="F26" s="10" t="inlineStr"/>
      <c r="G26" s="9" t="inlineStr">
        <is>
          <t>System Administrator</t>
        </is>
      </c>
      <c r="H26" s="9" t="inlineStr">
        <is>
          <t>Configuration</t>
        </is>
      </c>
      <c r="I26" s="11" t="inlineStr"/>
      <c r="J26" s="9" t="inlineStr">
        <is>
          <t>Open</t>
        </is>
      </c>
      <c r="K26" s="9" t="inlineStr">
        <is>
          <t>Series code petty_cash</t>
        </is>
      </c>
    </row>
    <row r="27">
      <c r="A27" s="9" t="inlineStr">
        <is>
          <t>NU-26</t>
        </is>
      </c>
      <c r="B27" s="9" t="inlineStr">
        <is>
          <t>Series</t>
        </is>
      </c>
      <c r="C27" s="9" t="inlineStr">
        <is>
          <t>Petty Cash Request: prefix, pattern and reset rule</t>
        </is>
      </c>
      <c r="D27" s="9" t="inlineStr">
        <is>
          <t>Master &gt; Document Numbering</t>
        </is>
      </c>
      <c r="E27" s="9" t="inlineStr">
        <is>
          <t>PCR, {PREFIX}-{YYYY}-{SEQ}, width 5, yearly reset</t>
        </is>
      </c>
      <c r="F27" s="10" t="inlineStr"/>
      <c r="G27" s="9" t="inlineStr">
        <is>
          <t>System Administrator</t>
        </is>
      </c>
      <c r="H27" s="9" t="inlineStr">
        <is>
          <t>Configuration</t>
        </is>
      </c>
      <c r="I27" s="11" t="inlineStr"/>
      <c r="J27" s="9" t="inlineStr">
        <is>
          <t>Open</t>
        </is>
      </c>
      <c r="K27" s="9" t="inlineStr">
        <is>
          <t>Series code petty_cash_request</t>
        </is>
      </c>
    </row>
    <row r="28">
      <c r="A28" s="9" t="inlineStr">
        <is>
          <t>NU-27</t>
        </is>
      </c>
      <c r="B28" s="9" t="inlineStr">
        <is>
          <t>Series</t>
        </is>
      </c>
      <c r="C28" s="9" t="inlineStr">
        <is>
          <t>Petty Cash Receipt: prefix, pattern and reset rule</t>
        </is>
      </c>
      <c r="D28" s="9" t="inlineStr">
        <is>
          <t>Master &gt; Document Numbering</t>
        </is>
      </c>
      <c r="E28" s="9" t="inlineStr">
        <is>
          <t>PCRC, {PREFIX}-{YYYY}-{SEQ}, width 5, yearly reset</t>
        </is>
      </c>
      <c r="F28" s="10" t="inlineStr"/>
      <c r="G28" s="9" t="inlineStr">
        <is>
          <t>System Administrator</t>
        </is>
      </c>
      <c r="H28" s="9" t="inlineStr">
        <is>
          <t>Configuration</t>
        </is>
      </c>
      <c r="I28" s="11" t="inlineStr"/>
      <c r="J28" s="9" t="inlineStr">
        <is>
          <t>Open</t>
        </is>
      </c>
      <c r="K28" s="9" t="inlineStr">
        <is>
          <t>Series code petty_cash_receipt</t>
        </is>
      </c>
    </row>
    <row r="29">
      <c r="A29" s="9" t="inlineStr">
        <is>
          <t>NU-28</t>
        </is>
      </c>
      <c r="B29" s="9" t="inlineStr">
        <is>
          <t>BIR document</t>
        </is>
      </c>
      <c r="C29" s="9" t="inlineStr">
        <is>
          <t>Commission Debit Note: prefix, pattern and reset rule; registered series (ATP or system-generated equivalent)</t>
        </is>
      </c>
      <c r="D29" s="9" t="inlineStr">
        <is>
          <t>Master &gt; Document Numbering</t>
        </is>
      </c>
      <c r="E29" s="9" t="inlineStr">
        <is>
          <t>DN, {PREFIX}-{YYYY}-{SEQ}, width 5, yearly reset</t>
        </is>
      </c>
      <c r="F29" s="10" t="inlineStr"/>
      <c r="G29" s="9" t="inlineStr">
        <is>
          <t>Accounting Manager</t>
        </is>
      </c>
      <c r="H29" s="9" t="inlineStr">
        <is>
          <t>Configuration</t>
        </is>
      </c>
      <c r="I29" s="11" t="inlineStr"/>
      <c r="J29" s="9" t="inlineStr">
        <is>
          <t>Open</t>
        </is>
      </c>
      <c r="K29" s="9" t="inlineStr">
        <is>
          <t>Series code commission_debit_note; confirm with the tax adviser</t>
        </is>
      </c>
    </row>
    <row r="30">
      <c r="A30" s="9" t="inlineStr">
        <is>
          <t>NU-29</t>
        </is>
      </c>
      <c r="B30" s="9" t="inlineStr">
        <is>
          <t>Series</t>
        </is>
      </c>
      <c r="C30" s="9" t="inlineStr">
        <is>
          <t>Debit Note Collection: prefix, pattern and reset rule</t>
        </is>
      </c>
      <c r="D30" s="9" t="inlineStr">
        <is>
          <t>Master &gt; Document Numbering</t>
        </is>
      </c>
      <c r="E30" s="9" t="inlineStr">
        <is>
          <t>DNC, {PREFIX}-{YYYY}-{SEQ}, width 5, yearly reset</t>
        </is>
      </c>
      <c r="F30" s="10" t="inlineStr"/>
      <c r="G30" s="9" t="inlineStr">
        <is>
          <t>System Administrator</t>
        </is>
      </c>
      <c r="H30" s="9" t="inlineStr">
        <is>
          <t>Configuration</t>
        </is>
      </c>
      <c r="I30" s="11" t="inlineStr"/>
      <c r="J30" s="9" t="inlineStr">
        <is>
          <t>Open</t>
        </is>
      </c>
      <c r="K30" s="9" t="inlineStr">
        <is>
          <t>Series code dn_collection</t>
        </is>
      </c>
    </row>
    <row r="31">
      <c r="A31" s="9" t="inlineStr">
        <is>
          <t>NU-30</t>
        </is>
      </c>
      <c r="B31" s="9" t="inlineStr">
        <is>
          <t>Series</t>
        </is>
      </c>
      <c r="C31" s="9" t="inlineStr">
        <is>
          <t>Journal Voucher: prefix, pattern and reset rule</t>
        </is>
      </c>
      <c r="D31" s="9" t="inlineStr">
        <is>
          <t>Master &gt; Document Numbering</t>
        </is>
      </c>
      <c r="E31" s="9" t="inlineStr">
        <is>
          <t>JV, {PREFIX}-{YYYY}-{SEQ}, width 5, yearly reset</t>
        </is>
      </c>
      <c r="F31" s="10" t="inlineStr"/>
      <c r="G31" s="9" t="inlineStr">
        <is>
          <t>System Administrator</t>
        </is>
      </c>
      <c r="H31" s="9" t="inlineStr">
        <is>
          <t>Configuration</t>
        </is>
      </c>
      <c r="I31" s="11" t="inlineStr"/>
      <c r="J31" s="9" t="inlineStr">
        <is>
          <t>Open</t>
        </is>
      </c>
      <c r="K31" s="9" t="inlineStr">
        <is>
          <t>Series code journal</t>
        </is>
      </c>
    </row>
    <row r="32">
      <c r="A32" s="9" t="inlineStr">
        <is>
          <t>NU-31</t>
        </is>
      </c>
      <c r="B32" s="9" t="inlineStr">
        <is>
          <t>Series</t>
        </is>
      </c>
      <c r="C32" s="9" t="inlineStr">
        <is>
          <t>Month-end Close: prefix, pattern and reset rule</t>
        </is>
      </c>
      <c r="D32" s="9" t="inlineStr">
        <is>
          <t>Master &gt; Document Numbering</t>
        </is>
      </c>
      <c r="E32" s="9" t="inlineStr">
        <is>
          <t>MEC, {PREFIX}-{YYYY}-{SEQ}, width 5, yearly reset</t>
        </is>
      </c>
      <c r="F32" s="10" t="inlineStr"/>
      <c r="G32" s="9" t="inlineStr">
        <is>
          <t>System Administrator</t>
        </is>
      </c>
      <c r="H32" s="9" t="inlineStr">
        <is>
          <t>Configuration</t>
        </is>
      </c>
      <c r="I32" s="11" t="inlineStr"/>
      <c r="J32" s="9" t="inlineStr">
        <is>
          <t>Open</t>
        </is>
      </c>
      <c r="K32" s="9" t="inlineStr">
        <is>
          <t>Series code period_close</t>
        </is>
      </c>
    </row>
    <row r="33">
      <c r="A33" s="9" t="inlineStr">
        <is>
          <t>NU-32</t>
        </is>
      </c>
      <c r="B33" s="9" t="inlineStr">
        <is>
          <t>Series</t>
        </is>
      </c>
      <c r="C33" s="9" t="inlineStr">
        <is>
          <t>Year-end Close: prefix, pattern and reset rule</t>
        </is>
      </c>
      <c r="D33" s="9" t="inlineStr">
        <is>
          <t>Master &gt; Document Numbering</t>
        </is>
      </c>
      <c r="E33" s="9" t="inlineStr">
        <is>
          <t>YEC, {PREFIX}-{YYYY}-{SEQ}, width 5, yearly reset</t>
        </is>
      </c>
      <c r="F33" s="10" t="inlineStr"/>
      <c r="G33" s="9" t="inlineStr">
        <is>
          <t>System Administrator</t>
        </is>
      </c>
      <c r="H33" s="9" t="inlineStr">
        <is>
          <t>Configuration</t>
        </is>
      </c>
      <c r="I33" s="11" t="inlineStr"/>
      <c r="J33" s="9" t="inlineStr">
        <is>
          <t>Open</t>
        </is>
      </c>
      <c r="K33" s="9" t="inlineStr">
        <is>
          <t>Series code year_end_close</t>
        </is>
      </c>
    </row>
    <row r="34">
      <c r="A34" s="9" t="inlineStr">
        <is>
          <t>NU-33</t>
        </is>
      </c>
      <c r="B34" s="9" t="inlineStr">
        <is>
          <t>Series</t>
        </is>
      </c>
      <c r="C34" s="9" t="inlineStr">
        <is>
          <t>Recurring Journal: prefix, pattern and reset rule</t>
        </is>
      </c>
      <c r="D34" s="9" t="inlineStr">
        <is>
          <t>Master &gt; Document Numbering</t>
        </is>
      </c>
      <c r="E34" s="9" t="inlineStr">
        <is>
          <t>RJV, {PREFIX}-{YYYY}-{SEQ}, width 5, yearly reset</t>
        </is>
      </c>
      <c r="F34" s="10" t="inlineStr"/>
      <c r="G34" s="9" t="inlineStr">
        <is>
          <t>System Administrator</t>
        </is>
      </c>
      <c r="H34" s="9" t="inlineStr">
        <is>
          <t>Configuration</t>
        </is>
      </c>
      <c r="I34" s="11" t="inlineStr"/>
      <c r="J34" s="9" t="inlineStr">
        <is>
          <t>Open</t>
        </is>
      </c>
      <c r="K34" s="9" t="inlineStr">
        <is>
          <t>Series code recurring_journal</t>
        </is>
      </c>
    </row>
    <row r="35">
      <c r="A35" s="9" t="inlineStr">
        <is>
          <t>NU-34</t>
        </is>
      </c>
      <c r="B35" s="9" t="inlineStr">
        <is>
          <t>BIR document</t>
        </is>
      </c>
      <c r="C35" s="9" t="inlineStr">
        <is>
          <t>BIR Form 2307: prefix, pattern and reset rule; registered series (ATP or system-generated equivalent)</t>
        </is>
      </c>
      <c r="D35" s="9" t="inlineStr">
        <is>
          <t>Master &gt; Document Numbering</t>
        </is>
      </c>
      <c r="E35" s="9" t="inlineStr">
        <is>
          <t>CWT, {PREFIX}-{YYYY}-{SEQ}, width 5, yearly reset</t>
        </is>
      </c>
      <c r="F35" s="10" t="inlineStr"/>
      <c r="G35" s="9" t="inlineStr">
        <is>
          <t>Accounting Manager</t>
        </is>
      </c>
      <c r="H35" s="9" t="inlineStr">
        <is>
          <t>Configuration</t>
        </is>
      </c>
      <c r="I35" s="11" t="inlineStr"/>
      <c r="J35" s="9" t="inlineStr">
        <is>
          <t>Open</t>
        </is>
      </c>
      <c r="K35" s="9" t="inlineStr">
        <is>
          <t>Series code bir_2307; confirm with the tax adviser</t>
        </is>
      </c>
    </row>
    <row r="36">
      <c r="A36" s="9" t="inlineStr">
        <is>
          <t>NU-35</t>
        </is>
      </c>
      <c r="B36" s="9" t="inlineStr">
        <is>
          <t>Series</t>
        </is>
      </c>
      <c r="C36" s="9" t="inlineStr">
        <is>
          <t>Bank Statement: prefix, pattern and reset rule</t>
        </is>
      </c>
      <c r="D36" s="9" t="inlineStr">
        <is>
          <t>Master &gt; Document Numbering</t>
        </is>
      </c>
      <c r="E36" s="9" t="inlineStr">
        <is>
          <t>BST, {PREFIX}-{YYYY}-{SEQ}, width 5, yearly reset</t>
        </is>
      </c>
      <c r="F36" s="10" t="inlineStr"/>
      <c r="G36" s="9" t="inlineStr">
        <is>
          <t>System Administrator</t>
        </is>
      </c>
      <c r="H36" s="9" t="inlineStr">
        <is>
          <t>Configuration</t>
        </is>
      </c>
      <c r="I36" s="11" t="inlineStr"/>
      <c r="J36" s="9" t="inlineStr">
        <is>
          <t>Open</t>
        </is>
      </c>
      <c r="K36" s="9" t="inlineStr">
        <is>
          <t>Series code bank_statement</t>
        </is>
      </c>
    </row>
    <row r="37">
      <c r="A37" s="9" t="inlineStr">
        <is>
          <t>NU-36</t>
        </is>
      </c>
      <c r="B37" s="9" t="inlineStr">
        <is>
          <t>Series</t>
        </is>
      </c>
      <c r="C37" s="9" t="inlineStr">
        <is>
          <t>Bank Reconciliation: prefix, pattern and reset rule</t>
        </is>
      </c>
      <c r="D37" s="9" t="inlineStr">
        <is>
          <t>Master &gt; Document Numbering</t>
        </is>
      </c>
      <c r="E37" s="9" t="inlineStr">
        <is>
          <t>BRC, {PREFIX}-{YYYY}-{SEQ}, width 5, yearly reset</t>
        </is>
      </c>
      <c r="F37" s="10" t="inlineStr"/>
      <c r="G37" s="9" t="inlineStr">
        <is>
          <t>System Administrator</t>
        </is>
      </c>
      <c r="H37" s="9" t="inlineStr">
        <is>
          <t>Configuration</t>
        </is>
      </c>
      <c r="I37" s="11" t="inlineStr"/>
      <c r="J37" s="9" t="inlineStr">
        <is>
          <t>Open</t>
        </is>
      </c>
      <c r="K37" s="9" t="inlineStr">
        <is>
          <t>Series code bank_reconciliation</t>
        </is>
      </c>
    </row>
    <row r="38">
      <c r="A38" s="9" t="inlineStr">
        <is>
          <t>NU-37</t>
        </is>
      </c>
      <c r="B38" s="9" t="inlineStr">
        <is>
          <t>Series</t>
        </is>
      </c>
      <c r="C38" s="9" t="inlineStr">
        <is>
          <t>Insurer Statement Reconciliation: prefix, pattern and reset rule</t>
        </is>
      </c>
      <c r="D38" s="9" t="inlineStr">
        <is>
          <t>Master &gt; Document Numbering</t>
        </is>
      </c>
      <c r="E38" s="9" t="inlineStr">
        <is>
          <t>ISR, {PREFIX}-{YYYY}-{SEQ}, width 5, yearly reset</t>
        </is>
      </c>
      <c r="F38" s="10" t="inlineStr"/>
      <c r="G38" s="9" t="inlineStr">
        <is>
          <t>System Administrator</t>
        </is>
      </c>
      <c r="H38" s="9" t="inlineStr">
        <is>
          <t>Configuration</t>
        </is>
      </c>
      <c r="I38" s="11" t="inlineStr"/>
      <c r="J38" s="9" t="inlineStr">
        <is>
          <t>Open</t>
        </is>
      </c>
      <c r="K38" s="9" t="inlineStr">
        <is>
          <t>Series code insurer_statement</t>
        </is>
      </c>
    </row>
    <row r="39">
      <c r="A39" s="9" t="inlineStr">
        <is>
          <t>NU-38</t>
        </is>
      </c>
      <c r="B39" s="9" t="inlineStr">
        <is>
          <t>Series</t>
        </is>
      </c>
      <c r="C39" s="9" t="inlineStr">
        <is>
          <t>Remittance: prefix, pattern and reset rule</t>
        </is>
      </c>
      <c r="D39" s="9" t="inlineStr">
        <is>
          <t>Master &gt; Document Numbering</t>
        </is>
      </c>
      <c r="E39" s="9" t="inlineStr">
        <is>
          <t>REM, {PREFIX}-{YYYY}-{SEQ}, width 5, yearly reset</t>
        </is>
      </c>
      <c r="F39" s="10" t="inlineStr"/>
      <c r="G39" s="9" t="inlineStr">
        <is>
          <t>System Administrator</t>
        </is>
      </c>
      <c r="H39" s="9" t="inlineStr">
        <is>
          <t>Configuration</t>
        </is>
      </c>
      <c r="I39" s="11" t="inlineStr"/>
      <c r="J39" s="9" t="inlineStr">
        <is>
          <t>Open</t>
        </is>
      </c>
      <c r="K39" s="9" t="inlineStr">
        <is>
          <t>Series code remittance</t>
        </is>
      </c>
    </row>
    <row r="40">
      <c r="A40" s="9" t="inlineStr">
        <is>
          <t>NU-39</t>
        </is>
      </c>
      <c r="B40" s="9" t="inlineStr">
        <is>
          <t>Series</t>
        </is>
      </c>
      <c r="C40" s="9" t="inlineStr">
        <is>
          <t>Direct / Agency Bill: prefix, pattern and reset rule</t>
        </is>
      </c>
      <c r="D40" s="9" t="inlineStr">
        <is>
          <t>Master &gt; Document Numbering</t>
        </is>
      </c>
      <c r="E40" s="9" t="inlineStr">
        <is>
          <t>BIL, {PREFIX}-{YYYY}-{SEQ}, width 5, yearly reset</t>
        </is>
      </c>
      <c r="F40" s="10" t="inlineStr"/>
      <c r="G40" s="9" t="inlineStr">
        <is>
          <t>System Administrator</t>
        </is>
      </c>
      <c r="H40" s="9" t="inlineStr">
        <is>
          <t>Configuration</t>
        </is>
      </c>
      <c r="I40" s="11" t="inlineStr"/>
      <c r="J40" s="9" t="inlineStr">
        <is>
          <t>Open</t>
        </is>
      </c>
      <c r="K40" s="9" t="inlineStr">
        <is>
          <t>Series code remittance_bill</t>
        </is>
      </c>
    </row>
    <row r="41">
      <c r="A41" s="9" t="inlineStr">
        <is>
          <t>NU-40</t>
        </is>
      </c>
      <c r="B41" s="9" t="inlineStr">
        <is>
          <t>Series</t>
        </is>
      </c>
      <c r="C41" s="9" t="inlineStr">
        <is>
          <t>Remittance Batch: prefix, pattern and reset rule</t>
        </is>
      </c>
      <c r="D41" s="9" t="inlineStr">
        <is>
          <t>Master &gt; Document Numbering</t>
        </is>
      </c>
      <c r="E41" s="9" t="inlineStr">
        <is>
          <t>BLK, {PREFIX}-{YYYY}-{SEQ}, width 5, yearly reset</t>
        </is>
      </c>
      <c r="F41" s="10" t="inlineStr"/>
      <c r="G41" s="9" t="inlineStr">
        <is>
          <t>System Administrator</t>
        </is>
      </c>
      <c r="H41" s="9" t="inlineStr">
        <is>
          <t>Configuration</t>
        </is>
      </c>
      <c r="I41" s="11" t="inlineStr"/>
      <c r="J41" s="9" t="inlineStr">
        <is>
          <t>Open</t>
        </is>
      </c>
      <c r="K41" s="9" t="inlineStr">
        <is>
          <t>Series code remittance_batch</t>
        </is>
      </c>
    </row>
    <row r="42">
      <c r="A42" s="9" t="inlineStr">
        <is>
          <t>NU-41</t>
        </is>
      </c>
      <c r="B42" s="9" t="inlineStr">
        <is>
          <t>Series</t>
        </is>
      </c>
      <c r="C42" s="9" t="inlineStr">
        <is>
          <t>Settlement: prefix, pattern and reset rule</t>
        </is>
      </c>
      <c r="D42" s="9" t="inlineStr">
        <is>
          <t>Master &gt; Document Numbering</t>
        </is>
      </c>
      <c r="E42" s="9" t="inlineStr">
        <is>
          <t>SET, {PREFIX}-{YYYY}-{SEQ}, width 5, yearly reset</t>
        </is>
      </c>
      <c r="F42" s="10" t="inlineStr"/>
      <c r="G42" s="9" t="inlineStr">
        <is>
          <t>System Administrator</t>
        </is>
      </c>
      <c r="H42" s="9" t="inlineStr">
        <is>
          <t>Configuration</t>
        </is>
      </c>
      <c r="I42" s="11" t="inlineStr"/>
      <c r="J42" s="9" t="inlineStr">
        <is>
          <t>Open</t>
        </is>
      </c>
      <c r="K42" s="9" t="inlineStr">
        <is>
          <t>Series code settlement</t>
        </is>
      </c>
    </row>
    <row r="43">
      <c r="A43" s="9" t="inlineStr">
        <is>
          <t>NU-42</t>
        </is>
      </c>
      <c r="B43" s="9" t="inlineStr">
        <is>
          <t>Series</t>
        </is>
      </c>
      <c r="C43" s="9" t="inlineStr">
        <is>
          <t>Remittance Adjustment: prefix, pattern and reset rule</t>
        </is>
      </c>
      <c r="D43" s="9" t="inlineStr">
        <is>
          <t>Master &gt; Document Numbering</t>
        </is>
      </c>
      <c r="E43" s="9" t="inlineStr">
        <is>
          <t>ADJ, {PREFIX}-{YYYY}-{SEQ}, width 5, yearly reset</t>
        </is>
      </c>
      <c r="F43" s="10" t="inlineStr"/>
      <c r="G43" s="9" t="inlineStr">
        <is>
          <t>System Administrator</t>
        </is>
      </c>
      <c r="H43" s="9" t="inlineStr">
        <is>
          <t>Configuration</t>
        </is>
      </c>
      <c r="I43" s="11" t="inlineStr"/>
      <c r="J43" s="9" t="inlineStr">
        <is>
          <t>Open</t>
        </is>
      </c>
      <c r="K43" s="9" t="inlineStr">
        <is>
          <t>Series code adjustment</t>
        </is>
      </c>
    </row>
    <row r="44">
      <c r="A44" s="9" t="inlineStr">
        <is>
          <t>NU-43</t>
        </is>
      </c>
      <c r="B44" s="9" t="inlineStr">
        <is>
          <t>Series</t>
        </is>
      </c>
      <c r="C44" s="9" t="inlineStr">
        <is>
          <t>Electronic Transfer: prefix, pattern and reset rule</t>
        </is>
      </c>
      <c r="D44" s="9" t="inlineStr">
        <is>
          <t>Master &gt; Document Numbering</t>
        </is>
      </c>
      <c r="E44" s="9" t="inlineStr">
        <is>
          <t>TRF, {PREFIX}-{YYYY}-{SEQ}, width 5, yearly reset</t>
        </is>
      </c>
      <c r="F44" s="10" t="inlineStr"/>
      <c r="G44" s="9" t="inlineStr">
        <is>
          <t>System Administrator</t>
        </is>
      </c>
      <c r="H44" s="9" t="inlineStr">
        <is>
          <t>Configuration</t>
        </is>
      </c>
      <c r="I44" s="11" t="inlineStr"/>
      <c r="J44" s="9" t="inlineStr">
        <is>
          <t>Open</t>
        </is>
      </c>
      <c r="K44" s="9" t="inlineStr">
        <is>
          <t>Series code transfer</t>
        </is>
      </c>
    </row>
    <row r="45">
      <c r="A45" s="9" t="inlineStr">
        <is>
          <t>NU-44</t>
        </is>
      </c>
      <c r="B45" s="9" t="inlineStr">
        <is>
          <t>Series</t>
        </is>
      </c>
      <c r="C45" s="9" t="inlineStr">
        <is>
          <t>Remittance Statement: prefix, pattern and reset rule</t>
        </is>
      </c>
      <c r="D45" s="9" t="inlineStr">
        <is>
          <t>Master &gt; Document Numbering</t>
        </is>
      </c>
      <c r="E45" s="9" t="inlineStr">
        <is>
          <t>STMT, {PREFIX}-{YYYY}-{SEQ}, width 5, yearly reset</t>
        </is>
      </c>
      <c r="F45" s="10" t="inlineStr"/>
      <c r="G45" s="9" t="inlineStr">
        <is>
          <t>System Administrator</t>
        </is>
      </c>
      <c r="H45" s="9" t="inlineStr">
        <is>
          <t>Configuration</t>
        </is>
      </c>
      <c r="I45" s="11" t="inlineStr"/>
      <c r="J45" s="9" t="inlineStr">
        <is>
          <t>Open</t>
        </is>
      </c>
      <c r="K45" s="9" t="inlineStr">
        <is>
          <t>Series code statement</t>
        </is>
      </c>
    </row>
    <row r="46">
      <c r="A46" s="9" t="inlineStr">
        <is>
          <t>NU-45</t>
        </is>
      </c>
      <c r="B46" s="9" t="inlineStr">
        <is>
          <t>Series</t>
        </is>
      </c>
      <c r="C46" s="9" t="inlineStr">
        <is>
          <t>Remittance Exception: prefix, pattern and reset rule</t>
        </is>
      </c>
      <c r="D46" s="9" t="inlineStr">
        <is>
          <t>Master &gt; Document Numbering</t>
        </is>
      </c>
      <c r="E46" s="9" t="inlineStr">
        <is>
          <t>EXC, {PREFIX}-{YYYY}-{SEQ}, width 5, yearly reset</t>
        </is>
      </c>
      <c r="F46" s="10" t="inlineStr"/>
      <c r="G46" s="9" t="inlineStr">
        <is>
          <t>System Administrator</t>
        </is>
      </c>
      <c r="H46" s="9" t="inlineStr">
        <is>
          <t>Configuration</t>
        </is>
      </c>
      <c r="I46" s="11" t="inlineStr"/>
      <c r="J46" s="9" t="inlineStr">
        <is>
          <t>Open</t>
        </is>
      </c>
      <c r="K46" s="9" t="inlineStr">
        <is>
          <t>Series code remittance_exception</t>
        </is>
      </c>
    </row>
    <row r="47">
      <c r="A47" s="9" t="inlineStr">
        <is>
          <t>NU-46</t>
        </is>
      </c>
      <c r="B47" s="9" t="inlineStr">
        <is>
          <t>Series</t>
        </is>
      </c>
      <c r="C47" s="9" t="inlineStr">
        <is>
          <t>Remittance Notification: prefix, pattern and reset rule</t>
        </is>
      </c>
      <c r="D47" s="9" t="inlineStr">
        <is>
          <t>Master &gt; Document Numbering</t>
        </is>
      </c>
      <c r="E47" s="9" t="inlineStr">
        <is>
          <t>NTF, {PREFIX}-{YYYY}-{SEQ}, width 5, yearly reset</t>
        </is>
      </c>
      <c r="F47" s="10" t="inlineStr"/>
      <c r="G47" s="9" t="inlineStr">
        <is>
          <t>System Administrator</t>
        </is>
      </c>
      <c r="H47" s="9" t="inlineStr">
        <is>
          <t>Configuration</t>
        </is>
      </c>
      <c r="I47" s="11" t="inlineStr"/>
      <c r="J47" s="9" t="inlineStr">
        <is>
          <t>Open</t>
        </is>
      </c>
      <c r="K47" s="9" t="inlineStr">
        <is>
          <t>Series code remittance_notice</t>
        </is>
      </c>
    </row>
    <row r="48">
      <c r="A48" s="9" t="inlineStr">
        <is>
          <t>NU-47</t>
        </is>
      </c>
      <c r="B48" s="9" t="inlineStr">
        <is>
          <t>Series</t>
        </is>
      </c>
      <c r="C48" s="9" t="inlineStr">
        <is>
          <t>Remittance Schedule: prefix, pattern and reset rule</t>
        </is>
      </c>
      <c r="D48" s="9" t="inlineStr">
        <is>
          <t>Master &gt; Document Numbering</t>
        </is>
      </c>
      <c r="E48" s="9" t="inlineStr">
        <is>
          <t>SCH, {PREFIX}-{YYYY}-{SEQ}, width 5, yearly reset</t>
        </is>
      </c>
      <c r="F48" s="10" t="inlineStr"/>
      <c r="G48" s="9" t="inlineStr">
        <is>
          <t>System Administrator</t>
        </is>
      </c>
      <c r="H48" s="9" t="inlineStr">
        <is>
          <t>Configuration</t>
        </is>
      </c>
      <c r="I48" s="11" t="inlineStr"/>
      <c r="J48" s="9" t="inlineStr">
        <is>
          <t>Open</t>
        </is>
      </c>
      <c r="K48" s="9" t="inlineStr">
        <is>
          <t>Series code remittance_schedule</t>
        </is>
      </c>
    </row>
    <row r="49">
      <c r="A49" s="9" t="inlineStr">
        <is>
          <t>NU-48</t>
        </is>
      </c>
      <c r="B49" s="9" t="inlineStr">
        <is>
          <t>Series</t>
        </is>
      </c>
      <c r="C49" s="9" t="inlineStr">
        <is>
          <t>Remittance Report: prefix, pattern and reset rule</t>
        </is>
      </c>
      <c r="D49" s="9" t="inlineStr">
        <is>
          <t>Master &gt; Document Numbering</t>
        </is>
      </c>
      <c r="E49" s="9" t="inlineStr">
        <is>
          <t>RPT, {PREFIX}-{YYYY}-{SEQ}, width 5, yearly reset</t>
        </is>
      </c>
      <c r="F49" s="10" t="inlineStr"/>
      <c r="G49" s="9" t="inlineStr">
        <is>
          <t>System Administrator</t>
        </is>
      </c>
      <c r="H49" s="9" t="inlineStr">
        <is>
          <t>Configuration</t>
        </is>
      </c>
      <c r="I49" s="11" t="inlineStr"/>
      <c r="J49" s="9" t="inlineStr">
        <is>
          <t>Open</t>
        </is>
      </c>
      <c r="K49" s="9" t="inlineStr">
        <is>
          <t>Series code remittance_report</t>
        </is>
      </c>
    </row>
    <row r="50">
      <c r="A50" s="9" t="inlineStr">
        <is>
          <t>NU-49</t>
        </is>
      </c>
      <c r="B50" s="9" t="inlineStr">
        <is>
          <t>Series</t>
        </is>
      </c>
      <c r="C50" s="9" t="inlineStr">
        <is>
          <t>Bank Transaction: prefix, pattern and reset rule</t>
        </is>
      </c>
      <c r="D50" s="9" t="inlineStr">
        <is>
          <t>Master &gt; Document Numbering</t>
        </is>
      </c>
      <c r="E50" s="9" t="inlineStr">
        <is>
          <t>BNK, {PREFIX}-{YYYY}-{SEQ}, width 5, yearly reset</t>
        </is>
      </c>
      <c r="F50" s="10" t="inlineStr"/>
      <c r="G50" s="9" t="inlineStr">
        <is>
          <t>System Administrator</t>
        </is>
      </c>
      <c r="H50" s="9" t="inlineStr">
        <is>
          <t>Configuration</t>
        </is>
      </c>
      <c r="I50" s="11" t="inlineStr"/>
      <c r="J50" s="9" t="inlineStr">
        <is>
          <t>Open</t>
        </is>
      </c>
      <c r="K50" s="9" t="inlineStr">
        <is>
          <t>Series code bank_txn</t>
        </is>
      </c>
    </row>
    <row r="51">
      <c r="A51" s="9" t="inlineStr">
        <is>
          <t>NU-50</t>
        </is>
      </c>
      <c r="B51" s="9" t="inlineStr">
        <is>
          <t>Series</t>
        </is>
      </c>
      <c r="C51" s="9" t="inlineStr">
        <is>
          <t>Reinsurer: prefix, pattern and reset rule</t>
        </is>
      </c>
      <c r="D51" s="9" t="inlineStr">
        <is>
          <t>Master &gt; Document Numbering</t>
        </is>
      </c>
      <c r="E51" s="9" t="inlineStr">
        <is>
          <t>RE, {PREFIX}-{YYYY}-{SEQ}, width 5, yearly reset</t>
        </is>
      </c>
      <c r="F51" s="10" t="inlineStr"/>
      <c r="G51" s="9" t="inlineStr">
        <is>
          <t>System Administrator</t>
        </is>
      </c>
      <c r="H51" s="9" t="inlineStr">
        <is>
          <t>Configuration</t>
        </is>
      </c>
      <c r="I51" s="11" t="inlineStr"/>
      <c r="J51" s="9" t="inlineStr">
        <is>
          <t>Open</t>
        </is>
      </c>
      <c r="K51" s="9" t="inlineStr">
        <is>
          <t>Series code reinsurer</t>
        </is>
      </c>
    </row>
    <row r="52">
      <c r="A52" s="9" t="inlineStr">
        <is>
          <t>NU-51</t>
        </is>
      </c>
      <c r="B52" s="9" t="inlineStr">
        <is>
          <t>Series</t>
        </is>
      </c>
      <c r="C52" s="9" t="inlineStr">
        <is>
          <t>Treaty: prefix, pattern and reset rule</t>
        </is>
      </c>
      <c r="D52" s="9" t="inlineStr">
        <is>
          <t>Master &gt; Document Numbering</t>
        </is>
      </c>
      <c r="E52" s="9" t="inlineStr">
        <is>
          <t>TRT, {PREFIX}-{YYYY}-{SEQ}, width 5, yearly reset</t>
        </is>
      </c>
      <c r="F52" s="10" t="inlineStr"/>
      <c r="G52" s="9" t="inlineStr">
        <is>
          <t>System Administrator</t>
        </is>
      </c>
      <c r="H52" s="9" t="inlineStr">
        <is>
          <t>Configuration</t>
        </is>
      </c>
      <c r="I52" s="11" t="inlineStr"/>
      <c r="J52" s="9" t="inlineStr">
        <is>
          <t>Open</t>
        </is>
      </c>
      <c r="K52" s="9" t="inlineStr">
        <is>
          <t>Series code treaty</t>
        </is>
      </c>
    </row>
    <row r="53">
      <c r="A53" s="9" t="inlineStr">
        <is>
          <t>NU-52</t>
        </is>
      </c>
      <c r="B53" s="9" t="inlineStr">
        <is>
          <t>Series</t>
        </is>
      </c>
      <c r="C53" s="9" t="inlineStr">
        <is>
          <t>Cession: prefix, pattern and reset rule</t>
        </is>
      </c>
      <c r="D53" s="9" t="inlineStr">
        <is>
          <t>Master &gt; Document Numbering</t>
        </is>
      </c>
      <c r="E53" s="9" t="inlineStr">
        <is>
          <t>CES, {PREFIX}-{YYYY}-{SEQ}, width 5, yearly reset</t>
        </is>
      </c>
      <c r="F53" s="10" t="inlineStr"/>
      <c r="G53" s="9" t="inlineStr">
        <is>
          <t>System Administrator</t>
        </is>
      </c>
      <c r="H53" s="9" t="inlineStr">
        <is>
          <t>Configuration</t>
        </is>
      </c>
      <c r="I53" s="11" t="inlineStr"/>
      <c r="J53" s="9" t="inlineStr">
        <is>
          <t>Open</t>
        </is>
      </c>
      <c r="K53" s="9" t="inlineStr">
        <is>
          <t>Series code cession</t>
        </is>
      </c>
    </row>
    <row r="54">
      <c r="A54" s="9" t="inlineStr">
        <is>
          <t>NU-53</t>
        </is>
      </c>
      <c r="B54" s="9" t="inlineStr">
        <is>
          <t>Series</t>
        </is>
      </c>
      <c r="C54" s="9" t="inlineStr">
        <is>
          <t>RI Recovery Claim: prefix, pattern and reset rule</t>
        </is>
      </c>
      <c r="D54" s="9" t="inlineStr">
        <is>
          <t>Master &gt; Document Numbering</t>
        </is>
      </c>
      <c r="E54" s="9" t="inlineStr">
        <is>
          <t>RCL, {PREFIX}-{YYYY}-{SEQ}, width 5, yearly reset</t>
        </is>
      </c>
      <c r="F54" s="10" t="inlineStr"/>
      <c r="G54" s="9" t="inlineStr">
        <is>
          <t>System Administrator</t>
        </is>
      </c>
      <c r="H54" s="9" t="inlineStr">
        <is>
          <t>Configuration</t>
        </is>
      </c>
      <c r="I54" s="11" t="inlineStr"/>
      <c r="J54" s="9" t="inlineStr">
        <is>
          <t>Open</t>
        </is>
      </c>
      <c r="K54" s="9" t="inlineStr">
        <is>
          <t>Series code ri_recovery</t>
        </is>
      </c>
    </row>
    <row r="55">
      <c r="A55" s="9" t="inlineStr">
        <is>
          <t>NU-54</t>
        </is>
      </c>
      <c r="B55" s="9" t="inlineStr">
        <is>
          <t>Series</t>
        </is>
      </c>
      <c r="C55" s="9" t="inlineStr">
        <is>
          <t>Bordereau: prefix, pattern and reset rule</t>
        </is>
      </c>
      <c r="D55" s="9" t="inlineStr">
        <is>
          <t>Master &gt; Document Numbering</t>
        </is>
      </c>
      <c r="E55" s="9" t="inlineStr">
        <is>
          <t>BDX, {PREFIX}-{YYYY}-{SEQ}, width 5, yearly reset</t>
        </is>
      </c>
      <c r="F55" s="10" t="inlineStr"/>
      <c r="G55" s="9" t="inlineStr">
        <is>
          <t>System Administrator</t>
        </is>
      </c>
      <c r="H55" s="9" t="inlineStr">
        <is>
          <t>Configuration</t>
        </is>
      </c>
      <c r="I55" s="11" t="inlineStr"/>
      <c r="J55" s="9" t="inlineStr">
        <is>
          <t>Open</t>
        </is>
      </c>
      <c r="K55" s="9" t="inlineStr">
        <is>
          <t>Series code bordereau</t>
        </is>
      </c>
    </row>
    <row r="56">
      <c r="A56" s="9" t="inlineStr">
        <is>
          <t>NU-55</t>
        </is>
      </c>
      <c r="B56" s="9" t="inlineStr">
        <is>
          <t>Series</t>
        </is>
      </c>
      <c r="C56" s="9" t="inlineStr">
        <is>
          <t>RI Reconciliation: prefix, pattern and reset rule</t>
        </is>
      </c>
      <c r="D56" s="9" t="inlineStr">
        <is>
          <t>Master &gt; Document Numbering</t>
        </is>
      </c>
      <c r="E56" s="9" t="inlineStr">
        <is>
          <t>REC, {PREFIX}-{YYYY}-{SEQ}, width 5, yearly reset</t>
        </is>
      </c>
      <c r="F56" s="10" t="inlineStr"/>
      <c r="G56" s="9" t="inlineStr">
        <is>
          <t>System Administrator</t>
        </is>
      </c>
      <c r="H56" s="9" t="inlineStr">
        <is>
          <t>Configuration</t>
        </is>
      </c>
      <c r="I56" s="11" t="inlineStr"/>
      <c r="J56" s="9" t="inlineStr">
        <is>
          <t>Open</t>
        </is>
      </c>
      <c r="K56" s="9" t="inlineStr">
        <is>
          <t>Series code ri_reconciliation</t>
        </is>
      </c>
    </row>
    <row r="57">
      <c r="A57" s="9" t="inlineStr">
        <is>
          <t>NU-56</t>
        </is>
      </c>
      <c r="B57" s="9" t="inlineStr">
        <is>
          <t>Series</t>
        </is>
      </c>
      <c r="C57" s="9" t="inlineStr">
        <is>
          <t>Incentive Program: prefix, pattern and reset rule</t>
        </is>
      </c>
      <c r="D57" s="9" t="inlineStr">
        <is>
          <t>Master &gt; Document Numbering</t>
        </is>
      </c>
      <c r="E57" s="9" t="inlineStr">
        <is>
          <t>INC, {PREFIX}-{YYYY}-{SEQ}, width 5, yearly reset</t>
        </is>
      </c>
      <c r="F57" s="10" t="inlineStr"/>
      <c r="G57" s="9" t="inlineStr">
        <is>
          <t>System Administrator</t>
        </is>
      </c>
      <c r="H57" s="9" t="inlineStr">
        <is>
          <t>Configuration</t>
        </is>
      </c>
      <c r="I57" s="11" t="inlineStr"/>
      <c r="J57" s="9" t="inlineStr">
        <is>
          <t>Open</t>
        </is>
      </c>
      <c r="K57" s="9" t="inlineStr">
        <is>
          <t>Series code incentive_program</t>
        </is>
      </c>
    </row>
    <row r="58">
      <c r="A58" s="9" t="inlineStr">
        <is>
          <t>NU-57</t>
        </is>
      </c>
      <c r="B58" s="9" t="inlineStr">
        <is>
          <t>Series</t>
        </is>
      </c>
      <c r="C58" s="9" t="inlineStr">
        <is>
          <t>Incentive Calculation: prefix, pattern and reset rule</t>
        </is>
      </c>
      <c r="D58" s="9" t="inlineStr">
        <is>
          <t>Master &gt; Document Numbering</t>
        </is>
      </c>
      <c r="E58" s="9" t="inlineStr">
        <is>
          <t>CALC, {PREFIX}-{YYYY}-{SEQ}, width 5, yearly reset</t>
        </is>
      </c>
      <c r="F58" s="10" t="inlineStr"/>
      <c r="G58" s="9" t="inlineStr">
        <is>
          <t>System Administrator</t>
        </is>
      </c>
      <c r="H58" s="9" t="inlineStr">
        <is>
          <t>Configuration</t>
        </is>
      </c>
      <c r="I58" s="11" t="inlineStr"/>
      <c r="J58" s="9" t="inlineStr">
        <is>
          <t>Open</t>
        </is>
      </c>
      <c r="K58" s="9" t="inlineStr">
        <is>
          <t>Series code incentive_calc</t>
        </is>
      </c>
    </row>
    <row r="59">
      <c r="A59" s="9" t="inlineStr">
        <is>
          <t>NU-58</t>
        </is>
      </c>
      <c r="B59" s="9" t="inlineStr">
        <is>
          <t>Series</t>
        </is>
      </c>
      <c r="C59" s="9" t="inlineStr">
        <is>
          <t>Product Template: prefix, pattern and reset rule</t>
        </is>
      </c>
      <c r="D59" s="9" t="inlineStr">
        <is>
          <t>Master &gt; Document Numbering</t>
        </is>
      </c>
      <c r="E59" s="9" t="inlineStr">
        <is>
          <t>TPL, {PREFIX}-{YYYY}-{SEQ}, width 5, yearly reset</t>
        </is>
      </c>
      <c r="F59" s="10" t="inlineStr"/>
      <c r="G59" s="9" t="inlineStr">
        <is>
          <t>System Administrator</t>
        </is>
      </c>
      <c r="H59" s="9" t="inlineStr">
        <is>
          <t>Configuration</t>
        </is>
      </c>
      <c r="I59" s="11" t="inlineStr"/>
      <c r="J59" s="9" t="inlineStr">
        <is>
          <t>Open</t>
        </is>
      </c>
      <c r="K59" s="9" t="inlineStr">
        <is>
          <t>Series code product_template</t>
        </is>
      </c>
    </row>
    <row r="60">
      <c r="A60" s="9" t="inlineStr">
        <is>
          <t>NU-59</t>
        </is>
      </c>
      <c r="B60" s="9" t="inlineStr">
        <is>
          <t>Series</t>
        </is>
      </c>
      <c r="C60" s="9" t="inlineStr">
        <is>
          <t>Data Subject Request: prefix, pattern and reset rule</t>
        </is>
      </c>
      <c r="D60" s="9" t="inlineStr">
        <is>
          <t>Master &gt; Document Numbering</t>
        </is>
      </c>
      <c r="E60" s="9" t="inlineStr">
        <is>
          <t>DSR, {PREFIX}-{YYYY}-{SEQ}, width 5, yearly reset</t>
        </is>
      </c>
      <c r="F60" s="10" t="inlineStr"/>
      <c r="G60" s="9" t="inlineStr">
        <is>
          <t>System Administrator</t>
        </is>
      </c>
      <c r="H60" s="9" t="inlineStr">
        <is>
          <t>Configuration</t>
        </is>
      </c>
      <c r="I60" s="11" t="inlineStr"/>
      <c r="J60" s="9" t="inlineStr">
        <is>
          <t>Open</t>
        </is>
      </c>
      <c r="K60" s="9" t="inlineStr">
        <is>
          <t>Series code data_subject_request</t>
        </is>
      </c>
    </row>
    <row r="61">
      <c r="A61" s="9" t="inlineStr">
        <is>
          <t>NU-60</t>
        </is>
      </c>
      <c r="B61" s="9" t="inlineStr">
        <is>
          <t>Master codes</t>
        </is>
      </c>
      <c r="C61" s="9" t="inlineStr">
        <is>
          <t>Commission Code: prefix and pattern</t>
        </is>
      </c>
      <c r="D61" s="9" t="inlineStr">
        <is>
          <t>Master &gt; Document Numbering</t>
        </is>
      </c>
      <c r="E61" s="9" t="inlineStr">
        <is>
          <t>COM, {PREFIX}-{SEQ}, width 5, never reset</t>
        </is>
      </c>
      <c r="F61" s="10" t="inlineStr"/>
      <c r="G61" s="9" t="inlineStr">
        <is>
          <t>System Administrator</t>
        </is>
      </c>
      <c r="H61" s="9" t="inlineStr">
        <is>
          <t>Configuration</t>
        </is>
      </c>
      <c r="I61" s="11" t="inlineStr"/>
      <c r="J61" s="9" t="inlineStr">
        <is>
          <t>Open</t>
        </is>
      </c>
      <c r="K61" s="9" t="inlineStr">
        <is>
          <t>Series code commission_master</t>
        </is>
      </c>
    </row>
    <row r="62">
      <c r="A62" s="9" t="inlineStr">
        <is>
          <t>NU-61</t>
        </is>
      </c>
      <c r="B62" s="9" t="inlineStr">
        <is>
          <t>Master codes</t>
        </is>
      </c>
      <c r="C62" s="9" t="inlineStr">
        <is>
          <t>Employee Code: prefix and pattern</t>
        </is>
      </c>
      <c r="D62" s="9" t="inlineStr">
        <is>
          <t>Master &gt; Document Numbering</t>
        </is>
      </c>
      <c r="E62" s="9" t="inlineStr">
        <is>
          <t>EMP, {PREFIX}-{SEQ}, width 4, never reset</t>
        </is>
      </c>
      <c r="F62" s="10" t="inlineStr"/>
      <c r="G62" s="9" t="inlineStr">
        <is>
          <t>System Administrator</t>
        </is>
      </c>
      <c r="H62" s="9" t="inlineStr">
        <is>
          <t>Configuration</t>
        </is>
      </c>
      <c r="I62" s="11" t="inlineStr"/>
      <c r="J62" s="9" t="inlineStr">
        <is>
          <t>Open</t>
        </is>
      </c>
      <c r="K62" s="9" t="inlineStr">
        <is>
          <t>Series code employee</t>
        </is>
      </c>
    </row>
    <row r="63">
      <c r="A63" s="9" t="inlineStr">
        <is>
          <t>NU-62</t>
        </is>
      </c>
      <c r="B63" s="9" t="inlineStr">
        <is>
          <t>Master codes</t>
        </is>
      </c>
      <c r="C63" s="9" t="inlineStr">
        <is>
          <t>Petty Cash Code: prefix and pattern</t>
        </is>
      </c>
      <c r="D63" s="9" t="inlineStr">
        <is>
          <t>Master &gt; Document Numbering</t>
        </is>
      </c>
      <c r="E63" s="9" t="inlineStr">
        <is>
          <t>PCF, {PREFIX}-{SEQ}, width 3, never reset</t>
        </is>
      </c>
      <c r="F63" s="10" t="inlineStr"/>
      <c r="G63" s="9" t="inlineStr">
        <is>
          <t>System Administrator</t>
        </is>
      </c>
      <c r="H63" s="9" t="inlineStr">
        <is>
          <t>Configuration</t>
        </is>
      </c>
      <c r="I63" s="11" t="inlineStr"/>
      <c r="J63" s="9" t="inlineStr">
        <is>
          <t>Open</t>
        </is>
      </c>
      <c r="K63" s="9" t="inlineStr">
        <is>
          <t>Series code petty_cash_fund</t>
        </is>
      </c>
    </row>
  </sheetData>
  <autoFilter ref="A1:K63"/>
  <conditionalFormatting sqref="A2:K63">
    <cfRule type="expression" priority="1" dxfId="0">
      <formula>$J2="Configured"</formula>
    </cfRule>
    <cfRule type="expression" priority="2" dxfId="1">
      <formula>$J2="Gap (CR)"</formula>
    </cfRule>
  </conditionalFormatting>
  <dataValidations count="2">
    <dataValidation sqref="J2:J63" showDropDown="0" showInputMessage="0" showErrorMessage="0" allowBlank="1" type="list">
      <formula1>"Open,Answered,Confirmed,Configured,Not applicable,Gap (CR)"</formula1>
    </dataValidation>
    <dataValidation sqref="I2:I6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K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AP-01</t>
        </is>
      </c>
      <c r="B2" s="9" t="inlineStr">
        <is>
          <t>Authority matrix</t>
        </is>
      </c>
      <c r="C2" s="9" t="inlineStr">
        <is>
          <t>Approval limit: Quotation discount (percent), per role or named user</t>
        </is>
      </c>
      <c r="D2" s="9" t="inlineStr">
        <is>
          <t>Master &gt; Generals &gt; User Management &gt; Authority Matrix</t>
        </is>
      </c>
      <c r="E2" s="9" t="inlineStr">
        <is>
          <t>Sales 10; Operations 10; Processing 15; Accounting Manager 25</t>
        </is>
      </c>
      <c r="F2" s="10" t="inlineStr"/>
      <c r="G2" s="9" t="inlineStr">
        <is>
          <t>Sponsor</t>
        </is>
      </c>
      <c r="H2" s="9" t="inlineStr">
        <is>
          <t>Configuration</t>
        </is>
      </c>
      <c r="I2" s="11" t="inlineStr"/>
      <c r="J2" s="9" t="inlineStr">
        <is>
          <t>Open</t>
        </is>
      </c>
      <c r="K2" s="9" t="inlineStr">
        <is>
          <t>Transaction type quotation_discount; replace with the board-approved signing authority</t>
        </is>
      </c>
    </row>
    <row r="3">
      <c r="A3" s="9" t="inlineStr">
        <is>
          <t>AP-02</t>
        </is>
      </c>
      <c r="B3" s="9" t="inlineStr">
        <is>
          <t>Authority matrix</t>
        </is>
      </c>
      <c r="C3" s="9" t="inlineStr">
        <is>
          <t>Approval limit: Policy issue (sum insured, PHP), per role or named user</t>
        </is>
      </c>
      <c r="D3" s="9" t="inlineStr">
        <is>
          <t>Master &gt; Generals &gt; User Management &gt; Authority Matrix</t>
        </is>
      </c>
      <c r="E3" s="9" t="inlineStr">
        <is>
          <t>Sales 1,000,000.00; Operations 1,000,000.00; Processing 5,000,000.00; Accounting Manager no limit</t>
        </is>
      </c>
      <c r="F3" s="10" t="inlineStr"/>
      <c r="G3" s="9" t="inlineStr">
        <is>
          <t>Sponsor</t>
        </is>
      </c>
      <c r="H3" s="9" t="inlineStr">
        <is>
          <t>Configuration</t>
        </is>
      </c>
      <c r="I3" s="11" t="inlineStr"/>
      <c r="J3" s="9" t="inlineStr">
        <is>
          <t>Open</t>
        </is>
      </c>
      <c r="K3" s="9" t="inlineStr">
        <is>
          <t>Transaction type policy_issue; replace with the board-approved signing authority</t>
        </is>
      </c>
    </row>
    <row r="4">
      <c r="A4" s="9" t="inlineStr">
        <is>
          <t>AP-03</t>
        </is>
      </c>
      <c r="B4" s="9" t="inlineStr">
        <is>
          <t>Authority matrix</t>
        </is>
      </c>
      <c r="C4" s="9" t="inlineStr">
        <is>
          <t>Approval limit: Return premium (PHP), per role or named user</t>
        </is>
      </c>
      <c r="D4" s="9" t="inlineStr">
        <is>
          <t>Master &gt; Generals &gt; User Management &gt; Authority Matrix</t>
        </is>
      </c>
      <c r="E4" s="9" t="inlineStr">
        <is>
          <t>Operations 100,000.00; Processing 250,000.00; Accounting 250,000.00; Accounting Manager no limit</t>
        </is>
      </c>
      <c r="F4" s="10" t="inlineStr"/>
      <c r="G4" s="9" t="inlineStr">
        <is>
          <t>Sponsor</t>
        </is>
      </c>
      <c r="H4" s="9" t="inlineStr">
        <is>
          <t>Configuration</t>
        </is>
      </c>
      <c r="I4" s="11" t="inlineStr"/>
      <c r="J4" s="9" t="inlineStr">
        <is>
          <t>Open</t>
        </is>
      </c>
      <c r="K4" s="9" t="inlineStr">
        <is>
          <t>Transaction type return_premium; replace with the board-approved signing authority</t>
        </is>
      </c>
    </row>
    <row r="5">
      <c r="A5" s="9" t="inlineStr">
        <is>
          <t>AP-04</t>
        </is>
      </c>
      <c r="B5" s="9" t="inlineStr">
        <is>
          <t>Authority matrix</t>
        </is>
      </c>
      <c r="C5" s="9" t="inlineStr">
        <is>
          <t>Approval limit: Claim settlement (PHP), per role or named user</t>
        </is>
      </c>
      <c r="D5" s="9" t="inlineStr">
        <is>
          <t>Master &gt; Generals &gt; User Management &gt; Authority Matrix</t>
        </is>
      </c>
      <c r="E5" s="9" t="inlineStr">
        <is>
          <t>Claims 1,000,000.00; Accounting Manager no limit</t>
        </is>
      </c>
      <c r="F5" s="10" t="inlineStr"/>
      <c r="G5" s="9" t="inlineStr">
        <is>
          <t>Sponsor</t>
        </is>
      </c>
      <c r="H5" s="9" t="inlineStr">
        <is>
          <t>Configuration</t>
        </is>
      </c>
      <c r="I5" s="11" t="inlineStr"/>
      <c r="J5" s="9" t="inlineStr">
        <is>
          <t>Open</t>
        </is>
      </c>
      <c r="K5" s="9" t="inlineStr">
        <is>
          <t>Transaction type claim_settlement; replace with the board-approved signing authority</t>
        </is>
      </c>
    </row>
    <row r="6">
      <c r="A6" s="9" t="inlineStr">
        <is>
          <t>AP-05</t>
        </is>
      </c>
      <c r="B6" s="9" t="inlineStr">
        <is>
          <t>Authority matrix</t>
        </is>
      </c>
      <c r="C6" s="9" t="inlineStr">
        <is>
          <t>Approval limit: Payment voucher (PHP), per role or named user</t>
        </is>
      </c>
      <c r="D6" s="9" t="inlineStr">
        <is>
          <t>Master &gt; Generals &gt; User Management &gt; Authority Matrix</t>
        </is>
      </c>
      <c r="E6" s="9" t="inlineStr">
        <is>
          <t>Accounting 2,000,000.00; Accounting Manager no limit</t>
        </is>
      </c>
      <c r="F6" s="10" t="inlineStr"/>
      <c r="G6" s="9" t="inlineStr">
        <is>
          <t>Sponsor</t>
        </is>
      </c>
      <c r="H6" s="9" t="inlineStr">
        <is>
          <t>Configuration</t>
        </is>
      </c>
      <c r="I6" s="11" t="inlineStr"/>
      <c r="J6" s="9" t="inlineStr">
        <is>
          <t>Open</t>
        </is>
      </c>
      <c r="K6" s="9" t="inlineStr">
        <is>
          <t>Transaction type payment_voucher; replace with the board-approved signing authority</t>
        </is>
      </c>
    </row>
    <row r="7">
      <c r="A7" s="9" t="inlineStr">
        <is>
          <t>AP-06</t>
        </is>
      </c>
      <c r="B7" s="9" t="inlineStr">
        <is>
          <t>Authority matrix</t>
        </is>
      </c>
      <c r="C7" s="9" t="inlineStr">
        <is>
          <t>Approval limit: Journal voucher (PHP), per role or named user</t>
        </is>
      </c>
      <c r="D7" s="9" t="inlineStr">
        <is>
          <t>Master &gt; Generals &gt; User Management &gt; Authority Matrix</t>
        </is>
      </c>
      <c r="E7" s="9" t="inlineStr">
        <is>
          <t>Accounting 1,000,000.00; Accounting Manager no limit</t>
        </is>
      </c>
      <c r="F7" s="10" t="inlineStr"/>
      <c r="G7" s="9" t="inlineStr">
        <is>
          <t>Sponsor</t>
        </is>
      </c>
      <c r="H7" s="9" t="inlineStr">
        <is>
          <t>Configuration</t>
        </is>
      </c>
      <c r="I7" s="11" t="inlineStr"/>
      <c r="J7" s="9" t="inlineStr">
        <is>
          <t>Open</t>
        </is>
      </c>
      <c r="K7" s="9" t="inlineStr">
        <is>
          <t>Transaction type journal_voucher; replace with the board-approved signing authority</t>
        </is>
      </c>
    </row>
    <row r="8">
      <c r="A8" s="9" t="inlineStr">
        <is>
          <t>AP-07</t>
        </is>
      </c>
      <c r="B8" s="9" t="inlineStr">
        <is>
          <t>Authority matrix</t>
        </is>
      </c>
      <c r="C8" s="9" t="inlineStr">
        <is>
          <t>Approval limit: Write-off (PHP), per role or named user</t>
        </is>
      </c>
      <c r="D8" s="9" t="inlineStr">
        <is>
          <t>Master &gt; Generals &gt; User Management &gt; Authority Matrix</t>
        </is>
      </c>
      <c r="E8" s="9" t="inlineStr">
        <is>
          <t>Accounting 1,000.00; Accounting Manager 50,000.00</t>
        </is>
      </c>
      <c r="F8" s="10" t="inlineStr"/>
      <c r="G8" s="9" t="inlineStr">
        <is>
          <t>Sponsor</t>
        </is>
      </c>
      <c r="H8" s="9" t="inlineStr">
        <is>
          <t>Configuration</t>
        </is>
      </c>
      <c r="I8" s="11" t="inlineStr"/>
      <c r="J8" s="9" t="inlineStr">
        <is>
          <t>Open</t>
        </is>
      </c>
      <c r="K8" s="9" t="inlineStr">
        <is>
          <t>Transaction type write_off; replace with the board-approved signing authority</t>
        </is>
      </c>
    </row>
    <row r="9">
      <c r="A9" s="9" t="inlineStr">
        <is>
          <t>AP-08</t>
        </is>
      </c>
      <c r="B9" s="9" t="inlineStr">
        <is>
          <t>Authority matrix</t>
        </is>
      </c>
      <c r="C9" s="9" t="inlineStr">
        <is>
          <t>Approval limit: Commission payout (PHP), per role or named user</t>
        </is>
      </c>
      <c r="D9" s="9" t="inlineStr">
        <is>
          <t>Master &gt; Generals &gt; User Management &gt; Authority Matrix</t>
        </is>
      </c>
      <c r="E9" s="9" t="inlineStr">
        <is>
          <t>Accounting 500,000.00; Accounting Manager no limit</t>
        </is>
      </c>
      <c r="F9" s="10" t="inlineStr"/>
      <c r="G9" s="9" t="inlineStr">
        <is>
          <t>Sponsor</t>
        </is>
      </c>
      <c r="H9" s="9" t="inlineStr">
        <is>
          <t>Configuration</t>
        </is>
      </c>
      <c r="I9" s="11" t="inlineStr"/>
      <c r="J9" s="9" t="inlineStr">
        <is>
          <t>Open</t>
        </is>
      </c>
      <c r="K9" s="9" t="inlineStr">
        <is>
          <t>Transaction type commission_payout; replace with the board-approved signing authority</t>
        </is>
      </c>
    </row>
    <row r="10">
      <c r="A10" s="9" t="inlineStr">
        <is>
          <t>AP-09</t>
        </is>
      </c>
      <c r="B10" s="9" t="inlineStr">
        <is>
          <t>Authority matrix</t>
        </is>
      </c>
      <c r="C10" s="9" t="inlineStr">
        <is>
          <t>Approval limit: Petty cash (PHP), per role or named user</t>
        </is>
      </c>
      <c r="D10" s="9" t="inlineStr">
        <is>
          <t>Master &gt; Generals &gt; User Management &gt; Authority Matrix</t>
        </is>
      </c>
      <c r="E10" s="9" t="inlineStr">
        <is>
          <t>Accounting 10,000.00; Accounting Manager 50,000.00</t>
        </is>
      </c>
      <c r="F10" s="10" t="inlineStr"/>
      <c r="G10" s="9" t="inlineStr">
        <is>
          <t>Sponsor</t>
        </is>
      </c>
      <c r="H10" s="9" t="inlineStr">
        <is>
          <t>Configuration</t>
        </is>
      </c>
      <c r="I10" s="11" t="inlineStr"/>
      <c r="J10" s="9" t="inlineStr">
        <is>
          <t>Open</t>
        </is>
      </c>
      <c r="K10" s="9" t="inlineStr">
        <is>
          <t>Transaction type petty_cash; replace with the board-approved signing authority</t>
        </is>
      </c>
    </row>
    <row r="11">
      <c r="A11" s="9" t="inlineStr">
        <is>
          <t>AP-10</t>
        </is>
      </c>
      <c r="B11" s="9" t="inlineStr">
        <is>
          <t>Authority matrix</t>
        </is>
      </c>
      <c r="C11" s="9" t="inlineStr">
        <is>
          <t>Approval limit: Remittance (PHP), per role or named user</t>
        </is>
      </c>
      <c r="D11" s="9" t="inlineStr">
        <is>
          <t>Master &gt; Generals &gt; User Management &gt; Authority Matrix</t>
        </is>
      </c>
      <c r="E11" s="9" t="inlineStr">
        <is>
          <t>Accounting 1,000,000.00; Accounting Manager no limit</t>
        </is>
      </c>
      <c r="F11" s="10" t="inlineStr"/>
      <c r="G11" s="9" t="inlineStr">
        <is>
          <t>Sponsor</t>
        </is>
      </c>
      <c r="H11" s="9" t="inlineStr">
        <is>
          <t>Configuration</t>
        </is>
      </c>
      <c r="I11" s="11" t="inlineStr"/>
      <c r="J11" s="9" t="inlineStr">
        <is>
          <t>Open</t>
        </is>
      </c>
      <c r="K11" s="9" t="inlineStr">
        <is>
          <t>Transaction type remittance; replace with the board-approved signing authority</t>
        </is>
      </c>
    </row>
    <row r="12">
      <c r="A12" s="9" t="inlineStr">
        <is>
          <t>AP-11</t>
        </is>
      </c>
      <c r="B12" s="9" t="inlineStr">
        <is>
          <t>Authority matrix</t>
        </is>
      </c>
      <c r="C12" s="9" t="inlineStr">
        <is>
          <t>Approval limit: Remittance settlement (PHP), per role or named user</t>
        </is>
      </c>
      <c r="D12" s="9" t="inlineStr">
        <is>
          <t>Master &gt; Generals &gt; User Management &gt; Authority Matrix</t>
        </is>
      </c>
      <c r="E12" s="9" t="inlineStr">
        <is>
          <t>Accounting 1,000,000.00; Accounting Manager no limit</t>
        </is>
      </c>
      <c r="F12" s="10" t="inlineStr"/>
      <c r="G12" s="9" t="inlineStr">
        <is>
          <t>Sponsor</t>
        </is>
      </c>
      <c r="H12" s="9" t="inlineStr">
        <is>
          <t>Configuration</t>
        </is>
      </c>
      <c r="I12" s="11" t="inlineStr"/>
      <c r="J12" s="9" t="inlineStr">
        <is>
          <t>Open</t>
        </is>
      </c>
      <c r="K12" s="9" t="inlineStr">
        <is>
          <t>Transaction type remittance_settlement; replace with the board-approved signing authority</t>
        </is>
      </c>
    </row>
    <row r="13">
      <c r="A13" s="9" t="inlineStr">
        <is>
          <t>AP-12</t>
        </is>
      </c>
      <c r="B13" s="9" t="inlineStr">
        <is>
          <t>Authority matrix</t>
        </is>
      </c>
      <c r="C13" s="9" t="inlineStr">
        <is>
          <t>Who approves a new or changed limit (second administrator)</t>
        </is>
      </c>
      <c r="D13" s="9" t="inlineStr">
        <is>
          <t>Master &gt; Generals &gt; User Management &gt; Authority Matrix</t>
        </is>
      </c>
      <c r="E13" s="9" t="inlineStr">
        <is>
          <t>Another administrator must approve</t>
        </is>
      </c>
      <c r="F13" s="10" t="inlineStr"/>
      <c r="G13" s="9" t="inlineStr">
        <is>
          <t>Sponsor</t>
        </is>
      </c>
      <c r="H13" s="9" t="inlineStr">
        <is>
          <t>Configuration</t>
        </is>
      </c>
      <c r="I13" s="11" t="inlineStr"/>
      <c r="J13" s="9" t="inlineStr">
        <is>
          <t>Open</t>
        </is>
      </c>
      <c r="K13" s="9" t="inlineStr"/>
    </row>
    <row r="14">
      <c r="A14" s="9" t="inlineStr">
        <is>
          <t>AP-13</t>
        </is>
      </c>
      <c r="B14" s="9" t="inlineStr">
        <is>
          <t>Maker-checker</t>
        </is>
      </c>
      <c r="C14" s="9" t="inlineStr">
        <is>
          <t>Quotation approval before sending to the client</t>
        </is>
      </c>
      <c r="D14" s="9" t="inlineStr">
        <is>
          <t>Master &gt; Configuration (Sales, Quotations &amp; Placement)</t>
        </is>
      </c>
      <c r="E14" s="9" t="inlineStr">
        <is>
          <t>On</t>
        </is>
      </c>
      <c r="F14" s="10" t="inlineStr"/>
      <c r="G14" s="9" t="inlineStr">
        <is>
          <t>Sales head</t>
        </is>
      </c>
      <c r="H14" s="9" t="inlineStr">
        <is>
          <t>Discovery</t>
        </is>
      </c>
      <c r="I14" s="11" t="inlineStr"/>
      <c r="J14" s="9" t="inlineStr">
        <is>
          <t>Open</t>
        </is>
      </c>
      <c r="K14" s="9" t="inlineStr">
        <is>
          <t>workflow.quote_maker_checker</t>
        </is>
      </c>
    </row>
    <row r="15">
      <c r="A15" s="9" t="inlineStr">
        <is>
          <t>AP-14</t>
        </is>
      </c>
      <c r="B15" s="9" t="inlineStr">
        <is>
          <t>Maker-checker</t>
        </is>
      </c>
      <c r="C15" s="9" t="inlineStr">
        <is>
          <t>Renewal approval</t>
        </is>
      </c>
      <c r="D15" s="9" t="inlineStr">
        <is>
          <t>Master &gt; Configuration (Policies, Endorsements &amp; Renewals)</t>
        </is>
      </c>
      <c r="E15" s="9" t="inlineStr">
        <is>
          <t>On</t>
        </is>
      </c>
      <c r="F15" s="10" t="inlineStr"/>
      <c r="G15" s="9" t="inlineStr">
        <is>
          <t>Operations head</t>
        </is>
      </c>
      <c r="H15" s="9" t="inlineStr">
        <is>
          <t>Discovery</t>
        </is>
      </c>
      <c r="I15" s="11" t="inlineStr"/>
      <c r="J15" s="9" t="inlineStr">
        <is>
          <t>Open</t>
        </is>
      </c>
      <c r="K15" s="9" t="inlineStr">
        <is>
          <t>renewals.maker_checker</t>
        </is>
      </c>
    </row>
    <row r="16">
      <c r="A16" s="9" t="inlineStr">
        <is>
          <t>AP-15</t>
        </is>
      </c>
      <c r="B16" s="9" t="inlineStr">
        <is>
          <t>Maker-checker</t>
        </is>
      </c>
      <c r="C16" s="9" t="inlineStr">
        <is>
          <t>Claim settlement approval; settle automatically on approval</t>
        </is>
      </c>
      <c r="D16" s="9" t="inlineStr">
        <is>
          <t>Master &gt; Configuration (Claims)</t>
        </is>
      </c>
      <c r="E16" s="9" t="inlineStr">
        <is>
          <t>On; on</t>
        </is>
      </c>
      <c r="F16" s="10" t="inlineStr"/>
      <c r="G16" s="9" t="inlineStr">
        <is>
          <t>Claims head</t>
        </is>
      </c>
      <c r="H16" s="9" t="inlineStr">
        <is>
          <t>Discovery</t>
        </is>
      </c>
      <c r="I16" s="11" t="inlineStr"/>
      <c r="J16" s="9" t="inlineStr">
        <is>
          <t>Open</t>
        </is>
      </c>
      <c r="K16" s="9" t="inlineStr">
        <is>
          <t>claims.settlement_maker_checker, claims.auto_settle_on_approval</t>
        </is>
      </c>
    </row>
    <row r="17">
      <c r="A17" s="9" t="inlineStr">
        <is>
          <t>AP-16</t>
        </is>
      </c>
      <c r="B17" s="9" t="inlineStr">
        <is>
          <t>Maker-checker</t>
        </is>
      </c>
      <c r="C17" s="9" t="inlineStr">
        <is>
          <t>Finance documents (payment vouchers, cheques, payouts, remittances, debit notes, petty cash)</t>
        </is>
      </c>
      <c r="D17" s="9" t="inlineStr">
        <is>
          <t>Master &gt; Configuration (Accounting &amp; Tax)</t>
        </is>
      </c>
      <c r="E17" s="9" t="inlineStr">
        <is>
          <t>On</t>
        </is>
      </c>
      <c r="F17" s="10" t="inlineStr"/>
      <c r="G17" s="9" t="inlineStr">
        <is>
          <t>Accounting Manager</t>
        </is>
      </c>
      <c r="H17" s="9" t="inlineStr">
        <is>
          <t>Discovery</t>
        </is>
      </c>
      <c r="I17" s="11" t="inlineStr"/>
      <c r="J17" s="9" t="inlineStr">
        <is>
          <t>Open</t>
        </is>
      </c>
      <c r="K17" s="9" t="inlineStr">
        <is>
          <t>finance.maker_checker_enabled</t>
        </is>
      </c>
    </row>
    <row r="18">
      <c r="A18" s="9" t="inlineStr">
        <is>
          <t>AP-17</t>
        </is>
      </c>
      <c r="B18" s="9" t="inlineStr">
        <is>
          <t>Maker-checker</t>
        </is>
      </c>
      <c r="C18" s="9" t="inlineStr">
        <is>
          <t>Journal voucher approval</t>
        </is>
      </c>
      <c r="D18" s="9" t="inlineStr">
        <is>
          <t>Master &gt; Configuration (Accounting &amp; Tax)</t>
        </is>
      </c>
      <c r="E18" s="9" t="inlineStr">
        <is>
          <t>On</t>
        </is>
      </c>
      <c r="F18" s="10" t="inlineStr"/>
      <c r="G18" s="9" t="inlineStr">
        <is>
          <t>Accounting Manager</t>
        </is>
      </c>
      <c r="H18" s="9" t="inlineStr">
        <is>
          <t>Discovery</t>
        </is>
      </c>
      <c r="I18" s="11" t="inlineStr"/>
      <c r="J18" s="9" t="inlineStr">
        <is>
          <t>Open</t>
        </is>
      </c>
      <c r="K18" s="9" t="inlineStr">
        <is>
          <t>journal.require_approval</t>
        </is>
      </c>
    </row>
    <row r="19">
      <c r="A19" s="9" t="inlineStr">
        <is>
          <t>AP-18</t>
        </is>
      </c>
      <c r="B19" s="9" t="inlineStr">
        <is>
          <t>Maker-checker</t>
        </is>
      </c>
      <c r="C19" s="9" t="inlineStr">
        <is>
          <t>Period close approval</t>
        </is>
      </c>
      <c r="D19" s="9" t="inlineStr">
        <is>
          <t>Master &gt; Configuration (Accounting &amp; Tax)</t>
        </is>
      </c>
      <c r="E19" s="9" t="inlineStr">
        <is>
          <t>On</t>
        </is>
      </c>
      <c r="F19" s="10" t="inlineStr"/>
      <c r="G19" s="9" t="inlineStr">
        <is>
          <t>Accounting Manager</t>
        </is>
      </c>
      <c r="H19" s="9" t="inlineStr">
        <is>
          <t>Discovery</t>
        </is>
      </c>
      <c r="I19" s="11" t="inlineStr"/>
      <c r="J19" s="9" t="inlineStr">
        <is>
          <t>Open</t>
        </is>
      </c>
      <c r="K19" s="9" t="inlineStr">
        <is>
          <t>accounting.period_close_requires_approval</t>
        </is>
      </c>
    </row>
    <row r="20">
      <c r="A20" s="9" t="inlineStr">
        <is>
          <t>AP-19</t>
        </is>
      </c>
      <c r="B20" s="9" t="inlineStr">
        <is>
          <t>Maker-checker</t>
        </is>
      </c>
      <c r="C20" s="9" t="inlineStr">
        <is>
          <t>Reinsurance treaty approval</t>
        </is>
      </c>
      <c r="D20" s="9" t="inlineStr">
        <is>
          <t>Master &gt; Configuration (Remittance &amp; Reconciliation)</t>
        </is>
      </c>
      <c r="E20" s="9" t="inlineStr">
        <is>
          <t>On</t>
        </is>
      </c>
      <c r="F20" s="10" t="inlineStr"/>
      <c r="G20" s="9" t="inlineStr">
        <is>
          <t>Processing Team lead</t>
        </is>
      </c>
      <c r="H20" s="9" t="inlineStr">
        <is>
          <t>Discovery</t>
        </is>
      </c>
      <c r="I20" s="11" t="inlineStr"/>
      <c r="J20" s="9" t="inlineStr">
        <is>
          <t>Open</t>
        </is>
      </c>
      <c r="K20" s="9" t="inlineStr">
        <is>
          <t>reinsurance.treaty_requires_approval</t>
        </is>
      </c>
    </row>
    <row r="21">
      <c r="A21" s="9" t="inlineStr">
        <is>
          <t>AP-20</t>
        </is>
      </c>
      <c r="B21" s="9" t="inlineStr">
        <is>
          <t>Maker-checker</t>
        </is>
      </c>
      <c r="C21" s="9" t="inlineStr">
        <is>
          <t>Posting rule and account determination changes</t>
        </is>
      </c>
      <c r="D21" s="9" t="inlineStr">
        <is>
          <t>Master &gt; Finance &gt; Configuration Approvals</t>
        </is>
      </c>
      <c r="E21" s="9" t="inlineStr">
        <is>
          <t>Second approver required</t>
        </is>
      </c>
      <c r="F21" s="10" t="inlineStr"/>
      <c r="G21" s="9" t="inlineStr">
        <is>
          <t>Accounting Manager</t>
        </is>
      </c>
      <c r="H21" s="9" t="inlineStr">
        <is>
          <t>Discovery</t>
        </is>
      </c>
      <c r="I21" s="11" t="inlineStr"/>
      <c r="J21" s="9" t="inlineStr">
        <is>
          <t>Open</t>
        </is>
      </c>
      <c r="K21" s="9" t="inlineStr"/>
    </row>
    <row r="22">
      <c r="A22" s="9" t="inlineStr">
        <is>
          <t>AP-21</t>
        </is>
      </c>
      <c r="B22" s="9" t="inlineStr">
        <is>
          <t>Remittance</t>
        </is>
      </c>
      <c r="C22" s="9" t="inlineStr">
        <is>
          <t>Remittance approval levels by amount</t>
        </is>
      </c>
      <c r="D22" s="9" t="inlineStr">
        <is>
          <t>Accounts &gt; Remittance &gt; Approval Workflow</t>
        </is>
      </c>
      <c r="E22" s="9" t="inlineStr">
        <is>
          <t>Delivered levels</t>
        </is>
      </c>
      <c r="F22" s="10" t="inlineStr"/>
      <c r="G22" s="9" t="inlineStr">
        <is>
          <t>Accounting Manager</t>
        </is>
      </c>
      <c r="H22" s="9" t="inlineStr">
        <is>
          <t>Discovery</t>
        </is>
      </c>
      <c r="I22" s="11" t="inlineStr"/>
      <c r="J22" s="9" t="inlineStr">
        <is>
          <t>Open</t>
        </is>
      </c>
      <c r="K22" s="9" t="inlineStr">
        <is>
          <t>Confirm levels at the workshop</t>
        </is>
      </c>
    </row>
    <row r="23">
      <c r="A23" s="9" t="inlineStr">
        <is>
          <t>AP-22</t>
        </is>
      </c>
      <c r="B23" s="9" t="inlineStr">
        <is>
          <t>Credit control</t>
        </is>
      </c>
      <c r="C23" s="9" t="inlineStr">
        <is>
          <t>Client credit limits; instalment plan rules</t>
        </is>
      </c>
      <c r="D23" s="9" t="inlineStr">
        <is>
          <t>Accounts &gt; Credit Control &gt; Client Credit Limits; Instalment Plans</t>
        </is>
      </c>
      <c r="E23" s="9" t="inlineStr">
        <is>
          <t>None</t>
        </is>
      </c>
      <c r="F23" s="10" t="inlineStr"/>
      <c r="G23" s="9" t="inlineStr">
        <is>
          <t>Accounting Manager</t>
        </is>
      </c>
      <c r="H23" s="9" t="inlineStr">
        <is>
          <t>Configuration</t>
        </is>
      </c>
      <c r="I23" s="11" t="inlineStr"/>
      <c r="J23" s="9" t="inlineStr">
        <is>
          <t>Open</t>
        </is>
      </c>
      <c r="K23" s="9" t="inlineStr"/>
    </row>
    <row r="24">
      <c r="A24" s="9" t="inlineStr">
        <is>
          <t>AP-23</t>
        </is>
      </c>
      <c r="B24" s="9" t="inlineStr">
        <is>
          <t>Notifications</t>
        </is>
      </c>
      <c r="C24" s="9" t="inlineStr">
        <is>
          <t>Approval request notifications to approvers and decision notices to makers</t>
        </is>
      </c>
      <c r="D24" s="9" t="inlineStr">
        <is>
          <t>Master &gt; Configuration (Notifications &amp; E-mail)</t>
        </is>
      </c>
      <c r="E24" s="9" t="inlineStr">
        <is>
          <t>On</t>
        </is>
      </c>
      <c r="F24" s="10" t="inlineStr"/>
      <c r="G24" s="9" t="inlineStr">
        <is>
          <t>System Administrator</t>
        </is>
      </c>
      <c r="H24" s="9" t="inlineStr">
        <is>
          <t>Configuration</t>
        </is>
      </c>
      <c r="I24" s="11" t="inlineStr"/>
      <c r="J24" s="9" t="inlineStr">
        <is>
          <t>Open</t>
        </is>
      </c>
      <c r="K24" s="9" t="inlineStr">
        <is>
          <t>notification.approval_requests</t>
        </is>
      </c>
    </row>
  </sheetData>
  <autoFilter ref="A1:K24"/>
  <conditionalFormatting sqref="A2:K24">
    <cfRule type="expression" priority="1" dxfId="0">
      <formula>$J2="Configured"</formula>
    </cfRule>
    <cfRule type="expression" priority="2" dxfId="1">
      <formula>$J2="Gap (CR)"</formula>
    </cfRule>
  </conditionalFormatting>
  <dataValidations count="2">
    <dataValidation sqref="J2:J24" showDropDown="0" showInputMessage="0" showErrorMessage="0" allowBlank="1" type="list">
      <formula1>"Open,Answered,Confirmed,Configured,Not applicable,Gap (CR)"</formula1>
    </dataValidation>
    <dataValidation sqref="I2:I24"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K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EM-01</t>
        </is>
      </c>
      <c r="B2" s="9" t="inlineStr">
        <is>
          <t>Sending</t>
        </is>
      </c>
      <c r="C2" s="9" t="inlineStr">
        <is>
          <t>Switch e-mail sending on (after the SMTP test)</t>
        </is>
      </c>
      <c r="D2" s="9" t="inlineStr">
        <is>
          <t>Master &gt; Configuration (Notifications &amp; E-mail)</t>
        </is>
      </c>
      <c r="E2" s="9" t="inlineStr">
        <is>
          <t>Off</t>
        </is>
      </c>
      <c r="F2" s="10" t="inlineStr"/>
      <c r="G2" s="9" t="inlineStr">
        <is>
          <t>System Administrator</t>
        </is>
      </c>
      <c r="H2" s="9" t="inlineStr">
        <is>
          <t>UAT</t>
        </is>
      </c>
      <c r="I2" s="11" t="inlineStr"/>
      <c r="J2" s="9" t="inlineStr">
        <is>
          <t>Open</t>
        </is>
      </c>
      <c r="K2" s="9" t="inlineStr">
        <is>
          <t>notification.email_enabled</t>
        </is>
      </c>
    </row>
    <row r="3">
      <c r="A3" s="9" t="inlineStr">
        <is>
          <t>EM-02</t>
        </is>
      </c>
      <c r="B3" s="9" t="inlineStr">
        <is>
          <t>Sending</t>
        </is>
      </c>
      <c r="C3" s="9" t="inlineStr">
        <is>
          <t>Sender name and address</t>
        </is>
      </c>
      <c r="D3" s="9" t="inlineStr">
        <is>
          <t>Master &gt; Configuration (Notifications &amp; E-mail)</t>
        </is>
      </c>
      <c r="E3" s="9" t="inlineStr">
        <is>
          <t>BrokerVerse &lt;connect@iortatechnxt.com&gt;: replace</t>
        </is>
      </c>
      <c r="F3" s="10" t="inlineStr"/>
      <c r="G3" s="9" t="inlineStr">
        <is>
          <t>System Administrator</t>
        </is>
      </c>
      <c r="H3" s="9" t="inlineStr">
        <is>
          <t>Configuration</t>
        </is>
      </c>
      <c r="I3" s="11" t="inlineStr"/>
      <c r="J3" s="9" t="inlineStr">
        <is>
          <t>Open</t>
        </is>
      </c>
      <c r="K3" s="9" t="inlineStr">
        <is>
          <t>notification.from_address</t>
        </is>
      </c>
    </row>
    <row r="4">
      <c r="A4" s="9" t="inlineStr">
        <is>
          <t>EM-03</t>
        </is>
      </c>
      <c r="B4" s="9" t="inlineStr">
        <is>
          <t>Sending</t>
        </is>
      </c>
      <c r="C4" s="9" t="inlineStr">
        <is>
          <t>Largest total attachment size per e-mail</t>
        </is>
      </c>
      <c r="D4" s="9" t="inlineStr">
        <is>
          <t>Master &gt; Configuration (Notifications &amp; E-mail)</t>
        </is>
      </c>
      <c r="E4" s="9" t="inlineStr">
        <is>
          <t>10 MB</t>
        </is>
      </c>
      <c r="F4" s="10" t="inlineStr"/>
      <c r="G4" s="9" t="inlineStr">
        <is>
          <t>System Administrator</t>
        </is>
      </c>
      <c r="H4" s="9" t="inlineStr">
        <is>
          <t>Configuration</t>
        </is>
      </c>
      <c r="I4" s="11" t="inlineStr"/>
      <c r="J4" s="9" t="inlineStr">
        <is>
          <t>Open</t>
        </is>
      </c>
      <c r="K4" s="9" t="inlineStr">
        <is>
          <t>email.max_attachment_mb</t>
        </is>
      </c>
    </row>
    <row r="5">
      <c r="A5" s="9" t="inlineStr">
        <is>
          <t>EM-04</t>
        </is>
      </c>
      <c r="B5" s="9" t="inlineStr">
        <is>
          <t>Clients</t>
        </is>
      </c>
      <c r="C5" s="9" t="inlineStr">
        <is>
          <t>E-mail the official receipt PDF automatically when recorded; subject and text</t>
        </is>
      </c>
      <c r="D5" s="9" t="inlineStr">
        <is>
          <t>Master &gt; Configuration (Billing, Collections &amp; Credit)</t>
        </is>
      </c>
      <c r="E5" s="9" t="inlineStr">
        <is>
          <t>Off; delivered text</t>
        </is>
      </c>
      <c r="F5" s="10" t="inlineStr"/>
      <c r="G5" s="9" t="inlineStr">
        <is>
          <t>Accounting Manager</t>
        </is>
      </c>
      <c r="H5" s="9" t="inlineStr">
        <is>
          <t>Configuration</t>
        </is>
      </c>
      <c r="I5" s="11" t="inlineStr"/>
      <c r="J5" s="9" t="inlineStr">
        <is>
          <t>Open</t>
        </is>
      </c>
      <c r="K5" s="9" t="inlineStr">
        <is>
          <t>receipts.email_on_record, receipts.email_subject, receipts.email_template</t>
        </is>
      </c>
    </row>
    <row r="6">
      <c r="A6" s="9" t="inlineStr">
        <is>
          <t>EM-05</t>
        </is>
      </c>
      <c r="B6" s="9" t="inlineStr">
        <is>
          <t>Clients</t>
        </is>
      </c>
      <c r="C6" s="9" t="inlineStr">
        <is>
          <t>E-mail the premium invoice PDF automatically when issued; subject, text, payment instructions</t>
        </is>
      </c>
      <c r="D6" s="9" t="inlineStr">
        <is>
          <t>Master &gt; Configuration (Billing, Collections &amp; Credit)</t>
        </is>
      </c>
      <c r="E6" s="9" t="inlineStr">
        <is>
          <t>Off; delivered text</t>
        </is>
      </c>
      <c r="F6" s="10" t="inlineStr"/>
      <c r="G6" s="9" t="inlineStr">
        <is>
          <t>Accounting Manager</t>
        </is>
      </c>
      <c r="H6" s="9" t="inlineStr">
        <is>
          <t>Configuration</t>
        </is>
      </c>
      <c r="I6" s="11" t="inlineStr"/>
      <c r="J6" s="9" t="inlineStr">
        <is>
          <t>Open</t>
        </is>
      </c>
      <c r="K6" s="9" t="inlineStr">
        <is>
          <t>billing.email_on_issue, billing.email_*, billing.payment_instructions</t>
        </is>
      </c>
    </row>
    <row r="7">
      <c r="A7" s="9" t="inlineStr">
        <is>
          <t>EM-06</t>
        </is>
      </c>
      <c r="B7" s="9" t="inlineStr">
        <is>
          <t>Clients</t>
        </is>
      </c>
      <c r="C7" s="9" t="inlineStr">
        <is>
          <t>Premium payment reminder: subject and text</t>
        </is>
      </c>
      <c r="D7" s="9" t="inlineStr">
        <is>
          <t>Master &gt; Configuration (Billing, Collections &amp; Credit)</t>
        </is>
      </c>
      <c r="E7" s="9" t="inlineStr">
        <is>
          <t>Delivered text</t>
        </is>
      </c>
      <c r="F7" s="10" t="inlineStr"/>
      <c r="G7" s="9" t="inlineStr">
        <is>
          <t>Accounting Manager</t>
        </is>
      </c>
      <c r="H7" s="9" t="inlineStr">
        <is>
          <t>Configuration</t>
        </is>
      </c>
      <c r="I7" s="11" t="inlineStr"/>
      <c r="J7" s="9" t="inlineStr">
        <is>
          <t>Open</t>
        </is>
      </c>
      <c r="K7" s="9" t="inlineStr">
        <is>
          <t>collections.email_subject, collections.email_template</t>
        </is>
      </c>
    </row>
    <row r="8">
      <c r="A8" s="9" t="inlineStr">
        <is>
          <t>EM-07</t>
        </is>
      </c>
      <c r="B8" s="9" t="inlineStr">
        <is>
          <t>Clients</t>
        </is>
      </c>
      <c r="C8" s="9" t="inlineStr">
        <is>
          <t>Renewal notices: labels, subject and text; order enforced</t>
        </is>
      </c>
      <c r="D8" s="9" t="inlineStr">
        <is>
          <t>Master &gt; Configuration (Policies, Endorsements &amp; Renewals)</t>
        </is>
      </c>
      <c r="E8" s="9" t="inlineStr">
        <is>
          <t>First, Second, Final Notice; delivered text; order on</t>
        </is>
      </c>
      <c r="F8" s="10" t="inlineStr"/>
      <c r="G8" s="9" t="inlineStr">
        <is>
          <t>Operations head</t>
        </is>
      </c>
      <c r="H8" s="9" t="inlineStr">
        <is>
          <t>Configuration</t>
        </is>
      </c>
      <c r="I8" s="11" t="inlineStr"/>
      <c r="J8" s="9" t="inlineStr">
        <is>
          <t>Open</t>
        </is>
      </c>
      <c r="K8" s="9" t="inlineStr">
        <is>
          <t>renewals.notice_*</t>
        </is>
      </c>
    </row>
    <row r="9">
      <c r="A9" s="9" t="inlineStr">
        <is>
          <t>EM-08</t>
        </is>
      </c>
      <c r="B9" s="9" t="inlineStr">
        <is>
          <t>Clients</t>
        </is>
      </c>
      <c r="C9" s="9" t="inlineStr">
        <is>
          <t>Claim status updates and renewal reminders on or off</t>
        </is>
      </c>
      <c r="D9" s="9" t="inlineStr">
        <is>
          <t>Master &gt; Configuration (Notifications &amp; E-mail)</t>
        </is>
      </c>
      <c r="E9" s="9" t="inlineStr">
        <is>
          <t>On; on</t>
        </is>
      </c>
      <c r="F9" s="10" t="inlineStr"/>
      <c r="G9" s="9" t="inlineStr">
        <is>
          <t>Operations head</t>
        </is>
      </c>
      <c r="H9" s="9" t="inlineStr">
        <is>
          <t>Configuration</t>
        </is>
      </c>
      <c r="I9" s="11" t="inlineStr"/>
      <c r="J9" s="9" t="inlineStr">
        <is>
          <t>Open</t>
        </is>
      </c>
      <c r="K9" s="9" t="inlineStr">
        <is>
          <t>notification.claim_status, notification.renewal_reminder</t>
        </is>
      </c>
    </row>
    <row r="10">
      <c r="A10" s="9" t="inlineStr">
        <is>
          <t>EM-09</t>
        </is>
      </c>
      <c r="B10" s="9" t="inlineStr">
        <is>
          <t>Insurers</t>
        </is>
      </c>
      <c r="C10" s="9" t="inlineStr">
        <is>
          <t>Preliminary loss advice: subject and text</t>
        </is>
      </c>
      <c r="D10" s="9" t="inlineStr">
        <is>
          <t>Master &gt; Configuration (Claims)</t>
        </is>
      </c>
      <c r="E10" s="9" t="inlineStr">
        <is>
          <t>Delivered text</t>
        </is>
      </c>
      <c r="F10" s="10" t="inlineStr"/>
      <c r="G10" s="9" t="inlineStr">
        <is>
          <t>Claims head</t>
        </is>
      </c>
      <c r="H10" s="9" t="inlineStr">
        <is>
          <t>Configuration</t>
        </is>
      </c>
      <c r="I10" s="11" t="inlineStr"/>
      <c r="J10" s="9" t="inlineStr">
        <is>
          <t>Open</t>
        </is>
      </c>
      <c r="K10" s="9" t="inlineStr">
        <is>
          <t>claims.pla_subject, claims.pla_template</t>
        </is>
      </c>
    </row>
    <row r="11">
      <c r="A11" s="9" t="inlineStr">
        <is>
          <t>EM-10</t>
        </is>
      </c>
      <c r="B11" s="9" t="inlineStr">
        <is>
          <t>Insurers</t>
        </is>
      </c>
      <c r="C11" s="9" t="inlineStr">
        <is>
          <t>Commission debit note e-mail</t>
        </is>
      </c>
      <c r="D11" s="9" t="inlineStr">
        <is>
          <t>Master &gt; Configuration (Billing, Collections &amp; Credit)</t>
        </is>
      </c>
      <c r="E11" s="9" t="inlineStr">
        <is>
          <t>Delivered text</t>
        </is>
      </c>
      <c r="F11" s="10" t="inlineStr"/>
      <c r="G11" s="9" t="inlineStr">
        <is>
          <t>Accounting Manager</t>
        </is>
      </c>
      <c r="H11" s="9" t="inlineStr">
        <is>
          <t>Configuration</t>
        </is>
      </c>
      <c r="I11" s="11" t="inlineStr"/>
      <c r="J11" s="9" t="inlineStr">
        <is>
          <t>Open</t>
        </is>
      </c>
      <c r="K11" s="9" t="inlineStr">
        <is>
          <t>direct_bill.email_subject, direct_bill.email_body</t>
        </is>
      </c>
    </row>
    <row r="12">
      <c r="A12" s="9" t="inlineStr">
        <is>
          <t>EM-11</t>
        </is>
      </c>
      <c r="B12" s="9" t="inlineStr">
        <is>
          <t>Insurers</t>
        </is>
      </c>
      <c r="C12" s="9" t="inlineStr">
        <is>
          <t>Remittance statement and agency bill e-mails</t>
        </is>
      </c>
      <c r="D12" s="9" t="inlineStr">
        <is>
          <t>Master &gt; Configuration (Remittance &amp; Reconciliation)</t>
        </is>
      </c>
      <c r="E12" s="9" t="inlineStr">
        <is>
          <t>Delivered text</t>
        </is>
      </c>
      <c r="F12" s="10" t="inlineStr"/>
      <c r="G12" s="9" t="inlineStr">
        <is>
          <t>Accounting Manager</t>
        </is>
      </c>
      <c r="H12" s="9" t="inlineStr">
        <is>
          <t>Configuration</t>
        </is>
      </c>
      <c r="I12" s="11" t="inlineStr"/>
      <c r="J12" s="9" t="inlineStr">
        <is>
          <t>Open</t>
        </is>
      </c>
      <c r="K12" s="9" t="inlineStr">
        <is>
          <t>remittance.statement_email_*, remittance.bill_email_*</t>
        </is>
      </c>
    </row>
    <row r="13">
      <c r="A13" s="9" t="inlineStr">
        <is>
          <t>EM-12</t>
        </is>
      </c>
      <c r="B13" s="9" t="inlineStr">
        <is>
          <t>Users</t>
        </is>
      </c>
      <c r="C13" s="9" t="inlineStr">
        <is>
          <t>Password reset e-mail</t>
        </is>
      </c>
      <c r="D13" s="9" t="inlineStr">
        <is>
          <t>Master &gt; Configuration (Security &amp; Access)</t>
        </is>
      </c>
      <c r="E13" s="9" t="inlineStr">
        <is>
          <t>Delivered text; code valid 15 minutes</t>
        </is>
      </c>
      <c r="F13" s="10" t="inlineStr"/>
      <c r="G13" s="9" t="inlineStr">
        <is>
          <t>IT head</t>
        </is>
      </c>
      <c r="H13" s="9" t="inlineStr">
        <is>
          <t>Configuration</t>
        </is>
      </c>
      <c r="I13" s="11" t="inlineStr"/>
      <c r="J13" s="9" t="inlineStr">
        <is>
          <t>Open</t>
        </is>
      </c>
      <c r="K13" s="9" t="inlineStr">
        <is>
          <t>security.reset_email_*, security.reset_code_minutes</t>
        </is>
      </c>
    </row>
    <row r="14">
      <c r="A14" s="9" t="inlineStr">
        <is>
          <t>EM-13</t>
        </is>
      </c>
      <c r="B14" s="9" t="inlineStr">
        <is>
          <t>Documents</t>
        </is>
      </c>
      <c r="C14" s="9" t="inlineStr">
        <is>
          <t>Claim letters: acknowledgement, discharge voucher, data sheet</t>
        </is>
      </c>
      <c r="D14" s="9" t="inlineStr">
        <is>
          <t>Master &gt; Configuration (Claims)</t>
        </is>
      </c>
      <c r="E14" s="9" t="inlineStr">
        <is>
          <t>Delivered wording</t>
        </is>
      </c>
      <c r="F14" s="10" t="inlineStr"/>
      <c r="G14" s="9" t="inlineStr">
        <is>
          <t>Claims head</t>
        </is>
      </c>
      <c r="H14" s="9" t="inlineStr">
        <is>
          <t>Configuration</t>
        </is>
      </c>
      <c r="I14" s="11" t="inlineStr"/>
      <c r="J14" s="9" t="inlineStr">
        <is>
          <t>Open</t>
        </is>
      </c>
      <c r="K14" s="9" t="inlineStr">
        <is>
          <t>claims.documents</t>
        </is>
      </c>
    </row>
    <row r="15">
      <c r="A15" s="9" t="inlineStr">
        <is>
          <t>EM-14</t>
        </is>
      </c>
      <c r="B15" s="9" t="inlineStr">
        <is>
          <t>Documents</t>
        </is>
      </c>
      <c r="C15" s="9" t="inlineStr">
        <is>
          <t>Footer on official receipts (BIR permit or ATP details)</t>
        </is>
      </c>
      <c r="D15" s="9" t="inlineStr">
        <is>
          <t>Master &gt; Configuration (Billing, Collections &amp; Credit)</t>
        </is>
      </c>
      <c r="E15" s="9" t="inlineStr">
        <is>
          <t>Empty</t>
        </is>
      </c>
      <c r="F15" s="10" t="inlineStr"/>
      <c r="G15" s="9" t="inlineStr">
        <is>
          <t>Accounting Manager</t>
        </is>
      </c>
      <c r="H15" s="9" t="inlineStr">
        <is>
          <t>Configuration</t>
        </is>
      </c>
      <c r="I15" s="11" t="inlineStr"/>
      <c r="J15" s="9" t="inlineStr">
        <is>
          <t>Open</t>
        </is>
      </c>
      <c r="K15" s="9" t="inlineStr">
        <is>
          <t>documents.receipt_footer</t>
        </is>
      </c>
    </row>
    <row r="16">
      <c r="A16" s="9" t="inlineStr">
        <is>
          <t>EM-15</t>
        </is>
      </c>
      <c r="B16" s="9" t="inlineStr">
        <is>
          <t>Documents</t>
        </is>
      </c>
      <c r="C16" s="9" t="inlineStr">
        <is>
          <t>Payment instructions on billing statements</t>
        </is>
      </c>
      <c r="D16" s="9" t="inlineStr">
        <is>
          <t>Master &gt; Configuration (Billing, Collections &amp; Credit)</t>
        </is>
      </c>
      <c r="E16" s="9" t="inlineStr">
        <is>
          <t>Delivered text</t>
        </is>
      </c>
      <c r="F16" s="10" t="inlineStr"/>
      <c r="G16" s="9" t="inlineStr">
        <is>
          <t>Accounting Manager</t>
        </is>
      </c>
      <c r="H16" s="9" t="inlineStr">
        <is>
          <t>Configuration</t>
        </is>
      </c>
      <c r="I16" s="11" t="inlineStr"/>
      <c r="J16" s="9" t="inlineStr">
        <is>
          <t>Open</t>
        </is>
      </c>
      <c r="K16" s="9" t="inlineStr">
        <is>
          <t>documents.payment_instructions</t>
        </is>
      </c>
    </row>
    <row r="17">
      <c r="A17" s="9" t="inlineStr">
        <is>
          <t>EM-16</t>
        </is>
      </c>
      <c r="B17" s="9" t="inlineStr">
        <is>
          <t>Documents</t>
        </is>
      </c>
      <c r="C17" s="9" t="inlineStr">
        <is>
          <t>Disclaimer on the insurer comparison given to the client</t>
        </is>
      </c>
      <c r="D17" s="9" t="inlineStr">
        <is>
          <t>Master &gt; Configuration (Sales, Quotations &amp; Placement)</t>
        </is>
      </c>
      <c r="E17" s="9" t="inlineStr">
        <is>
          <t>Delivered disclaimer</t>
        </is>
      </c>
      <c r="F17" s="10" t="inlineStr"/>
      <c r="G17" s="9" t="inlineStr">
        <is>
          <t>Compliance officer</t>
        </is>
      </c>
      <c r="H17" s="9" t="inlineStr">
        <is>
          <t>Configuration</t>
        </is>
      </c>
      <c r="I17" s="11" t="inlineStr"/>
      <c r="J17" s="9" t="inlineStr">
        <is>
          <t>Open</t>
        </is>
      </c>
      <c r="K17" s="9" t="inlineStr">
        <is>
          <t>packages.comparison_disclaimer</t>
        </is>
      </c>
    </row>
    <row r="18">
      <c r="A18" s="9" t="inlineStr">
        <is>
          <t>EM-17</t>
        </is>
      </c>
      <c r="B18" s="9" t="inlineStr">
        <is>
          <t>Documents</t>
        </is>
      </c>
      <c r="C18" s="9" t="inlineStr">
        <is>
          <t>Note on acknowledgement receipts</t>
        </is>
      </c>
      <c r="D18" s="9" t="inlineStr">
        <is>
          <t>Master &gt; Configuration (Billing, Collections &amp; Credit)</t>
        </is>
      </c>
      <c r="E18" s="9" t="inlineStr">
        <is>
          <t>"This acknowledgement receipt is not an official receipt..."</t>
        </is>
      </c>
      <c r="F18" s="10" t="inlineStr"/>
      <c r="G18" s="9" t="inlineStr">
        <is>
          <t>Accounting Manager</t>
        </is>
      </c>
      <c r="H18" s="9" t="inlineStr">
        <is>
          <t>Configuration</t>
        </is>
      </c>
      <c r="I18" s="11" t="inlineStr"/>
      <c r="J18" s="9" t="inlineStr">
        <is>
          <t>Open</t>
        </is>
      </c>
      <c r="K18" s="9" t="inlineStr">
        <is>
          <t>documents.acknowledgement_receipt_note</t>
        </is>
      </c>
    </row>
    <row r="19">
      <c r="A19" s="9" t="inlineStr">
        <is>
          <t>EM-18</t>
        </is>
      </c>
      <c r="B19" s="9" t="inlineStr">
        <is>
          <t>Privacy</t>
        </is>
      </c>
      <c r="C19" s="9" t="inlineStr">
        <is>
          <t>Privacy notice version recorded with consents</t>
        </is>
      </c>
      <c r="D19" s="9" t="inlineStr">
        <is>
          <t>Master &gt; Configuration (Data Retention, Privacy &amp; Uploads)</t>
        </is>
      </c>
      <c r="E19" s="9" t="inlineStr">
        <is>
          <t>1.0</t>
        </is>
      </c>
      <c r="F19" s="10" t="inlineStr"/>
      <c r="G19" s="9" t="inlineStr">
        <is>
          <t>DPO</t>
        </is>
      </c>
      <c r="H19" s="9" t="inlineStr">
        <is>
          <t>Configuration</t>
        </is>
      </c>
      <c r="I19" s="11" t="inlineStr"/>
      <c r="J19" s="9" t="inlineStr">
        <is>
          <t>Open</t>
        </is>
      </c>
      <c r="K19" s="9" t="inlineStr">
        <is>
          <t>privacy.notice_version</t>
        </is>
      </c>
    </row>
  </sheetData>
  <autoFilter ref="A1:K19"/>
  <conditionalFormatting sqref="A2:K19">
    <cfRule type="expression" priority="1" dxfId="0">
      <formula>$J2="Configured"</formula>
    </cfRule>
    <cfRule type="expression" priority="2" dxfId="1">
      <formula>$J2="Gap (CR)"</formula>
    </cfRule>
  </conditionalFormatting>
  <dataValidations count="2">
    <dataValidation sqref="J2:J19" showDropDown="0" showInputMessage="0" showErrorMessage="0" allowBlank="1" type="list">
      <formula1>"Open,Answered,Confirmed,Configured,Not applicable,Gap (CR)"</formula1>
    </dataValidation>
    <dataValidation sqref="I2:I19"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K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TX-01</t>
        </is>
      </c>
      <c r="B2" s="9" t="inlineStr">
        <is>
          <t>Premium taxes</t>
        </is>
      </c>
      <c r="C2" s="9" t="inlineStr">
        <is>
          <t>DST on premium: method (12.5% or PHP 0.50 per PHP 4.00 unit, fraction rounded up) as each insurer applies it</t>
        </is>
      </c>
      <c r="D2" s="9" t="inlineStr">
        <is>
          <t>Master &gt; Finance &gt; Premium Taxes &amp; LGU Rates</t>
        </is>
      </c>
      <c r="E2" s="9" t="inlineStr">
        <is>
          <t>Per unit, PHP 0.50 per PHP 4.00 (12.5%)</t>
        </is>
      </c>
      <c r="F2" s="10" t="inlineStr"/>
      <c r="G2" s="9" t="inlineStr">
        <is>
          <t>Accounting Manager</t>
        </is>
      </c>
      <c r="H2" s="9" t="inlineStr">
        <is>
          <t>Discovery</t>
        </is>
      </c>
      <c r="I2" s="11" t="inlineStr"/>
      <c r="J2" s="9" t="inlineStr">
        <is>
          <t>Open</t>
        </is>
      </c>
      <c r="K2" s="9" t="inlineStr">
        <is>
          <t>Rule DST</t>
        </is>
      </c>
    </row>
    <row r="3">
      <c r="A3" s="9" t="inlineStr">
        <is>
          <t>TX-02</t>
        </is>
      </c>
      <c r="B3" s="9" t="inlineStr">
        <is>
          <t>Premium taxes</t>
        </is>
      </c>
      <c r="C3" s="9" t="inlineStr">
        <is>
          <t>VAT on premium for products under the VAT regime</t>
        </is>
      </c>
      <c r="D3" s="9" t="inlineStr">
        <is>
          <t>Master &gt; Finance &gt; Premium Taxes &amp; LGU Rates</t>
        </is>
      </c>
      <c r="E3" s="9" t="inlineStr">
        <is>
          <t>12%</t>
        </is>
      </c>
      <c r="F3" s="10" t="inlineStr"/>
      <c r="G3" s="9" t="inlineStr">
        <is>
          <t>Accounting Manager</t>
        </is>
      </c>
      <c r="H3" s="9" t="inlineStr">
        <is>
          <t>Discovery</t>
        </is>
      </c>
      <c r="I3" s="11" t="inlineStr"/>
      <c r="J3" s="9" t="inlineStr">
        <is>
          <t>Open</t>
        </is>
      </c>
      <c r="K3" s="9" t="inlineStr">
        <is>
          <t>Rule VAT</t>
        </is>
      </c>
    </row>
    <row r="4">
      <c r="A4" s="9" t="inlineStr">
        <is>
          <t>TX-03</t>
        </is>
      </c>
      <c r="B4" s="9" t="inlineStr">
        <is>
          <t>Premium taxes</t>
        </is>
      </c>
      <c r="C4" s="9" t="inlineStr">
        <is>
          <t>Premium tax for products under the premium tax regime</t>
        </is>
      </c>
      <c r="D4" s="9" t="inlineStr">
        <is>
          <t>Master &gt; Finance &gt; Premium Taxes &amp; LGU Rates</t>
        </is>
      </c>
      <c r="E4" s="9" t="inlineStr">
        <is>
          <t>2%</t>
        </is>
      </c>
      <c r="F4" s="10" t="inlineStr"/>
      <c r="G4" s="9" t="inlineStr">
        <is>
          <t>Accounting Manager</t>
        </is>
      </c>
      <c r="H4" s="9" t="inlineStr">
        <is>
          <t>Discovery</t>
        </is>
      </c>
      <c r="I4" s="11" t="inlineStr"/>
      <c r="J4" s="9" t="inlineStr">
        <is>
          <t>Open</t>
        </is>
      </c>
      <c r="K4" s="9" t="inlineStr">
        <is>
          <t>Rule PT</t>
        </is>
      </c>
    </row>
    <row r="5">
      <c r="A5" s="9" t="inlineStr">
        <is>
          <t>TX-04</t>
        </is>
      </c>
      <c r="B5" s="9" t="inlineStr">
        <is>
          <t>Premium taxes</t>
        </is>
      </c>
      <c r="C5" s="9" t="inlineStr">
        <is>
          <t>Fire service tax: lines to which it applies</t>
        </is>
      </c>
      <c r="D5" s="9" t="inlineStr">
        <is>
          <t>Master &gt; Finance &gt; Premium Taxes &amp; LGU Rates</t>
        </is>
      </c>
      <c r="E5" s="9" t="inlineStr">
        <is>
          <t>2% on fire lines (fire, IAR, householder)</t>
        </is>
      </c>
      <c r="F5" s="10" t="inlineStr"/>
      <c r="G5" s="9" t="inlineStr">
        <is>
          <t>Accounting Manager</t>
        </is>
      </c>
      <c r="H5" s="9" t="inlineStr">
        <is>
          <t>Discovery</t>
        </is>
      </c>
      <c r="I5" s="11" t="inlineStr"/>
      <c r="J5" s="9" t="inlineStr">
        <is>
          <t>Open</t>
        </is>
      </c>
      <c r="K5" s="9" t="inlineStr">
        <is>
          <t>Rule FST</t>
        </is>
      </c>
    </row>
    <row r="6">
      <c r="A6" s="9" t="inlineStr">
        <is>
          <t>TX-05</t>
        </is>
      </c>
      <c r="B6" s="9" t="inlineStr">
        <is>
          <t>LGU</t>
        </is>
      </c>
      <c r="C6" s="9" t="inlineStr">
        <is>
          <t>LGT rate per city or municipality where clients are located</t>
        </is>
      </c>
      <c r="D6" s="9" t="inlineStr">
        <is>
          <t>Master &gt; Finance &gt; Premium Taxes &amp; LGU Rates</t>
        </is>
      </c>
      <c r="E6" s="9" t="inlineStr">
        <is>
          <t>0.75% when the location has no rate</t>
        </is>
      </c>
      <c r="F6" s="10" t="inlineStr"/>
      <c r="G6" s="9" t="inlineStr">
        <is>
          <t>Accounting Manager</t>
        </is>
      </c>
      <c r="H6" s="9" t="inlineStr">
        <is>
          <t>Configuration</t>
        </is>
      </c>
      <c r="I6" s="11" t="inlineStr"/>
      <c r="J6" s="9" t="inlineStr">
        <is>
          <t>Open</t>
        </is>
      </c>
      <c r="K6" s="9" t="inlineStr">
        <is>
          <t>Rule LGT and LGU tax rates</t>
        </is>
      </c>
    </row>
    <row r="7">
      <c r="A7" s="9" t="inlineStr">
        <is>
          <t>TX-06</t>
        </is>
      </c>
      <c r="B7" s="9" t="inlineStr">
        <is>
          <t>Other charges</t>
        </is>
      </c>
      <c r="C7" s="9" t="inlineStr">
        <is>
          <t>Other charges on premium (for example notarial fee)</t>
        </is>
      </c>
      <c r="D7" s="9" t="inlineStr">
        <is>
          <t>Master &gt; Finance &gt; Premium Taxes &amp; LGU Rates</t>
        </is>
      </c>
      <c r="E7" s="9" t="inlineStr">
        <is>
          <t>Notarial fee rule delivered switched off</t>
        </is>
      </c>
      <c r="F7" s="10" t="inlineStr"/>
      <c r="G7" s="9" t="inlineStr">
        <is>
          <t>Accounting Manager</t>
        </is>
      </c>
      <c r="H7" s="9" t="inlineStr">
        <is>
          <t>Discovery</t>
        </is>
      </c>
      <c r="I7" s="11" t="inlineStr"/>
      <c r="J7" s="9" t="inlineStr">
        <is>
          <t>Open</t>
        </is>
      </c>
      <c r="K7" s="9" t="inlineStr">
        <is>
          <t>Rule NOTARIAL</t>
        </is>
      </c>
    </row>
    <row r="8">
      <c r="A8" s="9" t="inlineStr">
        <is>
          <t>TX-07</t>
        </is>
      </c>
      <c r="B8" s="9" t="inlineStr">
        <is>
          <t>Tax codes</t>
        </is>
      </c>
      <c r="C8" s="9" t="inlineStr">
        <is>
          <t>Confirm output and input VAT codes</t>
        </is>
      </c>
      <c r="D8" s="9" t="inlineStr">
        <is>
          <t>Master &gt; Finance &gt; Taxation</t>
        </is>
      </c>
      <c r="E8" s="9" t="inlineStr">
        <is>
          <t>VAT12-OUT, VAT12-IN, VAT0, VATEX</t>
        </is>
      </c>
      <c r="F8" s="10" t="inlineStr"/>
      <c r="G8" s="9" t="inlineStr">
        <is>
          <t>Accounting Manager</t>
        </is>
      </c>
      <c r="H8" s="9" t="inlineStr">
        <is>
          <t>Configuration</t>
        </is>
      </c>
      <c r="I8" s="11" t="inlineStr"/>
      <c r="J8" s="9" t="inlineStr">
        <is>
          <t>Open</t>
        </is>
      </c>
      <c r="K8" s="9" t="inlineStr">
        <is>
          <t>Confirm with the tax adviser</t>
        </is>
      </c>
    </row>
    <row r="9">
      <c r="A9" s="9" t="inlineStr">
        <is>
          <t>TX-08</t>
        </is>
      </c>
      <c r="B9" s="9" t="inlineStr">
        <is>
          <t>Tax codes</t>
        </is>
      </c>
      <c r="C9" s="9" t="inlineStr">
        <is>
          <t>Confirm EWT codes and ATC used by the broker</t>
        </is>
      </c>
      <c r="D9" s="9" t="inlineStr">
        <is>
          <t>Master &gt; Finance &gt; Taxation</t>
        </is>
      </c>
      <c r="E9" s="9" t="inlineStr">
        <is>
          <t>WC139, WC140, WI139, WI140, WI515, WI516, WC515, WC158, WI158, WC160, WI160, WC100, WI100, WC120, WI010, WI011, WC010, WC011</t>
        </is>
      </c>
      <c r="F9" s="10" t="inlineStr"/>
      <c r="G9" s="9" t="inlineStr">
        <is>
          <t>Accounting Manager</t>
        </is>
      </c>
      <c r="H9" s="9" t="inlineStr">
        <is>
          <t>Configuration</t>
        </is>
      </c>
      <c r="I9" s="11" t="inlineStr"/>
      <c r="J9" s="9" t="inlineStr">
        <is>
          <t>Open</t>
        </is>
      </c>
      <c r="K9" s="9" t="inlineStr">
        <is>
          <t>bir.atc_by_payee</t>
        </is>
      </c>
    </row>
    <row r="10">
      <c r="A10" s="9" t="inlineStr">
        <is>
          <t>TX-09</t>
        </is>
      </c>
      <c r="B10" s="9" t="inlineStr">
        <is>
          <t>Tax codes</t>
        </is>
      </c>
      <c r="C10" s="9" t="inlineStr">
        <is>
          <t>Final withholding on bank interest</t>
        </is>
      </c>
      <c r="D10" s="9" t="inlineStr">
        <is>
          <t>Master &gt; Finance &gt; Taxation</t>
        </is>
      </c>
      <c r="E10" s="9" t="inlineStr">
        <is>
          <t>FWT-INT 20%</t>
        </is>
      </c>
      <c r="F10" s="10" t="inlineStr"/>
      <c r="G10" s="9" t="inlineStr">
        <is>
          <t>Accounting Manager</t>
        </is>
      </c>
      <c r="H10" s="9" t="inlineStr">
        <is>
          <t>Configuration</t>
        </is>
      </c>
      <c r="I10" s="11" t="inlineStr"/>
      <c r="J10" s="9" t="inlineStr">
        <is>
          <t>Open</t>
        </is>
      </c>
      <c r="K10" s="9" t="inlineStr"/>
    </row>
    <row r="11">
      <c r="A11" s="9" t="inlineStr">
        <is>
          <t>TX-10</t>
        </is>
      </c>
      <c r="B11" s="9" t="inlineStr">
        <is>
          <t>VAT status</t>
        </is>
      </c>
      <c r="C11" s="9" t="inlineStr">
        <is>
          <t>VAT-registered or non-VAT (percentage tax)</t>
        </is>
      </c>
      <c r="D11" s="9" t="inlineStr">
        <is>
          <t>Master &gt; Configuration (Billing, Collections &amp; Credit)</t>
        </is>
      </c>
      <c r="E11" s="9" t="inlineStr">
        <is>
          <t>VAT-registered</t>
        </is>
      </c>
      <c r="F11" s="10" t="inlineStr"/>
      <c r="G11" s="9" t="inlineStr">
        <is>
          <t>Accounting Manager</t>
        </is>
      </c>
      <c r="H11" s="9" t="inlineStr">
        <is>
          <t>Discovery</t>
        </is>
      </c>
      <c r="I11" s="11" t="inlineStr"/>
      <c r="J11" s="9" t="inlineStr">
        <is>
          <t>Open</t>
        </is>
      </c>
      <c r="K11" s="9" t="inlineStr">
        <is>
          <t>direct_bill.broker_vat_registered; no percentage tax working paper</t>
        </is>
      </c>
    </row>
    <row r="12">
      <c r="A12" s="9" t="inlineStr">
        <is>
          <t>TX-11</t>
        </is>
      </c>
      <c r="B12" s="9" t="inlineStr">
        <is>
          <t>BIR forms</t>
        </is>
      </c>
      <c r="C12" s="9" t="inlineStr">
        <is>
          <t>Registered name, address, TIN of the withholding agent for BIR forms</t>
        </is>
      </c>
      <c r="D12" s="9" t="inlineStr">
        <is>
          <t>Master &gt; Generals &gt; Organization &gt; Company</t>
        </is>
      </c>
      <c r="E12" s="9" t="inlineStr">
        <is>
          <t>From the letterhead company</t>
        </is>
      </c>
      <c r="F12" s="10" t="inlineStr"/>
      <c r="G12" s="9" t="inlineStr">
        <is>
          <t>Accounting Manager</t>
        </is>
      </c>
      <c r="H12" s="9" t="inlineStr">
        <is>
          <t>Configuration</t>
        </is>
      </c>
      <c r="I12" s="11" t="inlineStr"/>
      <c r="J12" s="9" t="inlineStr">
        <is>
          <t>Open</t>
        </is>
      </c>
      <c r="K12" s="9" t="inlineStr">
        <is>
          <t>bir.* settings are a fallback only</t>
        </is>
      </c>
    </row>
    <row r="13">
      <c r="A13" s="9" t="inlineStr">
        <is>
          <t>TX-12</t>
        </is>
      </c>
      <c r="B13" s="9" t="inlineStr">
        <is>
          <t>BIR forms</t>
        </is>
      </c>
      <c r="C13" s="9" t="inlineStr">
        <is>
          <t>Which BrokerVerse documents serve as registered invoices and receipts under the EOPT Act</t>
        </is>
      </c>
      <c r="D13" s="9" t="inlineStr">
        <is>
          <t>Master &gt; Document Numbering</t>
        </is>
      </c>
      <c r="E13" s="9" t="inlineStr">
        <is>
          <t>INV, OR, DN series available</t>
        </is>
      </c>
      <c r="F13" s="10" t="inlineStr"/>
      <c r="G13" s="9" t="inlineStr">
        <is>
          <t>Accounting Manager</t>
        </is>
      </c>
      <c r="H13" s="9" t="inlineStr">
        <is>
          <t>Discovery</t>
        </is>
      </c>
      <c r="I13" s="11" t="inlineStr"/>
      <c r="J13" s="9" t="inlineStr">
        <is>
          <t>Open</t>
        </is>
      </c>
      <c r="K13" s="9" t="inlineStr">
        <is>
          <t>Decision with the tax adviser; registration is the broker's</t>
        </is>
      </c>
    </row>
    <row r="14">
      <c r="A14" s="9" t="inlineStr">
        <is>
          <t>TX-13</t>
        </is>
      </c>
      <c r="B14" s="9" t="inlineStr">
        <is>
          <t>BIR forms</t>
        </is>
      </c>
      <c r="C14" s="9" t="inlineStr">
        <is>
          <t>Computerized accounting system registration status and plan</t>
        </is>
      </c>
      <c r="D14" s="9" t="inlineStr">
        <is>
          <t>Not a system setting</t>
        </is>
      </c>
      <c r="E14" s="9" t="inlineStr">
        <is>
          <t>Not applicable</t>
        </is>
      </c>
      <c r="F14" s="10" t="inlineStr"/>
      <c r="G14" s="9" t="inlineStr">
        <is>
          <t>Accounting Manager</t>
        </is>
      </c>
      <c r="H14" s="9" t="inlineStr">
        <is>
          <t>Discovery</t>
        </is>
      </c>
      <c r="I14" s="11" t="inlineStr"/>
      <c r="J14" s="9" t="inlineStr">
        <is>
          <t>Open</t>
        </is>
      </c>
      <c r="K14" s="9" t="inlineStr">
        <is>
          <t>Philippine Regulatory Compliance Matrix</t>
        </is>
      </c>
    </row>
    <row r="15">
      <c r="A15" s="9" t="inlineStr">
        <is>
          <t>TX-14</t>
        </is>
      </c>
      <c r="B15" s="9" t="inlineStr">
        <is>
          <t>BIR forms</t>
        </is>
      </c>
      <c r="C15" s="9" t="inlineStr">
        <is>
          <t>SLSP: is the broker required to submit</t>
        </is>
      </c>
      <c r="D15" s="9" t="inlineStr">
        <is>
          <t>Accounts &gt; Tax &gt; SLSP Sales; SLSP Purchases</t>
        </is>
      </c>
      <c r="E15" s="9" t="inlineStr">
        <is>
          <t>Delivered reports</t>
        </is>
      </c>
      <c r="F15" s="10" t="inlineStr"/>
      <c r="G15" s="9" t="inlineStr">
        <is>
          <t>Accounting Manager</t>
        </is>
      </c>
      <c r="H15" s="9" t="inlineStr">
        <is>
          <t>Discovery</t>
        </is>
      </c>
      <c r="I15" s="11" t="inlineStr"/>
      <c r="J15" s="9" t="inlineStr">
        <is>
          <t>Open</t>
        </is>
      </c>
      <c r="K15" s="9" t="inlineStr"/>
    </row>
    <row r="16">
      <c r="A16" s="9" t="inlineStr">
        <is>
          <t>TX-15</t>
        </is>
      </c>
      <c r="B16" s="9" t="inlineStr">
        <is>
          <t>Fallbacks</t>
        </is>
      </c>
      <c r="C16" s="9" t="inlineStr">
        <is>
          <t>Fallback tax rates used only when no rule exists</t>
        </is>
      </c>
      <c r="D16" s="9" t="inlineStr">
        <is>
          <t>Master &gt; Configuration (Accounting &amp; Tax)</t>
        </is>
      </c>
      <c r="E16" s="9" t="inlineStr">
        <is>
          <t>VAT 12%; DST 12.5%; LGT 0.75%; FST 2%</t>
        </is>
      </c>
      <c r="F16" s="10" t="inlineStr"/>
      <c r="G16" s="9" t="inlineStr">
        <is>
          <t>Accounting Manager</t>
        </is>
      </c>
      <c r="H16" s="9" t="inlineStr">
        <is>
          <t>Configuration</t>
        </is>
      </c>
      <c r="I16" s="11" t="inlineStr"/>
      <c r="J16" s="9" t="inlineStr">
        <is>
          <t>Open</t>
        </is>
      </c>
      <c r="K16" s="9" t="inlineStr">
        <is>
          <t>tax.vat_rate, tax.dst_rate, tax.lgt_rate, tax.fst_rate</t>
        </is>
      </c>
    </row>
  </sheetData>
  <autoFilter ref="A1:K16"/>
  <conditionalFormatting sqref="A2:K16">
    <cfRule type="expression" priority="1" dxfId="0">
      <formula>$J2="Configured"</formula>
    </cfRule>
    <cfRule type="expression" priority="2" dxfId="1">
      <formula>$J2="Gap (CR)"</formula>
    </cfRule>
  </conditionalFormatting>
  <dataValidations count="2">
    <dataValidation sqref="J2:J16" showDropDown="0" showInputMessage="0" showErrorMessage="0" allowBlank="1" type="list">
      <formula1>"Open,Answered,Confirmed,Configured,Not applicable,Gap (CR)"</formula1>
    </dataValidation>
    <dataValidation sqref="I2:I16"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K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DM-01</t>
        </is>
      </c>
      <c r="B2" s="9" t="inlineStr">
        <is>
          <t>Organisation</t>
        </is>
      </c>
      <c r="C2" s="9" t="inlineStr">
        <is>
          <t>Company, branches, departments: source system and table or file, record count, extract owner, cleansing needed</t>
        </is>
      </c>
      <c r="D2" s="9" t="inlineStr">
        <is>
          <t>See the template Instructions sheet</t>
        </is>
      </c>
      <c r="E2" s="9" t="inlineStr">
        <is>
          <t>Company_, Branch_, Department_Upload_Template.xlsx</t>
        </is>
      </c>
      <c r="F2" s="10" t="inlineStr"/>
      <c r="G2" s="9" t="inlineStr">
        <is>
          <t>Data owner</t>
        </is>
      </c>
      <c r="H2" s="9" t="inlineStr">
        <is>
          <t>Mock load 1</t>
        </is>
      </c>
      <c r="I2" s="11" t="inlineStr"/>
      <c r="J2" s="9" t="inlineStr">
        <is>
          <t>Open</t>
        </is>
      </c>
      <c r="K2" s="9" t="inlineStr">
        <is>
          <t>Data Migration and Cutover Plan</t>
        </is>
      </c>
    </row>
    <row r="3">
      <c r="A3" s="9" t="inlineStr">
        <is>
          <t>DM-02</t>
        </is>
      </c>
      <c r="B3" s="9" t="inlineStr">
        <is>
          <t>Organisation</t>
        </is>
      </c>
      <c r="C3" s="9" t="inlineStr">
        <is>
          <t>Employee hierarchy, designations, employees: source system and table or file, record count, extract owner, cleansing needed</t>
        </is>
      </c>
      <c r="D3" s="9" t="inlineStr">
        <is>
          <t>See the template Instructions sheet</t>
        </is>
      </c>
      <c r="E3" s="9" t="inlineStr">
        <is>
          <t>Hierarchy_, Designation_Upload_Template.xlsx</t>
        </is>
      </c>
      <c r="F3" s="10" t="inlineStr"/>
      <c r="G3" s="9" t="inlineStr">
        <is>
          <t>Data owner</t>
        </is>
      </c>
      <c r="H3" s="9" t="inlineStr">
        <is>
          <t>Mock load 1</t>
        </is>
      </c>
      <c r="I3" s="11" t="inlineStr"/>
      <c r="J3" s="9" t="inlineStr">
        <is>
          <t>Open</t>
        </is>
      </c>
      <c r="K3" s="9" t="inlineStr">
        <is>
          <t>Data Migration and Cutover Plan</t>
        </is>
      </c>
    </row>
    <row r="4">
      <c r="A4" s="9" t="inlineStr">
        <is>
          <t>DM-03</t>
        </is>
      </c>
      <c r="B4" s="9" t="inlineStr">
        <is>
          <t>Access</t>
        </is>
      </c>
      <c r="C4" s="9" t="inlineStr">
        <is>
          <t>Users with one role each: source system and table or file, record count, extract owner, cleansing needed</t>
        </is>
      </c>
      <c r="D4" s="9" t="inlineStr">
        <is>
          <t>See the template Instructions sheet</t>
        </is>
      </c>
      <c r="E4" s="9" t="inlineStr">
        <is>
          <t>Users_Provisioning_Template.xlsx</t>
        </is>
      </c>
      <c r="F4" s="10" t="inlineStr"/>
      <c r="G4" s="9" t="inlineStr">
        <is>
          <t>Data owner</t>
        </is>
      </c>
      <c r="H4" s="9" t="inlineStr">
        <is>
          <t>Mock load 1</t>
        </is>
      </c>
      <c r="I4" s="11" t="inlineStr"/>
      <c r="J4" s="9" t="inlineStr">
        <is>
          <t>Open</t>
        </is>
      </c>
      <c r="K4" s="9" t="inlineStr">
        <is>
          <t>Data Migration and Cutover Plan</t>
        </is>
      </c>
    </row>
    <row r="5">
      <c r="A5" s="9" t="inlineStr">
        <is>
          <t>DM-04</t>
        </is>
      </c>
      <c r="B5" s="9" t="inlineStr">
        <is>
          <t>Insurance</t>
        </is>
      </c>
      <c r="C5" s="9" t="inlineStr">
        <is>
          <t>Insurers with commission rate, warranty days, remittance terms, billing mode: source system and table or file, record count, extract owner, cleansing needed</t>
        </is>
      </c>
      <c r="D5" s="9" t="inlineStr">
        <is>
          <t>See the template Instructions sheet</t>
        </is>
      </c>
      <c r="E5" s="9" t="inlineStr">
        <is>
          <t>Insurance_Company_Upload_Template.xlsx</t>
        </is>
      </c>
      <c r="F5" s="10" t="inlineStr"/>
      <c r="G5" s="9" t="inlineStr">
        <is>
          <t>Data owner</t>
        </is>
      </c>
      <c r="H5" s="9" t="inlineStr">
        <is>
          <t>Mock load 1</t>
        </is>
      </c>
      <c r="I5" s="11" t="inlineStr"/>
      <c r="J5" s="9" t="inlineStr">
        <is>
          <t>Open</t>
        </is>
      </c>
      <c r="K5" s="9" t="inlineStr">
        <is>
          <t>Data Migration and Cutover Plan</t>
        </is>
      </c>
    </row>
    <row r="6">
      <c r="A6" s="9" t="inlineStr">
        <is>
          <t>DM-05</t>
        </is>
      </c>
      <c r="B6" s="9" t="inlineStr">
        <is>
          <t>Insurance</t>
        </is>
      </c>
      <c r="C6" s="9" t="inlineStr">
        <is>
          <t>Lines of business, products, policy types, covers (only what is missing): source system and table or file, record count, extract owner, cleansing needed</t>
        </is>
      </c>
      <c r="D6" s="9" t="inlineStr">
        <is>
          <t>See the template Instructions sheet</t>
        </is>
      </c>
      <c r="E6" s="9" t="inlineStr">
        <is>
          <t>Line_of_Business_, Product_, Policy_Type_, Cover_Upload_Template.xlsx</t>
        </is>
      </c>
      <c r="F6" s="10" t="inlineStr"/>
      <c r="G6" s="9" t="inlineStr">
        <is>
          <t>Data owner</t>
        </is>
      </c>
      <c r="H6" s="9" t="inlineStr">
        <is>
          <t>Mock load 1</t>
        </is>
      </c>
      <c r="I6" s="11" t="inlineStr"/>
      <c r="J6" s="9" t="inlineStr">
        <is>
          <t>Open</t>
        </is>
      </c>
      <c r="K6" s="9" t="inlineStr">
        <is>
          <t>Data Migration and Cutover Plan</t>
        </is>
      </c>
    </row>
    <row r="7">
      <c r="A7" s="9" t="inlineStr">
        <is>
          <t>DM-06</t>
        </is>
      </c>
      <c r="B7" s="9" t="inlineStr">
        <is>
          <t>Insurance</t>
        </is>
      </c>
      <c r="C7" s="9" t="inlineStr">
        <is>
          <t>Vehicle brands, models, variants: source system and table or file, record count, extract owner, cleansing needed</t>
        </is>
      </c>
      <c r="D7" s="9" t="inlineStr">
        <is>
          <t>See the template Instructions sheet</t>
        </is>
      </c>
      <c r="E7" s="9" t="inlineStr">
        <is>
          <t>Vehicle_* templates</t>
        </is>
      </c>
      <c r="F7" s="10" t="inlineStr"/>
      <c r="G7" s="9" t="inlineStr">
        <is>
          <t>Data owner</t>
        </is>
      </c>
      <c r="H7" s="9" t="inlineStr">
        <is>
          <t>Mock load 1</t>
        </is>
      </c>
      <c r="I7" s="11" t="inlineStr"/>
      <c r="J7" s="9" t="inlineStr">
        <is>
          <t>Open</t>
        </is>
      </c>
      <c r="K7" s="9" t="inlineStr">
        <is>
          <t>Data Migration and Cutover Plan</t>
        </is>
      </c>
    </row>
    <row r="8">
      <c r="A8" s="9" t="inlineStr">
        <is>
          <t>DM-07</t>
        </is>
      </c>
      <c r="B8" s="9" t="inlineStr">
        <is>
          <t>Insurance</t>
        </is>
      </c>
      <c r="C8" s="9" t="inlineStr">
        <is>
          <t>Signatories: source system and table or file, record count, extract owner, cleansing needed</t>
        </is>
      </c>
      <c r="D8" s="9" t="inlineStr">
        <is>
          <t>See the template Instructions sheet</t>
        </is>
      </c>
      <c r="E8" s="9" t="inlineStr">
        <is>
          <t>Signatories_Upload_Template.xlsx</t>
        </is>
      </c>
      <c r="F8" s="10" t="inlineStr"/>
      <c r="G8" s="9" t="inlineStr">
        <is>
          <t>Data owner</t>
        </is>
      </c>
      <c r="H8" s="9" t="inlineStr">
        <is>
          <t>Mock load 1</t>
        </is>
      </c>
      <c r="I8" s="11" t="inlineStr"/>
      <c r="J8" s="9" t="inlineStr">
        <is>
          <t>Open</t>
        </is>
      </c>
      <c r="K8" s="9" t="inlineStr">
        <is>
          <t>Data Migration and Cutover Plan</t>
        </is>
      </c>
    </row>
    <row r="9">
      <c r="A9" s="9" t="inlineStr">
        <is>
          <t>DM-08</t>
        </is>
      </c>
      <c r="B9" s="9" t="inlineStr">
        <is>
          <t>Finance</t>
        </is>
      </c>
      <c r="C9" s="9" t="inlineStr">
        <is>
          <t>Chart of accounts: source system and table or file, record count, extract owner, cleansing needed</t>
        </is>
      </c>
      <c r="D9" s="9" t="inlineStr">
        <is>
          <t>See the template Instructions sheet</t>
        </is>
      </c>
      <c r="E9" s="9" t="inlineStr">
        <is>
          <t>Chart_of_Accounts_Upload_Template.xlsx</t>
        </is>
      </c>
      <c r="F9" s="10" t="inlineStr"/>
      <c r="G9" s="9" t="inlineStr">
        <is>
          <t>Data owner</t>
        </is>
      </c>
      <c r="H9" s="9" t="inlineStr">
        <is>
          <t>Mock load 1</t>
        </is>
      </c>
      <c r="I9" s="11" t="inlineStr"/>
      <c r="J9" s="9" t="inlineStr">
        <is>
          <t>Open</t>
        </is>
      </c>
      <c r="K9" s="9" t="inlineStr">
        <is>
          <t>Data Migration and Cutover Plan</t>
        </is>
      </c>
    </row>
    <row r="10">
      <c r="A10" s="9" t="inlineStr">
        <is>
          <t>DM-09</t>
        </is>
      </c>
      <c r="B10" s="9" t="inlineStr">
        <is>
          <t>Finance</t>
        </is>
      </c>
      <c r="C10" s="9" t="inlineStr">
        <is>
          <t>Banks and bank accounts: source system and table or file, record count, extract owner, cleansing needed</t>
        </is>
      </c>
      <c r="D10" s="9" t="inlineStr">
        <is>
          <t>See the template Instructions sheet</t>
        </is>
      </c>
      <c r="E10" s="9" t="inlineStr">
        <is>
          <t>Bank_, Bank_Account_Upload_Template.xlsx</t>
        </is>
      </c>
      <c r="F10" s="10" t="inlineStr"/>
      <c r="G10" s="9" t="inlineStr">
        <is>
          <t>Data owner</t>
        </is>
      </c>
      <c r="H10" s="9" t="inlineStr">
        <is>
          <t>Mock load 1</t>
        </is>
      </c>
      <c r="I10" s="11" t="inlineStr"/>
      <c r="J10" s="9" t="inlineStr">
        <is>
          <t>Open</t>
        </is>
      </c>
      <c r="K10" s="9" t="inlineStr">
        <is>
          <t>Data Migration and Cutover Plan</t>
        </is>
      </c>
    </row>
    <row r="11">
      <c r="A11" s="9" t="inlineStr">
        <is>
          <t>DM-10</t>
        </is>
      </c>
      <c r="B11" s="9" t="inlineStr">
        <is>
          <t>Finance</t>
        </is>
      </c>
      <c r="C11" s="9" t="inlineStr">
        <is>
          <t>Currencies and exchange rates: source system and table or file, record count, extract owner, cleansing needed</t>
        </is>
      </c>
      <c r="D11" s="9" t="inlineStr">
        <is>
          <t>See the template Instructions sheet</t>
        </is>
      </c>
      <c r="E11" s="9" t="inlineStr">
        <is>
          <t>Currency_, Exchange_Rate_Upload_Template.xlsx</t>
        </is>
      </c>
      <c r="F11" s="10" t="inlineStr"/>
      <c r="G11" s="9" t="inlineStr">
        <is>
          <t>Data owner</t>
        </is>
      </c>
      <c r="H11" s="9" t="inlineStr">
        <is>
          <t>Mock load 1</t>
        </is>
      </c>
      <c r="I11" s="11" t="inlineStr"/>
      <c r="J11" s="9" t="inlineStr">
        <is>
          <t>Open</t>
        </is>
      </c>
      <c r="K11" s="9" t="inlineStr">
        <is>
          <t>Data Migration and Cutover Plan</t>
        </is>
      </c>
    </row>
    <row r="12">
      <c r="A12" s="9" t="inlineStr">
        <is>
          <t>DM-11</t>
        </is>
      </c>
      <c r="B12" s="9" t="inlineStr">
        <is>
          <t>Finance</t>
        </is>
      </c>
      <c r="C12" s="9" t="inlineStr">
        <is>
          <t>Transaction codes, write-off reasons: source system and table or file, record count, extract owner, cleansing needed</t>
        </is>
      </c>
      <c r="D12" s="9" t="inlineStr">
        <is>
          <t>See the template Instructions sheet</t>
        </is>
      </c>
      <c r="E12" s="9" t="inlineStr">
        <is>
          <t>Transaction_Code_, Write_off_Reason_Upload_Template.xlsx</t>
        </is>
      </c>
      <c r="F12" s="10" t="inlineStr"/>
      <c r="G12" s="9" t="inlineStr">
        <is>
          <t>Data owner</t>
        </is>
      </c>
      <c r="H12" s="9" t="inlineStr">
        <is>
          <t>Mock load 1</t>
        </is>
      </c>
      <c r="I12" s="11" t="inlineStr"/>
      <c r="J12" s="9" t="inlineStr">
        <is>
          <t>Open</t>
        </is>
      </c>
      <c r="K12" s="9" t="inlineStr">
        <is>
          <t>Data Migration and Cutover Plan</t>
        </is>
      </c>
    </row>
    <row r="13">
      <c r="A13" s="9" t="inlineStr">
        <is>
          <t>DM-12</t>
        </is>
      </c>
      <c r="B13" s="9" t="inlineStr">
        <is>
          <t>Open business</t>
        </is>
      </c>
      <c r="C13" s="9" t="inlineStr">
        <is>
          <t>In-force policies and their clients at go-live (insurer at 100%; co-insured entered on screen): source system and table or file, record count, extract owner, cleansing needed</t>
        </is>
      </c>
      <c r="D13" s="9" t="inlineStr">
        <is>
          <t>See the template Instructions sheet</t>
        </is>
      </c>
      <c r="E13" s="9" t="inlineStr">
        <is>
          <t>Policies_Upload_Template.xlsx (go-live mode)</t>
        </is>
      </c>
      <c r="F13" s="10" t="inlineStr"/>
      <c r="G13" s="9" t="inlineStr">
        <is>
          <t>Data owner</t>
        </is>
      </c>
      <c r="H13" s="9" t="inlineStr">
        <is>
          <t>Mock load 1</t>
        </is>
      </c>
      <c r="I13" s="11" t="inlineStr"/>
      <c r="J13" s="9" t="inlineStr">
        <is>
          <t>Open</t>
        </is>
      </c>
      <c r="K13" s="9" t="inlineStr">
        <is>
          <t>Data Migration and Cutover Plan</t>
        </is>
      </c>
    </row>
    <row r="14">
      <c r="A14" s="9" t="inlineStr">
        <is>
          <t>DM-13</t>
        </is>
      </c>
      <c r="B14" s="9" t="inlineStr">
        <is>
          <t>Open business</t>
        </is>
      </c>
      <c r="C14" s="9" t="inlineStr">
        <is>
          <t>Open premium receivables at the day before go-live: source system and table or file, record count, extract owner, cleansing needed</t>
        </is>
      </c>
      <c r="D14" s="9" t="inlineStr">
        <is>
          <t>See the template Instructions sheet</t>
        </is>
      </c>
      <c r="E14" s="9" t="inlineStr">
        <is>
          <t>Open_Items_Upload_Template.xlsx</t>
        </is>
      </c>
      <c r="F14" s="10" t="inlineStr"/>
      <c r="G14" s="9" t="inlineStr">
        <is>
          <t>Data owner</t>
        </is>
      </c>
      <c r="H14" s="9" t="inlineStr">
        <is>
          <t>Mock load 1</t>
        </is>
      </c>
      <c r="I14" s="11" t="inlineStr"/>
      <c r="J14" s="9" t="inlineStr">
        <is>
          <t>Open</t>
        </is>
      </c>
      <c r="K14" s="9" t="inlineStr">
        <is>
          <t>Data Migration and Cutover Plan</t>
        </is>
      </c>
    </row>
    <row r="15">
      <c r="A15" s="9" t="inlineStr">
        <is>
          <t>DM-14</t>
        </is>
      </c>
      <c r="B15" s="9" t="inlineStr">
        <is>
          <t>Open business</t>
        </is>
      </c>
      <c r="C15" s="9" t="inlineStr">
        <is>
          <t>Trial balance at the day before go-live: source system and table or file, record count, extract owner, cleansing needed</t>
        </is>
      </c>
      <c r="D15" s="9" t="inlineStr">
        <is>
          <t>See the template Instructions sheet</t>
        </is>
      </c>
      <c r="E15" s="9" t="inlineStr">
        <is>
          <t>Opening_Balances_Upload_Template.xlsx</t>
        </is>
      </c>
      <c r="F15" s="10" t="inlineStr"/>
      <c r="G15" s="9" t="inlineStr">
        <is>
          <t>Data owner</t>
        </is>
      </c>
      <c r="H15" s="9" t="inlineStr">
        <is>
          <t>Mock load 1</t>
        </is>
      </c>
      <c r="I15" s="11" t="inlineStr"/>
      <c r="J15" s="9" t="inlineStr">
        <is>
          <t>Open</t>
        </is>
      </c>
      <c r="K15" s="9" t="inlineStr">
        <is>
          <t>Data Migration and Cutover Plan</t>
        </is>
      </c>
    </row>
    <row r="16">
      <c r="A16" s="9" t="inlineStr">
        <is>
          <t>DM-15</t>
        </is>
      </c>
      <c r="B16" s="9" t="inlineStr">
        <is>
          <t>Open business</t>
        </is>
      </c>
      <c r="C16" s="9" t="inlineStr">
        <is>
          <t>Amounts due to insurers on old bills (paid by payment voucher): source system and table or file, record count, extract owner, cleansing needed</t>
        </is>
      </c>
      <c r="D16" s="9" t="inlineStr">
        <is>
          <t>See the template Instructions sheet</t>
        </is>
      </c>
      <c r="E16" s="9" t="inlineStr">
        <is>
          <t>Disbursements_Upload_Template.xlsx</t>
        </is>
      </c>
      <c r="F16" s="10" t="inlineStr"/>
      <c r="G16" s="9" t="inlineStr">
        <is>
          <t>Data owner</t>
        </is>
      </c>
      <c r="H16" s="9" t="inlineStr">
        <is>
          <t>Mock load 1</t>
        </is>
      </c>
      <c r="I16" s="11" t="inlineStr"/>
      <c r="J16" s="9" t="inlineStr">
        <is>
          <t>Open</t>
        </is>
      </c>
      <c r="K16" s="9" t="inlineStr">
        <is>
          <t>Data Migration and Cutover Plan</t>
        </is>
      </c>
    </row>
    <row r="17">
      <c r="A17" s="9" t="inlineStr">
        <is>
          <t>DM-16</t>
        </is>
      </c>
      <c r="B17" s="9" t="inlineStr">
        <is>
          <t>Open business</t>
        </is>
      </c>
      <c r="C17" s="9" t="inlineStr">
        <is>
          <t>Commission due to referrers earned before go-live: source system and table or file, record count, extract owner, cleansing needed</t>
        </is>
      </c>
      <c r="D17" s="9" t="inlineStr">
        <is>
          <t>See the template Instructions sheet</t>
        </is>
      </c>
      <c r="E17" s="9" t="inlineStr">
        <is>
          <t>Disbursements_Upload_Template.xlsx</t>
        </is>
      </c>
      <c r="F17" s="10" t="inlineStr"/>
      <c r="G17" s="9" t="inlineStr">
        <is>
          <t>Data owner</t>
        </is>
      </c>
      <c r="H17" s="9" t="inlineStr">
        <is>
          <t>Mock load 1</t>
        </is>
      </c>
      <c r="I17" s="11" t="inlineStr"/>
      <c r="J17" s="9" t="inlineStr">
        <is>
          <t>Open</t>
        </is>
      </c>
      <c r="K17" s="9" t="inlineStr">
        <is>
          <t>Data Migration and Cutover Plan</t>
        </is>
      </c>
    </row>
    <row r="18">
      <c r="A18" s="9" t="inlineStr">
        <is>
          <t>DM-17</t>
        </is>
      </c>
      <c r="B18" s="9" t="inlineStr">
        <is>
          <t>Open business</t>
        </is>
      </c>
      <c r="C18" s="9" t="inlineStr">
        <is>
          <t>Open claims on in-force policies (registered on screen after go-live): source system and table or file, record count, extract owner, cleansing needed</t>
        </is>
      </c>
      <c r="D18" s="9" t="inlineStr">
        <is>
          <t>See the template Instructions sheet</t>
        </is>
      </c>
      <c r="E18" s="9" t="inlineStr">
        <is>
          <t>No template</t>
        </is>
      </c>
      <c r="F18" s="10" t="inlineStr"/>
      <c r="G18" s="9" t="inlineStr">
        <is>
          <t>Data owner</t>
        </is>
      </c>
      <c r="H18" s="9" t="inlineStr">
        <is>
          <t>Mock load 1</t>
        </is>
      </c>
      <c r="I18" s="11" t="inlineStr"/>
      <c r="J18" s="9" t="inlineStr">
        <is>
          <t>Open</t>
        </is>
      </c>
      <c r="K18" s="9" t="inlineStr">
        <is>
          <t>Data Migration and Cutover Plan</t>
        </is>
      </c>
    </row>
    <row r="19">
      <c r="A19" s="9" t="inlineStr">
        <is>
          <t>DM-18</t>
        </is>
      </c>
      <c r="B19" s="9" t="inlineStr">
        <is>
          <t>Optional</t>
        </is>
      </c>
      <c r="C19" s="9" t="inlineStr">
        <is>
          <t>Prospects and quotations in progress: source system and table or file, record count, extract owner, cleansing needed</t>
        </is>
      </c>
      <c r="D19" s="9" t="inlineStr">
        <is>
          <t>See the template Instructions sheet</t>
        </is>
      </c>
      <c r="E19" s="9" t="inlineStr">
        <is>
          <t>Leads_, Quotations_Upload_Template.xlsx</t>
        </is>
      </c>
      <c r="F19" s="10" t="inlineStr"/>
      <c r="G19" s="9" t="inlineStr">
        <is>
          <t>Data owner</t>
        </is>
      </c>
      <c r="H19" s="9" t="inlineStr">
        <is>
          <t>Mock load 1</t>
        </is>
      </c>
      <c r="I19" s="11" t="inlineStr"/>
      <c r="J19" s="9" t="inlineStr">
        <is>
          <t>Open</t>
        </is>
      </c>
      <c r="K19" s="9" t="inlineStr">
        <is>
          <t>Data Migration and Cutover Plan</t>
        </is>
      </c>
    </row>
    <row r="20">
      <c r="A20" s="9" t="inlineStr">
        <is>
          <t>DM-19</t>
        </is>
      </c>
      <c r="B20" s="9" t="inlineStr">
        <is>
          <t>Scope</t>
        </is>
      </c>
      <c r="C20" s="9" t="inlineStr">
        <is>
          <t>Data the broker wants to migrate beyond the OOTB scope (expired policies, closed claims, history, documents)</t>
        </is>
      </c>
      <c r="D20" s="9" t="inlineStr">
        <is>
          <t>Not applicable</t>
        </is>
      </c>
      <c r="E20" s="9" t="inlineStr">
        <is>
          <t>Out of OOTB scope</t>
        </is>
      </c>
      <c r="F20" s="10" t="inlineStr"/>
      <c r="G20" s="9" t="inlineStr">
        <is>
          <t>Sponsor</t>
        </is>
      </c>
      <c r="H20" s="9" t="inlineStr">
        <is>
          <t>Discovery</t>
        </is>
      </c>
      <c r="I20" s="11" t="inlineStr"/>
      <c r="J20" s="9" t="inlineStr">
        <is>
          <t>Open</t>
        </is>
      </c>
      <c r="K20" s="9" t="inlineStr">
        <is>
          <t>Change request: PHP 240,000.00 per legacy source (Rate Card)</t>
        </is>
      </c>
    </row>
    <row r="21">
      <c r="A21" s="9" t="inlineStr">
        <is>
          <t>DM-20</t>
        </is>
      </c>
      <c r="B21" s="9" t="inlineStr">
        <is>
          <t>Volumes</t>
        </is>
      </c>
      <c r="C21" s="9" t="inlineStr">
        <is>
          <t>In-force policies, clients, open bills, active referrers (counts)</t>
        </is>
      </c>
      <c r="D21" s="9" t="inlineStr">
        <is>
          <t>Not applicable</t>
        </is>
      </c>
      <c r="E21" s="9" t="inlineStr">
        <is>
          <t>Up to 20,000 rows per import file</t>
        </is>
      </c>
      <c r="F21" s="10" t="inlineStr"/>
      <c r="G21" s="9" t="inlineStr">
        <is>
          <t>Data owner</t>
        </is>
      </c>
      <c r="H21" s="9" t="inlineStr">
        <is>
          <t>Mobilisation</t>
        </is>
      </c>
      <c r="I21" s="11" t="inlineStr"/>
      <c r="J21" s="9" t="inlineStr">
        <is>
          <t>Open</t>
        </is>
      </c>
      <c r="K21" s="9" t="inlineStr">
        <is>
          <t>Larger books loaded in several files</t>
        </is>
      </c>
    </row>
    <row r="22">
      <c r="A22" s="9" t="inlineStr">
        <is>
          <t>DM-21</t>
        </is>
      </c>
      <c r="B22" s="9" t="inlineStr">
        <is>
          <t>Schedule</t>
        </is>
      </c>
      <c r="C22" s="9" t="inlineStr">
        <is>
          <t>Dates of mock load 1, mock load 2 (and 3), final extract</t>
        </is>
      </c>
      <c r="D22" s="9" t="inlineStr">
        <is>
          <t>Not applicable</t>
        </is>
      </c>
      <c r="E22" s="9" t="inlineStr">
        <is>
          <t>Two mock loads (small), three (medium, large)</t>
        </is>
      </c>
      <c r="F22" s="10" t="inlineStr"/>
      <c r="G22" s="9" t="inlineStr">
        <is>
          <t>Project manager</t>
        </is>
      </c>
      <c r="H22" s="9" t="inlineStr">
        <is>
          <t>Mobilisation</t>
        </is>
      </c>
      <c r="I22" s="11" t="inlineStr"/>
      <c r="J22" s="9" t="inlineStr">
        <is>
          <t>Open</t>
        </is>
      </c>
      <c r="K22" s="9" t="inlineStr">
        <is>
          <t>Implementation Approach and Plan</t>
        </is>
      </c>
    </row>
    <row r="23">
      <c r="A23" s="9" t="inlineStr">
        <is>
          <t>DM-22</t>
        </is>
      </c>
      <c r="B23" s="9" t="inlineStr">
        <is>
          <t>Cutover</t>
        </is>
      </c>
      <c r="C23" s="9" t="inlineStr">
        <is>
          <t>Freeze time of the old system and parallel run, if any</t>
        </is>
      </c>
      <c r="D23" s="9" t="inlineStr">
        <is>
          <t>Not applicable</t>
        </is>
      </c>
      <c r="E23" s="9" t="inlineStr">
        <is>
          <t>Freeze at close of the day before go-live</t>
        </is>
      </c>
      <c r="F23" s="10" t="inlineStr"/>
      <c r="G23" s="9" t="inlineStr">
        <is>
          <t>Sponsor</t>
        </is>
      </c>
      <c r="H23" s="9" t="inlineStr">
        <is>
          <t>Discovery</t>
        </is>
      </c>
      <c r="I23" s="11" t="inlineStr"/>
      <c r="J23" s="9" t="inlineStr">
        <is>
          <t>Open</t>
        </is>
      </c>
      <c r="K23" s="9" t="inlineStr"/>
    </row>
  </sheetData>
  <autoFilter ref="A1:K23"/>
  <conditionalFormatting sqref="A2:K23">
    <cfRule type="expression" priority="1" dxfId="0">
      <formula>$J2="Configured"</formula>
    </cfRule>
    <cfRule type="expression" priority="2" dxfId="1">
      <formula>$J2="Gap (CR)"</formula>
    </cfRule>
  </conditionalFormatting>
  <dataValidations count="2">
    <dataValidation sqref="J2:J23" showDropDown="0" showInputMessage="0" showErrorMessage="0" allowBlank="1" type="list">
      <formula1>"Open,Answered,Confirmed,Configured,Not applicable,Gap (CR)"</formula1>
    </dataValidation>
    <dataValidation sqref="I2:I2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K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IG-01</t>
        </is>
      </c>
      <c r="B2" s="9" t="inlineStr">
        <is>
          <t>E-mail</t>
        </is>
      </c>
      <c r="C2" s="9" t="inlineStr">
        <is>
          <t>SMTP mailbox: host, port (587, STARTTLS), user, who owns it</t>
        </is>
      </c>
      <c r="D2" s="9" t="inlineStr">
        <is>
          <t>Environment variable SMTP_URL (secret store)</t>
        </is>
      </c>
      <c r="E2" s="9" t="inlineStr">
        <is>
          <t>None</t>
        </is>
      </c>
      <c r="F2" s="10" t="inlineStr"/>
      <c r="G2" s="9" t="inlineStr">
        <is>
          <t>IT head</t>
        </is>
      </c>
      <c r="H2" s="9" t="inlineStr">
        <is>
          <t>Configuration</t>
        </is>
      </c>
      <c r="I2" s="11" t="inlineStr"/>
      <c r="J2" s="9" t="inlineStr">
        <is>
          <t>Open</t>
        </is>
      </c>
      <c r="K2" s="9" t="inlineStr">
        <is>
          <t>Test password reset and quotation approval link</t>
        </is>
      </c>
    </row>
    <row r="3">
      <c r="A3" s="9" t="inlineStr">
        <is>
          <t>IG-02</t>
        </is>
      </c>
      <c r="B3" s="9" t="inlineStr">
        <is>
          <t>E-mail</t>
        </is>
      </c>
      <c r="C3" s="9" t="inlineStr">
        <is>
          <t>Mail domain records (SPF, DKIM) so e-mails are not marked as spam</t>
        </is>
      </c>
      <c r="D3" s="9" t="inlineStr">
        <is>
          <t>Broker DNS</t>
        </is>
      </c>
      <c r="E3" s="9" t="inlineStr">
        <is>
          <t>Not applicable</t>
        </is>
      </c>
      <c r="F3" s="10" t="inlineStr"/>
      <c r="G3" s="9" t="inlineStr">
        <is>
          <t>IT head</t>
        </is>
      </c>
      <c r="H3" s="9" t="inlineStr">
        <is>
          <t>Configuration</t>
        </is>
      </c>
      <c r="I3" s="11" t="inlineStr"/>
      <c r="J3" s="9" t="inlineStr">
        <is>
          <t>Open</t>
        </is>
      </c>
      <c r="K3" s="9" t="inlineStr"/>
    </row>
    <row r="4">
      <c r="A4" s="9" t="inlineStr">
        <is>
          <t>IG-03</t>
        </is>
      </c>
      <c r="B4" s="9" t="inlineStr">
        <is>
          <t>Bank</t>
        </is>
      </c>
      <c r="C4" s="9" t="inlineStr">
        <is>
          <t>Bank statement file per account (format, frequency, who downloads)</t>
        </is>
      </c>
      <c r="D4" s="9" t="inlineStr">
        <is>
          <t>Accounts &gt; Bank Reconciliation (Import statement)</t>
        </is>
      </c>
      <c r="E4" s="9" t="inlineStr">
        <is>
          <t>BDO, BPI, Metrobank, generic</t>
        </is>
      </c>
      <c r="F4" s="10" t="inlineStr"/>
      <c r="G4" s="9" t="inlineStr">
        <is>
          <t>Accounting</t>
        </is>
      </c>
      <c r="H4" s="9" t="inlineStr">
        <is>
          <t>Configuration</t>
        </is>
      </c>
      <c r="I4" s="11" t="inlineStr"/>
      <c r="J4" s="9" t="inlineStr">
        <is>
          <t>Open</t>
        </is>
      </c>
      <c r="K4" s="9" t="inlineStr"/>
    </row>
    <row r="5">
      <c r="A5" s="9" t="inlineStr">
        <is>
          <t>IG-04</t>
        </is>
      </c>
      <c r="B5" s="9" t="inlineStr">
        <is>
          <t>Bank</t>
        </is>
      </c>
      <c r="C5" s="9" t="inlineStr">
        <is>
          <t>Bank transactions file for remittance reconciliation</t>
        </is>
      </c>
      <c r="D5" s="9" t="inlineStr">
        <is>
          <t>Accounts &gt; Remittance &gt; Reconciliation (Import)</t>
        </is>
      </c>
      <c r="E5" s="9" t="inlineStr">
        <is>
          <t>CSV template</t>
        </is>
      </c>
      <c r="F5" s="10" t="inlineStr"/>
      <c r="G5" s="9" t="inlineStr">
        <is>
          <t>Accounting</t>
        </is>
      </c>
      <c r="H5" s="9" t="inlineStr">
        <is>
          <t>Configuration</t>
        </is>
      </c>
      <c r="I5" s="11" t="inlineStr"/>
      <c r="J5" s="9" t="inlineStr">
        <is>
          <t>Open</t>
        </is>
      </c>
      <c r="K5" s="9" t="inlineStr">
        <is>
          <t>Remittance_Bank_Transactions_Template</t>
        </is>
      </c>
    </row>
    <row r="6">
      <c r="A6" s="9" t="inlineStr">
        <is>
          <t>IG-05</t>
        </is>
      </c>
      <c r="B6" s="9" t="inlineStr">
        <is>
          <t>Payment gateway</t>
        </is>
      </c>
      <c r="C6" s="9" t="inlineStr">
        <is>
          <t>Merchant account, credentials and notification (webhook) address registration</t>
        </is>
      </c>
      <c r="D6" s="9" t="inlineStr">
        <is>
          <t>Master &gt; Finance &gt; Payment Gateways</t>
        </is>
      </c>
      <c r="E6" s="9" t="inlineStr">
        <is>
          <t>PayMongo, Dragonpay (sandbox)</t>
        </is>
      </c>
      <c r="F6" s="10" t="inlineStr"/>
      <c r="G6" s="9" t="inlineStr">
        <is>
          <t>Accounting Manager</t>
        </is>
      </c>
      <c r="H6" s="9" t="inlineStr">
        <is>
          <t>UAT</t>
        </is>
      </c>
      <c r="I6" s="11" t="inlineStr"/>
      <c r="J6" s="9" t="inlineStr">
        <is>
          <t>Open</t>
        </is>
      </c>
      <c r="K6" s="9" t="inlineStr">
        <is>
          <t>Sandbox test, then one live payment</t>
        </is>
      </c>
    </row>
    <row r="7">
      <c r="A7" s="9" t="inlineStr">
        <is>
          <t>IG-06</t>
        </is>
      </c>
      <c r="B7" s="9" t="inlineStr">
        <is>
          <t>Insurers</t>
        </is>
      </c>
      <c r="C7" s="9" t="inlineStr">
        <is>
          <t>Files exchanged with each insurer: slips, placement orders, statements, debit notes</t>
        </is>
      </c>
      <c r="D7" s="9" t="inlineStr">
        <is>
          <t>Placement Slips; Insurer Reconciliation; Direct Bill Processing</t>
        </is>
      </c>
      <c r="E7" s="9" t="inlineStr">
        <is>
          <t>PDF, CSV, Excel and e-mail</t>
        </is>
      </c>
      <c r="F7" s="10" t="inlineStr"/>
      <c r="G7" s="9" t="inlineStr">
        <is>
          <t>Processing Team lead</t>
        </is>
      </c>
      <c r="H7" s="9" t="inlineStr">
        <is>
          <t>Discovery</t>
        </is>
      </c>
      <c r="I7" s="11" t="inlineStr"/>
      <c r="J7" s="9" t="inlineStr">
        <is>
          <t>Open</t>
        </is>
      </c>
      <c r="K7" s="9" t="inlineStr">
        <is>
          <t>Insurer APIs are change requests</t>
        </is>
      </c>
    </row>
    <row r="8">
      <c r="A8" s="9" t="inlineStr">
        <is>
          <t>IG-07</t>
        </is>
      </c>
      <c r="B8" s="9" t="inlineStr">
        <is>
          <t>Accounting</t>
        </is>
      </c>
      <c r="C8" s="9" t="inlineStr">
        <is>
          <t>Corporate ledger or consolidation package to feed</t>
        </is>
      </c>
      <c r="D8" s="9" t="inlineStr">
        <is>
          <t>Reports &gt; Financial Reports</t>
        </is>
      </c>
      <c r="E8" s="9" t="inlineStr">
        <is>
          <t>Excel or CSV export</t>
        </is>
      </c>
      <c r="F8" s="10" t="inlineStr"/>
      <c r="G8" s="9" t="inlineStr">
        <is>
          <t>Accounting Manager</t>
        </is>
      </c>
      <c r="H8" s="9" t="inlineStr">
        <is>
          <t>Discovery</t>
        </is>
      </c>
      <c r="I8" s="11" t="inlineStr"/>
      <c r="J8" s="9" t="inlineStr">
        <is>
          <t>Open</t>
        </is>
      </c>
      <c r="K8" s="9" t="inlineStr">
        <is>
          <t>Direct interface is a change request</t>
        </is>
      </c>
    </row>
    <row r="9">
      <c r="A9" s="9" t="inlineStr">
        <is>
          <t>IG-08</t>
        </is>
      </c>
      <c r="B9" s="9" t="inlineStr">
        <is>
          <t>Single sign-on</t>
        </is>
      </c>
      <c r="C9" s="9" t="inlineStr">
        <is>
          <t>Is sign-in through the corporate directory required</t>
        </is>
      </c>
      <c r="D9" s="9" t="inlineStr">
        <is>
          <t>Not delivered</t>
        </is>
      </c>
      <c r="E9" s="9" t="inlineStr">
        <is>
          <t>BrokerVerse user names and passwords with two-step verification</t>
        </is>
      </c>
      <c r="F9" s="10" t="inlineStr"/>
      <c r="G9" s="9" t="inlineStr">
        <is>
          <t>IT head</t>
        </is>
      </c>
      <c r="H9" s="9" t="inlineStr">
        <is>
          <t>Discovery</t>
        </is>
      </c>
      <c r="I9" s="11" t="inlineStr"/>
      <c r="J9" s="9" t="inlineStr">
        <is>
          <t>Open</t>
        </is>
      </c>
      <c r="K9" s="9" t="inlineStr">
        <is>
          <t>Gap (CR) if required</t>
        </is>
      </c>
    </row>
    <row r="10">
      <c r="A10" s="9" t="inlineStr">
        <is>
          <t>IG-09</t>
        </is>
      </c>
      <c r="B10" s="9" t="inlineStr">
        <is>
          <t>SMS</t>
        </is>
      </c>
      <c r="C10" s="9" t="inlineStr">
        <is>
          <t>SMS notifications to clients</t>
        </is>
      </c>
      <c r="D10" s="9" t="inlineStr">
        <is>
          <t>Not delivered</t>
        </is>
      </c>
      <c r="E10" s="9" t="inlineStr">
        <is>
          <t>E-mail only</t>
        </is>
      </c>
      <c r="F10" s="10" t="inlineStr"/>
      <c r="G10" s="9" t="inlineStr">
        <is>
          <t>Operations head</t>
        </is>
      </c>
      <c r="H10" s="9" t="inlineStr">
        <is>
          <t>Discovery</t>
        </is>
      </c>
      <c r="I10" s="11" t="inlineStr"/>
      <c r="J10" s="9" t="inlineStr">
        <is>
          <t>Open</t>
        </is>
      </c>
      <c r="K10" s="9" t="inlineStr">
        <is>
          <t>Gap (CR) if required</t>
        </is>
      </c>
    </row>
    <row r="11">
      <c r="A11" s="9" t="inlineStr">
        <is>
          <t>IG-10</t>
        </is>
      </c>
      <c r="B11" s="9" t="inlineStr">
        <is>
          <t>API</t>
        </is>
      </c>
      <c r="C11" s="9" t="inlineStr">
        <is>
          <t>Other systems that will call the BrokerVerse API (owner, purpose)</t>
        </is>
      </c>
      <c r="D11" s="9" t="inlineStr">
        <is>
          <t>API (OpenAPI and Postman collection)</t>
        </is>
      </c>
      <c r="E11" s="9" t="inlineStr">
        <is>
          <t>Every call checked against the user permissions</t>
        </is>
      </c>
      <c r="F11" s="10" t="inlineStr"/>
      <c r="G11" s="9" t="inlineStr">
        <is>
          <t>IT head</t>
        </is>
      </c>
      <c r="H11" s="9" t="inlineStr">
        <is>
          <t>Discovery</t>
        </is>
      </c>
      <c r="I11" s="11" t="inlineStr"/>
      <c r="J11" s="9" t="inlineStr">
        <is>
          <t>Open</t>
        </is>
      </c>
      <c r="K11" s="9" t="inlineStr">
        <is>
          <t>API and Dependency Catalogue</t>
        </is>
      </c>
    </row>
    <row r="12">
      <c r="A12" s="9" t="inlineStr">
        <is>
          <t>IG-11</t>
        </is>
      </c>
      <c r="B12" s="9" t="inlineStr">
        <is>
          <t>Network</t>
        </is>
      </c>
      <c r="C12" s="9" t="inlineStr">
        <is>
          <t>Office IP ranges, VPN or allow-listing needs; supported browsers</t>
        </is>
      </c>
      <c r="D12" s="9" t="inlineStr">
        <is>
          <t>Hosting (WAF)</t>
        </is>
      </c>
      <c r="E12" s="9" t="inlineStr">
        <is>
          <t>Current Chrome, Edge or Firefox</t>
        </is>
      </c>
      <c r="F12" s="10" t="inlineStr"/>
      <c r="G12" s="9" t="inlineStr">
        <is>
          <t>IT head</t>
        </is>
      </c>
      <c r="H12" s="9" t="inlineStr">
        <is>
          <t>Mobilisation</t>
        </is>
      </c>
      <c r="I12" s="11" t="inlineStr"/>
      <c r="J12" s="9" t="inlineStr">
        <is>
          <t>Open</t>
        </is>
      </c>
      <c r="K12" s="9" t="inlineStr"/>
    </row>
    <row r="13">
      <c r="A13" s="9" t="inlineStr">
        <is>
          <t>IG-12</t>
        </is>
      </c>
      <c r="B13" s="9" t="inlineStr">
        <is>
          <t>Monitoring</t>
        </is>
      </c>
      <c r="C13" s="9" t="inlineStr">
        <is>
          <t>Who receives monitoring alarms and the monthly service report</t>
        </is>
      </c>
      <c r="D13" s="9" t="inlineStr">
        <is>
          <t>Hosting</t>
        </is>
      </c>
      <c r="E13" s="9" t="inlineStr">
        <is>
          <t>iorta TechNXT on-call</t>
        </is>
      </c>
      <c r="F13" s="10" t="inlineStr"/>
      <c r="G13" s="9" t="inlineStr">
        <is>
          <t>IT head</t>
        </is>
      </c>
      <c r="H13" s="9" t="inlineStr">
        <is>
          <t>Configuration</t>
        </is>
      </c>
      <c r="I13" s="11" t="inlineStr"/>
      <c r="J13" s="9" t="inlineStr">
        <is>
          <t>Open</t>
        </is>
      </c>
      <c r="K13" s="9" t="inlineStr">
        <is>
          <t>Production Support Approach and Standards</t>
        </is>
      </c>
    </row>
  </sheetData>
  <autoFilter ref="A1:K13"/>
  <conditionalFormatting sqref="A2:K13">
    <cfRule type="expression" priority="1" dxfId="0">
      <formula>$J2="Configured"</formula>
    </cfRule>
    <cfRule type="expression" priority="2" dxfId="1">
      <formula>$J2="Gap (CR)"</formula>
    </cfRule>
  </conditionalFormatting>
  <dataValidations count="2">
    <dataValidation sqref="J2:J13" showDropDown="0" showInputMessage="0" showErrorMessage="0" allowBlank="1" type="list">
      <formula1>"Open,Answered,Confirmed,Configured,Not applicable,Gap (CR)"</formula1>
    </dataValidation>
    <dataValidation sqref="I2:I1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K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RP-01</t>
        </is>
      </c>
      <c r="B2" s="9" t="inlineStr">
        <is>
          <t>Schedules</t>
        </is>
      </c>
      <c r="C2" s="9" t="inlineStr">
        <is>
          <t>Scheduled jobs: confirm times and which are switched on</t>
        </is>
      </c>
      <c r="D2" s="9" t="inlineStr">
        <is>
          <t>Master &gt; Schedules</t>
        </is>
      </c>
      <c r="E2" s="9" t="inlineStr">
        <is>
          <t>Renewal notices 06:00; Policy expiry 00:15; Quotation expiry 00:30; Receivable ageing 07:00; Daily reports 05:00; E-mail outbox every 5 minutes; Collection reminders 08:00; Housekeeping 02:45; Dormant accounts 01:45; Remittance schedules off</t>
        </is>
      </c>
      <c r="F2" s="10" t="inlineStr"/>
      <c r="G2" s="9" t="inlineStr">
        <is>
          <t>System Administrator</t>
        </is>
      </c>
      <c r="H2" s="9" t="inlineStr">
        <is>
          <t>Configuration</t>
        </is>
      </c>
      <c r="I2" s="11" t="inlineStr"/>
      <c r="J2" s="9" t="inlineStr">
        <is>
          <t>Open</t>
        </is>
      </c>
      <c r="K2" s="9" t="inlineStr">
        <is>
          <t>Asia/Manila time</t>
        </is>
      </c>
    </row>
    <row r="3">
      <c r="A3" s="9" t="inlineStr">
        <is>
          <t>RP-02</t>
        </is>
      </c>
      <c r="B3" s="9" t="inlineStr">
        <is>
          <t>Retention</t>
        </is>
      </c>
      <c r="C3" s="9" t="inlineStr">
        <is>
          <t>Generated report retention</t>
        </is>
      </c>
      <c r="D3" s="9" t="inlineStr">
        <is>
          <t>Master &gt; Configuration (Data Retention, Privacy &amp; Uploads)</t>
        </is>
      </c>
      <c r="E3" s="9" t="inlineStr">
        <is>
          <t>90 days</t>
        </is>
      </c>
      <c r="F3" s="10" t="inlineStr"/>
      <c r="G3" s="9" t="inlineStr">
        <is>
          <t>System Administrator</t>
        </is>
      </c>
      <c r="H3" s="9" t="inlineStr">
        <is>
          <t>Configuration</t>
        </is>
      </c>
      <c r="I3" s="11" t="inlineStr"/>
      <c r="J3" s="9" t="inlineStr">
        <is>
          <t>Open</t>
        </is>
      </c>
      <c r="K3" s="9" t="inlineStr">
        <is>
          <t>reports.retention_days</t>
        </is>
      </c>
    </row>
    <row r="4">
      <c r="A4" s="9" t="inlineStr">
        <is>
          <t>RP-03</t>
        </is>
      </c>
      <c r="B4" s="9" t="inlineStr">
        <is>
          <t>Gaps</t>
        </is>
      </c>
      <c r="C4" s="9" t="inlineStr">
        <is>
          <t>Reports the broker uses today that are not in the catalogue (attach samples)</t>
        </is>
      </c>
      <c r="D4" s="9" t="inlineStr">
        <is>
          <t>Reports &gt; All Reports</t>
        </is>
      </c>
      <c r="E4" s="9" t="inlineStr">
        <is>
          <t>Catalogue below</t>
        </is>
      </c>
      <c r="F4" s="10" t="inlineStr"/>
      <c r="G4" s="9" t="inlineStr">
        <is>
          <t>Sponsor</t>
        </is>
      </c>
      <c r="H4" s="9" t="inlineStr">
        <is>
          <t>Discovery</t>
        </is>
      </c>
      <c r="I4" s="11" t="inlineStr"/>
      <c r="J4" s="9" t="inlineStr">
        <is>
          <t>Open</t>
        </is>
      </c>
      <c r="K4" s="9" t="inlineStr">
        <is>
          <t>New report: change request</t>
        </is>
      </c>
    </row>
    <row r="5">
      <c r="A5" s="9" t="inlineStr">
        <is>
          <t>RP-04</t>
        </is>
      </c>
      <c r="B5" s="9" t="inlineStr">
        <is>
          <t>Regulators</t>
        </is>
      </c>
      <c r="C5" s="9" t="inlineStr">
        <is>
          <t>Reports the broker submits to the IC and how they are prepared today</t>
        </is>
      </c>
      <c r="D5" s="9" t="inlineStr">
        <is>
          <t>Reports &gt; Financial Reports</t>
        </is>
      </c>
      <c r="E5" s="9" t="inlineStr">
        <is>
          <t>No IC-format report</t>
        </is>
      </c>
      <c r="F5" s="10" t="inlineStr"/>
      <c r="G5" s="9" t="inlineStr">
        <is>
          <t>Compliance officer</t>
        </is>
      </c>
      <c r="H5" s="9" t="inlineStr">
        <is>
          <t>Discovery</t>
        </is>
      </c>
      <c r="I5" s="11" t="inlineStr"/>
      <c r="J5" s="9" t="inlineStr">
        <is>
          <t>Open</t>
        </is>
      </c>
      <c r="K5" s="9" t="inlineStr"/>
    </row>
    <row r="6">
      <c r="A6" s="9" t="inlineStr">
        <is>
          <t>RP-05</t>
        </is>
      </c>
      <c r="B6" s="9" t="inlineStr">
        <is>
          <t>Operational reports</t>
        </is>
      </c>
      <c r="C6" s="9" t="inlineStr">
        <is>
          <t>Production Register: used? by whom, how often, any column or filter needs</t>
        </is>
      </c>
      <c r="D6" s="9" t="inlineStr">
        <is>
          <t>Reports &gt; Operational Reports &gt; Production</t>
        </is>
      </c>
      <c r="E6" s="9" t="inlineStr">
        <is>
          <t>Delivered</t>
        </is>
      </c>
      <c r="F6" s="10" t="inlineStr"/>
      <c r="G6" s="9" t="inlineStr">
        <is>
          <t>Report owner</t>
        </is>
      </c>
      <c r="H6" s="9" t="inlineStr">
        <is>
          <t>UAT</t>
        </is>
      </c>
      <c r="I6" s="11" t="inlineStr"/>
      <c r="J6" s="9" t="inlineStr">
        <is>
          <t>Open</t>
        </is>
      </c>
      <c r="K6" s="9" t="inlineStr">
        <is>
          <t>Report code production-register</t>
        </is>
      </c>
    </row>
    <row r="7">
      <c r="A7" s="9" t="inlineStr">
        <is>
          <t>RP-06</t>
        </is>
      </c>
      <c r="B7" s="9" t="inlineStr">
        <is>
          <t>Operational reports</t>
        </is>
      </c>
      <c r="C7" s="9" t="inlineStr">
        <is>
          <t>Claims Position: used? by whom, how often, any column or filter needs</t>
        </is>
      </c>
      <c r="D7" s="9" t="inlineStr">
        <is>
          <t>Reports &gt; Operational Reports &gt; Claims</t>
        </is>
      </c>
      <c r="E7" s="9" t="inlineStr">
        <is>
          <t>Delivered</t>
        </is>
      </c>
      <c r="F7" s="10" t="inlineStr"/>
      <c r="G7" s="9" t="inlineStr">
        <is>
          <t>Report owner</t>
        </is>
      </c>
      <c r="H7" s="9" t="inlineStr">
        <is>
          <t>UAT</t>
        </is>
      </c>
      <c r="I7" s="11" t="inlineStr"/>
      <c r="J7" s="9" t="inlineStr">
        <is>
          <t>Open</t>
        </is>
      </c>
      <c r="K7" s="9" t="inlineStr">
        <is>
          <t>Report code claims-position</t>
        </is>
      </c>
    </row>
    <row r="8">
      <c r="A8" s="9" t="inlineStr">
        <is>
          <t>RP-07</t>
        </is>
      </c>
      <c r="B8" s="9" t="inlineStr">
        <is>
          <t>Operational reports</t>
        </is>
      </c>
      <c r="C8" s="9" t="inlineStr">
        <is>
          <t>Renewal Retention: used? by whom, how often, any column or filter needs</t>
        </is>
      </c>
      <c r="D8" s="9" t="inlineStr">
        <is>
          <t>Reports &gt; Operational Reports &gt; Renewal</t>
        </is>
      </c>
      <c r="E8" s="9" t="inlineStr">
        <is>
          <t>Delivered</t>
        </is>
      </c>
      <c r="F8" s="10" t="inlineStr"/>
      <c r="G8" s="9" t="inlineStr">
        <is>
          <t>Report owner</t>
        </is>
      </c>
      <c r="H8" s="9" t="inlineStr">
        <is>
          <t>UAT</t>
        </is>
      </c>
      <c r="I8" s="11" t="inlineStr"/>
      <c r="J8" s="9" t="inlineStr">
        <is>
          <t>Open</t>
        </is>
      </c>
      <c r="K8" s="9" t="inlineStr">
        <is>
          <t>Report code renewal-retention</t>
        </is>
      </c>
    </row>
    <row r="9">
      <c r="A9" s="9" t="inlineStr">
        <is>
          <t>RP-08</t>
        </is>
      </c>
      <c r="B9" s="9" t="inlineStr">
        <is>
          <t>Operational reports</t>
        </is>
      </c>
      <c r="C9" s="9" t="inlineStr">
        <is>
          <t>Remittance Summary: used? by whom, how often, any column or filter needs</t>
        </is>
      </c>
      <c r="D9" s="9" t="inlineStr">
        <is>
          <t>Reports &gt; Operational Reports &gt; Remittance</t>
        </is>
      </c>
      <c r="E9" s="9" t="inlineStr">
        <is>
          <t>Delivered</t>
        </is>
      </c>
      <c r="F9" s="10" t="inlineStr"/>
      <c r="G9" s="9" t="inlineStr">
        <is>
          <t>Report owner</t>
        </is>
      </c>
      <c r="H9" s="9" t="inlineStr">
        <is>
          <t>UAT</t>
        </is>
      </c>
      <c r="I9" s="11" t="inlineStr"/>
      <c r="J9" s="9" t="inlineStr">
        <is>
          <t>Open</t>
        </is>
      </c>
      <c r="K9" s="9" t="inlineStr">
        <is>
          <t>Report code remittance-summary</t>
        </is>
      </c>
    </row>
    <row r="10">
      <c r="A10" s="9" t="inlineStr">
        <is>
          <t>RP-09</t>
        </is>
      </c>
      <c r="B10" s="9" t="inlineStr">
        <is>
          <t>Operational reports</t>
        </is>
      </c>
      <c r="C10" s="9" t="inlineStr">
        <is>
          <t>Broker Commission Statement: used? by whom, how often, any column or filter needs</t>
        </is>
      </c>
      <c r="D10" s="9" t="inlineStr">
        <is>
          <t>Reports &gt; Operational Reports &gt; Broker Commission</t>
        </is>
      </c>
      <c r="E10" s="9" t="inlineStr">
        <is>
          <t>Delivered</t>
        </is>
      </c>
      <c r="F10" s="10" t="inlineStr"/>
      <c r="G10" s="9" t="inlineStr">
        <is>
          <t>Report owner</t>
        </is>
      </c>
      <c r="H10" s="9" t="inlineStr">
        <is>
          <t>UAT</t>
        </is>
      </c>
      <c r="I10" s="11" t="inlineStr"/>
      <c r="J10" s="9" t="inlineStr">
        <is>
          <t>Open</t>
        </is>
      </c>
      <c r="K10" s="9" t="inlineStr">
        <is>
          <t>Report code commission-statement</t>
        </is>
      </c>
    </row>
    <row r="11">
      <c r="A11" s="9" t="inlineStr">
        <is>
          <t>RP-10</t>
        </is>
      </c>
      <c r="B11" s="9" t="inlineStr">
        <is>
          <t>Operational reports</t>
        </is>
      </c>
      <c r="C11" s="9" t="inlineStr">
        <is>
          <t>Claims Ageing: used? by whom, how often, any column or filter needs</t>
        </is>
      </c>
      <c r="D11" s="9" t="inlineStr">
        <is>
          <t>Reports &gt; All Reports &gt; Claims Ageing</t>
        </is>
      </c>
      <c r="E11" s="9" t="inlineStr">
        <is>
          <t>Delivered</t>
        </is>
      </c>
      <c r="F11" s="10" t="inlineStr"/>
      <c r="G11" s="9" t="inlineStr">
        <is>
          <t>Report owner</t>
        </is>
      </c>
      <c r="H11" s="9" t="inlineStr">
        <is>
          <t>UAT</t>
        </is>
      </c>
      <c r="I11" s="11" t="inlineStr"/>
      <c r="J11" s="9" t="inlineStr">
        <is>
          <t>Open</t>
        </is>
      </c>
      <c r="K11" s="9" t="inlineStr">
        <is>
          <t>Report code claims-ageing</t>
        </is>
      </c>
    </row>
    <row r="12">
      <c r="A12" s="9" t="inlineStr">
        <is>
          <t>RP-11</t>
        </is>
      </c>
      <c r="B12" s="9" t="inlineStr">
        <is>
          <t>Operational reports</t>
        </is>
      </c>
      <c r="C12" s="9" t="inlineStr">
        <is>
          <t>Lead Conversion Funnel: used? by whom, how often, any column or filter needs</t>
        </is>
      </c>
      <c r="D12" s="9" t="inlineStr">
        <is>
          <t>Reports &gt; All Reports &gt; Lead Conversion Funnel</t>
        </is>
      </c>
      <c r="E12" s="9" t="inlineStr">
        <is>
          <t>Delivered</t>
        </is>
      </c>
      <c r="F12" s="10" t="inlineStr"/>
      <c r="G12" s="9" t="inlineStr">
        <is>
          <t>Report owner</t>
        </is>
      </c>
      <c r="H12" s="9" t="inlineStr">
        <is>
          <t>UAT</t>
        </is>
      </c>
      <c r="I12" s="11" t="inlineStr"/>
      <c r="J12" s="9" t="inlineStr">
        <is>
          <t>Open</t>
        </is>
      </c>
      <c r="K12" s="9" t="inlineStr">
        <is>
          <t>Report code lead-conversion-funnel</t>
        </is>
      </c>
    </row>
    <row r="13">
      <c r="A13" s="9" t="inlineStr">
        <is>
          <t>RP-12</t>
        </is>
      </c>
      <c r="B13" s="9" t="inlineStr">
        <is>
          <t>Operational reports</t>
        </is>
      </c>
      <c r="C13" s="9" t="inlineStr">
        <is>
          <t>Placement Pipeline: used? by whom, how often, any column or filter needs</t>
        </is>
      </c>
      <c r="D13" s="9" t="inlineStr">
        <is>
          <t>Reports &gt; All Reports &gt; Placement Pipeline</t>
        </is>
      </c>
      <c r="E13" s="9" t="inlineStr">
        <is>
          <t>Delivered</t>
        </is>
      </c>
      <c r="F13" s="10" t="inlineStr"/>
      <c r="G13" s="9" t="inlineStr">
        <is>
          <t>Report owner</t>
        </is>
      </c>
      <c r="H13" s="9" t="inlineStr">
        <is>
          <t>UAT</t>
        </is>
      </c>
      <c r="I13" s="11" t="inlineStr"/>
      <c r="J13" s="9" t="inlineStr">
        <is>
          <t>Open</t>
        </is>
      </c>
      <c r="K13" s="9" t="inlineStr">
        <is>
          <t>Report code placement-pipeline</t>
        </is>
      </c>
    </row>
    <row r="14">
      <c r="A14" s="9" t="inlineStr">
        <is>
          <t>RP-13</t>
        </is>
      </c>
      <c r="B14" s="9" t="inlineStr">
        <is>
          <t>Operational reports</t>
        </is>
      </c>
      <c r="C14" s="9" t="inlineStr">
        <is>
          <t>Market Response: used? by whom, how often, any column or filter needs</t>
        </is>
      </c>
      <c r="D14" s="9" t="inlineStr">
        <is>
          <t>Reports &gt; All Reports &gt; Market Response</t>
        </is>
      </c>
      <c r="E14" s="9" t="inlineStr">
        <is>
          <t>Delivered</t>
        </is>
      </c>
      <c r="F14" s="10" t="inlineStr"/>
      <c r="G14" s="9" t="inlineStr">
        <is>
          <t>Report owner</t>
        </is>
      </c>
      <c r="H14" s="9" t="inlineStr">
        <is>
          <t>UAT</t>
        </is>
      </c>
      <c r="I14" s="11" t="inlineStr"/>
      <c r="J14" s="9" t="inlineStr">
        <is>
          <t>Open</t>
        </is>
      </c>
      <c r="K14" s="9" t="inlineStr">
        <is>
          <t>Report code market-response</t>
        </is>
      </c>
    </row>
    <row r="15">
      <c r="A15" s="9" t="inlineStr">
        <is>
          <t>RP-14</t>
        </is>
      </c>
      <c r="B15" s="9" t="inlineStr">
        <is>
          <t>Operational reports</t>
        </is>
      </c>
      <c r="C15" s="9" t="inlineStr">
        <is>
          <t>Reinsurance Cession Register: used? by whom, how often, any column or filter needs</t>
        </is>
      </c>
      <c r="D15" s="9" t="inlineStr">
        <is>
          <t>Reports &gt; All Reports &gt; Reinsurance Cession Register</t>
        </is>
      </c>
      <c r="E15" s="9" t="inlineStr">
        <is>
          <t>Delivered</t>
        </is>
      </c>
      <c r="F15" s="10" t="inlineStr"/>
      <c r="G15" s="9" t="inlineStr">
        <is>
          <t>Report owner</t>
        </is>
      </c>
      <c r="H15" s="9" t="inlineStr">
        <is>
          <t>UAT</t>
        </is>
      </c>
      <c r="I15" s="11" t="inlineStr"/>
      <c r="J15" s="9" t="inlineStr">
        <is>
          <t>Open</t>
        </is>
      </c>
      <c r="K15" s="9" t="inlineStr">
        <is>
          <t>Report code cession-register</t>
        </is>
      </c>
    </row>
    <row r="16">
      <c r="A16" s="9" t="inlineStr">
        <is>
          <t>RP-15</t>
        </is>
      </c>
      <c r="B16" s="9" t="inlineStr">
        <is>
          <t>Operational reports</t>
        </is>
      </c>
      <c r="C16" s="9" t="inlineStr">
        <is>
          <t>Co-insurance Register: used? by whom, how often, any column or filter needs</t>
        </is>
      </c>
      <c r="D16" s="9" t="inlineStr">
        <is>
          <t>Reports &gt; Financial Reports &gt; Co-insurance Register</t>
        </is>
      </c>
      <c r="E16" s="9" t="inlineStr">
        <is>
          <t>Delivered</t>
        </is>
      </c>
      <c r="F16" s="10" t="inlineStr"/>
      <c r="G16" s="9" t="inlineStr">
        <is>
          <t>Report owner</t>
        </is>
      </c>
      <c r="H16" s="9" t="inlineStr">
        <is>
          <t>UAT</t>
        </is>
      </c>
      <c r="I16" s="11" t="inlineStr"/>
      <c r="J16" s="9" t="inlineStr">
        <is>
          <t>Open</t>
        </is>
      </c>
      <c r="K16" s="9" t="inlineStr">
        <is>
          <t>Report code coinsurance-register</t>
        </is>
      </c>
    </row>
    <row r="17">
      <c r="A17" s="9" t="inlineStr">
        <is>
          <t>RP-16</t>
        </is>
      </c>
      <c r="B17" s="9" t="inlineStr">
        <is>
          <t>Financial reports</t>
        </is>
      </c>
      <c r="C17" s="9" t="inlineStr">
        <is>
          <t>SOA / Premium Receivable: used? by whom, how often, any column or filter needs</t>
        </is>
      </c>
      <c r="D17" s="9" t="inlineStr">
        <is>
          <t>Reports &gt; Financial Reports &gt; SOA/Premium Receivable</t>
        </is>
      </c>
      <c r="E17" s="9" t="inlineStr">
        <is>
          <t>Delivered</t>
        </is>
      </c>
      <c r="F17" s="10" t="inlineStr"/>
      <c r="G17" s="9" t="inlineStr">
        <is>
          <t>Report owner</t>
        </is>
      </c>
      <c r="H17" s="9" t="inlineStr">
        <is>
          <t>UAT</t>
        </is>
      </c>
      <c r="I17" s="11" t="inlineStr"/>
      <c r="J17" s="9" t="inlineStr">
        <is>
          <t>Open</t>
        </is>
      </c>
      <c r="K17" s="9" t="inlineStr">
        <is>
          <t>Report code premium-receivable-soa</t>
        </is>
      </c>
    </row>
    <row r="18">
      <c r="A18" s="9" t="inlineStr">
        <is>
          <t>RP-17</t>
        </is>
      </c>
      <c r="B18" s="9" t="inlineStr">
        <is>
          <t>Financial reports</t>
        </is>
      </c>
      <c r="C18" s="9" t="inlineStr">
        <is>
          <t>Collection Report: used? by whom, how often, any column or filter needs</t>
        </is>
      </c>
      <c r="D18" s="9" t="inlineStr">
        <is>
          <t>Reports &gt; Financial Reports &gt; Collection Report</t>
        </is>
      </c>
      <c r="E18" s="9" t="inlineStr">
        <is>
          <t>Delivered</t>
        </is>
      </c>
      <c r="F18" s="10" t="inlineStr"/>
      <c r="G18" s="9" t="inlineStr">
        <is>
          <t>Report owner</t>
        </is>
      </c>
      <c r="H18" s="9" t="inlineStr">
        <is>
          <t>UAT</t>
        </is>
      </c>
      <c r="I18" s="11" t="inlineStr"/>
      <c r="J18" s="9" t="inlineStr">
        <is>
          <t>Open</t>
        </is>
      </c>
      <c r="K18" s="9" t="inlineStr">
        <is>
          <t>Report code collections-summary</t>
        </is>
      </c>
    </row>
    <row r="19">
      <c r="A19" s="9" t="inlineStr">
        <is>
          <t>RP-18</t>
        </is>
      </c>
      <c r="B19" s="9" t="inlineStr">
        <is>
          <t>Financial reports</t>
        </is>
      </c>
      <c r="C19" s="9" t="inlineStr">
        <is>
          <t>Receivables Ageing: used? by whom, how often, any column or filter needs</t>
        </is>
      </c>
      <c r="D19" s="9" t="inlineStr">
        <is>
          <t>Reports &gt; All Reports &gt; Receivables Ageing (definition screen: Accounts &gt; Collections &gt; Aging Report)</t>
        </is>
      </c>
      <c r="E19" s="9" t="inlineStr">
        <is>
          <t>Delivered</t>
        </is>
      </c>
      <c r="F19" s="10" t="inlineStr"/>
      <c r="G19" s="9" t="inlineStr">
        <is>
          <t>Report owner</t>
        </is>
      </c>
      <c r="H19" s="9" t="inlineStr">
        <is>
          <t>UAT</t>
        </is>
      </c>
      <c r="I19" s="11" t="inlineStr"/>
      <c r="J19" s="9" t="inlineStr">
        <is>
          <t>Open</t>
        </is>
      </c>
      <c r="K19" s="9" t="inlineStr">
        <is>
          <t>Report code collections-ageing</t>
        </is>
      </c>
    </row>
    <row r="20">
      <c r="A20" s="9" t="inlineStr">
        <is>
          <t>RP-19</t>
        </is>
      </c>
      <c r="B20" s="9" t="inlineStr">
        <is>
          <t>Financial reports</t>
        </is>
      </c>
      <c r="C20" s="9" t="inlineStr">
        <is>
          <t>Commission Receivable – Direct Bill: used? by whom, how often, any column or filter needs</t>
        </is>
      </c>
      <c r="D20" s="9" t="inlineStr">
        <is>
          <t>Reports &gt; All Reports &gt; Commission Receivable – Direct Bill (definition screen: Accounts &gt; Remittance &gt; Direct Bill Processing)</t>
        </is>
      </c>
      <c r="E20" s="9" t="inlineStr">
        <is>
          <t>Delivered</t>
        </is>
      </c>
      <c r="F20" s="10" t="inlineStr"/>
      <c r="G20" s="9" t="inlineStr">
        <is>
          <t>Report owner</t>
        </is>
      </c>
      <c r="H20" s="9" t="inlineStr">
        <is>
          <t>UAT</t>
        </is>
      </c>
      <c r="I20" s="11" t="inlineStr"/>
      <c r="J20" s="9" t="inlineStr">
        <is>
          <t>Open</t>
        </is>
      </c>
      <c r="K20" s="9" t="inlineStr">
        <is>
          <t>Report code direct-bill-commission</t>
        </is>
      </c>
    </row>
    <row r="21">
      <c r="A21" s="9" t="inlineStr">
        <is>
          <t>RP-20</t>
        </is>
      </c>
      <c r="B21" s="9" t="inlineStr">
        <is>
          <t>Financial reports</t>
        </is>
      </c>
      <c r="C21" s="9" t="inlineStr">
        <is>
          <t>Receipts Register: used? by whom, how often, any column or filter needs</t>
        </is>
      </c>
      <c r="D21" s="9" t="inlineStr">
        <is>
          <t>Reports &gt; All Reports &gt; Receipts Register (definition screen: Accounts &gt; Receipts)</t>
        </is>
      </c>
      <c r="E21" s="9" t="inlineStr">
        <is>
          <t>Delivered</t>
        </is>
      </c>
      <c r="F21" s="10" t="inlineStr"/>
      <c r="G21" s="9" t="inlineStr">
        <is>
          <t>Report owner</t>
        </is>
      </c>
      <c r="H21" s="9" t="inlineStr">
        <is>
          <t>UAT</t>
        </is>
      </c>
      <c r="I21" s="11" t="inlineStr"/>
      <c r="J21" s="9" t="inlineStr">
        <is>
          <t>Open</t>
        </is>
      </c>
      <c r="K21" s="9" t="inlineStr">
        <is>
          <t>Report code receipts-register</t>
        </is>
      </c>
    </row>
    <row r="22">
      <c r="A22" s="9" t="inlineStr">
        <is>
          <t>RP-21</t>
        </is>
      </c>
      <c r="B22" s="9" t="inlineStr">
        <is>
          <t>Financial reports</t>
        </is>
      </c>
      <c r="C22" s="9" t="inlineStr">
        <is>
          <t>Payables / Disbursement Register: used? by whom, how often, any column or filter needs</t>
        </is>
      </c>
      <c r="D22" s="9" t="inlineStr">
        <is>
          <t>Reports &gt; Financial Reports &gt; Payables</t>
        </is>
      </c>
      <c r="E22" s="9" t="inlineStr">
        <is>
          <t>Delivered</t>
        </is>
      </c>
      <c r="F22" s="10" t="inlineStr"/>
      <c r="G22" s="9" t="inlineStr">
        <is>
          <t>Report owner</t>
        </is>
      </c>
      <c r="H22" s="9" t="inlineStr">
        <is>
          <t>UAT</t>
        </is>
      </c>
      <c r="I22" s="11" t="inlineStr"/>
      <c r="J22" s="9" t="inlineStr">
        <is>
          <t>Open</t>
        </is>
      </c>
      <c r="K22" s="9" t="inlineStr">
        <is>
          <t>Report code disbursement-register</t>
        </is>
      </c>
    </row>
    <row r="23">
      <c r="A23" s="9" t="inlineStr">
        <is>
          <t>RP-22</t>
        </is>
      </c>
      <c r="B23" s="9" t="inlineStr">
        <is>
          <t>Financial reports</t>
        </is>
      </c>
      <c r="C23" s="9" t="inlineStr">
        <is>
          <t>Journal Register: used? by whom, how often, any column or filter needs</t>
        </is>
      </c>
      <c r="D23" s="9" t="inlineStr">
        <is>
          <t>Reports &gt; Financial Reports &gt; Journal</t>
        </is>
      </c>
      <c r="E23" s="9" t="inlineStr">
        <is>
          <t>Delivered</t>
        </is>
      </c>
      <c r="F23" s="10" t="inlineStr"/>
      <c r="G23" s="9" t="inlineStr">
        <is>
          <t>Report owner</t>
        </is>
      </c>
      <c r="H23" s="9" t="inlineStr">
        <is>
          <t>UAT</t>
        </is>
      </c>
      <c r="I23" s="11" t="inlineStr"/>
      <c r="J23" s="9" t="inlineStr">
        <is>
          <t>Open</t>
        </is>
      </c>
      <c r="K23" s="9" t="inlineStr">
        <is>
          <t>Report code journal-register</t>
        </is>
      </c>
    </row>
    <row r="24">
      <c r="A24" s="9" t="inlineStr">
        <is>
          <t>RP-23</t>
        </is>
      </c>
      <c r="B24" s="9" t="inlineStr">
        <is>
          <t>Financial reports</t>
        </is>
      </c>
      <c r="C24" s="9" t="inlineStr">
        <is>
          <t>Trial Balance: used? by whom, how often, any column or filter needs</t>
        </is>
      </c>
      <c r="D24" s="9" t="inlineStr">
        <is>
          <t>Reports &gt; Financial Reports &gt; Trial Balance</t>
        </is>
      </c>
      <c r="E24" s="9" t="inlineStr">
        <is>
          <t>Delivered</t>
        </is>
      </c>
      <c r="F24" s="10" t="inlineStr"/>
      <c r="G24" s="9" t="inlineStr">
        <is>
          <t>Report owner</t>
        </is>
      </c>
      <c r="H24" s="9" t="inlineStr">
        <is>
          <t>UAT</t>
        </is>
      </c>
      <c r="I24" s="11" t="inlineStr"/>
      <c r="J24" s="9" t="inlineStr">
        <is>
          <t>Open</t>
        </is>
      </c>
      <c r="K24" s="9" t="inlineStr">
        <is>
          <t>Report code trial-balance</t>
        </is>
      </c>
    </row>
    <row r="25">
      <c r="A25" s="9" t="inlineStr">
        <is>
          <t>RP-24</t>
        </is>
      </c>
      <c r="B25" s="9" t="inlineStr">
        <is>
          <t>Financial reports</t>
        </is>
      </c>
      <c r="C25" s="9" t="inlineStr">
        <is>
          <t>Incentive Results: used? by whom, how often, any column or filter needs</t>
        </is>
      </c>
      <c r="D25" s="9" t="inlineStr">
        <is>
          <t>Reports &gt; All Reports &gt; Incentive Results (definition screen: Accounts &gt; Incentive &gt; Reports)</t>
        </is>
      </c>
      <c r="E25" s="9" t="inlineStr">
        <is>
          <t>Delivered</t>
        </is>
      </c>
      <c r="F25" s="10" t="inlineStr"/>
      <c r="G25" s="9" t="inlineStr">
        <is>
          <t>Report owner</t>
        </is>
      </c>
      <c r="H25" s="9" t="inlineStr">
        <is>
          <t>UAT</t>
        </is>
      </c>
      <c r="I25" s="11" t="inlineStr"/>
      <c r="J25" s="9" t="inlineStr">
        <is>
          <t>Open</t>
        </is>
      </c>
      <c r="K25" s="9" t="inlineStr">
        <is>
          <t>Report code incentive-results</t>
        </is>
      </c>
    </row>
    <row r="26">
      <c r="A26" s="9" t="inlineStr">
        <is>
          <t>RP-25</t>
        </is>
      </c>
      <c r="B26" s="9" t="inlineStr">
        <is>
          <t>Financial reports</t>
        </is>
      </c>
      <c r="C26" s="9" t="inlineStr">
        <is>
          <t>Due to Insurers by Co-insurer: used? by whom, how often, any column or filter needs</t>
        </is>
      </c>
      <c r="D26" s="9" t="inlineStr">
        <is>
          <t>Reports &gt; Financial Reports &gt; Due to Insurers by Co-insurer</t>
        </is>
      </c>
      <c r="E26" s="9" t="inlineStr">
        <is>
          <t>Delivered</t>
        </is>
      </c>
      <c r="F26" s="10" t="inlineStr"/>
      <c r="G26" s="9" t="inlineStr">
        <is>
          <t>Report owner</t>
        </is>
      </c>
      <c r="H26" s="9" t="inlineStr">
        <is>
          <t>UAT</t>
        </is>
      </c>
      <c r="I26" s="11" t="inlineStr"/>
      <c r="J26" s="9" t="inlineStr">
        <is>
          <t>Open</t>
        </is>
      </c>
      <c r="K26" s="9" t="inlineStr">
        <is>
          <t>Report code due-to-insurers-by-coinsurer</t>
        </is>
      </c>
    </row>
    <row r="27">
      <c r="A27" s="9" t="inlineStr">
        <is>
          <t>RP-26</t>
        </is>
      </c>
      <c r="B27" s="9" t="inlineStr">
        <is>
          <t>Financial reports</t>
        </is>
      </c>
      <c r="C27" s="9" t="inlineStr">
        <is>
          <t>Income Statement: used? by whom, how often, any column or filter needs</t>
        </is>
      </c>
      <c r="D27" s="9" t="inlineStr">
        <is>
          <t>Reports &gt; Financial Reports &gt; Income Statement; Accounts &gt; Period End &gt; Financial Statements</t>
        </is>
      </c>
      <c r="E27" s="9" t="inlineStr">
        <is>
          <t>Delivered</t>
        </is>
      </c>
      <c r="F27" s="10" t="inlineStr"/>
      <c r="G27" s="9" t="inlineStr">
        <is>
          <t>Report owner</t>
        </is>
      </c>
      <c r="H27" s="9" t="inlineStr">
        <is>
          <t>UAT</t>
        </is>
      </c>
      <c r="I27" s="11" t="inlineStr"/>
      <c r="J27" s="9" t="inlineStr">
        <is>
          <t>Open</t>
        </is>
      </c>
      <c r="K27" s="9" t="inlineStr">
        <is>
          <t>Report code income-statement</t>
        </is>
      </c>
    </row>
    <row r="28">
      <c r="A28" s="9" t="inlineStr">
        <is>
          <t>RP-27</t>
        </is>
      </c>
      <c r="B28" s="9" t="inlineStr">
        <is>
          <t>Financial reports</t>
        </is>
      </c>
      <c r="C28" s="9" t="inlineStr">
        <is>
          <t>Balance Sheet: used? by whom, how often, any column or filter needs</t>
        </is>
      </c>
      <c r="D28" s="9" t="inlineStr">
        <is>
          <t>Reports &gt; Financial Reports &gt; Balance Sheet; Accounts &gt; Period End &gt; Financial Statements</t>
        </is>
      </c>
      <c r="E28" s="9" t="inlineStr">
        <is>
          <t>Delivered</t>
        </is>
      </c>
      <c r="F28" s="10" t="inlineStr"/>
      <c r="G28" s="9" t="inlineStr">
        <is>
          <t>Report owner</t>
        </is>
      </c>
      <c r="H28" s="9" t="inlineStr">
        <is>
          <t>UAT</t>
        </is>
      </c>
      <c r="I28" s="11" t="inlineStr"/>
      <c r="J28" s="9" t="inlineStr">
        <is>
          <t>Open</t>
        </is>
      </c>
      <c r="K28" s="9" t="inlineStr">
        <is>
          <t>Report code balance-sheet</t>
        </is>
      </c>
    </row>
    <row r="29">
      <c r="A29" s="9" t="inlineStr">
        <is>
          <t>RP-28</t>
        </is>
      </c>
      <c r="B29" s="9" t="inlineStr">
        <is>
          <t>Financial reports</t>
        </is>
      </c>
      <c r="C29" s="9" t="inlineStr">
        <is>
          <t>Trial Balance (Opening / Movement / Closing): used? by whom, how often, any column or filter needs</t>
        </is>
      </c>
      <c r="D29" s="9" t="inlineStr">
        <is>
          <t>Reports &gt; Financial Reports &gt; Trial Balance Movement</t>
        </is>
      </c>
      <c r="E29" s="9" t="inlineStr">
        <is>
          <t>Delivered</t>
        </is>
      </c>
      <c r="F29" s="10" t="inlineStr"/>
      <c r="G29" s="9" t="inlineStr">
        <is>
          <t>Report owner</t>
        </is>
      </c>
      <c r="H29" s="9" t="inlineStr">
        <is>
          <t>UAT</t>
        </is>
      </c>
      <c r="I29" s="11" t="inlineStr"/>
      <c r="J29" s="9" t="inlineStr">
        <is>
          <t>Open</t>
        </is>
      </c>
      <c r="K29" s="9" t="inlineStr">
        <is>
          <t>Report code trial-balance-ocm</t>
        </is>
      </c>
    </row>
    <row r="30">
      <c r="A30" s="9" t="inlineStr">
        <is>
          <t>RP-29</t>
        </is>
      </c>
      <c r="B30" s="9" t="inlineStr">
        <is>
          <t>Financial reports</t>
        </is>
      </c>
      <c r="C30" s="9" t="inlineStr">
        <is>
          <t>General Ledger Detail: used? by whom, how often, any column or filter needs</t>
        </is>
      </c>
      <c r="D30" s="9" t="inlineStr">
        <is>
          <t>Reports &gt; Financial Reports &gt; General Ledger Detail</t>
        </is>
      </c>
      <c r="E30" s="9" t="inlineStr">
        <is>
          <t>Delivered</t>
        </is>
      </c>
      <c r="F30" s="10" t="inlineStr"/>
      <c r="G30" s="9" t="inlineStr">
        <is>
          <t>Report owner</t>
        </is>
      </c>
      <c r="H30" s="9" t="inlineStr">
        <is>
          <t>UAT</t>
        </is>
      </c>
      <c r="I30" s="11" t="inlineStr"/>
      <c r="J30" s="9" t="inlineStr">
        <is>
          <t>Open</t>
        </is>
      </c>
      <c r="K30" s="9" t="inlineStr">
        <is>
          <t>Report code gl-detail</t>
        </is>
      </c>
    </row>
    <row r="31">
      <c r="A31" s="9" t="inlineStr">
        <is>
          <t>RP-30</t>
        </is>
      </c>
      <c r="B31" s="9" t="inlineStr">
        <is>
          <t>Financial reports</t>
        </is>
      </c>
      <c r="C31" s="9" t="inlineStr">
        <is>
          <t>Aged Payables to Insurers: used? by whom, how often, any column or filter needs</t>
        </is>
      </c>
      <c r="D31" s="9" t="inlineStr">
        <is>
          <t>Reports &gt; Financial Reports &gt; Aged Payables to Insurers</t>
        </is>
      </c>
      <c r="E31" s="9" t="inlineStr">
        <is>
          <t>Delivered</t>
        </is>
      </c>
      <c r="F31" s="10" t="inlineStr"/>
      <c r="G31" s="9" t="inlineStr">
        <is>
          <t>Report owner</t>
        </is>
      </c>
      <c r="H31" s="9" t="inlineStr">
        <is>
          <t>UAT</t>
        </is>
      </c>
      <c r="I31" s="11" t="inlineStr"/>
      <c r="J31" s="9" t="inlineStr">
        <is>
          <t>Open</t>
        </is>
      </c>
      <c r="K31" s="9" t="inlineStr">
        <is>
          <t>Report code aged-payables-insurers</t>
        </is>
      </c>
    </row>
    <row r="32">
      <c r="A32" s="9" t="inlineStr">
        <is>
          <t>RP-31</t>
        </is>
      </c>
      <c r="B32" s="9" t="inlineStr">
        <is>
          <t>Financial reports</t>
        </is>
      </c>
      <c r="C32" s="9" t="inlineStr">
        <is>
          <t>Month-End Close Status: used? by whom, how often, any column or filter needs</t>
        </is>
      </c>
      <c r="D32" s="9" t="inlineStr">
        <is>
          <t>Reports &gt; Financial Reports &gt; Month-End Close Status; Accounts &gt; Period End &gt; Month-End Close</t>
        </is>
      </c>
      <c r="E32" s="9" t="inlineStr">
        <is>
          <t>Delivered</t>
        </is>
      </c>
      <c r="F32" s="10" t="inlineStr"/>
      <c r="G32" s="9" t="inlineStr">
        <is>
          <t>Report owner</t>
        </is>
      </c>
      <c r="H32" s="9" t="inlineStr">
        <is>
          <t>UAT</t>
        </is>
      </c>
      <c r="I32" s="11" t="inlineStr"/>
      <c r="J32" s="9" t="inlineStr">
        <is>
          <t>Open</t>
        </is>
      </c>
      <c r="K32" s="9" t="inlineStr">
        <is>
          <t>Report code month-end-close-status</t>
        </is>
      </c>
    </row>
    <row r="33">
      <c r="A33" s="9" t="inlineStr">
        <is>
          <t>RP-32</t>
        </is>
      </c>
      <c r="B33" s="9" t="inlineStr">
        <is>
          <t>Tax reports (BIR)</t>
        </is>
      </c>
      <c r="C33" s="9" t="inlineStr">
        <is>
          <t>VAT Summary: used? by whom, how often, any column or filter needs</t>
        </is>
      </c>
      <c r="D33" s="9" t="inlineStr">
        <is>
          <t>Accounts &gt; Tax &gt; VAT Summary</t>
        </is>
      </c>
      <c r="E33" s="9" t="inlineStr">
        <is>
          <t>Delivered</t>
        </is>
      </c>
      <c r="F33" s="10" t="inlineStr"/>
      <c r="G33" s="9" t="inlineStr">
        <is>
          <t>Report owner</t>
        </is>
      </c>
      <c r="H33" s="9" t="inlineStr">
        <is>
          <t>UAT</t>
        </is>
      </c>
      <c r="I33" s="11" t="inlineStr"/>
      <c r="J33" s="9" t="inlineStr">
        <is>
          <t>Open</t>
        </is>
      </c>
      <c r="K33" s="9" t="inlineStr">
        <is>
          <t>Report code bir-vat-summary</t>
        </is>
      </c>
    </row>
    <row r="34">
      <c r="A34" s="9" t="inlineStr">
        <is>
          <t>RP-33</t>
        </is>
      </c>
      <c r="B34" s="9" t="inlineStr">
        <is>
          <t>Tax reports (BIR)</t>
        </is>
      </c>
      <c r="C34" s="9" t="inlineStr">
        <is>
          <t>SAWT - Summary Alphalist of Withholding Taxes: used? by whom, how often, any column or filter needs</t>
        </is>
      </c>
      <c r="D34" s="9" t="inlineStr">
        <is>
          <t>Accounts &gt; Tax &gt; SAWT</t>
        </is>
      </c>
      <c r="E34" s="9" t="inlineStr">
        <is>
          <t>Delivered</t>
        </is>
      </c>
      <c r="F34" s="10" t="inlineStr"/>
      <c r="G34" s="9" t="inlineStr">
        <is>
          <t>Report owner</t>
        </is>
      </c>
      <c r="H34" s="9" t="inlineStr">
        <is>
          <t>UAT</t>
        </is>
      </c>
      <c r="I34" s="11" t="inlineStr"/>
      <c r="J34" s="9" t="inlineStr">
        <is>
          <t>Open</t>
        </is>
      </c>
      <c r="K34" s="9" t="inlineStr">
        <is>
          <t>Report code bir-sawt</t>
        </is>
      </c>
    </row>
    <row r="35">
      <c r="A35" s="9" t="inlineStr">
        <is>
          <t>RP-34</t>
        </is>
      </c>
      <c r="B35" s="9" t="inlineStr">
        <is>
          <t>Tax reports (BIR)</t>
        </is>
      </c>
      <c r="C35" s="9" t="inlineStr">
        <is>
          <t>QAP - Quarterly Alphalist of Payees: used? by whom, how often, any column or filter needs</t>
        </is>
      </c>
      <c r="D35" s="9" t="inlineStr">
        <is>
          <t>Accounts &gt; Tax &gt; QAP</t>
        </is>
      </c>
      <c r="E35" s="9" t="inlineStr">
        <is>
          <t>Delivered</t>
        </is>
      </c>
      <c r="F35" s="10" t="inlineStr"/>
      <c r="G35" s="9" t="inlineStr">
        <is>
          <t>Report owner</t>
        </is>
      </c>
      <c r="H35" s="9" t="inlineStr">
        <is>
          <t>UAT</t>
        </is>
      </c>
      <c r="I35" s="11" t="inlineStr"/>
      <c r="J35" s="9" t="inlineStr">
        <is>
          <t>Open</t>
        </is>
      </c>
      <c r="K35" s="9" t="inlineStr">
        <is>
          <t>Report code bir-qap</t>
        </is>
      </c>
    </row>
    <row r="36">
      <c r="A36" s="9" t="inlineStr">
        <is>
          <t>RP-35</t>
        </is>
      </c>
      <c r="B36" s="9" t="inlineStr">
        <is>
          <t>Tax reports (BIR)</t>
        </is>
      </c>
      <c r="C36" s="9" t="inlineStr">
        <is>
          <t>SLSP - Summary List of Sales: used? by whom, how often, any column or filter needs</t>
        </is>
      </c>
      <c r="D36" s="9" t="inlineStr">
        <is>
          <t>Accounts &gt; Tax &gt; SLSP Sales</t>
        </is>
      </c>
      <c r="E36" s="9" t="inlineStr">
        <is>
          <t>Delivered</t>
        </is>
      </c>
      <c r="F36" s="10" t="inlineStr"/>
      <c r="G36" s="9" t="inlineStr">
        <is>
          <t>Report owner</t>
        </is>
      </c>
      <c r="H36" s="9" t="inlineStr">
        <is>
          <t>UAT</t>
        </is>
      </c>
      <c r="I36" s="11" t="inlineStr"/>
      <c r="J36" s="9" t="inlineStr">
        <is>
          <t>Open</t>
        </is>
      </c>
      <c r="K36" s="9" t="inlineStr">
        <is>
          <t>Report code bir-slsp-sales</t>
        </is>
      </c>
    </row>
    <row r="37">
      <c r="A37" s="9" t="inlineStr">
        <is>
          <t>RP-36</t>
        </is>
      </c>
      <c r="B37" s="9" t="inlineStr">
        <is>
          <t>Tax reports (BIR)</t>
        </is>
      </c>
      <c r="C37" s="9" t="inlineStr">
        <is>
          <t>SLSP - Summary List of Purchases: used? by whom, how often, any column or filter needs</t>
        </is>
      </c>
      <c r="D37" s="9" t="inlineStr">
        <is>
          <t>Accounts &gt; Tax &gt; SLSP Purchases</t>
        </is>
      </c>
      <c r="E37" s="9" t="inlineStr">
        <is>
          <t>Delivered</t>
        </is>
      </c>
      <c r="F37" s="10" t="inlineStr"/>
      <c r="G37" s="9" t="inlineStr">
        <is>
          <t>Report owner</t>
        </is>
      </c>
      <c r="H37" s="9" t="inlineStr">
        <is>
          <t>UAT</t>
        </is>
      </c>
      <c r="I37" s="11" t="inlineStr"/>
      <c r="J37" s="9" t="inlineStr">
        <is>
          <t>Open</t>
        </is>
      </c>
      <c r="K37" s="9" t="inlineStr">
        <is>
          <t>Report code bir-slsp-purchases</t>
        </is>
      </c>
    </row>
    <row r="38">
      <c r="A38" s="9" t="inlineStr">
        <is>
          <t>RP-37</t>
        </is>
      </c>
      <c r="B38" s="9" t="inlineStr">
        <is>
          <t>Reconciliation reports</t>
        </is>
      </c>
      <c r="C38" s="9" t="inlineStr">
        <is>
          <t>Bank Reconciliation Statement: used? by whom, how often, any column or filter needs</t>
        </is>
      </c>
      <c r="D38" s="9" t="inlineStr">
        <is>
          <t>Accounts &gt; Bank Reconciliation &gt; Reconciliation Statement Report</t>
        </is>
      </c>
      <c r="E38" s="9" t="inlineStr">
        <is>
          <t>Delivered</t>
        </is>
      </c>
      <c r="F38" s="10" t="inlineStr"/>
      <c r="G38" s="9" t="inlineStr">
        <is>
          <t>Report owner</t>
        </is>
      </c>
      <c r="H38" s="9" t="inlineStr">
        <is>
          <t>UAT</t>
        </is>
      </c>
      <c r="I38" s="11" t="inlineStr"/>
      <c r="J38" s="9" t="inlineStr">
        <is>
          <t>Open</t>
        </is>
      </c>
      <c r="K38" s="9" t="inlineStr">
        <is>
          <t>Report code bank-reconciliation-statement</t>
        </is>
      </c>
    </row>
    <row r="39">
      <c r="A39" s="9" t="inlineStr">
        <is>
          <t>RP-38</t>
        </is>
      </c>
      <c r="B39" s="9" t="inlineStr">
        <is>
          <t>Reconciliation reports</t>
        </is>
      </c>
      <c r="C39" s="9" t="inlineStr">
        <is>
          <t>Outstanding Cheques: used? by whom, how often, any column or filter needs</t>
        </is>
      </c>
      <c r="D39" s="9" t="inlineStr">
        <is>
          <t>Accounts &gt; Bank Reconciliation &gt; Outstanding Cheques</t>
        </is>
      </c>
      <c r="E39" s="9" t="inlineStr">
        <is>
          <t>Delivered</t>
        </is>
      </c>
      <c r="F39" s="10" t="inlineStr"/>
      <c r="G39" s="9" t="inlineStr">
        <is>
          <t>Report owner</t>
        </is>
      </c>
      <c r="H39" s="9" t="inlineStr">
        <is>
          <t>UAT</t>
        </is>
      </c>
      <c r="I39" s="11" t="inlineStr"/>
      <c r="J39" s="9" t="inlineStr">
        <is>
          <t>Open</t>
        </is>
      </c>
      <c r="K39" s="9" t="inlineStr">
        <is>
          <t>Report code bank-outstanding-cheques</t>
        </is>
      </c>
    </row>
    <row r="40">
      <c r="A40" s="9" t="inlineStr">
        <is>
          <t>RP-39</t>
        </is>
      </c>
      <c r="B40" s="9" t="inlineStr">
        <is>
          <t>Reconciliation reports</t>
        </is>
      </c>
      <c r="C40" s="9" t="inlineStr">
        <is>
          <t>Deposits in Transit: used? by whom, how often, any column or filter needs</t>
        </is>
      </c>
      <c r="D40" s="9" t="inlineStr">
        <is>
          <t>Accounts &gt; Bank Reconciliation &gt; Deposits in Transit</t>
        </is>
      </c>
      <c r="E40" s="9" t="inlineStr">
        <is>
          <t>Delivered</t>
        </is>
      </c>
      <c r="F40" s="10" t="inlineStr"/>
      <c r="G40" s="9" t="inlineStr">
        <is>
          <t>Report owner</t>
        </is>
      </c>
      <c r="H40" s="9" t="inlineStr">
        <is>
          <t>UAT</t>
        </is>
      </c>
      <c r="I40" s="11" t="inlineStr"/>
      <c r="J40" s="9" t="inlineStr">
        <is>
          <t>Open</t>
        </is>
      </c>
      <c r="K40" s="9" t="inlineStr">
        <is>
          <t>Report code bank-deposits-in-transit</t>
        </is>
      </c>
    </row>
    <row r="41">
      <c r="A41" s="9" t="inlineStr">
        <is>
          <t>RP-40</t>
        </is>
      </c>
      <c r="B41" s="9" t="inlineStr">
        <is>
          <t>Reconciliation reports</t>
        </is>
      </c>
      <c r="C41" s="9" t="inlineStr">
        <is>
          <t>Unmatched Bank Lines: used? by whom, how often, any column or filter needs</t>
        </is>
      </c>
      <c r="D41" s="9" t="inlineStr">
        <is>
          <t>Accounts &gt; Bank Reconciliation &gt; Unmatched Bank Lines</t>
        </is>
      </c>
      <c r="E41" s="9" t="inlineStr">
        <is>
          <t>Delivered</t>
        </is>
      </c>
      <c r="F41" s="10" t="inlineStr"/>
      <c r="G41" s="9" t="inlineStr">
        <is>
          <t>Report owner</t>
        </is>
      </c>
      <c r="H41" s="9" t="inlineStr">
        <is>
          <t>UAT</t>
        </is>
      </c>
      <c r="I41" s="11" t="inlineStr"/>
      <c r="J41" s="9" t="inlineStr">
        <is>
          <t>Open</t>
        </is>
      </c>
      <c r="K41" s="9" t="inlineStr">
        <is>
          <t>Report code bank-unmatched-lines</t>
        </is>
      </c>
    </row>
    <row r="42">
      <c r="A42" s="9" t="inlineStr">
        <is>
          <t>RP-41</t>
        </is>
      </c>
      <c r="B42" s="9" t="inlineStr">
        <is>
          <t>Reconciliation reports</t>
        </is>
      </c>
      <c r="C42" s="9" t="inlineStr">
        <is>
          <t>Bank Book: used? by whom, how often, any column or filter needs</t>
        </is>
      </c>
      <c r="D42" s="9" t="inlineStr">
        <is>
          <t>Accounts &gt; Bank Reconciliation &gt; Bank Book</t>
        </is>
      </c>
      <c r="E42" s="9" t="inlineStr">
        <is>
          <t>Delivered</t>
        </is>
      </c>
      <c r="F42" s="10" t="inlineStr"/>
      <c r="G42" s="9" t="inlineStr">
        <is>
          <t>Report owner</t>
        </is>
      </c>
      <c r="H42" s="9" t="inlineStr">
        <is>
          <t>UAT</t>
        </is>
      </c>
      <c r="I42" s="11" t="inlineStr"/>
      <c r="J42" s="9" t="inlineStr">
        <is>
          <t>Open</t>
        </is>
      </c>
      <c r="K42" s="9" t="inlineStr">
        <is>
          <t>Report code bank-book</t>
        </is>
      </c>
    </row>
    <row r="43">
      <c r="A43" s="9" t="inlineStr">
        <is>
          <t>RP-42</t>
        </is>
      </c>
      <c r="B43" s="9" t="inlineStr">
        <is>
          <t>Management reports</t>
        </is>
      </c>
      <c r="C43" s="9" t="inlineStr">
        <is>
          <t>Premium by Product / Month / Insurer: used? by whom, how often, any column or filter needs</t>
        </is>
      </c>
      <c r="D43" s="9" t="inlineStr">
        <is>
          <t>Reports &gt; All Reports &gt; Premium by Product / Month / Insurer (definition screen: Dashboard &gt; Executive Dashboard &gt; Reports)</t>
        </is>
      </c>
      <c r="E43" s="9" t="inlineStr">
        <is>
          <t>Delivered</t>
        </is>
      </c>
      <c r="F43" s="10" t="inlineStr"/>
      <c r="G43" s="9" t="inlineStr">
        <is>
          <t>Report owner</t>
        </is>
      </c>
      <c r="H43" s="9" t="inlineStr">
        <is>
          <t>UAT</t>
        </is>
      </c>
      <c r="I43" s="11" t="inlineStr"/>
      <c r="J43" s="9" t="inlineStr">
        <is>
          <t>Open</t>
        </is>
      </c>
      <c r="K43" s="9" t="inlineStr">
        <is>
          <t>Report code premium-by-product</t>
        </is>
      </c>
    </row>
    <row r="44">
      <c r="A44" s="9" t="inlineStr">
        <is>
          <t>RP-43</t>
        </is>
      </c>
      <c r="B44" s="9" t="inlineStr">
        <is>
          <t>Management reports</t>
        </is>
      </c>
      <c r="C44" s="9" t="inlineStr">
        <is>
          <t>New Business vs Renewals: used? by whom, how often, any column or filter needs</t>
        </is>
      </c>
      <c r="D44" s="9" t="inlineStr">
        <is>
          <t>Reports &gt; All Reports &gt; New Business vs Renewals (definition screen: Dashboard &gt; Executive Dashboard &gt; Reports)</t>
        </is>
      </c>
      <c r="E44" s="9" t="inlineStr">
        <is>
          <t>Delivered</t>
        </is>
      </c>
      <c r="F44" s="10" t="inlineStr"/>
      <c r="G44" s="9" t="inlineStr">
        <is>
          <t>Report owner</t>
        </is>
      </c>
      <c r="H44" s="9" t="inlineStr">
        <is>
          <t>UAT</t>
        </is>
      </c>
      <c r="I44" s="11" t="inlineStr"/>
      <c r="J44" s="9" t="inlineStr">
        <is>
          <t>Open</t>
        </is>
      </c>
      <c r="K44" s="9" t="inlineStr">
        <is>
          <t>Report code new-vs-renewal</t>
        </is>
      </c>
    </row>
  </sheetData>
  <autoFilter ref="A1:K44"/>
  <conditionalFormatting sqref="A2:K44">
    <cfRule type="expression" priority="1" dxfId="0">
      <formula>$J2="Configured"</formula>
    </cfRule>
    <cfRule type="expression" priority="2" dxfId="1">
      <formula>$J2="Gap (CR)"</formula>
    </cfRule>
  </conditionalFormatting>
  <dataValidations count="2">
    <dataValidation sqref="J2:J44" showDropDown="0" showInputMessage="0" showErrorMessage="0" allowBlank="1" type="list">
      <formula1>"Open,Answered,Confirmed,Configured,Not applicable,Gap (CR)"</formula1>
    </dataValidation>
    <dataValidation sqref="I2:I44"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2026-10-03T18:45:18Z</dcterms:created>
  <dcterms:modified xmlns:dcterms="http://purl.org/dc/terms/" xmlns:xsi="http://www.w3.org/2001/XMLSchema-instance" xsi:type="dcterms:W3CDTF">2026-10-03T18:45:19Z</dcterms:modified>
</cp:coreProperties>
</file>