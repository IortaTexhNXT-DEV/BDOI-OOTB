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Cases" sheetId="2" state="visible" r:id="rId2"/>
    <sheet xmlns:r="http://schemas.openxmlformats.org/officeDocument/2006/relationships" name="Traceability" sheetId="3" state="visible" r:id="rId3"/>
    <sheet xmlns:r="http://schemas.openxmlformats.org/officeDocument/2006/relationships" name="Defects and Observations" sheetId="4" state="visible" r:id="rId4"/>
  </sheets>
  <definedNames>
    <definedName name="_xlnm._FilterDatabase" localSheetId="1" hidden="1">'Test Cases'!$A$1:$R$498</definedName>
    <definedName name="_xlnm._FilterDatabase" localSheetId="2" hidden="1">'Traceability'!$A$1:$J$498</definedName>
    <definedName name="_xlnm._FilterDatabase" localSheetId="3" hidden="1">'Defects and Observations'!$A$1:$J$9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10"/>
    </font>
    <font>
      <b val="1"/>
      <color rgb="000F4761"/>
      <sz val="14"/>
    </font>
    <font>
      <b val="1"/>
      <sz val="10"/>
    </font>
    <font>
      <sz val="10"/>
    </font>
    <font>
      <b val="1"/>
    </font>
  </fonts>
  <fills count="7">
    <fill>
      <patternFill/>
    </fill>
    <fill>
      <patternFill patternType="gray125"/>
    </fill>
    <fill>
      <patternFill patternType="solid">
        <fgColor rgb="000F4761"/>
      </patternFill>
    </fill>
    <fill>
      <patternFill patternType="solid">
        <fgColor rgb="00548235"/>
      </patternFill>
    </fill>
    <fill>
      <patternFill patternType="solid">
        <fgColor rgb="00C00000"/>
      </patternFill>
    </fill>
    <fill>
      <patternFill patternType="solid">
        <fgColor rgb="00BF8F00"/>
      </patternFill>
    </fill>
    <fill>
      <patternFill patternType="solid">
        <fgColor rgb="007F7F7F"/>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20">
    <xf numFmtId="0" fontId="0" fillId="0" borderId="0" pivotButton="0" quotePrefix="0" xfId="0"/>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1" fillId="2" borderId="1" applyAlignment="1" pivotButton="0" quotePrefix="0" xfId="0">
      <alignment horizontal="center"/>
    </xf>
    <xf numFmtId="0" fontId="1" fillId="3" borderId="1" applyAlignment="1" pivotButton="0" quotePrefix="0" xfId="0">
      <alignment horizontal="center"/>
    </xf>
    <xf numFmtId="0" fontId="1" fillId="4" borderId="1" applyAlignment="1" pivotButton="0" quotePrefix="0" xfId="0">
      <alignment horizontal="center"/>
    </xf>
    <xf numFmtId="0" fontId="1" fillId="5" borderId="1" applyAlignment="1" pivotButton="0" quotePrefix="0" xfId="0">
      <alignment horizontal="center"/>
    </xf>
    <xf numFmtId="0" fontId="1" fillId="6" borderId="1" applyAlignment="1" pivotButton="0" quotePrefix="0" xfId="0">
      <alignment horizontal="center"/>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4" fillId="0" borderId="1" pivotButton="0" quotePrefix="0" xfId="0"/>
    <xf numFmtId="0" fontId="4" fillId="0" borderId="1" applyAlignment="1" pivotButton="0" quotePrefix="0" xfId="0">
      <alignment horizontal="center"/>
    </xf>
    <xf numFmtId="9" fontId="4" fillId="0" borderId="1" applyAlignment="1" pivotButton="0" quotePrefix="0" xfId="0">
      <alignment horizontal="center"/>
    </xf>
    <xf numFmtId="0" fontId="1" fillId="2" borderId="1" pivotButton="0" quotePrefix="0" xfId="0"/>
    <xf numFmtId="0" fontId="0" fillId="0" borderId="1" pivotButton="0" quotePrefix="0" xfId="0"/>
    <xf numFmtId="0" fontId="6"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dxfs count="6">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E7E6E6"/>
          <bgColor rgb="00E7E6E6"/>
        </patternFill>
      </fill>
    </dxf>
    <dxf>
      <fill>
        <patternFill patternType="solid">
          <fgColor rgb="00F8CBAD"/>
          <bgColor rgb="00F8CBAD"/>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BrokerVerse OOTB: Test Execution Summary</t>
        </is>
      </c>
    </row>
    <row r="3" ht="15" customHeight="1">
      <c r="A3" s="2" t="inlineStr">
        <is>
          <t>Product</t>
        </is>
      </c>
      <c r="B3" s="3" t="inlineStr">
        <is>
          <t>BrokerVerse OOTB (Philippine non-life insurance broking platform)</t>
        </is>
      </c>
    </row>
    <row r="4" ht="15" customHeight="1">
      <c r="A4" s="2" t="inlineStr">
        <is>
          <t>Prepared by</t>
        </is>
      </c>
      <c r="B4" s="3" t="inlineStr">
        <is>
          <t>iorta TechNXT QA</t>
        </is>
      </c>
    </row>
    <row r="5" ht="15" customHeight="1">
      <c r="A5" s="2" t="inlineStr">
        <is>
          <t>Execution dates</t>
        </is>
      </c>
      <c r="B5" s="3" t="inlineStr">
        <is>
          <t>03 to 04 October 2026</t>
        </is>
      </c>
    </row>
    <row r="6" ht="30" customHeight="1">
      <c r="A6" s="2" t="inlineStr">
        <is>
          <t>Environment</t>
        </is>
      </c>
      <c r="B6" s="3" t="inlineStr">
        <is>
          <t>Production build on a fresh PostgreSQL database with the UAT data set (business date 04 October 2026, months May to October 2026)</t>
        </is>
      </c>
    </row>
    <row r="7" ht="30" customHeight="1">
      <c r="A7" s="2" t="inlineStr">
        <is>
          <t>Evidence</t>
        </is>
      </c>
      <c r="B7" s="3" t="inlineStr">
        <is>
          <t>Backend regression run of 03 October 2026 (634 tests); front-end unit tests (43); end-to-end UAT cycle (371 steps); screen check of every menu screen for the administrator and six role users</t>
        </is>
      </c>
    </row>
    <row r="8" ht="30" customHeight="1">
      <c r="A8" s="2" t="inlineStr">
        <is>
          <t>Status values</t>
        </is>
      </c>
      <c r="B8" s="3" t="inlineStr">
        <is>
          <t>Pass: result observed as expected. Fail: result differs; defect raised. Blocked: cannot be executed in this environment. Not Run: not executed in this cycle.</t>
        </is>
      </c>
    </row>
    <row r="10">
      <c r="A10" s="4" t="inlineStr">
        <is>
          <t>Module</t>
        </is>
      </c>
      <c r="B10" s="4" t="inlineStr">
        <is>
          <t>Total</t>
        </is>
      </c>
      <c r="C10" s="5" t="inlineStr">
        <is>
          <t>Pass</t>
        </is>
      </c>
      <c r="D10" s="6" t="inlineStr">
        <is>
          <t>Fail</t>
        </is>
      </c>
      <c r="E10" s="7" t="inlineStr">
        <is>
          <t>Blocked</t>
        </is>
      </c>
      <c r="F10" s="8" t="inlineStr">
        <is>
          <t>Not Run</t>
        </is>
      </c>
      <c r="G10" s="4" t="inlineStr">
        <is>
          <t>Pass %</t>
        </is>
      </c>
    </row>
    <row r="11">
      <c r="A11" s="9" t="inlineStr">
        <is>
          <t>Sign-in and security</t>
        </is>
      </c>
      <c r="B11" s="10">
        <f>COUNTIF('Test Cases'!$B$2:$B$498,A11)</f>
        <v/>
      </c>
      <c r="C11" s="10">
        <f>COUNTIFS('Test Cases'!$B$2:$B$498,$A11,'Test Cases'!$M$2:$M$498,"Pass")</f>
        <v/>
      </c>
      <c r="D11" s="10">
        <f>COUNTIFS('Test Cases'!$B$2:$B$498,$A11,'Test Cases'!$M$2:$M$498,"Fail")</f>
        <v/>
      </c>
      <c r="E11" s="10">
        <f>COUNTIFS('Test Cases'!$B$2:$B$498,$A11,'Test Cases'!$M$2:$M$498,"Blocked")</f>
        <v/>
      </c>
      <c r="F11" s="10">
        <f>COUNTIFS('Test Cases'!$B$2:$B$498,$A11,'Test Cases'!$M$2:$M$498,"Not Run")</f>
        <v/>
      </c>
      <c r="G11" s="11">
        <f>IF(B11=0,0,C11/B11)</f>
        <v/>
      </c>
    </row>
    <row r="12">
      <c r="A12" s="9" t="inlineStr">
        <is>
          <t>User and role administration</t>
        </is>
      </c>
      <c r="B12" s="10">
        <f>COUNTIF('Test Cases'!$B$2:$B$498,A12)</f>
        <v/>
      </c>
      <c r="C12" s="10">
        <f>COUNTIFS('Test Cases'!$B$2:$B$498,$A12,'Test Cases'!$M$2:$M$498,"Pass")</f>
        <v/>
      </c>
      <c r="D12" s="10">
        <f>COUNTIFS('Test Cases'!$B$2:$B$498,$A12,'Test Cases'!$M$2:$M$498,"Fail")</f>
        <v/>
      </c>
      <c r="E12" s="10">
        <f>COUNTIFS('Test Cases'!$B$2:$B$498,$A12,'Test Cases'!$M$2:$M$498,"Blocked")</f>
        <v/>
      </c>
      <c r="F12" s="10">
        <f>COUNTIFS('Test Cases'!$B$2:$B$498,$A12,'Test Cases'!$M$2:$M$498,"Not Run")</f>
        <v/>
      </c>
      <c r="G12" s="11">
        <f>IF(B12=0,0,C12/B12)</f>
        <v/>
      </c>
    </row>
    <row r="13">
      <c r="A13" s="9" t="inlineStr">
        <is>
          <t>Masters</t>
        </is>
      </c>
      <c r="B13" s="10">
        <f>COUNTIF('Test Cases'!$B$2:$B$498,A13)</f>
        <v/>
      </c>
      <c r="C13" s="10">
        <f>COUNTIFS('Test Cases'!$B$2:$B$498,$A13,'Test Cases'!$M$2:$M$498,"Pass")</f>
        <v/>
      </c>
      <c r="D13" s="10">
        <f>COUNTIFS('Test Cases'!$B$2:$B$498,$A13,'Test Cases'!$M$2:$M$498,"Fail")</f>
        <v/>
      </c>
      <c r="E13" s="10">
        <f>COUNTIFS('Test Cases'!$B$2:$B$498,$A13,'Test Cases'!$M$2:$M$498,"Blocked")</f>
        <v/>
      </c>
      <c r="F13" s="10">
        <f>COUNTIFS('Test Cases'!$B$2:$B$498,$A13,'Test Cases'!$M$2:$M$498,"Not Run")</f>
        <v/>
      </c>
      <c r="G13" s="11">
        <f>IF(B13=0,0,C13/B13)</f>
        <v/>
      </c>
    </row>
    <row r="14">
      <c r="A14" s="9" t="inlineStr">
        <is>
          <t>Configuration and numbering</t>
        </is>
      </c>
      <c r="B14" s="10">
        <f>COUNTIF('Test Cases'!$B$2:$B$498,A14)</f>
        <v/>
      </c>
      <c r="C14" s="10">
        <f>COUNTIFS('Test Cases'!$B$2:$B$498,$A14,'Test Cases'!$M$2:$M$498,"Pass")</f>
        <v/>
      </c>
      <c r="D14" s="10">
        <f>COUNTIFS('Test Cases'!$B$2:$B$498,$A14,'Test Cases'!$M$2:$M$498,"Fail")</f>
        <v/>
      </c>
      <c r="E14" s="10">
        <f>COUNTIFS('Test Cases'!$B$2:$B$498,$A14,'Test Cases'!$M$2:$M$498,"Blocked")</f>
        <v/>
      </c>
      <c r="F14" s="10">
        <f>COUNTIFS('Test Cases'!$B$2:$B$498,$A14,'Test Cases'!$M$2:$M$498,"Not Run")</f>
        <v/>
      </c>
      <c r="G14" s="11">
        <f>IF(B14=0,0,C14/B14)</f>
        <v/>
      </c>
    </row>
    <row r="15">
      <c r="A15" s="9" t="inlineStr">
        <is>
          <t>Product configurator</t>
        </is>
      </c>
      <c r="B15" s="10">
        <f>COUNTIF('Test Cases'!$B$2:$B$498,A15)</f>
        <v/>
      </c>
      <c r="C15" s="10">
        <f>COUNTIFS('Test Cases'!$B$2:$B$498,$A15,'Test Cases'!$M$2:$M$498,"Pass")</f>
        <v/>
      </c>
      <c r="D15" s="10">
        <f>COUNTIFS('Test Cases'!$B$2:$B$498,$A15,'Test Cases'!$M$2:$M$498,"Fail")</f>
        <v/>
      </c>
      <c r="E15" s="10">
        <f>COUNTIFS('Test Cases'!$B$2:$B$498,$A15,'Test Cases'!$M$2:$M$498,"Blocked")</f>
        <v/>
      </c>
      <c r="F15" s="10">
        <f>COUNTIFS('Test Cases'!$B$2:$B$498,$A15,'Test Cases'!$M$2:$M$498,"Not Run")</f>
        <v/>
      </c>
      <c r="G15" s="11">
        <f>IF(B15=0,0,C15/B15)</f>
        <v/>
      </c>
    </row>
    <row r="16">
      <c r="A16" s="9" t="inlineStr">
        <is>
          <t>Go-live data load</t>
        </is>
      </c>
      <c r="B16" s="10">
        <f>COUNTIF('Test Cases'!$B$2:$B$498,A16)</f>
        <v/>
      </c>
      <c r="C16" s="10">
        <f>COUNTIFS('Test Cases'!$B$2:$B$498,$A16,'Test Cases'!$M$2:$M$498,"Pass")</f>
        <v/>
      </c>
      <c r="D16" s="10">
        <f>COUNTIFS('Test Cases'!$B$2:$B$498,$A16,'Test Cases'!$M$2:$M$498,"Fail")</f>
        <v/>
      </c>
      <c r="E16" s="10">
        <f>COUNTIFS('Test Cases'!$B$2:$B$498,$A16,'Test Cases'!$M$2:$M$498,"Blocked")</f>
        <v/>
      </c>
      <c r="F16" s="10">
        <f>COUNTIFS('Test Cases'!$B$2:$B$498,$A16,'Test Cases'!$M$2:$M$498,"Not Run")</f>
        <v/>
      </c>
      <c r="G16" s="11">
        <f>IF(B16=0,0,C16/B16)</f>
        <v/>
      </c>
    </row>
    <row r="17">
      <c r="A17" s="9" t="inlineStr">
        <is>
          <t>Prospects and clients</t>
        </is>
      </c>
      <c r="B17" s="10">
        <f>COUNTIF('Test Cases'!$B$2:$B$498,A17)</f>
        <v/>
      </c>
      <c r="C17" s="10">
        <f>COUNTIFS('Test Cases'!$B$2:$B$498,$A17,'Test Cases'!$M$2:$M$498,"Pass")</f>
        <v/>
      </c>
      <c r="D17" s="10">
        <f>COUNTIFS('Test Cases'!$B$2:$B$498,$A17,'Test Cases'!$M$2:$M$498,"Fail")</f>
        <v/>
      </c>
      <c r="E17" s="10">
        <f>COUNTIFS('Test Cases'!$B$2:$B$498,$A17,'Test Cases'!$M$2:$M$498,"Blocked")</f>
        <v/>
      </c>
      <c r="F17" s="10">
        <f>COUNTIFS('Test Cases'!$B$2:$B$498,$A17,'Test Cases'!$M$2:$M$498,"Not Run")</f>
        <v/>
      </c>
      <c r="G17" s="11">
        <f>IF(B17=0,0,C17/B17)</f>
        <v/>
      </c>
    </row>
    <row r="18">
      <c r="A18" s="9" t="inlineStr">
        <is>
          <t>Quick quote and compare insurers</t>
        </is>
      </c>
      <c r="B18" s="10">
        <f>COUNTIF('Test Cases'!$B$2:$B$498,A18)</f>
        <v/>
      </c>
      <c r="C18" s="10">
        <f>COUNTIFS('Test Cases'!$B$2:$B$498,$A18,'Test Cases'!$M$2:$M$498,"Pass")</f>
        <v/>
      </c>
      <c r="D18" s="10">
        <f>COUNTIFS('Test Cases'!$B$2:$B$498,$A18,'Test Cases'!$M$2:$M$498,"Fail")</f>
        <v/>
      </c>
      <c r="E18" s="10">
        <f>COUNTIFS('Test Cases'!$B$2:$B$498,$A18,'Test Cases'!$M$2:$M$498,"Blocked")</f>
        <v/>
      </c>
      <c r="F18" s="10">
        <f>COUNTIFS('Test Cases'!$B$2:$B$498,$A18,'Test Cases'!$M$2:$M$498,"Not Run")</f>
        <v/>
      </c>
      <c r="G18" s="11">
        <f>IF(B18=0,0,C18/B18)</f>
        <v/>
      </c>
    </row>
    <row r="19">
      <c r="A19" s="9" t="inlineStr">
        <is>
          <t>Quotations and customer response</t>
        </is>
      </c>
      <c r="B19" s="10">
        <f>COUNTIF('Test Cases'!$B$2:$B$498,A19)</f>
        <v/>
      </c>
      <c r="C19" s="10">
        <f>COUNTIFS('Test Cases'!$B$2:$B$498,$A19,'Test Cases'!$M$2:$M$498,"Pass")</f>
        <v/>
      </c>
      <c r="D19" s="10">
        <f>COUNTIFS('Test Cases'!$B$2:$B$498,$A19,'Test Cases'!$M$2:$M$498,"Fail")</f>
        <v/>
      </c>
      <c r="E19" s="10">
        <f>COUNTIFS('Test Cases'!$B$2:$B$498,$A19,'Test Cases'!$M$2:$M$498,"Blocked")</f>
        <v/>
      </c>
      <c r="F19" s="10">
        <f>COUNTIFS('Test Cases'!$B$2:$B$498,$A19,'Test Cases'!$M$2:$M$498,"Not Run")</f>
        <v/>
      </c>
      <c r="G19" s="11">
        <f>IF(B19=0,0,C19/B19)</f>
        <v/>
      </c>
    </row>
    <row r="20">
      <c r="A20" s="9" t="inlineStr">
        <is>
          <t>Request for quotation and placement</t>
        </is>
      </c>
      <c r="B20" s="10">
        <f>COUNTIF('Test Cases'!$B$2:$B$498,A20)</f>
        <v/>
      </c>
      <c r="C20" s="10">
        <f>COUNTIFS('Test Cases'!$B$2:$B$498,$A20,'Test Cases'!$M$2:$M$498,"Pass")</f>
        <v/>
      </c>
      <c r="D20" s="10">
        <f>COUNTIFS('Test Cases'!$B$2:$B$498,$A20,'Test Cases'!$M$2:$M$498,"Fail")</f>
        <v/>
      </c>
      <c r="E20" s="10">
        <f>COUNTIFS('Test Cases'!$B$2:$B$498,$A20,'Test Cases'!$M$2:$M$498,"Blocked")</f>
        <v/>
      </c>
      <c r="F20" s="10">
        <f>COUNTIFS('Test Cases'!$B$2:$B$498,$A20,'Test Cases'!$M$2:$M$498,"Not Run")</f>
        <v/>
      </c>
      <c r="G20" s="11">
        <f>IF(B20=0,0,C20/B20)</f>
        <v/>
      </c>
    </row>
    <row r="21">
      <c r="A21" s="9" t="inlineStr">
        <is>
          <t>Policy issuance</t>
        </is>
      </c>
      <c r="B21" s="10">
        <f>COUNTIF('Test Cases'!$B$2:$B$498,A21)</f>
        <v/>
      </c>
      <c r="C21" s="10">
        <f>COUNTIFS('Test Cases'!$B$2:$B$498,$A21,'Test Cases'!$M$2:$M$498,"Pass")</f>
        <v/>
      </c>
      <c r="D21" s="10">
        <f>COUNTIFS('Test Cases'!$B$2:$B$498,$A21,'Test Cases'!$M$2:$M$498,"Fail")</f>
        <v/>
      </c>
      <c r="E21" s="10">
        <f>COUNTIFS('Test Cases'!$B$2:$B$498,$A21,'Test Cases'!$M$2:$M$498,"Blocked")</f>
        <v/>
      </c>
      <c r="F21" s="10">
        <f>COUNTIFS('Test Cases'!$B$2:$B$498,$A21,'Test Cases'!$M$2:$M$498,"Not Run")</f>
        <v/>
      </c>
      <c r="G21" s="11">
        <f>IF(B21=0,0,C21/B21)</f>
        <v/>
      </c>
    </row>
    <row r="22">
      <c r="A22" s="9" t="inlineStr">
        <is>
          <t>Endorsements and cancellations</t>
        </is>
      </c>
      <c r="B22" s="10">
        <f>COUNTIF('Test Cases'!$B$2:$B$498,A22)</f>
        <v/>
      </c>
      <c r="C22" s="10">
        <f>COUNTIFS('Test Cases'!$B$2:$B$498,$A22,'Test Cases'!$M$2:$M$498,"Pass")</f>
        <v/>
      </c>
      <c r="D22" s="10">
        <f>COUNTIFS('Test Cases'!$B$2:$B$498,$A22,'Test Cases'!$M$2:$M$498,"Fail")</f>
        <v/>
      </c>
      <c r="E22" s="10">
        <f>COUNTIFS('Test Cases'!$B$2:$B$498,$A22,'Test Cases'!$M$2:$M$498,"Blocked")</f>
        <v/>
      </c>
      <c r="F22" s="10">
        <f>COUNTIFS('Test Cases'!$B$2:$B$498,$A22,'Test Cases'!$M$2:$M$498,"Not Run")</f>
        <v/>
      </c>
      <c r="G22" s="11">
        <f>IF(B22=0,0,C22/B22)</f>
        <v/>
      </c>
    </row>
    <row r="23">
      <c r="A23" s="9" t="inlineStr">
        <is>
          <t>Claims</t>
        </is>
      </c>
      <c r="B23" s="10">
        <f>COUNTIF('Test Cases'!$B$2:$B$498,A23)</f>
        <v/>
      </c>
      <c r="C23" s="10">
        <f>COUNTIFS('Test Cases'!$B$2:$B$498,$A23,'Test Cases'!$M$2:$M$498,"Pass")</f>
        <v/>
      </c>
      <c r="D23" s="10">
        <f>COUNTIFS('Test Cases'!$B$2:$B$498,$A23,'Test Cases'!$M$2:$M$498,"Fail")</f>
        <v/>
      </c>
      <c r="E23" s="10">
        <f>COUNTIFS('Test Cases'!$B$2:$B$498,$A23,'Test Cases'!$M$2:$M$498,"Blocked")</f>
        <v/>
      </c>
      <c r="F23" s="10">
        <f>COUNTIFS('Test Cases'!$B$2:$B$498,$A23,'Test Cases'!$M$2:$M$498,"Not Run")</f>
        <v/>
      </c>
      <c r="G23" s="11">
        <f>IF(B23=0,0,C23/B23)</f>
        <v/>
      </c>
    </row>
    <row r="24">
      <c r="A24" s="9" t="inlineStr">
        <is>
          <t>Renewals</t>
        </is>
      </c>
      <c r="B24" s="10">
        <f>COUNTIF('Test Cases'!$B$2:$B$498,A24)</f>
        <v/>
      </c>
      <c r="C24" s="10">
        <f>COUNTIFS('Test Cases'!$B$2:$B$498,$A24,'Test Cases'!$M$2:$M$498,"Pass")</f>
        <v/>
      </c>
      <c r="D24" s="10">
        <f>COUNTIFS('Test Cases'!$B$2:$B$498,$A24,'Test Cases'!$M$2:$M$498,"Fail")</f>
        <v/>
      </c>
      <c r="E24" s="10">
        <f>COUNTIFS('Test Cases'!$B$2:$B$498,$A24,'Test Cases'!$M$2:$M$498,"Blocked")</f>
        <v/>
      </c>
      <c r="F24" s="10">
        <f>COUNTIFS('Test Cases'!$B$2:$B$498,$A24,'Test Cases'!$M$2:$M$498,"Not Run")</f>
        <v/>
      </c>
      <c r="G24" s="11">
        <f>IF(B24=0,0,C24/B24)</f>
        <v/>
      </c>
    </row>
    <row r="25">
      <c r="A25" s="9" t="inlineStr">
        <is>
          <t>Open items and payments</t>
        </is>
      </c>
      <c r="B25" s="10">
        <f>COUNTIF('Test Cases'!$B$2:$B$498,A25)</f>
        <v/>
      </c>
      <c r="C25" s="10">
        <f>COUNTIFS('Test Cases'!$B$2:$B$498,$A25,'Test Cases'!$M$2:$M$498,"Pass")</f>
        <v/>
      </c>
      <c r="D25" s="10">
        <f>COUNTIFS('Test Cases'!$B$2:$B$498,$A25,'Test Cases'!$M$2:$M$498,"Fail")</f>
        <v/>
      </c>
      <c r="E25" s="10">
        <f>COUNTIFS('Test Cases'!$B$2:$B$498,$A25,'Test Cases'!$M$2:$M$498,"Blocked")</f>
        <v/>
      </c>
      <c r="F25" s="10">
        <f>COUNTIFS('Test Cases'!$B$2:$B$498,$A25,'Test Cases'!$M$2:$M$498,"Not Run")</f>
        <v/>
      </c>
      <c r="G25" s="11">
        <f>IF(B25=0,0,C25/B25)</f>
        <v/>
      </c>
    </row>
    <row r="26">
      <c r="A26" s="9" t="inlineStr">
        <is>
          <t>Billing and receipts</t>
        </is>
      </c>
      <c r="B26" s="10">
        <f>COUNTIF('Test Cases'!$B$2:$B$498,A26)</f>
        <v/>
      </c>
      <c r="C26" s="10">
        <f>COUNTIFS('Test Cases'!$B$2:$B$498,$A26,'Test Cases'!$M$2:$M$498,"Pass")</f>
        <v/>
      </c>
      <c r="D26" s="10">
        <f>COUNTIFS('Test Cases'!$B$2:$B$498,$A26,'Test Cases'!$M$2:$M$498,"Fail")</f>
        <v/>
      </c>
      <c r="E26" s="10">
        <f>COUNTIFS('Test Cases'!$B$2:$B$498,$A26,'Test Cases'!$M$2:$M$498,"Blocked")</f>
        <v/>
      </c>
      <c r="F26" s="10">
        <f>COUNTIFS('Test Cases'!$B$2:$B$498,$A26,'Test Cases'!$M$2:$M$498,"Not Run")</f>
        <v/>
      </c>
      <c r="G26" s="11">
        <f>IF(B26=0,0,C26/B26)</f>
        <v/>
      </c>
    </row>
    <row r="27">
      <c r="A27" s="9" t="inlineStr">
        <is>
          <t>Collections and credit control</t>
        </is>
      </c>
      <c r="B27" s="10">
        <f>COUNTIF('Test Cases'!$B$2:$B$498,A27)</f>
        <v/>
      </c>
      <c r="C27" s="10">
        <f>COUNTIFS('Test Cases'!$B$2:$B$498,$A27,'Test Cases'!$M$2:$M$498,"Pass")</f>
        <v/>
      </c>
      <c r="D27" s="10">
        <f>COUNTIFS('Test Cases'!$B$2:$B$498,$A27,'Test Cases'!$M$2:$M$498,"Fail")</f>
        <v/>
      </c>
      <c r="E27" s="10">
        <f>COUNTIFS('Test Cases'!$B$2:$B$498,$A27,'Test Cases'!$M$2:$M$498,"Blocked")</f>
        <v/>
      </c>
      <c r="F27" s="10">
        <f>COUNTIFS('Test Cases'!$B$2:$B$498,$A27,'Test Cases'!$M$2:$M$498,"Not Run")</f>
        <v/>
      </c>
      <c r="G27" s="11">
        <f>IF(B27=0,0,C27/B27)</f>
        <v/>
      </c>
    </row>
    <row r="28">
      <c r="A28" s="9" t="inlineStr">
        <is>
          <t>Disbursement and payment vouchers</t>
        </is>
      </c>
      <c r="B28" s="10">
        <f>COUNTIF('Test Cases'!$B$2:$B$498,A28)</f>
        <v/>
      </c>
      <c r="C28" s="10">
        <f>COUNTIFS('Test Cases'!$B$2:$B$498,$A28,'Test Cases'!$M$2:$M$498,"Pass")</f>
        <v/>
      </c>
      <c r="D28" s="10">
        <f>COUNTIFS('Test Cases'!$B$2:$B$498,$A28,'Test Cases'!$M$2:$M$498,"Fail")</f>
        <v/>
      </c>
      <c r="E28" s="10">
        <f>COUNTIFS('Test Cases'!$B$2:$B$498,$A28,'Test Cases'!$M$2:$M$498,"Blocked")</f>
        <v/>
      </c>
      <c r="F28" s="10">
        <f>COUNTIFS('Test Cases'!$B$2:$B$498,$A28,'Test Cases'!$M$2:$M$498,"Not Run")</f>
        <v/>
      </c>
      <c r="G28" s="11">
        <f>IF(B28=0,0,C28/B28)</f>
        <v/>
      </c>
    </row>
    <row r="29">
      <c r="A29" s="9" t="inlineStr">
        <is>
          <t>Remittance to insurers</t>
        </is>
      </c>
      <c r="B29" s="10">
        <f>COUNTIF('Test Cases'!$B$2:$B$498,A29)</f>
        <v/>
      </c>
      <c r="C29" s="10">
        <f>COUNTIFS('Test Cases'!$B$2:$B$498,$A29,'Test Cases'!$M$2:$M$498,"Pass")</f>
        <v/>
      </c>
      <c r="D29" s="10">
        <f>COUNTIFS('Test Cases'!$B$2:$B$498,$A29,'Test Cases'!$M$2:$M$498,"Fail")</f>
        <v/>
      </c>
      <c r="E29" s="10">
        <f>COUNTIFS('Test Cases'!$B$2:$B$498,$A29,'Test Cases'!$M$2:$M$498,"Blocked")</f>
        <v/>
      </c>
      <c r="F29" s="10">
        <f>COUNTIFS('Test Cases'!$B$2:$B$498,$A29,'Test Cases'!$M$2:$M$498,"Not Run")</f>
        <v/>
      </c>
      <c r="G29" s="11">
        <f>IF(B29=0,0,C29/B29)</f>
        <v/>
      </c>
    </row>
    <row r="30">
      <c r="A30" s="9" t="inlineStr">
        <is>
          <t>Direct bill</t>
        </is>
      </c>
      <c r="B30" s="10">
        <f>COUNTIF('Test Cases'!$B$2:$B$498,A30)</f>
        <v/>
      </c>
      <c r="C30" s="10">
        <f>COUNTIFS('Test Cases'!$B$2:$B$498,$A30,'Test Cases'!$M$2:$M$498,"Pass")</f>
        <v/>
      </c>
      <c r="D30" s="10">
        <f>COUNTIFS('Test Cases'!$B$2:$B$498,$A30,'Test Cases'!$M$2:$M$498,"Fail")</f>
        <v/>
      </c>
      <c r="E30" s="10">
        <f>COUNTIFS('Test Cases'!$B$2:$B$498,$A30,'Test Cases'!$M$2:$M$498,"Blocked")</f>
        <v/>
      </c>
      <c r="F30" s="10">
        <f>COUNTIFS('Test Cases'!$B$2:$B$498,$A30,'Test Cases'!$M$2:$M$498,"Not Run")</f>
        <v/>
      </c>
      <c r="G30" s="11">
        <f>IF(B30=0,0,C30/B30)</f>
        <v/>
      </c>
    </row>
    <row r="31">
      <c r="A31" s="9" t="inlineStr">
        <is>
          <t>Commission and referrers</t>
        </is>
      </c>
      <c r="B31" s="10">
        <f>COUNTIF('Test Cases'!$B$2:$B$498,A31)</f>
        <v/>
      </c>
      <c r="C31" s="10">
        <f>COUNTIFS('Test Cases'!$B$2:$B$498,$A31,'Test Cases'!$M$2:$M$498,"Pass")</f>
        <v/>
      </c>
      <c r="D31" s="10">
        <f>COUNTIFS('Test Cases'!$B$2:$B$498,$A31,'Test Cases'!$M$2:$M$498,"Fail")</f>
        <v/>
      </c>
      <c r="E31" s="10">
        <f>COUNTIFS('Test Cases'!$B$2:$B$498,$A31,'Test Cases'!$M$2:$M$498,"Blocked")</f>
        <v/>
      </c>
      <c r="F31" s="10">
        <f>COUNTIFS('Test Cases'!$B$2:$B$498,$A31,'Test Cases'!$M$2:$M$498,"Not Run")</f>
        <v/>
      </c>
      <c r="G31" s="11">
        <f>IF(B31=0,0,C31/B31)</f>
        <v/>
      </c>
    </row>
    <row r="32">
      <c r="A32" s="9" t="inlineStr">
        <is>
          <t>Petty cash</t>
        </is>
      </c>
      <c r="B32" s="10">
        <f>COUNTIF('Test Cases'!$B$2:$B$498,A32)</f>
        <v/>
      </c>
      <c r="C32" s="10">
        <f>COUNTIFS('Test Cases'!$B$2:$B$498,$A32,'Test Cases'!$M$2:$M$498,"Pass")</f>
        <v/>
      </c>
      <c r="D32" s="10">
        <f>COUNTIFS('Test Cases'!$B$2:$B$498,$A32,'Test Cases'!$M$2:$M$498,"Fail")</f>
        <v/>
      </c>
      <c r="E32" s="10">
        <f>COUNTIFS('Test Cases'!$B$2:$B$498,$A32,'Test Cases'!$M$2:$M$498,"Blocked")</f>
        <v/>
      </c>
      <c r="F32" s="10">
        <f>COUNTIFS('Test Cases'!$B$2:$B$498,$A32,'Test Cases'!$M$2:$M$498,"Not Run")</f>
        <v/>
      </c>
      <c r="G32" s="11">
        <f>IF(B32=0,0,C32/B32)</f>
        <v/>
      </c>
    </row>
    <row r="33">
      <c r="A33" s="9" t="inlineStr">
        <is>
          <t>Journal vouchers and ledger</t>
        </is>
      </c>
      <c r="B33" s="10">
        <f>COUNTIF('Test Cases'!$B$2:$B$498,A33)</f>
        <v/>
      </c>
      <c r="C33" s="10">
        <f>COUNTIFS('Test Cases'!$B$2:$B$498,$A33,'Test Cases'!$M$2:$M$498,"Pass")</f>
        <v/>
      </c>
      <c r="D33" s="10">
        <f>COUNTIFS('Test Cases'!$B$2:$B$498,$A33,'Test Cases'!$M$2:$M$498,"Fail")</f>
        <v/>
      </c>
      <c r="E33" s="10">
        <f>COUNTIFS('Test Cases'!$B$2:$B$498,$A33,'Test Cases'!$M$2:$M$498,"Blocked")</f>
        <v/>
      </c>
      <c r="F33" s="10">
        <f>COUNTIFS('Test Cases'!$B$2:$B$498,$A33,'Test Cases'!$M$2:$M$498,"Not Run")</f>
        <v/>
      </c>
      <c r="G33" s="11">
        <f>IF(B33=0,0,C33/B33)</f>
        <v/>
      </c>
    </row>
    <row r="34">
      <c r="A34" s="9" t="inlineStr">
        <is>
          <t>Period end</t>
        </is>
      </c>
      <c r="B34" s="10">
        <f>COUNTIF('Test Cases'!$B$2:$B$498,A34)</f>
        <v/>
      </c>
      <c r="C34" s="10">
        <f>COUNTIFS('Test Cases'!$B$2:$B$498,$A34,'Test Cases'!$M$2:$M$498,"Pass")</f>
        <v/>
      </c>
      <c r="D34" s="10">
        <f>COUNTIFS('Test Cases'!$B$2:$B$498,$A34,'Test Cases'!$M$2:$M$498,"Fail")</f>
        <v/>
      </c>
      <c r="E34" s="10">
        <f>COUNTIFS('Test Cases'!$B$2:$B$498,$A34,'Test Cases'!$M$2:$M$498,"Blocked")</f>
        <v/>
      </c>
      <c r="F34" s="10">
        <f>COUNTIFS('Test Cases'!$B$2:$B$498,$A34,'Test Cases'!$M$2:$M$498,"Not Run")</f>
        <v/>
      </c>
      <c r="G34" s="11">
        <f>IF(B34=0,0,C34/B34)</f>
        <v/>
      </c>
    </row>
    <row r="35">
      <c r="A35" s="9" t="inlineStr">
        <is>
          <t>Bank reconciliation</t>
        </is>
      </c>
      <c r="B35" s="10">
        <f>COUNTIF('Test Cases'!$B$2:$B$498,A35)</f>
        <v/>
      </c>
      <c r="C35" s="10">
        <f>COUNTIFS('Test Cases'!$B$2:$B$498,$A35,'Test Cases'!$M$2:$M$498,"Pass")</f>
        <v/>
      </c>
      <c r="D35" s="10">
        <f>COUNTIFS('Test Cases'!$B$2:$B$498,$A35,'Test Cases'!$M$2:$M$498,"Fail")</f>
        <v/>
      </c>
      <c r="E35" s="10">
        <f>COUNTIFS('Test Cases'!$B$2:$B$498,$A35,'Test Cases'!$M$2:$M$498,"Blocked")</f>
        <v/>
      </c>
      <c r="F35" s="10">
        <f>COUNTIFS('Test Cases'!$B$2:$B$498,$A35,'Test Cases'!$M$2:$M$498,"Not Run")</f>
        <v/>
      </c>
      <c r="G35" s="11">
        <f>IF(B35=0,0,C35/B35)</f>
        <v/>
      </c>
    </row>
    <row r="36">
      <c r="A36" s="9" t="inlineStr">
        <is>
          <t>Insurer reconciliation</t>
        </is>
      </c>
      <c r="B36" s="10">
        <f>COUNTIF('Test Cases'!$B$2:$B$498,A36)</f>
        <v/>
      </c>
      <c r="C36" s="10">
        <f>COUNTIFS('Test Cases'!$B$2:$B$498,$A36,'Test Cases'!$M$2:$M$498,"Pass")</f>
        <v/>
      </c>
      <c r="D36" s="10">
        <f>COUNTIFS('Test Cases'!$B$2:$B$498,$A36,'Test Cases'!$M$2:$M$498,"Fail")</f>
        <v/>
      </c>
      <c r="E36" s="10">
        <f>COUNTIFS('Test Cases'!$B$2:$B$498,$A36,'Test Cases'!$M$2:$M$498,"Blocked")</f>
        <v/>
      </c>
      <c r="F36" s="10">
        <f>COUNTIFS('Test Cases'!$B$2:$B$498,$A36,'Test Cases'!$M$2:$M$498,"Not Run")</f>
        <v/>
      </c>
      <c r="G36" s="11">
        <f>IF(B36=0,0,C36/B36)</f>
        <v/>
      </c>
    </row>
    <row r="37">
      <c r="A37" s="9" t="inlineStr">
        <is>
          <t>Tax (BIR)</t>
        </is>
      </c>
      <c r="B37" s="10">
        <f>COUNTIF('Test Cases'!$B$2:$B$498,A37)</f>
        <v/>
      </c>
      <c r="C37" s="10">
        <f>COUNTIFS('Test Cases'!$B$2:$B$498,$A37,'Test Cases'!$M$2:$M$498,"Pass")</f>
        <v/>
      </c>
      <c r="D37" s="10">
        <f>COUNTIFS('Test Cases'!$B$2:$B$498,$A37,'Test Cases'!$M$2:$M$498,"Fail")</f>
        <v/>
      </c>
      <c r="E37" s="10">
        <f>COUNTIFS('Test Cases'!$B$2:$B$498,$A37,'Test Cases'!$M$2:$M$498,"Blocked")</f>
        <v/>
      </c>
      <c r="F37" s="10">
        <f>COUNTIFS('Test Cases'!$B$2:$B$498,$A37,'Test Cases'!$M$2:$M$498,"Not Run")</f>
        <v/>
      </c>
      <c r="G37" s="11">
        <f>IF(B37=0,0,C37/B37)</f>
        <v/>
      </c>
    </row>
    <row r="38">
      <c r="A38" s="9" t="inlineStr">
        <is>
          <t>Reinsurance</t>
        </is>
      </c>
      <c r="B38" s="10">
        <f>COUNTIF('Test Cases'!$B$2:$B$498,A38)</f>
        <v/>
      </c>
      <c r="C38" s="10">
        <f>COUNTIFS('Test Cases'!$B$2:$B$498,$A38,'Test Cases'!$M$2:$M$498,"Pass")</f>
        <v/>
      </c>
      <c r="D38" s="10">
        <f>COUNTIFS('Test Cases'!$B$2:$B$498,$A38,'Test Cases'!$M$2:$M$498,"Fail")</f>
        <v/>
      </c>
      <c r="E38" s="10">
        <f>COUNTIFS('Test Cases'!$B$2:$B$498,$A38,'Test Cases'!$M$2:$M$498,"Blocked")</f>
        <v/>
      </c>
      <c r="F38" s="10">
        <f>COUNTIFS('Test Cases'!$B$2:$B$498,$A38,'Test Cases'!$M$2:$M$498,"Not Run")</f>
        <v/>
      </c>
      <c r="G38" s="11">
        <f>IF(B38=0,0,C38/B38)</f>
        <v/>
      </c>
    </row>
    <row r="39">
      <c r="A39" s="9" t="inlineStr">
        <is>
          <t>Incentives</t>
        </is>
      </c>
      <c r="B39" s="10">
        <f>COUNTIF('Test Cases'!$B$2:$B$498,A39)</f>
        <v/>
      </c>
      <c r="C39" s="10">
        <f>COUNTIFS('Test Cases'!$B$2:$B$498,$A39,'Test Cases'!$M$2:$M$498,"Pass")</f>
        <v/>
      </c>
      <c r="D39" s="10">
        <f>COUNTIFS('Test Cases'!$B$2:$B$498,$A39,'Test Cases'!$M$2:$M$498,"Fail")</f>
        <v/>
      </c>
      <c r="E39" s="10">
        <f>COUNTIFS('Test Cases'!$B$2:$B$498,$A39,'Test Cases'!$M$2:$M$498,"Blocked")</f>
        <v/>
      </c>
      <c r="F39" s="10">
        <f>COUNTIFS('Test Cases'!$B$2:$B$498,$A39,'Test Cases'!$M$2:$M$498,"Not Run")</f>
        <v/>
      </c>
      <c r="G39" s="11">
        <f>IF(B39=0,0,C39/B39)</f>
        <v/>
      </c>
    </row>
    <row r="40">
      <c r="A40" s="9" t="inlineStr">
        <is>
          <t>Reports</t>
        </is>
      </c>
      <c r="B40" s="10">
        <f>COUNTIF('Test Cases'!$B$2:$B$498,A40)</f>
        <v/>
      </c>
      <c r="C40" s="10">
        <f>COUNTIFS('Test Cases'!$B$2:$B$498,$A40,'Test Cases'!$M$2:$M$498,"Pass")</f>
        <v/>
      </c>
      <c r="D40" s="10">
        <f>COUNTIFS('Test Cases'!$B$2:$B$498,$A40,'Test Cases'!$M$2:$M$498,"Fail")</f>
        <v/>
      </c>
      <c r="E40" s="10">
        <f>COUNTIFS('Test Cases'!$B$2:$B$498,$A40,'Test Cases'!$M$2:$M$498,"Blocked")</f>
        <v/>
      </c>
      <c r="F40" s="10">
        <f>COUNTIFS('Test Cases'!$B$2:$B$498,$A40,'Test Cases'!$M$2:$M$498,"Not Run")</f>
        <v/>
      </c>
      <c r="G40" s="11">
        <f>IF(B40=0,0,C40/B40)</f>
        <v/>
      </c>
    </row>
    <row r="41">
      <c r="A41" s="9" t="inlineStr">
        <is>
          <t>Dashboards</t>
        </is>
      </c>
      <c r="B41" s="10">
        <f>COUNTIF('Test Cases'!$B$2:$B$498,A41)</f>
        <v/>
      </c>
      <c r="C41" s="10">
        <f>COUNTIFS('Test Cases'!$B$2:$B$498,$A41,'Test Cases'!$M$2:$M$498,"Pass")</f>
        <v/>
      </c>
      <c r="D41" s="10">
        <f>COUNTIFS('Test Cases'!$B$2:$B$498,$A41,'Test Cases'!$M$2:$M$498,"Fail")</f>
        <v/>
      </c>
      <c r="E41" s="10">
        <f>COUNTIFS('Test Cases'!$B$2:$B$498,$A41,'Test Cases'!$M$2:$M$498,"Blocked")</f>
        <v/>
      </c>
      <c r="F41" s="10">
        <f>COUNTIFS('Test Cases'!$B$2:$B$498,$A41,'Test Cases'!$M$2:$M$498,"Not Run")</f>
        <v/>
      </c>
      <c r="G41" s="11">
        <f>IF(B41=0,0,C41/B41)</f>
        <v/>
      </c>
    </row>
    <row r="42">
      <c r="A42" s="9" t="inlineStr">
        <is>
          <t>E-mail outbox and notifications</t>
        </is>
      </c>
      <c r="B42" s="10">
        <f>COUNTIF('Test Cases'!$B$2:$B$498,A42)</f>
        <v/>
      </c>
      <c r="C42" s="10">
        <f>COUNTIFS('Test Cases'!$B$2:$B$498,$A42,'Test Cases'!$M$2:$M$498,"Pass")</f>
        <v/>
      </c>
      <c r="D42" s="10">
        <f>COUNTIFS('Test Cases'!$B$2:$B$498,$A42,'Test Cases'!$M$2:$M$498,"Fail")</f>
        <v/>
      </c>
      <c r="E42" s="10">
        <f>COUNTIFS('Test Cases'!$B$2:$B$498,$A42,'Test Cases'!$M$2:$M$498,"Blocked")</f>
        <v/>
      </c>
      <c r="F42" s="10">
        <f>COUNTIFS('Test Cases'!$B$2:$B$498,$A42,'Test Cases'!$M$2:$M$498,"Not Run")</f>
        <v/>
      </c>
      <c r="G42" s="11">
        <f>IF(B42=0,0,C42/B42)</f>
        <v/>
      </c>
    </row>
    <row r="43">
      <c r="A43" s="9" t="inlineStr">
        <is>
          <t>Audit trail</t>
        </is>
      </c>
      <c r="B43" s="10">
        <f>COUNTIF('Test Cases'!$B$2:$B$498,A43)</f>
        <v/>
      </c>
      <c r="C43" s="10">
        <f>COUNTIFS('Test Cases'!$B$2:$B$498,$A43,'Test Cases'!$M$2:$M$498,"Pass")</f>
        <v/>
      </c>
      <c r="D43" s="10">
        <f>COUNTIFS('Test Cases'!$B$2:$B$498,$A43,'Test Cases'!$M$2:$M$498,"Fail")</f>
        <v/>
      </c>
      <c r="E43" s="10">
        <f>COUNTIFS('Test Cases'!$B$2:$B$498,$A43,'Test Cases'!$M$2:$M$498,"Blocked")</f>
        <v/>
      </c>
      <c r="F43" s="10">
        <f>COUNTIFS('Test Cases'!$B$2:$B$498,$A43,'Test Cases'!$M$2:$M$498,"Not Run")</f>
        <v/>
      </c>
      <c r="G43" s="11">
        <f>IF(B43=0,0,C43/B43)</f>
        <v/>
      </c>
    </row>
    <row r="44">
      <c r="A44" s="9" t="inlineStr">
        <is>
          <t>End-to-end life cycle</t>
        </is>
      </c>
      <c r="B44" s="10">
        <f>COUNTIF('Test Cases'!$B$2:$B$498,A44)</f>
        <v/>
      </c>
      <c r="C44" s="10">
        <f>COUNTIFS('Test Cases'!$B$2:$B$498,$A44,'Test Cases'!$M$2:$M$498,"Pass")</f>
        <v/>
      </c>
      <c r="D44" s="10">
        <f>COUNTIFS('Test Cases'!$B$2:$B$498,$A44,'Test Cases'!$M$2:$M$498,"Fail")</f>
        <v/>
      </c>
      <c r="E44" s="10">
        <f>COUNTIFS('Test Cases'!$B$2:$B$498,$A44,'Test Cases'!$M$2:$M$498,"Blocked")</f>
        <v/>
      </c>
      <c r="F44" s="10">
        <f>COUNTIFS('Test Cases'!$B$2:$B$498,$A44,'Test Cases'!$M$2:$M$498,"Not Run")</f>
        <v/>
      </c>
      <c r="G44" s="11">
        <f>IF(B44=0,0,C44/B44)</f>
        <v/>
      </c>
    </row>
    <row r="45">
      <c r="A45" s="9" t="inlineStr">
        <is>
          <t>Screen checks (all menus)</t>
        </is>
      </c>
      <c r="B45" s="10">
        <f>COUNTIF('Test Cases'!$B$2:$B$498,A45)</f>
        <v/>
      </c>
      <c r="C45" s="10">
        <f>COUNTIFS('Test Cases'!$B$2:$B$498,$A45,'Test Cases'!$M$2:$M$498,"Pass")</f>
        <v/>
      </c>
      <c r="D45" s="10">
        <f>COUNTIFS('Test Cases'!$B$2:$B$498,$A45,'Test Cases'!$M$2:$M$498,"Fail")</f>
        <v/>
      </c>
      <c r="E45" s="10">
        <f>COUNTIFS('Test Cases'!$B$2:$B$498,$A45,'Test Cases'!$M$2:$M$498,"Blocked")</f>
        <v/>
      </c>
      <c r="F45" s="10">
        <f>COUNTIFS('Test Cases'!$B$2:$B$498,$A45,'Test Cases'!$M$2:$M$498,"Not Run")</f>
        <v/>
      </c>
      <c r="G45" s="11">
        <f>IF(B45=0,0,C45/B45)</f>
        <v/>
      </c>
    </row>
    <row r="46">
      <c r="A46" s="9" t="inlineStr">
        <is>
          <t>Role-based access</t>
        </is>
      </c>
      <c r="B46" s="10">
        <f>COUNTIF('Test Cases'!$B$2:$B$498,A46)</f>
        <v/>
      </c>
      <c r="C46" s="10">
        <f>COUNTIFS('Test Cases'!$B$2:$B$498,$A46,'Test Cases'!$M$2:$M$498,"Pass")</f>
        <v/>
      </c>
      <c r="D46" s="10">
        <f>COUNTIFS('Test Cases'!$B$2:$B$498,$A46,'Test Cases'!$M$2:$M$498,"Fail")</f>
        <v/>
      </c>
      <c r="E46" s="10">
        <f>COUNTIFS('Test Cases'!$B$2:$B$498,$A46,'Test Cases'!$M$2:$M$498,"Blocked")</f>
        <v/>
      </c>
      <c r="F46" s="10">
        <f>COUNTIFS('Test Cases'!$B$2:$B$498,$A46,'Test Cases'!$M$2:$M$498,"Not Run")</f>
        <v/>
      </c>
      <c r="G46" s="11">
        <f>IF(B46=0,0,C46/B46)</f>
        <v/>
      </c>
    </row>
    <row r="47">
      <c r="A47" s="12" t="inlineStr">
        <is>
          <t>Total</t>
        </is>
      </c>
      <c r="B47" s="13">
        <f>SUM(B11:B46)</f>
        <v/>
      </c>
      <c r="C47" s="13">
        <f>SUM(C11:C46)</f>
        <v/>
      </c>
      <c r="D47" s="13">
        <f>SUM(D11:D46)</f>
        <v/>
      </c>
      <c r="E47" s="13">
        <f>SUM(E11:E46)</f>
        <v/>
      </c>
      <c r="F47" s="13">
        <f>SUM(F11:F46)</f>
        <v/>
      </c>
      <c r="G47" s="14">
        <f>IF(B47=0,0,C47/B47)</f>
        <v/>
      </c>
    </row>
    <row r="49">
      <c r="A49" s="15" t="inlineStr">
        <is>
          <t>Test Type</t>
        </is>
      </c>
      <c r="B49" s="15" t="inlineStr">
        <is>
          <t>Total</t>
        </is>
      </c>
      <c r="C49" s="15" t="inlineStr">
        <is>
          <t>Pass</t>
        </is>
      </c>
      <c r="D49" s="15" t="inlineStr">
        <is>
          <t>Fail</t>
        </is>
      </c>
      <c r="E49" s="15" t="inlineStr">
        <is>
          <t>Blocked</t>
        </is>
      </c>
      <c r="F49" s="15" t="inlineStr">
        <is>
          <t>Not Run</t>
        </is>
      </c>
    </row>
    <row r="50">
      <c r="A50" s="16" t="inlineStr">
        <is>
          <t>Functional</t>
        </is>
      </c>
      <c r="B50" s="16">
        <f>COUNTIF('Test Cases'!$F$2:$F$498,A50)</f>
        <v/>
      </c>
      <c r="C50" s="16">
        <f>COUNTIFS('Test Cases'!$F$2:$F$498,$A50,'Test Cases'!$M$2:$M$498,"Pass")</f>
        <v/>
      </c>
      <c r="D50" s="16">
        <f>COUNTIFS('Test Cases'!$F$2:$F$498,$A50,'Test Cases'!$M$2:$M$498,"Fail")</f>
        <v/>
      </c>
      <c r="E50" s="16">
        <f>COUNTIFS('Test Cases'!$F$2:$F$498,$A50,'Test Cases'!$M$2:$M$498,"Blocked")</f>
        <v/>
      </c>
      <c r="F50" s="16">
        <f>COUNTIFS('Test Cases'!$F$2:$F$498,$A50,'Test Cases'!$M$2:$M$498,"Not Run")</f>
        <v/>
      </c>
    </row>
    <row r="51">
      <c r="A51" s="16" t="inlineStr">
        <is>
          <t>Negative</t>
        </is>
      </c>
      <c r="B51" s="16">
        <f>COUNTIF('Test Cases'!$F$2:$F$498,A51)</f>
        <v/>
      </c>
      <c r="C51" s="16">
        <f>COUNTIFS('Test Cases'!$F$2:$F$498,$A51,'Test Cases'!$M$2:$M$498,"Pass")</f>
        <v/>
      </c>
      <c r="D51" s="16">
        <f>COUNTIFS('Test Cases'!$F$2:$F$498,$A51,'Test Cases'!$M$2:$M$498,"Fail")</f>
        <v/>
      </c>
      <c r="E51" s="16">
        <f>COUNTIFS('Test Cases'!$F$2:$F$498,$A51,'Test Cases'!$M$2:$M$498,"Blocked")</f>
        <v/>
      </c>
      <c r="F51" s="16">
        <f>COUNTIFS('Test Cases'!$F$2:$F$498,$A51,'Test Cases'!$M$2:$M$498,"Not Run")</f>
        <v/>
      </c>
    </row>
    <row r="52">
      <c r="A52" s="16" t="inlineStr">
        <is>
          <t>Validation</t>
        </is>
      </c>
      <c r="B52" s="16">
        <f>COUNTIF('Test Cases'!$F$2:$F$498,A52)</f>
        <v/>
      </c>
      <c r="C52" s="16">
        <f>COUNTIFS('Test Cases'!$F$2:$F$498,$A52,'Test Cases'!$M$2:$M$498,"Pass")</f>
        <v/>
      </c>
      <c r="D52" s="16">
        <f>COUNTIFS('Test Cases'!$F$2:$F$498,$A52,'Test Cases'!$M$2:$M$498,"Fail")</f>
        <v/>
      </c>
      <c r="E52" s="16">
        <f>COUNTIFS('Test Cases'!$F$2:$F$498,$A52,'Test Cases'!$M$2:$M$498,"Blocked")</f>
        <v/>
      </c>
      <c r="F52" s="16">
        <f>COUNTIFS('Test Cases'!$F$2:$F$498,$A52,'Test Cases'!$M$2:$M$498,"Not Run")</f>
        <v/>
      </c>
    </row>
    <row r="53">
      <c r="A53" s="16" t="inlineStr">
        <is>
          <t>Integration</t>
        </is>
      </c>
      <c r="B53" s="16">
        <f>COUNTIF('Test Cases'!$F$2:$F$498,A53)</f>
        <v/>
      </c>
      <c r="C53" s="16">
        <f>COUNTIFS('Test Cases'!$F$2:$F$498,$A53,'Test Cases'!$M$2:$M$498,"Pass")</f>
        <v/>
      </c>
      <c r="D53" s="16">
        <f>COUNTIFS('Test Cases'!$F$2:$F$498,$A53,'Test Cases'!$M$2:$M$498,"Fail")</f>
        <v/>
      </c>
      <c r="E53" s="16">
        <f>COUNTIFS('Test Cases'!$F$2:$F$498,$A53,'Test Cases'!$M$2:$M$498,"Blocked")</f>
        <v/>
      </c>
      <c r="F53" s="16">
        <f>COUNTIFS('Test Cases'!$F$2:$F$498,$A53,'Test Cases'!$M$2:$M$498,"Not Run")</f>
        <v/>
      </c>
    </row>
    <row r="54">
      <c r="A54" s="16" t="inlineStr">
        <is>
          <t>Role access</t>
        </is>
      </c>
      <c r="B54" s="16">
        <f>COUNTIF('Test Cases'!$F$2:$F$498,A54)</f>
        <v/>
      </c>
      <c r="C54" s="16">
        <f>COUNTIFS('Test Cases'!$F$2:$F$498,$A54,'Test Cases'!$M$2:$M$498,"Pass")</f>
        <v/>
      </c>
      <c r="D54" s="16">
        <f>COUNTIFS('Test Cases'!$F$2:$F$498,$A54,'Test Cases'!$M$2:$M$498,"Fail")</f>
        <v/>
      </c>
      <c r="E54" s="16">
        <f>COUNTIFS('Test Cases'!$F$2:$F$498,$A54,'Test Cases'!$M$2:$M$498,"Blocked")</f>
        <v/>
      </c>
      <c r="F54" s="16">
        <f>COUNTIFS('Test Cases'!$F$2:$F$498,$A54,'Test Cases'!$M$2:$M$498,"Not Run")</f>
        <v/>
      </c>
    </row>
    <row r="55">
      <c r="A55" s="16" t="inlineStr">
        <is>
          <t>Report</t>
        </is>
      </c>
      <c r="B55" s="16">
        <f>COUNTIF('Test Cases'!$F$2:$F$498,A55)</f>
        <v/>
      </c>
      <c r="C55" s="16">
        <f>COUNTIFS('Test Cases'!$F$2:$F$498,$A55,'Test Cases'!$M$2:$M$498,"Pass")</f>
        <v/>
      </c>
      <c r="D55" s="16">
        <f>COUNTIFS('Test Cases'!$F$2:$F$498,$A55,'Test Cases'!$M$2:$M$498,"Fail")</f>
        <v/>
      </c>
      <c r="E55" s="16">
        <f>COUNTIFS('Test Cases'!$F$2:$F$498,$A55,'Test Cases'!$M$2:$M$498,"Blocked")</f>
        <v/>
      </c>
      <c r="F55" s="16">
        <f>COUNTIFS('Test Cases'!$F$2:$F$498,$A55,'Test Cases'!$M$2:$M$498,"Not Run")</f>
        <v/>
      </c>
    </row>
    <row r="56">
      <c r="A56" s="16" t="inlineStr">
        <is>
          <t>Accounting</t>
        </is>
      </c>
      <c r="B56" s="16">
        <f>COUNTIF('Test Cases'!$F$2:$F$498,A56)</f>
        <v/>
      </c>
      <c r="C56" s="16">
        <f>COUNTIFS('Test Cases'!$F$2:$F$498,$A56,'Test Cases'!$M$2:$M$498,"Pass")</f>
        <v/>
      </c>
      <c r="D56" s="16">
        <f>COUNTIFS('Test Cases'!$F$2:$F$498,$A56,'Test Cases'!$M$2:$M$498,"Fail")</f>
        <v/>
      </c>
      <c r="E56" s="16">
        <f>COUNTIFS('Test Cases'!$F$2:$F$498,$A56,'Test Cases'!$M$2:$M$498,"Blocked")</f>
        <v/>
      </c>
      <c r="F56" s="16">
        <f>COUNTIFS('Test Cases'!$F$2:$F$498,$A56,'Test Cases'!$M$2:$M$498,"Not Run")</f>
        <v/>
      </c>
    </row>
    <row r="58">
      <c r="A58" s="15" t="inlineStr">
        <is>
          <t>Priority</t>
        </is>
      </c>
      <c r="B58" s="15" t="inlineStr">
        <is>
          <t>Total</t>
        </is>
      </c>
      <c r="C58" s="15" t="inlineStr">
        <is>
          <t>Pass</t>
        </is>
      </c>
      <c r="D58" s="15" t="inlineStr">
        <is>
          <t>Fail</t>
        </is>
      </c>
      <c r="E58" s="15" t="inlineStr">
        <is>
          <t>Blocked</t>
        </is>
      </c>
      <c r="F58" s="15" t="inlineStr">
        <is>
          <t>Not Run</t>
        </is>
      </c>
    </row>
    <row r="59">
      <c r="A59" s="16" t="inlineStr">
        <is>
          <t>High</t>
        </is>
      </c>
      <c r="B59" s="16">
        <f>COUNTIF('Test Cases'!$G$2:$G$498,A59)</f>
        <v/>
      </c>
      <c r="C59" s="16">
        <f>COUNTIFS('Test Cases'!$G$2:$G$498,$A59,'Test Cases'!$M$2:$M$498,"Pass")</f>
        <v/>
      </c>
      <c r="D59" s="16">
        <f>COUNTIFS('Test Cases'!$G$2:$G$498,$A59,'Test Cases'!$M$2:$M$498,"Fail")</f>
        <v/>
      </c>
      <c r="E59" s="16">
        <f>COUNTIFS('Test Cases'!$G$2:$G$498,$A59,'Test Cases'!$M$2:$M$498,"Blocked")</f>
        <v/>
      </c>
      <c r="F59" s="16">
        <f>COUNTIFS('Test Cases'!$G$2:$G$498,$A59,'Test Cases'!$M$2:$M$498,"Not Run")</f>
        <v/>
      </c>
    </row>
    <row r="60">
      <c r="A60" s="16" t="inlineStr">
        <is>
          <t>Medium</t>
        </is>
      </c>
      <c r="B60" s="16">
        <f>COUNTIF('Test Cases'!$G$2:$G$498,A60)</f>
        <v/>
      </c>
      <c r="C60" s="16">
        <f>COUNTIFS('Test Cases'!$G$2:$G$498,$A60,'Test Cases'!$M$2:$M$498,"Pass")</f>
        <v/>
      </c>
      <c r="D60" s="16">
        <f>COUNTIFS('Test Cases'!$G$2:$G$498,$A60,'Test Cases'!$M$2:$M$498,"Fail")</f>
        <v/>
      </c>
      <c r="E60" s="16">
        <f>COUNTIFS('Test Cases'!$G$2:$G$498,$A60,'Test Cases'!$M$2:$M$498,"Blocked")</f>
        <v/>
      </c>
      <c r="F60" s="16">
        <f>COUNTIFS('Test Cases'!$G$2:$G$498,$A60,'Test Cases'!$M$2:$M$498,"Not Run")</f>
        <v/>
      </c>
    </row>
    <row r="61">
      <c r="A61" s="16" t="inlineStr">
        <is>
          <t>Low</t>
        </is>
      </c>
      <c r="B61" s="16">
        <f>COUNTIF('Test Cases'!$G$2:$G$498,A61)</f>
        <v/>
      </c>
      <c r="C61" s="16">
        <f>COUNTIFS('Test Cases'!$G$2:$G$498,$A61,'Test Cases'!$M$2:$M$498,"Pass")</f>
        <v/>
      </c>
      <c r="D61" s="16">
        <f>COUNTIFS('Test Cases'!$G$2:$G$498,$A61,'Test Cases'!$M$2:$M$498,"Fail")</f>
        <v/>
      </c>
      <c r="E61" s="16">
        <f>COUNTIFS('Test Cases'!$G$2:$G$498,$A61,'Test Cases'!$M$2:$M$498,"Blocked")</f>
        <v/>
      </c>
      <c r="F61" s="16">
        <f>COUNTIFS('Test Cases'!$G$2:$G$498,$A61,'Test Cases'!$M$2:$M$498,"Not Run")</f>
        <v/>
      </c>
    </row>
    <row r="63">
      <c r="A63" s="17" t="inlineStr">
        <is>
          <t>Defects and observations open</t>
        </is>
      </c>
      <c r="B63">
        <f>COUNTIF('Defects and Observations'!$E$2:$E$9,"Open")</f>
        <v/>
      </c>
    </row>
  </sheetData>
  <mergeCells count="6">
    <mergeCell ref="B3:G3"/>
    <mergeCell ref="B5:G5"/>
    <mergeCell ref="B8:G8"/>
    <mergeCell ref="B4:G4"/>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98"/>
  <sheetViews>
    <sheetView zoomScale="9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2" customWidth="1" min="2" max="2"/>
    <col width="24" customWidth="1" min="3" max="3"/>
    <col width="26" customWidth="1" min="4" max="4"/>
    <col width="40" customWidth="1" min="5" max="5"/>
    <col width="13" customWidth="1" min="6" max="6"/>
    <col width="9" customWidth="1" min="7" max="7"/>
    <col width="32" customWidth="1" min="8" max="8"/>
    <col width="60" customWidth="1" min="9" max="9"/>
    <col width="34" customWidth="1" min="10" max="10"/>
    <col width="46" customWidth="1" min="11" max="11"/>
    <col width="40" customWidth="1" min="12" max="12"/>
    <col width="10" customWidth="1" min="13" max="13"/>
    <col width="13" customWidth="1" min="14" max="14"/>
    <col width="17" customWidth="1" min="15" max="15"/>
    <col width="16" customWidth="1" min="16" max="16"/>
    <col width="34" customWidth="1" min="17" max="17"/>
    <col hidden="1" width="60" customWidth="1" min="18" max="18"/>
  </cols>
  <sheetData>
    <row r="1" ht="30" customHeight="1">
      <c r="A1" s="18" t="inlineStr">
        <is>
          <t>TC ID</t>
        </is>
      </c>
      <c r="B1" s="18" t="inlineStr">
        <is>
          <t>Module</t>
        </is>
      </c>
      <c r="C1" s="18" t="inlineStr">
        <is>
          <t>Sub-module / Screen</t>
        </is>
      </c>
      <c r="D1" s="18" t="inlineStr">
        <is>
          <t>Persona (role)</t>
        </is>
      </c>
      <c r="E1" s="18" t="inlineStr">
        <is>
          <t>Test Scenario</t>
        </is>
      </c>
      <c r="F1" s="18" t="inlineStr">
        <is>
          <t>Test Type</t>
        </is>
      </c>
      <c r="G1" s="18" t="inlineStr">
        <is>
          <t>Priority</t>
        </is>
      </c>
      <c r="H1" s="18" t="inlineStr">
        <is>
          <t>Pre-conditions</t>
        </is>
      </c>
      <c r="I1" s="18" t="inlineStr">
        <is>
          <t>Test Steps</t>
        </is>
      </c>
      <c r="J1" s="18" t="inlineStr">
        <is>
          <t>Test Data</t>
        </is>
      </c>
      <c r="K1" s="18" t="inlineStr">
        <is>
          <t>Expected Result</t>
        </is>
      </c>
      <c r="L1" s="18" t="inlineStr">
        <is>
          <t>Actual Result</t>
        </is>
      </c>
      <c r="M1" s="18" t="inlineStr">
        <is>
          <t>Status</t>
        </is>
      </c>
      <c r="N1" s="18" t="inlineStr">
        <is>
          <t>Defect ID</t>
        </is>
      </c>
      <c r="O1" s="18" t="inlineStr">
        <is>
          <t>Executed By</t>
        </is>
      </c>
      <c r="P1" s="18" t="inlineStr">
        <is>
          <t>Executed On</t>
        </is>
      </c>
      <c r="Q1" s="18" t="inlineStr">
        <is>
          <t>Remarks</t>
        </is>
      </c>
      <c r="R1" s="18" t="inlineStr">
        <is>
          <t>Evidence</t>
        </is>
      </c>
    </row>
    <row r="2">
      <c r="A2" s="19" t="inlineStr">
        <is>
          <t>BV-SEC-001</t>
        </is>
      </c>
      <c r="B2" s="19" t="inlineStr">
        <is>
          <t>Sign-in and security</t>
        </is>
      </c>
      <c r="C2" s="19" t="inlineStr">
        <is>
          <t>Login</t>
        </is>
      </c>
      <c r="D2" s="19" t="inlineStr">
        <is>
          <t>System Administrator (BrokerVerse)</t>
        </is>
      </c>
      <c r="E2" s="19" t="inlineStr">
        <is>
          <t>Sign in with a valid user ID and password</t>
        </is>
      </c>
      <c r="F2" s="19" t="inlineStr">
        <is>
          <t>Functional</t>
        </is>
      </c>
      <c r="G2" s="19" t="inlineStr">
        <is>
          <t>High</t>
        </is>
      </c>
      <c r="H2" s="19" t="inlineStr">
        <is>
          <t>Application open at the Login page. User BrokerVerse is active.</t>
        </is>
      </c>
      <c r="I2" s="19" t="inlineStr">
        <is>
          <t>1. Open the BrokerVerse URL in Chrome.
2. Enter the User ID and Password.
3. Click Login.</t>
        </is>
      </c>
      <c r="J2" s="19" t="inlineStr">
        <is>
          <t>User ID: BrokerVerse; Password: administrator password from the environment sheet</t>
        </is>
      </c>
      <c r="K2" s="19" t="inlineStr">
        <is>
          <t>Login succeeds and the Executive Dashboard opens. The user name shows in the header. The menu shows every top-level menu.</t>
        </is>
      </c>
      <c r="L2" s="19" t="inlineStr">
        <is>
          <t>As expected.</t>
        </is>
      </c>
      <c r="M2" s="19" t="inlineStr">
        <is>
          <t>Pass</t>
        </is>
      </c>
      <c r="N2" s="19" t="inlineStr"/>
      <c r="O2" s="19" t="inlineStr">
        <is>
          <t>iorta TechNXT QA</t>
        </is>
      </c>
      <c r="P2" s="19" t="inlineStr">
        <is>
          <t>03 October 2026</t>
        </is>
      </c>
      <c r="Q2" s="19" t="inlineStr"/>
      <c r="R2" s="19" t="inlineStr">
        <is>
          <t>backend/test/core.test.js :: rejects a wrong password and accepts the admin [passed]
Screen check /executive/dashboard: opened clean</t>
        </is>
      </c>
    </row>
    <row r="3">
      <c r="A3" s="19" t="inlineStr">
        <is>
          <t>BV-SEC-002</t>
        </is>
      </c>
      <c r="B3" s="19" t="inlineStr">
        <is>
          <t>Sign-in and security</t>
        </is>
      </c>
      <c r="C3" s="19" t="inlineStr">
        <is>
          <t>Login</t>
        </is>
      </c>
      <c r="D3" s="19" t="inlineStr">
        <is>
          <t>Any signed-in user</t>
        </is>
      </c>
      <c r="E3" s="19" t="inlineStr">
        <is>
          <t>Wrong password is refused with a generic message</t>
        </is>
      </c>
      <c r="F3" s="19" t="inlineStr">
        <is>
          <t>Negative</t>
        </is>
      </c>
      <c r="G3" s="19" t="inlineStr">
        <is>
          <t>High</t>
        </is>
      </c>
      <c r="H3" s="19" t="inlineStr">
        <is>
          <t>User maria.rivera is active.</t>
        </is>
      </c>
      <c r="I3" s="19" t="inlineStr">
        <is>
          <t>1. Open the Login page.
2. Enter User ID maria.rivera and a wrong password.
3. Click Login.</t>
        </is>
      </c>
      <c r="J3" s="19" t="inlineStr">
        <is>
          <t>User ID: maria.rivera; Password: Wrong#Pass1</t>
        </is>
      </c>
      <c r="K3" s="19" t="inlineStr">
        <is>
          <t>Message "Invalid username or password" is shown. The user stays on the Login page. The attempt is recorded in Sign-in history as "Wrong password".</t>
        </is>
      </c>
      <c r="L3" s="19" t="inlineStr">
        <is>
          <t>As expected.</t>
        </is>
      </c>
      <c r="M3" s="19" t="inlineStr">
        <is>
          <t>Pass</t>
        </is>
      </c>
      <c r="N3" s="19" t="inlineStr"/>
      <c r="O3" s="19" t="inlineStr">
        <is>
          <t>iorta TechNXT QA</t>
        </is>
      </c>
      <c r="P3" s="19" t="inlineStr">
        <is>
          <t>03 October 2026</t>
        </is>
      </c>
      <c r="Q3" s="19" t="inlineStr"/>
      <c r="R3" s="19" t="inlineStr">
        <is>
          <t>backend/test/core.test.js :: rejects a wrong password and accepts the admin [passed]
backend/test/security.test.js :: exposes sign-in history to administrators and to the user [passed]</t>
        </is>
      </c>
    </row>
    <row r="4">
      <c r="A4" s="19" t="inlineStr">
        <is>
          <t>BV-SEC-003</t>
        </is>
      </c>
      <c r="B4" s="19" t="inlineStr">
        <is>
          <t>Sign-in and security</t>
        </is>
      </c>
      <c r="C4" s="19" t="inlineStr">
        <is>
          <t>Login</t>
        </is>
      </c>
      <c r="D4" s="19" t="inlineStr">
        <is>
          <t>Any signed-in user</t>
        </is>
      </c>
      <c r="E4" s="19" t="inlineStr">
        <is>
          <t>Unknown user ID gets the same message as a wrong password</t>
        </is>
      </c>
      <c r="F4" s="19" t="inlineStr">
        <is>
          <t>Negative</t>
        </is>
      </c>
      <c r="G4" s="19" t="inlineStr">
        <is>
          <t>Medium</t>
        </is>
      </c>
      <c r="H4" s="19" t="inlineStr">
        <is>
          <t>None.</t>
        </is>
      </c>
      <c r="I4" s="19" t="inlineStr">
        <is>
          <t>1. Open the Login page.
2. Enter a user ID that does not exist and any password.
3. Click Login.</t>
        </is>
      </c>
      <c r="J4" s="19" t="inlineStr">
        <is>
          <t>User ID: juan.notauser; Password: Any#Pass123</t>
        </is>
      </c>
      <c r="K4" s="19" t="inlineStr">
        <is>
          <t>Message "Invalid username or password" (same wording as a wrong password, so the screen does not reveal whether the user exists). Sign-in history records "Unknown user ID".</t>
        </is>
      </c>
      <c r="L4" s="19" t="inlineStr">
        <is>
          <t>As expected.</t>
        </is>
      </c>
      <c r="M4" s="19" t="inlineStr">
        <is>
          <t>Pass</t>
        </is>
      </c>
      <c r="N4" s="19" t="inlineStr"/>
      <c r="O4" s="19" t="inlineStr">
        <is>
          <t>iorta TechNXT QA</t>
        </is>
      </c>
      <c r="P4" s="19" t="inlineStr">
        <is>
          <t>03 October 2026</t>
        </is>
      </c>
      <c r="Q4" s="19" t="inlineStr"/>
      <c r="R4" s="19" t="inlineStr">
        <is>
          <t>backend/test/security.test.js :: rate limits sign-in per username and per IP (429 + Retry-After) and logs every attempt [passed]
backend/test/security.test.js :: exposes sign-in history to administrators and to the user [passed]</t>
        </is>
      </c>
    </row>
    <row r="5">
      <c r="A5" s="19" t="inlineStr">
        <is>
          <t>BV-SEC-004</t>
        </is>
      </c>
      <c r="B5" s="19" t="inlineStr">
        <is>
          <t>Sign-in and security</t>
        </is>
      </c>
      <c r="C5" s="19" t="inlineStr">
        <is>
          <t>Login</t>
        </is>
      </c>
      <c r="D5" s="19" t="inlineStr">
        <is>
          <t>Any signed-in user</t>
        </is>
      </c>
      <c r="E5" s="19" t="inlineStr">
        <is>
          <t>Login with blank User ID and Password</t>
        </is>
      </c>
      <c r="F5" s="19" t="inlineStr">
        <is>
          <t>Validation</t>
        </is>
      </c>
      <c r="G5" s="19" t="inlineStr">
        <is>
          <t>Medium</t>
        </is>
      </c>
      <c r="H5" s="19" t="inlineStr">
        <is>
          <t>Login page open.</t>
        </is>
      </c>
      <c r="I5" s="19" t="inlineStr">
        <is>
          <t>1. Leave User ID and Password empty.
2. Click Login.</t>
        </is>
      </c>
      <c r="J5" s="19" t="inlineStr">
        <is>
          <t>User ID: (blank); Password: (blank)</t>
        </is>
      </c>
      <c r="K5" s="19" t="inlineStr">
        <is>
          <t>Field messages "User ID is required" and "Password is required" are shown under the fields. No request is sent.</t>
        </is>
      </c>
      <c r="L5" s="19" t="inlineStr"/>
      <c r="M5" s="19" t="inlineStr">
        <is>
          <t>Not Run</t>
        </is>
      </c>
      <c r="N5" s="19" t="inlineStr"/>
      <c r="O5" s="19" t="inlineStr">
        <is>
          <t>iorta TechNXT QA</t>
        </is>
      </c>
      <c r="P5" s="19" t="inlineStr"/>
      <c r="Q5" s="19" t="inlineStr">
        <is>
          <t>Sign-in screen render covered by the front-end test; field messages to be checked by hand in the next cycle.</t>
        </is>
      </c>
      <c r="R5" s="19" t="inlineStr">
        <is>
          <t>brokerverse/src/App.test.js :: renders the sign-in screen when signed out [passed]</t>
        </is>
      </c>
    </row>
    <row r="6">
      <c r="A6" s="19" t="inlineStr">
        <is>
          <t>BV-SEC-005</t>
        </is>
      </c>
      <c r="B6" s="19" t="inlineStr">
        <is>
          <t>Sign-in and security</t>
        </is>
      </c>
      <c r="C6" s="19" t="inlineStr">
        <is>
          <t>Lockout</t>
        </is>
      </c>
      <c r="D6" s="19" t="inlineStr">
        <is>
          <t>System Administrator (BrokerVerse)</t>
        </is>
      </c>
      <c r="E6" s="19" t="inlineStr">
        <is>
          <t>Account locks after the configured number of failed sign-ins</t>
        </is>
      </c>
      <c r="F6" s="19" t="inlineStr">
        <is>
          <t>Negative</t>
        </is>
      </c>
      <c r="G6" s="19" t="inlineStr">
        <is>
          <t>High</t>
        </is>
      </c>
      <c r="H6" s="19" t="inlineStr">
        <is>
          <t>Test user ana.buenaventura active. Master &gt; Configuration &gt; limits.max_login_attempts = 5.</t>
        </is>
      </c>
      <c r="I6" s="19" t="inlineStr">
        <is>
          <t>1. Sign in as ana.buenaventura with a wrong password 5 times.
2. Sign in a 6th time with the correct password.
3. Sign in as BrokerVerse and open Master &gt; Generals &gt; User Management &gt; User.
4. Find ana.buenaventura and check the status.</t>
        </is>
      </c>
      <c r="J6" s="19" t="inlineStr">
        <is>
          <t>User ID: ana.buenaventura; wrong password: Wrong#Pass1 (x5)</t>
        </is>
      </c>
      <c r="K6" s="19" t="inlineStr">
        <is>
          <t>Attempts 1 to 5 show "Invalid username or password". The 6th attempt shows "Account locked. Contact the administrator". The User list shows the user as Locked.</t>
        </is>
      </c>
      <c r="L6" s="19" t="inlineStr">
        <is>
          <t>As expected.</t>
        </is>
      </c>
      <c r="M6" s="19" t="inlineStr">
        <is>
          <t>Pass</t>
        </is>
      </c>
      <c r="N6" s="19" t="inlineStr"/>
      <c r="O6" s="19" t="inlineStr">
        <is>
          <t>iorta TechNXT QA</t>
        </is>
      </c>
      <c r="P6" s="19" t="inlineStr">
        <is>
          <t>03 October 2026</t>
        </is>
      </c>
      <c r="Q6" s="19" t="inlineStr">
        <is>
          <t>Lock threshold read from limits.max_login_attempts (seeded 5).</t>
        </is>
      </c>
      <c r="R6" s="19" t="inlineStr">
        <is>
          <t>backend/test/security.test.js :: rate limits sign-in per username and per IP (429 + Retry-After) and logs every attempt [passed]
backend/test/hardening.test.js :: unlocks a locked account and records it [passed]</t>
        </is>
      </c>
    </row>
    <row r="7">
      <c r="A7" s="19" t="inlineStr">
        <is>
          <t>BV-SEC-006</t>
        </is>
      </c>
      <c r="B7" s="19" t="inlineStr">
        <is>
          <t>Sign-in and security</t>
        </is>
      </c>
      <c r="C7" s="19" t="inlineStr">
        <is>
          <t>Lockout</t>
        </is>
      </c>
      <c r="D7" s="19" t="inlineStr">
        <is>
          <t>System Administrator (BrokerVerse)</t>
        </is>
      </c>
      <c r="E7" s="19" t="inlineStr">
        <is>
          <t>Administrator unlocks a locked user</t>
        </is>
      </c>
      <c r="F7" s="19" t="inlineStr">
        <is>
          <t>Functional</t>
        </is>
      </c>
      <c r="G7" s="19" t="inlineStr">
        <is>
          <t>High</t>
        </is>
      </c>
      <c r="H7" s="19" t="inlineStr">
        <is>
          <t>User ana.buenaventura is Locked (previous case).</t>
        </is>
      </c>
      <c r="I7" s="19" t="inlineStr">
        <is>
          <t>1. Open Master &gt; Generals &gt; User Management &gt; User.
2. Open the Account actions of ana.buenaventura.
3. Click Unlock and confirm.
4. Sign in as ana.buenaventura with the correct password.</t>
        </is>
      </c>
      <c r="J7" s="19" t="inlineStr">
        <is>
          <t>User: ana.buenaventura</t>
        </is>
      </c>
      <c r="K7" s="19" t="inlineStr">
        <is>
          <t>Confirmation "Unlock the account of ana.buenaventura? Failed sign-in attempts are cleared." Message "ana.buenaventura can sign in again." The user signs in. The unlock is in the Audit Trail.</t>
        </is>
      </c>
      <c r="L7" s="19" t="inlineStr">
        <is>
          <t>As expected.</t>
        </is>
      </c>
      <c r="M7" s="19" t="inlineStr">
        <is>
          <t>Pass</t>
        </is>
      </c>
      <c r="N7" s="19" t="inlineStr"/>
      <c r="O7" s="19" t="inlineStr">
        <is>
          <t>iorta TechNXT QA</t>
        </is>
      </c>
      <c r="P7" s="19" t="inlineStr">
        <is>
          <t>03 October 2026</t>
        </is>
      </c>
      <c r="Q7" s="19" t="inlineStr"/>
      <c r="R7" s="19" t="inlineStr">
        <is>
          <t>backend/test/hardening.test.js :: unlocks a locked account and records it [passed]
Screen check /master/generals/usermanagement/user: opened clean</t>
        </is>
      </c>
    </row>
    <row r="8">
      <c r="A8" s="19" t="inlineStr">
        <is>
          <t>BV-SEC-007</t>
        </is>
      </c>
      <c r="B8" s="19" t="inlineStr">
        <is>
          <t>Sign-in and security</t>
        </is>
      </c>
      <c r="C8" s="19" t="inlineStr">
        <is>
          <t>Lockout</t>
        </is>
      </c>
      <c r="D8" s="19" t="inlineStr">
        <is>
          <t>Any signed-in user</t>
        </is>
      </c>
      <c r="E8" s="19" t="inlineStr">
        <is>
          <t>Too many sign-in attempts from one address are throttled</t>
        </is>
      </c>
      <c r="F8" s="19" t="inlineStr">
        <is>
          <t>Negative</t>
        </is>
      </c>
      <c r="G8" s="19" t="inlineStr">
        <is>
          <t>Medium</t>
        </is>
      </c>
      <c r="H8" s="19" t="inlineStr">
        <is>
          <t>security.login_rate_limit = {"max":10,"windowSeconds":300}.</t>
        </is>
      </c>
      <c r="I8" s="19" t="inlineStr">
        <is>
          <t>1. Submit 11 sign-in attempts for the same user ID within 5 minutes.
2. Read the message on the 11th attempt.</t>
        </is>
      </c>
      <c r="J8" s="19" t="inlineStr">
        <is>
          <t>User ID: paolo.dizon; Password: Wrong#Pass1</t>
        </is>
      </c>
      <c r="K8" s="19" t="inlineStr">
        <is>
          <t>The 11th attempt is refused with "Too many attempts" (HTTP 429 with Retry-After). Every attempt is in Sign-in history.</t>
        </is>
      </c>
      <c r="L8" s="19" t="inlineStr">
        <is>
          <t>As expected.</t>
        </is>
      </c>
      <c r="M8" s="19" t="inlineStr">
        <is>
          <t>Pass</t>
        </is>
      </c>
      <c r="N8" s="19" t="inlineStr"/>
      <c r="O8" s="19" t="inlineStr">
        <is>
          <t>iorta TechNXT QA</t>
        </is>
      </c>
      <c r="P8" s="19" t="inlineStr">
        <is>
          <t>03 October 2026</t>
        </is>
      </c>
      <c r="Q8" s="19" t="inlineStr"/>
      <c r="R8" s="19" t="inlineStr">
        <is>
          <t>backend/test/security.test.js :: rate limits sign-in per username and per IP (429 + Retry-After) and logs every attempt [passed]</t>
        </is>
      </c>
    </row>
    <row r="9">
      <c r="A9" s="19" t="inlineStr">
        <is>
          <t>BV-SEC-008</t>
        </is>
      </c>
      <c r="B9" s="19" t="inlineStr">
        <is>
          <t>Sign-in and security</t>
        </is>
      </c>
      <c r="C9" s="19" t="inlineStr">
        <is>
          <t>Password policy</t>
        </is>
      </c>
      <c r="D9" s="19" t="inlineStr">
        <is>
          <t>Any signed-in user</t>
        </is>
      </c>
      <c r="E9" s="19" t="inlineStr">
        <is>
          <t>Change password: rules shown and enforced</t>
        </is>
      </c>
      <c r="F9" s="19" t="inlineStr">
        <is>
          <t>Validation</t>
        </is>
      </c>
      <c r="G9" s="19" t="inlineStr">
        <is>
          <t>High</t>
        </is>
      </c>
      <c r="H9" s="19" t="inlineStr">
        <is>
          <t>Signed in as maria.rivera. Policy: 8 characters, upper, lower, digit, symbol, not one of last 5.</t>
        </is>
      </c>
      <c r="I9" s="19" t="inlineStr">
        <is>
          <t>1. Open the user menu and click Change password.
2. Enter the current password.
3. Enter new password "brokerverse" in both new password fields.
4. Click Save and read the rules list.
5. Enter "Brokerverse#2026" in both fields and save.</t>
        </is>
      </c>
      <c r="J9" s="19" t="inlineStr">
        <is>
          <t>Weak: brokerverse; Strong: Brokerverse#2026</t>
        </is>
      </c>
      <c r="K9" s="19" t="inlineStr">
        <is>
          <t>With the weak value the rules for upper-case, digit and symbol show "(not met yet)" and "The new password does not meet all the rules below." With the strong value: "Password changed. Your other sessions have been signed out."</t>
        </is>
      </c>
      <c r="L9" s="19" t="inlineStr">
        <is>
          <t>As expected.</t>
        </is>
      </c>
      <c r="M9" s="19" t="inlineStr">
        <is>
          <t>Pass</t>
        </is>
      </c>
      <c r="N9" s="19" t="inlineStr"/>
      <c r="O9" s="19" t="inlineStr">
        <is>
          <t>iorta TechNXT QA</t>
        </is>
      </c>
      <c r="P9" s="19" t="inlineStr">
        <is>
          <t>03 October 2026</t>
        </is>
      </c>
      <c r="Q9" s="19" t="inlineStr"/>
      <c r="R9" s="19" t="inlineStr">
        <is>
          <t>backend/test/security.test.js :: enforces length, character classes and history on change-password [passed]</t>
        </is>
      </c>
    </row>
    <row r="10">
      <c r="A10" s="19" t="inlineStr">
        <is>
          <t>BV-SEC-009</t>
        </is>
      </c>
      <c r="B10" s="19" t="inlineStr">
        <is>
          <t>Sign-in and security</t>
        </is>
      </c>
      <c r="C10" s="19" t="inlineStr">
        <is>
          <t>Password policy</t>
        </is>
      </c>
      <c r="D10" s="19" t="inlineStr">
        <is>
          <t>Any signed-in user</t>
        </is>
      </c>
      <c r="E10" s="19" t="inlineStr">
        <is>
          <t>New password cannot repeat one of the last 5 passwords</t>
        </is>
      </c>
      <c r="F10" s="19" t="inlineStr">
        <is>
          <t>Negative</t>
        </is>
      </c>
      <c r="G10" s="19" t="inlineStr">
        <is>
          <t>Medium</t>
        </is>
      </c>
      <c r="H10" s="19" t="inlineStr">
        <is>
          <t>User has changed the password at least twice.</t>
        </is>
      </c>
      <c r="I10" s="19" t="inlineStr">
        <is>
          <t>1. Open Change password.
2. Enter the current password.
3. Enter a password used two changes ago as the new password.
4. Click Save.</t>
        </is>
      </c>
      <c r="J10" s="19" t="inlineStr">
        <is>
          <t>Previous password: Brokerverse#2025</t>
        </is>
      </c>
      <c r="K10" s="19" t="inlineStr">
        <is>
          <t>Change refused. Rule "Not one of your last 5 passwords" shows "(not met yet)".</t>
        </is>
      </c>
      <c r="L10" s="19" t="inlineStr">
        <is>
          <t>As expected.</t>
        </is>
      </c>
      <c r="M10" s="19" t="inlineStr">
        <is>
          <t>Pass</t>
        </is>
      </c>
      <c r="N10" s="19" t="inlineStr"/>
      <c r="O10" s="19" t="inlineStr">
        <is>
          <t>iorta TechNXT QA</t>
        </is>
      </c>
      <c r="P10" s="19" t="inlineStr">
        <is>
          <t>03 October 2026</t>
        </is>
      </c>
      <c r="Q10" s="19" t="inlineStr"/>
      <c r="R10" s="19" t="inlineStr">
        <is>
          <t>backend/test/security.test.js :: enforces length, character classes and history on change-password [passed]</t>
        </is>
      </c>
    </row>
    <row r="11">
      <c r="A11" s="19" t="inlineStr">
        <is>
          <t>BV-SEC-010</t>
        </is>
      </c>
      <c r="B11" s="19" t="inlineStr">
        <is>
          <t>Sign-in and security</t>
        </is>
      </c>
      <c r="C11" s="19" t="inlineStr">
        <is>
          <t>Password policy</t>
        </is>
      </c>
      <c r="D11" s="19" t="inlineStr">
        <is>
          <t>Any signed-in user</t>
        </is>
      </c>
      <c r="E11" s="19" t="inlineStr">
        <is>
          <t>New password must differ from the current one and both entries must match</t>
        </is>
      </c>
      <c r="F11" s="19" t="inlineStr">
        <is>
          <t>Validation</t>
        </is>
      </c>
      <c r="G11" s="19" t="inlineStr">
        <is>
          <t>Low</t>
        </is>
      </c>
      <c r="H11" s="19" t="inlineStr">
        <is>
          <t>Signed in.</t>
        </is>
      </c>
      <c r="I11" s="19" t="inlineStr">
        <is>
          <t>1. Open Change password.
2. Enter the current password as the new password and save.
3. Enter two different values in New password and Confirm new password and save.</t>
        </is>
      </c>
      <c r="J11" s="19" t="inlineStr">
        <is>
          <t>New: same as current; Confirm: Brokerverse#2027 vs Brokerverse#2028</t>
        </is>
      </c>
      <c r="K11" s="19" t="inlineStr">
        <is>
          <t>Messages "The new password must differ from the current one." and "The two new passwords do not match."</t>
        </is>
      </c>
      <c r="L11" s="19" t="inlineStr">
        <is>
          <t>As expected.</t>
        </is>
      </c>
      <c r="M11" s="19" t="inlineStr">
        <is>
          <t>Pass</t>
        </is>
      </c>
      <c r="N11" s="19" t="inlineStr"/>
      <c r="O11" s="19" t="inlineStr">
        <is>
          <t>iorta TechNXT QA</t>
        </is>
      </c>
      <c r="P11" s="19" t="inlineStr">
        <is>
          <t>03 October 2026</t>
        </is>
      </c>
      <c r="Q11" s="19" t="inlineStr"/>
      <c r="R11" s="19" t="inlineStr">
        <is>
          <t>backend/test/security.test.js :: enforces length, character classes and history on change-password [passed]</t>
        </is>
      </c>
    </row>
    <row r="12">
      <c r="A12" s="19" t="inlineStr">
        <is>
          <t>BV-SEC-011</t>
        </is>
      </c>
      <c r="B12" s="19" t="inlineStr">
        <is>
          <t>Sign-in and security</t>
        </is>
      </c>
      <c r="C12" s="19" t="inlineStr">
        <is>
          <t>Password policy</t>
        </is>
      </c>
      <c r="D12" s="19" t="inlineStr">
        <is>
          <t>System Administrator (BrokerVerse)</t>
        </is>
      </c>
      <c r="E12" s="19" t="inlineStr">
        <is>
          <t>New user created without a password gets a temporary password that must be changed</t>
        </is>
      </c>
      <c r="F12" s="19" t="inlineStr">
        <is>
          <t>Functional</t>
        </is>
      </c>
      <c r="G12" s="19" t="inlineStr">
        <is>
          <t>High</t>
        </is>
      </c>
      <c r="H12" s="19" t="inlineStr">
        <is>
          <t>Signed in as BrokerVerse.</t>
        </is>
      </c>
      <c r="I12" s="19" t="inlineStr">
        <is>
          <t>1. Open Master &gt; Generals &gt; User Management &gt; User and click Add User.
2. Fill the user details, role Claims, leave Password empty ("Leave empty for a temporary password").
3. Click Save and copy the temporary password.
4. Sign in as the new user with the temporary password.</t>
        </is>
      </c>
      <c r="J12" s="19" t="inlineStr">
        <is>
          <t>Username: joy.macaraeg; Role: claims; Branch: HO</t>
        </is>
      </c>
      <c r="K12" s="19" t="inlineStr">
        <is>
          <t>The Temporary password dialog shows the password once. At first sign-in the user sees "You must choose a new password before you continue." and cannot open any screen until the password is changed.</t>
        </is>
      </c>
      <c r="L12" s="19" t="inlineStr">
        <is>
          <t>As expected.</t>
        </is>
      </c>
      <c r="M12" s="19" t="inlineStr">
        <is>
          <t>Pass</t>
        </is>
      </c>
      <c r="N12" s="19" t="inlineStr"/>
      <c r="O12" s="19" t="inlineStr">
        <is>
          <t>iorta TechNXT QA</t>
        </is>
      </c>
      <c r="P12" s="19" t="inlineStr">
        <is>
          <t>04 October 2026</t>
        </is>
      </c>
      <c r="Q12" s="19" t="inlineStr"/>
      <c r="R12" s="19" t="inlineStr">
        <is>
          <t>backend/test/hardening.test.js :: generates a policy-compliant temporary password for a user created without one; it must be changed [passed]
backend/test/core.test.js :: admin creates a persona user who can then sign in with that role [passed]
UAT cycle 03-04 October 2026, phase Set-up (46 passed, 0 failed)</t>
        </is>
      </c>
    </row>
    <row r="13">
      <c r="A13" s="19" t="inlineStr">
        <is>
          <t>BV-SEC-012</t>
        </is>
      </c>
      <c r="B13" s="19" t="inlineStr">
        <is>
          <t>Sign-in and security</t>
        </is>
      </c>
      <c r="C13" s="19" t="inlineStr">
        <is>
          <t>Password policy</t>
        </is>
      </c>
      <c r="D13" s="19" t="inlineStr">
        <is>
          <t>Any signed-in user</t>
        </is>
      </c>
      <c r="E13" s="19" t="inlineStr">
        <is>
          <t>Expired password forces a change at sign-in</t>
        </is>
      </c>
      <c r="F13" s="19" t="inlineStr">
        <is>
          <t>Functional</t>
        </is>
      </c>
      <c r="G13" s="19" t="inlineStr">
        <is>
          <t>Medium</t>
        </is>
      </c>
      <c r="H13" s="19" t="inlineStr">
        <is>
          <t>security.password_max_age_days = 90. Test user whose password is older than 90 days.</t>
        </is>
      </c>
      <c r="I13" s="19" t="inlineStr">
        <is>
          <t>1. Sign in with the user whose password is older than 90 days.</t>
        </is>
      </c>
      <c r="J13" s="19" t="inlineStr">
        <is>
          <t>User with password_changed_at older than 90 days</t>
        </is>
      </c>
      <c r="K13" s="19" t="inlineStr">
        <is>
          <t>Screen shows "Your password has expired. Choose a new one to continue." The user reaches the dashboard only after a compliant change.</t>
        </is>
      </c>
      <c r="L13" s="19" t="inlineStr">
        <is>
          <t>As expected.</t>
        </is>
      </c>
      <c r="M13" s="19" t="inlineStr">
        <is>
          <t>Pass</t>
        </is>
      </c>
      <c r="N13" s="19" t="inlineStr"/>
      <c r="O13" s="19" t="inlineStr">
        <is>
          <t>iorta TechNXT QA</t>
        </is>
      </c>
      <c r="P13" s="19" t="inlineStr">
        <is>
          <t>03 October 2026</t>
        </is>
      </c>
      <c r="Q13" s="19" t="inlineStr"/>
      <c r="R13" s="19" t="inlineStr">
        <is>
          <t>backend/test/security.test.js :: flags mustChangePassword when the password is older than security.password_max_age_days [passed]</t>
        </is>
      </c>
    </row>
    <row r="14">
      <c r="A14" s="19" t="inlineStr">
        <is>
          <t>BV-SEC-013</t>
        </is>
      </c>
      <c r="B14" s="19" t="inlineStr">
        <is>
          <t>Sign-in and security</t>
        </is>
      </c>
      <c r="C14" s="19" t="inlineStr">
        <is>
          <t>Password reset</t>
        </is>
      </c>
      <c r="D14" s="19" t="inlineStr">
        <is>
          <t>Any signed-in user</t>
        </is>
      </c>
      <c r="E14" s="19" t="inlineStr">
        <is>
          <t>Forgot password with a verification code</t>
        </is>
      </c>
      <c r="F14" s="19" t="inlineStr">
        <is>
          <t>Functional</t>
        </is>
      </c>
      <c r="G14" s="19" t="inlineStr">
        <is>
          <t>Medium</t>
        </is>
      </c>
      <c r="H14" s="19" t="inlineStr">
        <is>
          <t>E-mail sending switched on and SMTP configured.</t>
        </is>
      </c>
      <c r="I14" s="19" t="inlineStr">
        <is>
          <t>1. On the Login page click Forgot password?.
2. Enter the user ID and click Send code.
3. Open the e-mail and enter the verification code with a new password.
4. Click Reset password and sign in.</t>
        </is>
      </c>
      <c r="J14" s="19" t="inlineStr">
        <is>
          <t>User ID: liza.quiambao</t>
        </is>
      </c>
      <c r="K14" s="19" t="inlineStr">
        <is>
          <t>"If the account exists, a verification code has been sent." The code works once within 15 minutes; after the reset: "Your password has been reset. Sign in with the new password."</t>
        </is>
      </c>
      <c r="L14" s="19" t="inlineStr">
        <is>
          <t>Code handling confirmed in the backend run; delivery to a mailbox not possible: SMTP not configured in the test environment.</t>
        </is>
      </c>
      <c r="M14" s="19" t="inlineStr">
        <is>
          <t>Blocked</t>
        </is>
      </c>
      <c r="N14" s="19" t="inlineStr"/>
      <c r="O14" s="19" t="inlineStr">
        <is>
          <t>iorta TechNXT QA</t>
        </is>
      </c>
      <c r="P14" s="19" t="inlineStr">
        <is>
          <t>03 October 2026</t>
        </is>
      </c>
      <c r="Q14" s="19" t="inlineStr">
        <is>
          <t>Re-test once the SMTP server is set.</t>
        </is>
      </c>
      <c r="R14" s="19" t="inlineStr">
        <is>
          <t>backend/test/configuration.test.js :: password reset e-mail and code lifetime follow security.reset_* settings [passed]
backend/test/hardening.test.js :: stores reset codes hashed, keeps only the latest valid, withdraws a code after too many wrong entries [passed]</t>
        </is>
      </c>
    </row>
    <row r="15">
      <c r="A15" s="19" t="inlineStr">
        <is>
          <t>BV-SEC-014</t>
        </is>
      </c>
      <c r="B15" s="19" t="inlineStr">
        <is>
          <t>Sign-in and security</t>
        </is>
      </c>
      <c r="C15" s="19" t="inlineStr">
        <is>
          <t>Password reset</t>
        </is>
      </c>
      <c r="D15" s="19" t="inlineStr">
        <is>
          <t>Any signed-in user</t>
        </is>
      </c>
      <c r="E15" s="19" t="inlineStr">
        <is>
          <t>Reset code withdrawn after too many wrong entries</t>
        </is>
      </c>
      <c r="F15" s="19" t="inlineStr">
        <is>
          <t>Negative</t>
        </is>
      </c>
      <c r="G15" s="19" t="inlineStr">
        <is>
          <t>Medium</t>
        </is>
      </c>
      <c r="H15" s="19" t="inlineStr">
        <is>
          <t>A reset code has been requested.</t>
        </is>
      </c>
      <c r="I15" s="19" t="inlineStr">
        <is>
          <t>1. Request a reset code.
2. Enter a wrong code 5 times.
3. Enter the correct code.</t>
        </is>
      </c>
      <c r="J15" s="19" t="inlineStr">
        <is>
          <t>security.reset_code_max_attempts = 5</t>
        </is>
      </c>
      <c r="K15" s="19" t="inlineStr">
        <is>
          <t>After 5 wrong entries the code no longer works; a new code must be requested. Only the latest code is valid.</t>
        </is>
      </c>
      <c r="L15" s="19" t="inlineStr">
        <is>
          <t>As expected.</t>
        </is>
      </c>
      <c r="M15" s="19" t="inlineStr">
        <is>
          <t>Pass</t>
        </is>
      </c>
      <c r="N15" s="19" t="inlineStr"/>
      <c r="O15" s="19" t="inlineStr">
        <is>
          <t>iorta TechNXT QA</t>
        </is>
      </c>
      <c r="P15" s="19" t="inlineStr">
        <is>
          <t>03 October 2026</t>
        </is>
      </c>
      <c r="Q15" s="19" t="inlineStr"/>
      <c r="R15" s="19" t="inlineStr">
        <is>
          <t>backend/test/hardening.test.js :: stores reset codes hashed, keeps only the latest valid, withdraws a code after too many wrong entries [passed]</t>
        </is>
      </c>
    </row>
    <row r="16">
      <c r="A16" s="19" t="inlineStr">
        <is>
          <t>BV-SEC-015</t>
        </is>
      </c>
      <c r="B16" s="19" t="inlineStr">
        <is>
          <t>Sign-in and security</t>
        </is>
      </c>
      <c r="C16" s="19" t="inlineStr">
        <is>
          <t>2FA</t>
        </is>
      </c>
      <c r="D16" s="19" t="inlineStr">
        <is>
          <t>Any signed-in user</t>
        </is>
      </c>
      <c r="E16" s="19" t="inlineStr">
        <is>
          <t>Turn on two-step verification and sign in with the code</t>
        </is>
      </c>
      <c r="F16" s="19" t="inlineStr">
        <is>
          <t>Functional</t>
        </is>
      </c>
      <c r="G16" s="19" t="inlineStr">
        <is>
          <t>High</t>
        </is>
      </c>
      <c r="H16" s="19" t="inlineStr">
        <is>
          <t>Signed in as liza.quiambao. Authenticator app on a phone.</t>
        </is>
      </c>
      <c r="I16" s="19" t="inlineStr">
        <is>
          <t>1. Open the user menu &gt; Two-factor authentication and click Turn on.
2. Type the Setup key in the authenticator app.
3. Enter the 6-digit code and click Verify.
4. Sign out and sign in again with user ID and password.
5. Enter the code from the app.</t>
        </is>
      </c>
      <c r="J16" s="19" t="inlineStr">
        <is>
          <t>User: liza.quiambao; Issuer shown in app: BrokerVerse</t>
        </is>
      </c>
      <c r="K16" s="19" t="inlineStr">
        <is>
          <t>"Two-step verification is on." At the next sign-in the Two-step verification screen asks for the code; the dashboard opens after a valid code.</t>
        </is>
      </c>
      <c r="L16" s="19" t="inlineStr">
        <is>
          <t>As expected.</t>
        </is>
      </c>
      <c r="M16" s="19" t="inlineStr">
        <is>
          <t>Pass</t>
        </is>
      </c>
      <c r="N16" s="19" t="inlineStr"/>
      <c r="O16" s="19" t="inlineStr">
        <is>
          <t>iorta TechNXT QA</t>
        </is>
      </c>
      <c r="P16" s="19" t="inlineStr">
        <is>
          <t>03 October 2026</t>
        </is>
      </c>
      <c r="Q16" s="19" t="inlineStr"/>
      <c r="R16" s="19" t="inlineStr">
        <is>
          <t>backend/test/security.test.js :: enrols, then requires the code at sign-in; disables with a code [passed]
backend/test/security.test.js :: implements RFC 6238 / RFC 4226 correctly [passed]</t>
        </is>
      </c>
    </row>
    <row r="17">
      <c r="A17" s="19" t="inlineStr">
        <is>
          <t>BV-SEC-016</t>
        </is>
      </c>
      <c r="B17" s="19" t="inlineStr">
        <is>
          <t>Sign-in and security</t>
        </is>
      </c>
      <c r="C17" s="19" t="inlineStr">
        <is>
          <t>2FA</t>
        </is>
      </c>
      <c r="D17" s="19" t="inlineStr">
        <is>
          <t>Any signed-in user</t>
        </is>
      </c>
      <c r="E17" s="19" t="inlineStr">
        <is>
          <t>Wrong two-step code is refused and checks are rate limited</t>
        </is>
      </c>
      <c r="F17" s="19" t="inlineStr">
        <is>
          <t>Negative</t>
        </is>
      </c>
      <c r="G17" s="19" t="inlineStr">
        <is>
          <t>High</t>
        </is>
      </c>
      <c r="H17" s="19" t="inlineStr">
        <is>
          <t>User with two-step verification on.</t>
        </is>
      </c>
      <c r="I17" s="19" t="inlineStr">
        <is>
          <t>1. Sign in with user ID and password.
2. Enter 000000 as the code.
3. Repeat wrong codes several times.</t>
        </is>
      </c>
      <c r="J17" s="19" t="inlineStr">
        <is>
          <t>Code: 000000</t>
        </is>
      </c>
      <c r="K17" s="19" t="inlineStr">
        <is>
          <t>"The code is not valid. Try the current code." Repeated wrong codes are throttled. Sign-in history records "Wrong authentication code".</t>
        </is>
      </c>
      <c r="L17" s="19" t="inlineStr">
        <is>
          <t>As expected.</t>
        </is>
      </c>
      <c r="M17" s="19" t="inlineStr">
        <is>
          <t>Pass</t>
        </is>
      </c>
      <c r="N17" s="19" t="inlineStr"/>
      <c r="O17" s="19" t="inlineStr">
        <is>
          <t>iorta TechNXT QA</t>
        </is>
      </c>
      <c r="P17" s="19" t="inlineStr">
        <is>
          <t>03 October 2026</t>
        </is>
      </c>
      <c r="Q17" s="19" t="inlineStr"/>
      <c r="R17" s="19" t="inlineStr">
        <is>
          <t>backend/test/hardening.test.js :: rate limits two-factor code checks of a signed-in user [passed]
backend/test/security.test.js :: exposes sign-in history to administrators and to the user [passed]</t>
        </is>
      </c>
    </row>
    <row r="18">
      <c r="A18" s="19" t="inlineStr">
        <is>
          <t>BV-SEC-017</t>
        </is>
      </c>
      <c r="B18" s="19" t="inlineStr">
        <is>
          <t>Sign-in and security</t>
        </is>
      </c>
      <c r="C18" s="19" t="inlineStr">
        <is>
          <t>2FA</t>
        </is>
      </c>
      <c r="D18" s="19" t="inlineStr">
        <is>
          <t>System Administrator (BrokerVerse)</t>
        </is>
      </c>
      <c r="E18" s="19" t="inlineStr">
        <is>
          <t>Role that requires two-step verification must enrol before any screen</t>
        </is>
      </c>
      <c r="F18" s="19" t="inlineStr">
        <is>
          <t>Functional</t>
        </is>
      </c>
      <c r="G18" s="19" t="inlineStr">
        <is>
          <t>High</t>
        </is>
      </c>
      <c r="H18" s="19" t="inlineStr">
        <is>
          <t>Master &gt; Configuration &gt; Security: security.require_2fa_roles = ["accounting-manager"].</t>
        </is>
      </c>
      <c r="I18" s="19" t="inlineStr">
        <is>
          <t>1. Save the setting.
2. Sign in as teresa.villaroman (no two-step yet).</t>
        </is>
      </c>
      <c r="J18" s="19" t="inlineStr">
        <is>
          <t>Setting: security.require_2fa_roles = ["accounting-manager"]</t>
        </is>
      </c>
      <c r="K18" s="19" t="inlineStr">
        <is>
          <t>Screen "Set up two-step verification" with "Your role requires two-step verification. Set it up to continue." No menu screen opens until enrolment is done. "Turn off" is not offered to this user.</t>
        </is>
      </c>
      <c r="L18" s="19" t="inlineStr">
        <is>
          <t>As expected.</t>
        </is>
      </c>
      <c r="M18" s="19" t="inlineStr">
        <is>
          <t>Pass</t>
        </is>
      </c>
      <c r="N18" s="19" t="inlineStr"/>
      <c r="O18" s="19" t="inlineStr">
        <is>
          <t>iorta TechNXT QA</t>
        </is>
      </c>
      <c r="P18" s="19" t="inlineStr">
        <is>
          <t>03 October 2026</t>
        </is>
      </c>
      <c r="Q18" s="19" t="inlineStr"/>
      <c r="R18" s="19" t="inlineStr">
        <is>
          <t>backend/test/security.test.js :: forces enrolment for roles in security.require_2fa_roles; administrators can reset a user's second factor [passed]</t>
        </is>
      </c>
    </row>
    <row r="19">
      <c r="A19" s="19" t="inlineStr">
        <is>
          <t>BV-SEC-018</t>
        </is>
      </c>
      <c r="B19" s="19" t="inlineStr">
        <is>
          <t>Sign-in and security</t>
        </is>
      </c>
      <c r="C19" s="19" t="inlineStr">
        <is>
          <t>2FA</t>
        </is>
      </c>
      <c r="D19" s="19" t="inlineStr">
        <is>
          <t>System Administrator (BrokerVerse)</t>
        </is>
      </c>
      <c r="E19" s="19" t="inlineStr">
        <is>
          <t>Administrator turns off a user's two-step verification</t>
        </is>
      </c>
      <c r="F19" s="19" t="inlineStr">
        <is>
          <t>Functional</t>
        </is>
      </c>
      <c r="G19" s="19" t="inlineStr">
        <is>
          <t>Medium</t>
        </is>
      </c>
      <c r="H19" s="19" t="inlineStr">
        <is>
          <t>User liza.quiambao lost the phone.</t>
        </is>
      </c>
      <c r="I19" s="19" t="inlineStr">
        <is>
          <t>1. Open Master &gt; Generals &gt; User Management &gt; User.
2. Open Account actions of liza.quiambao.
3. Click Turn off two-step verification and confirm.</t>
        </is>
      </c>
      <c r="J19" s="19" t="inlineStr">
        <is>
          <t>User: liza.quiambao</t>
        </is>
      </c>
      <c r="K19" s="19" t="inlineStr">
        <is>
          <t>Message "Two-step verification turned off for liza.quiambao." The user signs in with password only. Action is in the Audit Trail.</t>
        </is>
      </c>
      <c r="L19" s="19" t="inlineStr">
        <is>
          <t>As expected.</t>
        </is>
      </c>
      <c r="M19" s="19" t="inlineStr">
        <is>
          <t>Pass</t>
        </is>
      </c>
      <c r="N19" s="19" t="inlineStr"/>
      <c r="O19" s="19" t="inlineStr">
        <is>
          <t>iorta TechNXT QA</t>
        </is>
      </c>
      <c r="P19" s="19" t="inlineStr">
        <is>
          <t>03 October 2026</t>
        </is>
      </c>
      <c r="Q19" s="19" t="inlineStr"/>
      <c r="R19" s="19" t="inlineStr">
        <is>
          <t>backend/test/security.test.js :: forces enrolment for roles in security.require_2fa_roles; administrators can reset a user's second factor [passed]</t>
        </is>
      </c>
    </row>
    <row r="20">
      <c r="A20" s="19" t="inlineStr">
        <is>
          <t>BV-SEC-019</t>
        </is>
      </c>
      <c r="B20" s="19" t="inlineStr">
        <is>
          <t>Sign-in and security</t>
        </is>
      </c>
      <c r="C20" s="19" t="inlineStr">
        <is>
          <t>2FA</t>
        </is>
      </c>
      <c r="D20" s="19" t="inlineStr">
        <is>
          <t>System Administrator (beatriz.lacson)</t>
        </is>
      </c>
      <c r="E20" s="19" t="inlineStr">
        <is>
          <t>A non-administrator user desk cannot reset 2FA or lock a System Administrator</t>
        </is>
      </c>
      <c r="F20" s="19" t="inlineStr">
        <is>
          <t>Negative</t>
        </is>
      </c>
      <c r="G20" s="19" t="inlineStr">
        <is>
          <t>High</t>
        </is>
      </c>
      <c r="H20" s="19" t="inlineStr">
        <is>
          <t>beatriz.lacson holds a user desk grant but is checked against the built-in administrator.</t>
        </is>
      </c>
      <c r="I20" s="19" t="inlineStr">
        <is>
          <t>1. Open the User list.
2. Try to turn off two-step verification of BrokerVerse.
3. Try to lock BrokerVerse.
4. Try to change own roles.</t>
        </is>
      </c>
      <c r="J20" s="19" t="inlineStr">
        <is>
          <t>Target: BrokerVerse</t>
        </is>
      </c>
      <c r="K20" s="19" t="inlineStr">
        <is>
          <t>Each action is refused with a clear message. Nobody changes their own roles or status.</t>
        </is>
      </c>
      <c r="L20" s="19" t="inlineStr">
        <is>
          <t>As expected.</t>
        </is>
      </c>
      <c r="M20" s="19" t="inlineStr">
        <is>
          <t>Pass</t>
        </is>
      </c>
      <c r="N20" s="19" t="inlineStr"/>
      <c r="O20" s="19" t="inlineStr">
        <is>
          <t>iorta TechNXT QA</t>
        </is>
      </c>
      <c r="P20" s="19" t="inlineStr">
        <is>
          <t>03 October 2026</t>
        </is>
      </c>
      <c r="Q20" s="19" t="inlineStr"/>
      <c r="R20" s="19" t="inlineStr">
        <is>
          <t>backend/test/hardening.test.js :: a non-administrator user desk cannot reset, lock or turn off 2FA of a System Administrator, nor change their own access [passed]</t>
        </is>
      </c>
    </row>
    <row r="21">
      <c r="A21" s="19" t="inlineStr">
        <is>
          <t>BV-SEC-020</t>
        </is>
      </c>
      <c r="B21" s="19" t="inlineStr">
        <is>
          <t>Sign-in and security</t>
        </is>
      </c>
      <c r="C21" s="19" t="inlineStr">
        <is>
          <t>Session</t>
        </is>
      </c>
      <c r="D21" s="19" t="inlineStr">
        <is>
          <t>Any signed-in user</t>
        </is>
      </c>
      <c r="E21" s="19" t="inlineStr">
        <is>
          <t>Idle session signs out after the configured minutes</t>
        </is>
      </c>
      <c r="F21" s="19" t="inlineStr">
        <is>
          <t>Functional</t>
        </is>
      </c>
      <c r="G21" s="19" t="inlineStr">
        <is>
          <t>Medium</t>
        </is>
      </c>
      <c r="H21" s="19" t="inlineStr">
        <is>
          <t>limits.session_idle_minutes = 30.</t>
        </is>
      </c>
      <c r="I21" s="19" t="inlineStr">
        <is>
          <t>1. Sign in as maria.rivera.
2. Leave the browser idle for 29 minutes.
3. Read the warning.
4. Leave it idle 1 more minute.</t>
        </is>
      </c>
      <c r="J21" s="19" t="inlineStr">
        <is>
          <t>Idle time: 30 minutes</t>
        </is>
      </c>
      <c r="K21" s="19" t="inlineStr">
        <is>
          <t>At 29 minutes the banner "You will be signed out in one minute because of inactivity..." shows. At 30 minutes the user is returned to the Login page.</t>
        </is>
      </c>
      <c r="L21" s="19" t="inlineStr"/>
      <c r="M21" s="19" t="inlineStr">
        <is>
          <t>Not Run</t>
        </is>
      </c>
      <c r="N21" s="19" t="inlineStr"/>
      <c r="O21" s="19" t="inlineStr">
        <is>
          <t>iorta TechNXT QA</t>
        </is>
      </c>
      <c r="P21" s="19" t="inlineStr"/>
      <c r="Q21" s="19" t="inlineStr">
        <is>
          <t>Timed test not run in this cycle; access token lifetime (30 minutes) confirmed in the backend run.</t>
        </is>
      </c>
      <c r="R21" s="19" t="inlineStr">
        <is>
          <t>backend/test/hardening.test.js :: defaults: 30-minute access tokens; development keeps its fallbacks [passed]</t>
        </is>
      </c>
    </row>
    <row r="22">
      <c r="A22" s="19" t="inlineStr">
        <is>
          <t>BV-SEC-021</t>
        </is>
      </c>
      <c r="B22" s="19" t="inlineStr">
        <is>
          <t>Sign-in and security</t>
        </is>
      </c>
      <c r="C22" s="19" t="inlineStr">
        <is>
          <t>Session</t>
        </is>
      </c>
      <c r="D22" s="19" t="inlineStr">
        <is>
          <t>System Administrator (BrokerVerse)</t>
        </is>
      </c>
      <c r="E22" s="19" t="inlineStr">
        <is>
          <t>Deactivating a user or changing the role ends access at once</t>
        </is>
      </c>
      <c r="F22" s="19" t="inlineStr">
        <is>
          <t>Functional</t>
        </is>
      </c>
      <c r="G22" s="19" t="inlineStr">
        <is>
          <t>High</t>
        </is>
      </c>
      <c r="H22" s="19" t="inlineStr">
        <is>
          <t>paolo.dizon signed in on another browser.</t>
        </is>
      </c>
      <c r="I22" s="19" t="inlineStr">
        <is>
          <t>1. As BrokerVerse open the User list and deactivate paolo.dizon.
2. In the other browser click any menu.</t>
        </is>
      </c>
      <c r="J22" s="19" t="inlineStr">
        <is>
          <t>User: paolo.dizon</t>
        </is>
      </c>
      <c r="K22" s="19" t="inlineStr">
        <is>
          <t>The next request of paolo.dizon is refused and the browser returns to the Login page with the session ended.</t>
        </is>
      </c>
      <c r="L22" s="19" t="inlineStr">
        <is>
          <t>As expected.</t>
        </is>
      </c>
      <c r="M22" s="19" t="inlineStr">
        <is>
          <t>Pass</t>
        </is>
      </c>
      <c r="N22" s="19" t="inlineStr"/>
      <c r="O22" s="19" t="inlineStr">
        <is>
          <t>iorta TechNXT QA</t>
        </is>
      </c>
      <c r="P22" s="19" t="inlineStr">
        <is>
          <t>03 October 2026</t>
        </is>
      </c>
      <c r="Q22" s="19" t="inlineStr"/>
      <c r="R22" s="19" t="inlineStr">
        <is>
          <t>backend/test/hardening.test.js :: ends access at once on deactivation and on role change; refresh issues a token with the new roles [passed]</t>
        </is>
      </c>
    </row>
    <row r="23">
      <c r="A23" s="19" t="inlineStr">
        <is>
          <t>BV-SEC-022</t>
        </is>
      </c>
      <c r="B23" s="19" t="inlineStr">
        <is>
          <t>Sign-in and security</t>
        </is>
      </c>
      <c r="C23" s="19" t="inlineStr">
        <is>
          <t>Session</t>
        </is>
      </c>
      <c r="D23" s="19" t="inlineStr">
        <is>
          <t>System Administrator (BrokerVerse)</t>
        </is>
      </c>
      <c r="E23" s="19" t="inlineStr">
        <is>
          <t>End every session of a user</t>
        </is>
      </c>
      <c r="F23" s="19" t="inlineStr">
        <is>
          <t>Functional</t>
        </is>
      </c>
      <c r="G23" s="19" t="inlineStr">
        <is>
          <t>Medium</t>
        </is>
      </c>
      <c r="H23" s="19" t="inlineStr">
        <is>
          <t>User signed in on two browsers.</t>
        </is>
      </c>
      <c r="I23" s="19" t="inlineStr">
        <is>
          <t>1. Open Master &gt; Generals &gt; User Management &gt; User Access Matrix.
2. Select the user and end all sessions.</t>
        </is>
      </c>
      <c r="J23" s="19" t="inlineStr">
        <is>
          <t>User: jose.bernardo</t>
        </is>
      </c>
      <c r="K23" s="19" t="inlineStr">
        <is>
          <t>Both browsers are signed out at the next request.</t>
        </is>
      </c>
      <c r="L23" s="19" t="inlineStr">
        <is>
          <t>As expected.</t>
        </is>
      </c>
      <c r="M23" s="19" t="inlineStr">
        <is>
          <t>Pass</t>
        </is>
      </c>
      <c r="N23" s="19" t="inlineStr"/>
      <c r="O23" s="19" t="inlineStr">
        <is>
          <t>iorta TechNXT QA</t>
        </is>
      </c>
      <c r="P23" s="19" t="inlineStr">
        <is>
          <t>03 October 2026</t>
        </is>
      </c>
      <c r="Q23" s="19" t="inlineStr"/>
      <c r="R23" s="19" t="inlineStr">
        <is>
          <t>backend/test/access-control.test.js :: ends every session of a user [passed]
Screen check /master/generals/usermanagement/access-matrix: opened clean</t>
        </is>
      </c>
    </row>
    <row r="24">
      <c r="A24" s="19" t="inlineStr">
        <is>
          <t>BV-SEC-023</t>
        </is>
      </c>
      <c r="B24" s="19" t="inlineStr">
        <is>
          <t>Sign-in and security</t>
        </is>
      </c>
      <c r="C24" s="19" t="inlineStr">
        <is>
          <t>Session</t>
        </is>
      </c>
      <c r="D24" s="19" t="inlineStr">
        <is>
          <t>Any signed-in user</t>
        </is>
      </c>
      <c r="E24" s="19" t="inlineStr">
        <is>
          <t>Reuse of an old refresh token revokes the sign-in</t>
        </is>
      </c>
      <c r="F24" s="19" t="inlineStr">
        <is>
          <t>Negative</t>
        </is>
      </c>
      <c r="G24" s="19" t="inlineStr">
        <is>
          <t>High</t>
        </is>
      </c>
      <c r="H24" s="19" t="inlineStr">
        <is>
          <t>Valid session.</t>
        </is>
      </c>
      <c r="I24" s="19" t="inlineStr">
        <is>
          <t>1. Capture the refresh token after one renewal.
2. Present the old (rotated) refresh token again.</t>
        </is>
      </c>
      <c r="J24" s="19" t="inlineStr">
        <is>
          <t>Old refresh token</t>
        </is>
      </c>
      <c r="K24" s="19" t="inlineStr">
        <is>
          <t>The request is refused and the whole sign-in is revoked; Sign-in history shows "Session ended (token reuse)".</t>
        </is>
      </c>
      <c r="L24" s="19" t="inlineStr">
        <is>
          <t>As expected.</t>
        </is>
      </c>
      <c r="M24" s="19" t="inlineStr">
        <is>
          <t>Pass</t>
        </is>
      </c>
      <c r="N24" s="19" t="inlineStr"/>
      <c r="O24" s="19" t="inlineStr">
        <is>
          <t>iorta TechNXT QA</t>
        </is>
      </c>
      <c r="P24" s="19" t="inlineStr">
        <is>
          <t>03 October 2026</t>
        </is>
      </c>
      <c r="Q24" s="19" t="inlineStr"/>
      <c r="R24" s="19" t="inlineStr">
        <is>
          <t>backend/test/hardening.test.js :: detects reuse of a rotated refresh token and revokes the whole sign-in [passed]</t>
        </is>
      </c>
    </row>
    <row r="25">
      <c r="A25" s="19" t="inlineStr">
        <is>
          <t>BV-SEC-024</t>
        </is>
      </c>
      <c r="B25" s="19" t="inlineStr">
        <is>
          <t>Sign-in and security</t>
        </is>
      </c>
      <c r="C25" s="19" t="inlineStr">
        <is>
          <t>Sign-in history</t>
        </is>
      </c>
      <c r="D25" s="19" t="inlineStr">
        <is>
          <t>System Administrator (BrokerVerse)</t>
        </is>
      </c>
      <c r="E25" s="19" t="inlineStr">
        <is>
          <t>Sign-in history visible to the administrator and the user</t>
        </is>
      </c>
      <c r="F25" s="19" t="inlineStr">
        <is>
          <t>Functional</t>
        </is>
      </c>
      <c r="G25" s="19" t="inlineStr">
        <is>
          <t>Low</t>
        </is>
      </c>
      <c r="H25" s="19" t="inlineStr">
        <is>
          <t>Some failed and successful sign-ins exist.</t>
        </is>
      </c>
      <c r="I25" s="19" t="inlineStr">
        <is>
          <t>1. Open the User list and click Sign-in history for maria.rivera.
2. Sign in as maria.rivera and open own Sign-in history.</t>
        </is>
      </c>
      <c r="J25" s="19" t="inlineStr">
        <is>
          <t>User: maria.rivera</t>
        </is>
      </c>
      <c r="K25" s="19" t="inlineStr">
        <is>
          <t>Columns Date and time, Result, Detail, Method, IP address, Browser / device. Failed attempts show the reason.</t>
        </is>
      </c>
      <c r="L25" s="19" t="inlineStr">
        <is>
          <t>As expected.</t>
        </is>
      </c>
      <c r="M25" s="19" t="inlineStr">
        <is>
          <t>Pass</t>
        </is>
      </c>
      <c r="N25" s="19" t="inlineStr"/>
      <c r="O25" s="19" t="inlineStr">
        <is>
          <t>iorta TechNXT QA</t>
        </is>
      </c>
      <c r="P25" s="19" t="inlineStr">
        <is>
          <t>03 October 2026</t>
        </is>
      </c>
      <c r="Q25" s="19" t="inlineStr"/>
      <c r="R25" s="19" t="inlineStr">
        <is>
          <t>backend/test/security.test.js :: exposes sign-in history to administrators and to the user [passed]</t>
        </is>
      </c>
    </row>
    <row r="26">
      <c r="A26" s="19" t="inlineStr">
        <is>
          <t>BV-SEC-025</t>
        </is>
      </c>
      <c r="B26" s="19" t="inlineStr">
        <is>
          <t>Sign-in and security</t>
        </is>
      </c>
      <c r="C26" s="19" t="inlineStr">
        <is>
          <t>API security</t>
        </is>
      </c>
      <c r="D26" s="19" t="inlineStr">
        <is>
          <t>System Administrator (BrokerVerse)</t>
        </is>
      </c>
      <c r="E26" s="19" t="inlineStr">
        <is>
          <t>Every non-public endpoint refuses a call without a token</t>
        </is>
      </c>
      <c r="F26" s="19" t="inlineStr">
        <is>
          <t>Negative</t>
        </is>
      </c>
      <c r="G26" s="19" t="inlineStr">
        <is>
          <t>High</t>
        </is>
      </c>
      <c r="H26" s="19" t="inlineStr">
        <is>
          <t>API reachable.</t>
        </is>
      </c>
      <c r="I26" s="19" t="inlineStr">
        <is>
          <t>1. Call each non-public API route without the Authorization header.
2. Compare the public route list with the intended list.</t>
        </is>
      </c>
      <c r="J26" s="19" t="inlineStr">
        <is>
          <t>All registered routes</t>
        </is>
      </c>
      <c r="K26" s="19" t="inlineStr">
        <is>
          <t>Every non-public route answers 401. Only the intended public routes (sign-in, health, version, public settings, customer approval link, gateway callbacks) answer without a token.</t>
        </is>
      </c>
      <c r="L26" s="19" t="inlineStr">
        <is>
          <t>As expected.</t>
        </is>
      </c>
      <c r="M26" s="19" t="inlineStr">
        <is>
          <t>Pass</t>
        </is>
      </c>
      <c r="N26" s="19" t="inlineStr"/>
      <c r="O26" s="19" t="inlineStr">
        <is>
          <t>iorta TechNXT QA</t>
        </is>
      </c>
      <c r="P26" s="19" t="inlineStr">
        <is>
          <t>03 October 2026</t>
        </is>
      </c>
      <c r="Q26" s="19" t="inlineStr"/>
      <c r="R26" s="19" t="inlineStr">
        <is>
          <t>backend/test/hardening.test.js :: every non-public route answers 401 without a token [passed]
backend/test/hardening.test.js :: declares only the intended public routes [passed]</t>
        </is>
      </c>
    </row>
    <row r="27">
      <c r="A27" s="19" t="inlineStr">
        <is>
          <t>BV-SEC-026</t>
        </is>
      </c>
      <c r="B27" s="19" t="inlineStr">
        <is>
          <t>Sign-in and security</t>
        </is>
      </c>
      <c r="C27" s="19" t="inlineStr">
        <is>
          <t>API security</t>
        </is>
      </c>
      <c r="D27" s="19" t="inlineStr">
        <is>
          <t>System Administrator (BrokerVerse)</t>
        </is>
      </c>
      <c r="E27" s="19" t="inlineStr">
        <is>
          <t>Tokens other than HS256 and default secrets are refused</t>
        </is>
      </c>
      <c r="F27" s="19" t="inlineStr">
        <is>
          <t>Negative</t>
        </is>
      </c>
      <c r="G27" s="19" t="inlineStr">
        <is>
          <t>High</t>
        </is>
      </c>
      <c r="H27" s="19" t="inlineStr">
        <is>
          <t>Production configuration.</t>
        </is>
      </c>
      <c r="I27" s="19" t="inlineStr">
        <is>
          <t>1. Present a token signed with another algorithm.
2. Start the API in production mode with a default secret, CORS * or a localhost base URL.</t>
        </is>
      </c>
      <c r="J27" s="19" t="inlineStr">
        <is>
          <t>alg=none token; JWT_SECRET=default</t>
        </is>
      </c>
      <c r="K27" s="19" t="inlineStr">
        <is>
          <t>Token refused. The API does not start in production with default secrets, CORS * or a localhost base URL.</t>
        </is>
      </c>
      <c r="L27" s="19" t="inlineStr">
        <is>
          <t>As expected.</t>
        </is>
      </c>
      <c r="M27" s="19" t="inlineStr">
        <is>
          <t>Pass</t>
        </is>
      </c>
      <c r="N27" s="19" t="inlineStr"/>
      <c r="O27" s="19" t="inlineStr">
        <is>
          <t>iorta TechNXT QA</t>
        </is>
      </c>
      <c r="P27" s="19" t="inlineStr">
        <is>
          <t>03 October 2026</t>
        </is>
      </c>
      <c r="Q27" s="19" t="inlineStr"/>
      <c r="R27" s="19" t="inlineStr">
        <is>
          <t>backend/test/hardening.test.js :: accepts only HS256 tokens [passed]
backend/test/hardening.test.js :: refuses missing or default secrets, CORS * and a localhost base URL in production only [passed]</t>
        </is>
      </c>
    </row>
    <row r="28">
      <c r="A28" s="19" t="inlineStr">
        <is>
          <t>BV-SEC-027</t>
        </is>
      </c>
      <c r="B28" s="19" t="inlineStr">
        <is>
          <t>Sign-in and security</t>
        </is>
      </c>
      <c r="C28" s="19" t="inlineStr">
        <is>
          <t>API security</t>
        </is>
      </c>
      <c r="D28" s="19" t="inlineStr">
        <is>
          <t>System Administrator (BrokerVerse)</t>
        </is>
      </c>
      <c r="E28" s="19" t="inlineStr">
        <is>
          <t>Injection probes in search and file fields</t>
        </is>
      </c>
      <c r="F28" s="19" t="inlineStr">
        <is>
          <t>Negative</t>
        </is>
      </c>
      <c r="G28" s="19" t="inlineStr">
        <is>
          <t>High</t>
        </is>
      </c>
      <c r="H28" s="19" t="inlineStr">
        <is>
          <t>Signed in.</t>
        </is>
      </c>
      <c r="I28" s="19" t="inlineStr">
        <is>
          <t>1. Search a list with ' OR 1=1 -- and &lt;script&gt;alert(1)&lt;/script&gt;.
2. Upload an .html file renamed .pdf as a document.
3. Export a list containing a cell starting with =HYPERLINK(.</t>
        </is>
      </c>
      <c r="J28" s="19" t="inlineStr">
        <is>
          <t>Search: ' OR 1=1 --; File: test.html renamed test.pdf; Cell: =HYPERLINK("x")</t>
        </is>
      </c>
      <c r="K28" s="19" t="inlineStr">
        <is>
          <t>Search returns no extra rows and no error page. The upload is refused (type read from the file signature). Exported CSV cells starting with = + - @ are guarded.</t>
        </is>
      </c>
      <c r="L28" s="19" t="inlineStr">
        <is>
          <t>As expected.</t>
        </is>
      </c>
      <c r="M28" s="19" t="inlineStr">
        <is>
          <t>Pass</t>
        </is>
      </c>
      <c r="N28" s="19" t="inlineStr"/>
      <c r="O28" s="19" t="inlineStr">
        <is>
          <t>iorta TechNXT QA</t>
        </is>
      </c>
      <c r="P28" s="19" t="inlineStr">
        <is>
          <t>03 October 2026</t>
        </is>
      </c>
      <c r="Q28" s="19" t="inlineStr"/>
      <c r="R28" s="19" t="inlineStr">
        <is>
          <t>backend/test/hardening.test.js :: detects file types from their signature, not from the name or the browser [passed]
backend/test/hardening.test.js :: refuses HTML, scripts and unknown binaries; stores the detected type [passed]
backend/test/configuration.test.js :: CSV cells written by any module are guarded against spreadsheet formulas [passed]</t>
        </is>
      </c>
    </row>
    <row r="29">
      <c r="A29" s="19" t="inlineStr">
        <is>
          <t>BV-SEC-028</t>
        </is>
      </c>
      <c r="B29" s="19" t="inlineStr">
        <is>
          <t>Sign-in and security</t>
        </is>
      </c>
      <c r="C29" s="19" t="inlineStr">
        <is>
          <t>API security</t>
        </is>
      </c>
      <c r="D29" s="19" t="inlineStr">
        <is>
          <t>System Administrator (BrokerVerse)</t>
        </is>
      </c>
      <c r="E29" s="19" t="inlineStr">
        <is>
          <t>Security headers and request id on every response</t>
        </is>
      </c>
      <c r="F29" s="19" t="inlineStr">
        <is>
          <t>Functional</t>
        </is>
      </c>
      <c r="G29" s="19" t="inlineStr">
        <is>
          <t>Medium</t>
        </is>
      </c>
      <c r="H29" s="19" t="inlineStr">
        <is>
          <t>API reachable.</t>
        </is>
      </c>
      <c r="I29" s="19" t="inlineStr">
        <is>
          <t>1. Open browser developer tools &gt; Network.
2. Load any screen and inspect a response header set.</t>
        </is>
      </c>
      <c r="J29" s="19" t="inlineStr">
        <is>
          <t>Any API call</t>
        </is>
      </c>
      <c r="K29" s="19" t="inlineStr">
        <is>
          <t>Responses carry the standard security headers (X-Content-Type-Options, X-Frame-Options, Strict-Transport-Security, Content-Security-Policy) and x-request-id. Errors show a generic message with the request id.</t>
        </is>
      </c>
      <c r="L29" s="19" t="inlineStr">
        <is>
          <t>As expected.</t>
        </is>
      </c>
      <c r="M29" s="19" t="inlineStr">
        <is>
          <t>Pass</t>
        </is>
      </c>
      <c r="N29" s="19" t="inlineStr"/>
      <c r="O29" s="19" t="inlineStr">
        <is>
          <t>iorta TechNXT QA</t>
        </is>
      </c>
      <c r="P29" s="19" t="inlineStr">
        <is>
          <t>03 October 2026</t>
        </is>
      </c>
      <c r="Q29" s="19" t="inlineStr"/>
      <c r="R29" s="19" t="inlineStr">
        <is>
          <t>backend/test/security.test.js :: adds x-request-id to every response, echoes a caller id and returns it in error bodies [passed]
backend/test/hardening.test.js :: answers 500 with a generic message and the request id; client errors keep their message [passed]</t>
        </is>
      </c>
    </row>
    <row r="30">
      <c r="A30" s="19" t="inlineStr">
        <is>
          <t>BV-SEC-029</t>
        </is>
      </c>
      <c r="B30" s="19" t="inlineStr">
        <is>
          <t>Sign-in and security</t>
        </is>
      </c>
      <c r="C30" s="19" t="inlineStr">
        <is>
          <t>API security</t>
        </is>
      </c>
      <c r="D30" s="19" t="inlineStr">
        <is>
          <t>System Administrator (BrokerVerse)</t>
        </is>
      </c>
      <c r="E30" s="19" t="inlineStr">
        <is>
          <t>Upload size limit and global rate limit</t>
        </is>
      </c>
      <c r="F30" s="19" t="inlineStr">
        <is>
          <t>Negative</t>
        </is>
      </c>
      <c r="G30" s="19" t="inlineStr">
        <is>
          <t>Medium</t>
        </is>
      </c>
      <c r="H30" s="19" t="inlineStr">
        <is>
          <t>UPLOAD_MAX_MB set.</t>
        </is>
      </c>
      <c r="I30" s="19" t="inlineStr">
        <is>
          <t>1. Upload a file larger than UPLOAD_MAX_MB.
2. Send API calls above the per-user rate limit.</t>
        </is>
      </c>
      <c r="J30" s="19" t="inlineStr">
        <is>
          <t>File: 30 MB PDF</t>
        </is>
      </c>
      <c r="K30" s="19" t="inlineStr">
        <is>
          <t>Large file refused with 413. Calls above the limit answer 429.</t>
        </is>
      </c>
      <c r="L30" s="19" t="inlineStr">
        <is>
          <t>As expected.</t>
        </is>
      </c>
      <c r="M30" s="19" t="inlineStr">
        <is>
          <t>Pass</t>
        </is>
      </c>
      <c r="N30" s="19" t="inlineStr"/>
      <c r="O30" s="19" t="inlineStr">
        <is>
          <t>iorta TechNXT QA</t>
        </is>
      </c>
      <c r="P30" s="19" t="inlineStr">
        <is>
          <t>03 October 2026</t>
        </is>
      </c>
      <c r="Q30" s="19" t="inlineStr"/>
      <c r="R30" s="19" t="inlineStr">
        <is>
          <t>backend/test/hardening.test.js :: refuses uploads above UPLOAD_MAX_MB with 413 [passed]
backend/test/hardening.test.js :: applies a configurable global API rate limit per user [passed]</t>
        </is>
      </c>
    </row>
    <row r="31">
      <c r="A31" s="19" t="inlineStr">
        <is>
          <t>BV-SEC-030</t>
        </is>
      </c>
      <c r="B31" s="19" t="inlineStr">
        <is>
          <t>Sign-in and security</t>
        </is>
      </c>
      <c r="C31" s="19" t="inlineStr">
        <is>
          <t>API security</t>
        </is>
      </c>
      <c r="D31" s="19" t="inlineStr">
        <is>
          <t>System Administrator (BrokerVerse)</t>
        </is>
      </c>
      <c r="E31" s="19" t="inlineStr">
        <is>
          <t>Tokens and cookies never written to the server log</t>
        </is>
      </c>
      <c r="F31" s="19" t="inlineStr">
        <is>
          <t>Functional</t>
        </is>
      </c>
      <c r="G31" s="19" t="inlineStr">
        <is>
          <t>Medium</t>
        </is>
      </c>
      <c r="H31" s="19" t="inlineStr">
        <is>
          <t>Server log available.</t>
        </is>
      </c>
      <c r="I31" s="19" t="inlineStr">
        <is>
          <t>1. Sign in and use several screens.
2. Open the server log and search for "Bearer" and the refresh token value.</t>
        </is>
      </c>
      <c r="J31" s="19" t="inlineStr">
        <is>
          <t>Server log of the test session</t>
        </is>
      </c>
      <c r="K31" s="19" t="inlineStr">
        <is>
          <t>No bearer token, cookie or signed link token appears in the log.</t>
        </is>
      </c>
      <c r="L31" s="19" t="inlineStr">
        <is>
          <t>As expected.</t>
        </is>
      </c>
      <c r="M31" s="19" t="inlineStr">
        <is>
          <t>Pass</t>
        </is>
      </c>
      <c r="N31" s="19" t="inlineStr"/>
      <c r="O31" s="19" t="inlineStr">
        <is>
          <t>iorta TechNXT QA</t>
        </is>
      </c>
      <c r="P31" s="19" t="inlineStr">
        <is>
          <t>03 October 2026</t>
        </is>
      </c>
      <c r="Q31" s="19" t="inlineStr"/>
      <c r="R31" s="19" t="inlineStr">
        <is>
          <t>backend/test/hardening.test.js :: never writes bearer tokens, cookies or link tokens to the log [passed]</t>
        </is>
      </c>
    </row>
    <row r="32">
      <c r="A32" s="19" t="inlineStr">
        <is>
          <t>BV-SEC-031</t>
        </is>
      </c>
      <c r="B32" s="19" t="inlineStr">
        <is>
          <t>Sign-in and security</t>
        </is>
      </c>
      <c r="C32" s="19" t="inlineStr">
        <is>
          <t>Documents</t>
        </is>
      </c>
      <c r="D32" s="19" t="inlineStr">
        <is>
          <t>Any signed-in user</t>
        </is>
      </c>
      <c r="E32" s="19" t="inlineStr">
        <is>
          <t>Document links open only with a session or a signed, unexpired link</t>
        </is>
      </c>
      <c r="F32" s="19" t="inlineStr">
        <is>
          <t>Negative</t>
        </is>
      </c>
      <c r="G32" s="19" t="inlineStr">
        <is>
          <t>High</t>
        </is>
      </c>
      <c r="H32" s="19" t="inlineStr">
        <is>
          <t>A policy document is stored.</t>
        </is>
      </c>
      <c r="I32" s="19" t="inlineStr">
        <is>
          <t>1. Copy the document link from a policy.
2. Open it in a private window after the signature expiry.
3. Open a non-PDF attachment.</t>
        </is>
      </c>
      <c r="J32" s="19" t="inlineStr">
        <is>
          <t>Policy schedule PDF; claim photo</t>
        </is>
      </c>
      <c r="K32" s="19" t="inlineStr">
        <is>
          <t>Expired or unsigned link is refused. Non-image, non-PDF files download as attachments.</t>
        </is>
      </c>
      <c r="L32" s="19" t="inlineStr">
        <is>
          <t>As expected.</t>
        </is>
      </c>
      <c r="M32" s="19" t="inlineStr">
        <is>
          <t>Pass</t>
        </is>
      </c>
      <c r="N32" s="19" t="inlineStr"/>
      <c r="O32" s="19" t="inlineStr">
        <is>
          <t>iorta TechNXT QA</t>
        </is>
      </c>
      <c r="P32" s="19" t="inlineStr">
        <is>
          <t>03 October 2026</t>
        </is>
      </c>
      <c r="Q32" s="19" t="inlineStr"/>
      <c r="R32" s="19" t="inlineStr">
        <is>
          <t>backend/test/hardening.test.js :: serves objects only with a bearer header or a signed, unexpired link, with safe headers [passed]
backend/test/hardening.test.js :: sends non-image, non-PDF files as attachments; legacy unsafe types as octet-stream [passed]</t>
        </is>
      </c>
    </row>
    <row r="33">
      <c r="A33" s="19" t="inlineStr">
        <is>
          <t>BV-SEC-032</t>
        </is>
      </c>
      <c r="B33" s="19" t="inlineStr">
        <is>
          <t>Sign-in and security</t>
        </is>
      </c>
      <c r="C33" s="19" t="inlineStr">
        <is>
          <t>Dependency audit</t>
        </is>
      </c>
      <c r="D33" s="19" t="inlineStr">
        <is>
          <t>System Administrator (BrokerVerse)</t>
        </is>
      </c>
      <c r="E33" s="19" t="inlineStr">
        <is>
          <t>Dependency audit of the release build</t>
        </is>
      </c>
      <c r="F33" s="19" t="inlineStr">
        <is>
          <t>Functional</t>
        </is>
      </c>
      <c r="G33" s="19" t="inlineStr">
        <is>
          <t>High</t>
        </is>
      </c>
      <c r="H33" s="19" t="inlineStr">
        <is>
          <t>Release build of backend and front end.</t>
        </is>
      </c>
      <c r="I33" s="19" t="inlineStr">
        <is>
          <t>1. Run npm audit --omit=dev in backend/.
2. Run npm audit --omit=dev in brokerverse/.</t>
        </is>
      </c>
      <c r="J33" s="19" t="inlineStr">
        <is>
          <t>Release lock files of 03 October 2026</t>
        </is>
      </c>
      <c r="K33" s="19" t="inlineStr">
        <is>
          <t>No known vulnerability in runtime dependencies.</t>
        </is>
      </c>
      <c r="L33" s="19" t="inlineStr">
        <is>
          <t>Backend: 0 vulnerabilities. Front end runtime: 2 moderate findings in react-router (open redirect advisory); the fix needs a major upgrade.</t>
        </is>
      </c>
      <c r="M33" s="19" t="inlineStr">
        <is>
          <t>Fail</t>
        </is>
      </c>
      <c r="N33" s="19" t="inlineStr">
        <is>
          <t>BV-DEF-001</t>
        </is>
      </c>
      <c r="O33" s="19" t="inlineStr">
        <is>
          <t>iorta TechNXT QA</t>
        </is>
      </c>
      <c r="P33" s="19" t="inlineStr">
        <is>
          <t>03 October 2026</t>
        </is>
      </c>
      <c r="Q33" s="19" t="inlineStr"/>
      <c r="R33" s="19" t="inlineStr"/>
    </row>
    <row r="34">
      <c r="A34" s="19" t="inlineStr">
        <is>
          <t>BV-SEC-033</t>
        </is>
      </c>
      <c r="B34" s="19" t="inlineStr">
        <is>
          <t>Sign-in and security</t>
        </is>
      </c>
      <c r="C34" s="19" t="inlineStr">
        <is>
          <t>Data protection</t>
        </is>
      </c>
      <c r="D34" s="19" t="inlineStr">
        <is>
          <t>System Administrator (BrokerVerse)</t>
        </is>
      </c>
      <c r="E34" s="19" t="inlineStr">
        <is>
          <t>Personal data encrypted at application level</t>
        </is>
      </c>
      <c r="F34" s="19" t="inlineStr">
        <is>
          <t>Functional</t>
        </is>
      </c>
      <c r="G34" s="19" t="inlineStr">
        <is>
          <t>Medium</t>
        </is>
      </c>
      <c r="H34" s="19" t="inlineStr">
        <is>
          <t>Database access for the tester.</t>
        </is>
      </c>
      <c r="I34" s="19" t="inlineStr">
        <is>
          <t>1. Create a client with TIN, mobile and ID number.
2. Query the clients table directly.
3. Query the users table for TOTP secrets.</t>
        </is>
      </c>
      <c r="J34" s="19" t="inlineStr">
        <is>
          <t>Client: Rowena Bautista; TIN 214-558-902-000</t>
        </is>
      </c>
      <c r="K34" s="19" t="inlineStr">
        <is>
          <t>Sensitive personal fields are stored encrypted.</t>
        </is>
      </c>
      <c r="L34" s="19" t="inlineStr">
        <is>
          <t>Only two-step verification secrets are encrypted (DATA_ENCRYPTION_KEY). Client personal fields are stored in plain columns; protection relies on database and disk encryption.</t>
        </is>
      </c>
      <c r="M34" s="19" t="inlineStr">
        <is>
          <t>Fail</t>
        </is>
      </c>
      <c r="N34" s="19" t="inlineStr">
        <is>
          <t>BV-DEF-003</t>
        </is>
      </c>
      <c r="O34" s="19" t="inlineStr">
        <is>
          <t>iorta TechNXT QA</t>
        </is>
      </c>
      <c r="P34" s="19" t="inlineStr">
        <is>
          <t>03 October 2026</t>
        </is>
      </c>
      <c r="Q34" s="19" t="inlineStr"/>
      <c r="R34" s="19" t="inlineStr">
        <is>
          <t>backend/test/hardening.test.js :: encrypts TOTP secrets with DATA_ENCRYPTION_KEY [passed]</t>
        </is>
      </c>
    </row>
    <row r="35">
      <c r="A35" s="19" t="inlineStr">
        <is>
          <t>BV-SEC-034</t>
        </is>
      </c>
      <c r="B35" s="19" t="inlineStr">
        <is>
          <t>Sign-in and security</t>
        </is>
      </c>
      <c r="C35" s="19" t="inlineStr">
        <is>
          <t>Data privacy</t>
        </is>
      </c>
      <c r="D35" s="19" t="inlineStr">
        <is>
          <t>Operations / Client Service (ana.buenaventura)</t>
        </is>
      </c>
      <c r="E35" s="19" t="inlineStr">
        <is>
          <t>Record client consent under the Data Privacy Act</t>
        </is>
      </c>
      <c r="F35" s="19" t="inlineStr">
        <is>
          <t>Functional</t>
        </is>
      </c>
      <c r="G35" s="19" t="inlineStr">
        <is>
          <t>Medium</t>
        </is>
      </c>
      <c r="H35" s="19" t="inlineStr">
        <is>
          <t>Client record open.</t>
        </is>
      </c>
      <c r="I35" s="19" t="inlineStr">
        <is>
          <t>1. Open Operations &gt; Clients and open a client.
2. Look for a consent capture section and record consent with date and purpose.</t>
        </is>
      </c>
      <c r="J35" s="19" t="inlineStr">
        <is>
          <t>Client: any retail client</t>
        </is>
      </c>
      <c r="K35" s="19" t="inlineStr">
        <is>
          <t>Consent with date, purpose and channel can be recorded and is shown on the client.</t>
        </is>
      </c>
      <c r="L35" s="19" t="inlineStr">
        <is>
          <t>Client Data privacy tab and the privacy API record consent per purpose (processing, marketing, sharing) with channel, evidence and notice version; the consent is shown on the client with its history. Re-test: consent for marketing recorded on CL-2026-00068 (201) and read back.</t>
        </is>
      </c>
      <c r="M35" s="19" t="inlineStr">
        <is>
          <t>Pass</t>
        </is>
      </c>
      <c r="N35" s="19" t="inlineStr">
        <is>
          <t>BV-DEF-002 (closed)</t>
        </is>
      </c>
      <c r="O35" s="19" t="inlineStr">
        <is>
          <t>iorta TechNXT QA</t>
        </is>
      </c>
      <c r="P35" s="19" t="inlineStr">
        <is>
          <t>03 October 2026</t>
        </is>
      </c>
      <c r="Q35" s="19" t="inlineStr">
        <is>
          <t>Re-test of 03 October 2026 after the fix, fresh database with the UAT data set.</t>
        </is>
      </c>
      <c r="R35" s="19" t="inlineStr"/>
    </row>
    <row r="36">
      <c r="A36" s="19" t="inlineStr">
        <is>
          <t>BV-SEC-035</t>
        </is>
      </c>
      <c r="B36" s="19" t="inlineStr">
        <is>
          <t>Sign-in and security</t>
        </is>
      </c>
      <c r="C36" s="19" t="inlineStr">
        <is>
          <t>Data privacy</t>
        </is>
      </c>
      <c r="D36" s="19" t="inlineStr">
        <is>
          <t>System Administrator (BrokerVerse)</t>
        </is>
      </c>
      <c r="E36" s="19" t="inlineStr">
        <is>
          <t>Log and answer a data subject access or erasure request</t>
        </is>
      </c>
      <c r="F36" s="19" t="inlineStr">
        <is>
          <t>Functional</t>
        </is>
      </c>
      <c r="G36" s="19" t="inlineStr">
        <is>
          <t>Medium</t>
        </is>
      </c>
      <c r="H36" s="19" t="inlineStr">
        <is>
          <t>Client asks for a copy of personal data.</t>
        </is>
      </c>
      <c r="I36" s="19" t="inlineStr">
        <is>
          <t>1. Look for a data subject request register under Master.
2. Look for an anonymise action on a closed client.</t>
        </is>
      </c>
      <c r="J36" s="19" t="inlineStr">
        <is>
          <t>Client: any</t>
        </is>
      </c>
      <c r="K36" s="19" t="inlineStr">
        <is>
          <t>Request can be logged and tracked; an inactive client can be anonymised.</t>
        </is>
      </c>
      <c r="L36" s="19" t="inlineStr">
        <is>
          <t>Master &gt; Data Privacy: request DSR-2026-00001 logged, due 15 days after receipt (18/10/2026); personal data export produced; anonymise dry run refuses a client with a policy in force and lists the reasons.</t>
        </is>
      </c>
      <c r="M36" s="19" t="inlineStr">
        <is>
          <t>Pass</t>
        </is>
      </c>
      <c r="N36" s="19" t="inlineStr">
        <is>
          <t>BV-DEF-002 (closed)</t>
        </is>
      </c>
      <c r="O36" s="19" t="inlineStr">
        <is>
          <t>iorta TechNXT QA</t>
        </is>
      </c>
      <c r="P36" s="19" t="inlineStr">
        <is>
          <t>03 October 2026</t>
        </is>
      </c>
      <c r="Q36" s="19" t="inlineStr">
        <is>
          <t>Re-test of 03 October 2026 after the fix, fresh database with the UAT data set.</t>
        </is>
      </c>
      <c r="R36" s="19" t="inlineStr"/>
    </row>
    <row r="37">
      <c r="A37" s="19" t="inlineStr">
        <is>
          <t>BV-USR-001</t>
        </is>
      </c>
      <c r="B37" s="19" t="inlineStr">
        <is>
          <t>User and role administration</t>
        </is>
      </c>
      <c r="C37" s="19" t="inlineStr">
        <is>
          <t>User</t>
        </is>
      </c>
      <c r="D37" s="19" t="inlineStr">
        <is>
          <t>System Administrator (BrokerVerse)</t>
        </is>
      </c>
      <c r="E37" s="19" t="inlineStr">
        <is>
          <t>Create a user per broker role</t>
        </is>
      </c>
      <c r="F37" s="19" t="inlineStr">
        <is>
          <t>Functional</t>
        </is>
      </c>
      <c r="G37" s="19" t="inlineStr">
        <is>
          <t>High</t>
        </is>
      </c>
      <c r="H37" s="19" t="inlineStr">
        <is>
          <t>Signed in as BrokerVerse.</t>
        </is>
      </c>
      <c r="I37" s="19" t="inlineStr">
        <is>
          <t>1. Open Master &gt; Generals &gt; User Management &gt; User.
2. Click Add User.
3. Enter username, first and last name, e-mail, branch HO, designation and one role.
4. Click Save.
5. Repeat for each persona.</t>
        </is>
      </c>
      <c r="J37" s="19" t="inlineStr">
        <is>
          <t>maria.rivera (sales), jose.bernardo (processing), ana.buenaventura (operations), carlo.estrada (claims), liza.quiambao (accounting), teresa.villaroman (accounting-manager); e-mail &lt;user&gt;@example.ph</t>
        </is>
      </c>
      <c r="K37" s="19" t="inlineStr">
        <is>
          <t>Each user is saved with the role and listed. A temporary password is shown once for each.</t>
        </is>
      </c>
      <c r="L37" s="19" t="inlineStr">
        <is>
          <t>12 persona users created in the cycle and signed in with their roles.</t>
        </is>
      </c>
      <c r="M37" s="19" t="inlineStr">
        <is>
          <t>Pass</t>
        </is>
      </c>
      <c r="N37" s="19" t="inlineStr"/>
      <c r="O37" s="19" t="inlineStr">
        <is>
          <t>iorta TechNXT QA</t>
        </is>
      </c>
      <c r="P37" s="19" t="inlineStr">
        <is>
          <t>04 October 2026</t>
        </is>
      </c>
      <c r="Q37" s="19" t="inlineStr"/>
      <c r="R37" s="19" t="inlineStr">
        <is>
          <t>backend/test/user-access.test.js :: lists, creates and locks users, and reads the audit trail [passed]
backend/test/core.test.js :: admin creates a persona user who can then sign in with that role [passed]
UAT cycle 03-04 October 2026, phase Set-up (46 passed, 0 failed)
Screen check /master/generals/usermanagement/user: opened clean</t>
        </is>
      </c>
    </row>
    <row r="38">
      <c r="A38" s="19" t="inlineStr">
        <is>
          <t>BV-USR-002</t>
        </is>
      </c>
      <c r="B38" s="19" t="inlineStr">
        <is>
          <t>User and role administration</t>
        </is>
      </c>
      <c r="C38" s="19" t="inlineStr">
        <is>
          <t>User</t>
        </is>
      </c>
      <c r="D38" s="19" t="inlineStr">
        <is>
          <t>System Administrator (BrokerVerse)</t>
        </is>
      </c>
      <c r="E38" s="19" t="inlineStr">
        <is>
          <t>Required fields and e-mail format on Add User</t>
        </is>
      </c>
      <c r="F38" s="19" t="inlineStr">
        <is>
          <t>Validation</t>
        </is>
      </c>
      <c r="G38" s="19" t="inlineStr">
        <is>
          <t>Medium</t>
        </is>
      </c>
      <c r="H38" s="19" t="inlineStr">
        <is>
          <t>Add User form open.</t>
        </is>
      </c>
      <c r="I38" s="19" t="inlineStr">
        <is>
          <t>1. Click Save with all fields empty.
2. Enter e-mail "maria.rivera@" and save.</t>
        </is>
      </c>
      <c r="J38" s="19" t="inlineStr">
        <is>
          <t>E-mail: maria.rivera@</t>
        </is>
      </c>
      <c r="K38" s="19" t="inlineStr">
        <is>
          <t>Each required field shows its message. Invalid e-mail is refused. Nothing is saved.</t>
        </is>
      </c>
      <c r="L38" s="19" t="inlineStr">
        <is>
          <t>As expected.</t>
        </is>
      </c>
      <c r="M38" s="19" t="inlineStr">
        <is>
          <t>Pass</t>
        </is>
      </c>
      <c r="N38" s="19" t="inlineStr"/>
      <c r="O38" s="19" t="inlineStr">
        <is>
          <t>iorta TechNXT QA</t>
        </is>
      </c>
      <c r="P38" s="19" t="inlineStr">
        <is>
          <t>03 October 2026</t>
        </is>
      </c>
      <c r="Q38" s="19" t="inlineStr"/>
      <c r="R38" s="19" t="inlineStr">
        <is>
          <t>backend/test/role-access.test.js :: every create endpoint of the walk answers 400 "Validation failed" with one readable message per field [passed]</t>
        </is>
      </c>
    </row>
    <row r="39">
      <c r="A39" s="19" t="inlineStr">
        <is>
          <t>BV-USR-003</t>
        </is>
      </c>
      <c r="B39" s="19" t="inlineStr">
        <is>
          <t>User and role administration</t>
        </is>
      </c>
      <c r="C39" s="19" t="inlineStr">
        <is>
          <t>User</t>
        </is>
      </c>
      <c r="D39" s="19" t="inlineStr">
        <is>
          <t>System Administrator (BrokerVerse)</t>
        </is>
      </c>
      <c r="E39" s="19" t="inlineStr">
        <is>
          <t>Duplicate username refused</t>
        </is>
      </c>
      <c r="F39" s="19" t="inlineStr">
        <is>
          <t>Negative</t>
        </is>
      </c>
      <c r="G39" s="19" t="inlineStr">
        <is>
          <t>Medium</t>
        </is>
      </c>
      <c r="H39" s="19" t="inlineStr">
        <is>
          <t>User maria.rivera exists.</t>
        </is>
      </c>
      <c r="I39" s="19" t="inlineStr">
        <is>
          <t>1. Click Add User.
2. Enter username maria.rivera with valid other details.
3. Click Save.</t>
        </is>
      </c>
      <c r="J39" s="19" t="inlineStr">
        <is>
          <t>Username: maria.rivera</t>
        </is>
      </c>
      <c r="K39" s="19" t="inlineStr">
        <is>
          <t>Save refused with a duplicate username message.</t>
        </is>
      </c>
      <c r="L39" s="19" t="inlineStr">
        <is>
          <t>As expected.</t>
        </is>
      </c>
      <c r="M39" s="19" t="inlineStr">
        <is>
          <t>Pass</t>
        </is>
      </c>
      <c r="N39" s="19" t="inlineStr"/>
      <c r="O39" s="19" t="inlineStr">
        <is>
          <t>iorta TechNXT QA</t>
        </is>
      </c>
      <c r="P39" s="19" t="inlineStr">
        <is>
          <t>03 October 2026</t>
        </is>
      </c>
      <c r="Q39" s="19" t="inlineStr">
        <is>
          <t>Unique username enforced by the user store.</t>
        </is>
      </c>
      <c r="R39" s="19" t="inlineStr">
        <is>
          <t>backend/test/user-access.test.js :: lists, creates and locks users, and reads the audit trail [passed]</t>
        </is>
      </c>
    </row>
    <row r="40">
      <c r="A40" s="19" t="inlineStr">
        <is>
          <t>BV-USR-004</t>
        </is>
      </c>
      <c r="B40" s="19" t="inlineStr">
        <is>
          <t>User and role administration</t>
        </is>
      </c>
      <c r="C40" s="19" t="inlineStr">
        <is>
          <t>User</t>
        </is>
      </c>
      <c r="D40" s="19" t="inlineStr">
        <is>
          <t>System Administrator (beatriz.lacson)</t>
        </is>
      </c>
      <c r="E40" s="19" t="inlineStr">
        <is>
          <t>Only a System Administrator grants the administrator role</t>
        </is>
      </c>
      <c r="F40" s="19" t="inlineStr">
        <is>
          <t>Negative</t>
        </is>
      </c>
      <c r="G40" s="19" t="inlineStr">
        <is>
          <t>High</t>
        </is>
      </c>
      <c r="H40" s="19" t="inlineStr">
        <is>
          <t>Signed in as a user desk user without System Administrator role.</t>
        </is>
      </c>
      <c r="I40" s="19" t="inlineStr">
        <is>
          <t>1. Open a user and add role system-admin.
2. Click Save.</t>
        </is>
      </c>
      <c r="J40" s="19" t="inlineStr">
        <is>
          <t>Target role: system-admin</t>
        </is>
      </c>
      <c r="K40" s="19" t="inlineStr">
        <is>
          <t>Save refused. The role list stays unchanged.</t>
        </is>
      </c>
      <c r="L40" s="19" t="inlineStr">
        <is>
          <t>As expected.</t>
        </is>
      </c>
      <c r="M40" s="19" t="inlineStr">
        <is>
          <t>Pass</t>
        </is>
      </c>
      <c r="N40" s="19" t="inlineStr"/>
      <c r="O40" s="19" t="inlineStr">
        <is>
          <t>iorta TechNXT QA</t>
        </is>
      </c>
      <c r="P40" s="19" t="inlineStr">
        <is>
          <t>03 October 2026</t>
        </is>
      </c>
      <c r="Q40" s="19" t="inlineStr"/>
      <c r="R40" s="19" t="inlineStr">
        <is>
          <t>backend/test/user-access.test.js :: cannot grant the System Administrator role [passed]
backend/test/hardening.test.js :: only a System Administrator grants the administrator role or edits it; nobody changes their own roles or status [passed]</t>
        </is>
      </c>
    </row>
    <row r="41">
      <c r="A41" s="19" t="inlineStr">
        <is>
          <t>BV-USR-005</t>
        </is>
      </c>
      <c r="B41" s="19" t="inlineStr">
        <is>
          <t>User and role administration</t>
        </is>
      </c>
      <c r="C41" s="19" t="inlineStr">
        <is>
          <t>User</t>
        </is>
      </c>
      <c r="D41" s="19" t="inlineStr">
        <is>
          <t>Any signed-in user</t>
        </is>
      </c>
      <c r="E41" s="19" t="inlineStr">
        <is>
          <t>A user cannot change own roles or status</t>
        </is>
      </c>
      <c r="F41" s="19" t="inlineStr">
        <is>
          <t>Negative</t>
        </is>
      </c>
      <c r="G41" s="19" t="inlineStr">
        <is>
          <t>High</t>
        </is>
      </c>
      <c r="H41" s="19" t="inlineStr">
        <is>
          <t>Signed in as beatriz.lacson.</t>
        </is>
      </c>
      <c r="I41" s="19" t="inlineStr">
        <is>
          <t>1. Open own user record.
2. Change the role or status and save.</t>
        </is>
      </c>
      <c r="J41" s="19" t="inlineStr">
        <is>
          <t>Own record</t>
        </is>
      </c>
      <c r="K41" s="19" t="inlineStr">
        <is>
          <t>Change refused.</t>
        </is>
      </c>
      <c r="L41" s="19" t="inlineStr">
        <is>
          <t>As expected.</t>
        </is>
      </c>
      <c r="M41" s="19" t="inlineStr">
        <is>
          <t>Pass</t>
        </is>
      </c>
      <c r="N41" s="19" t="inlineStr"/>
      <c r="O41" s="19" t="inlineStr">
        <is>
          <t>iorta TechNXT QA</t>
        </is>
      </c>
      <c r="P41" s="19" t="inlineStr">
        <is>
          <t>03 October 2026</t>
        </is>
      </c>
      <c r="Q41" s="19" t="inlineStr"/>
      <c r="R41" s="19" t="inlineStr">
        <is>
          <t>backend/test/user-access.test.js :: cannot change its own roles [passed]</t>
        </is>
      </c>
    </row>
    <row r="42">
      <c r="A42" s="19" t="inlineStr">
        <is>
          <t>BV-USR-006</t>
        </is>
      </c>
      <c r="B42" s="19" t="inlineStr">
        <is>
          <t>User and role administration</t>
        </is>
      </c>
      <c r="C42" s="19" t="inlineStr">
        <is>
          <t>User</t>
        </is>
      </c>
      <c r="D42" s="19" t="inlineStr">
        <is>
          <t>System Administrator (BrokerVerse)</t>
        </is>
      </c>
      <c r="E42" s="19" t="inlineStr">
        <is>
          <t>Administrator resets a user password</t>
        </is>
      </c>
      <c r="F42" s="19" t="inlineStr">
        <is>
          <t>Functional</t>
        </is>
      </c>
      <c r="G42" s="19" t="inlineStr">
        <is>
          <t>Medium</t>
        </is>
      </c>
      <c r="H42" s="19" t="inlineStr">
        <is>
          <t>User carlo.estrada active and signed in elsewhere.</t>
        </is>
      </c>
      <c r="I42" s="19" t="inlineStr">
        <is>
          <t>1. Open the User list.
2. Open Account actions of carlo.estrada and reset the password leaving it empty.</t>
        </is>
      </c>
      <c r="J42" s="19" t="inlineStr">
        <is>
          <t>User: carlo.estrada</t>
        </is>
      </c>
      <c r="K42" s="19" t="inlineStr">
        <is>
          <t>Temporary password shown once. Existing sessions of the user end. User must change the password at the next sign-in.</t>
        </is>
      </c>
      <c r="L42" s="19" t="inlineStr">
        <is>
          <t>As expected.</t>
        </is>
      </c>
      <c r="M42" s="19" t="inlineStr">
        <is>
          <t>Pass</t>
        </is>
      </c>
      <c r="N42" s="19" t="inlineStr"/>
      <c r="O42" s="19" t="inlineStr">
        <is>
          <t>iorta TechNXT QA</t>
        </is>
      </c>
      <c r="P42" s="19" t="inlineStr">
        <is>
          <t>03 October 2026</t>
        </is>
      </c>
      <c r="Q42" s="19" t="inlineStr"/>
      <c r="R42" s="19" t="inlineStr">
        <is>
          <t>backend/test/hardening.test.js :: administrator reset without a password returns a temporary one once and ends the user's sessions [passed]</t>
        </is>
      </c>
    </row>
    <row r="43">
      <c r="A43" s="19" t="inlineStr">
        <is>
          <t>BV-USR-007</t>
        </is>
      </c>
      <c r="B43" s="19" t="inlineStr">
        <is>
          <t>User and role administration</t>
        </is>
      </c>
      <c r="C43" s="19" t="inlineStr">
        <is>
          <t>Role</t>
        </is>
      </c>
      <c r="D43" s="19" t="inlineStr">
        <is>
          <t>System Administrator (BrokerVerse)</t>
        </is>
      </c>
      <c r="E43" s="19" t="inlineStr">
        <is>
          <t>Seeded roles are the broker roles plus System Administrator</t>
        </is>
      </c>
      <c r="F43" s="19" t="inlineStr">
        <is>
          <t>Functional</t>
        </is>
      </c>
      <c r="G43" s="19" t="inlineStr">
        <is>
          <t>Medium</t>
        </is>
      </c>
      <c r="H43" s="19" t="inlineStr">
        <is>
          <t>Fresh database.</t>
        </is>
      </c>
      <c r="I43" s="19" t="inlineStr">
        <is>
          <t>1. Open Master &gt; Generals &gt; User Management &gt; Role.</t>
        </is>
      </c>
      <c r="J43" s="19" t="inlineStr">
        <is>
          <t>None</t>
        </is>
      </c>
      <c r="K43" s="19" t="inlineStr">
        <is>
          <t>Roles listed: system-admin, sales, processing, operations, claims, accounting, accounting-manager. No legacy role codes.</t>
        </is>
      </c>
      <c r="L43" s="19" t="inlineStr">
        <is>
          <t>As expected.</t>
        </is>
      </c>
      <c r="M43" s="19" t="inlineStr">
        <is>
          <t>Pass</t>
        </is>
      </c>
      <c r="N43" s="19" t="inlineStr"/>
      <c r="O43" s="19" t="inlineStr">
        <is>
          <t>iorta TechNXT QA</t>
        </is>
      </c>
      <c r="P43" s="19" t="inlineStr">
        <is>
          <t>03 October 2026</t>
        </is>
      </c>
      <c r="Q43" s="19" t="inlineStr"/>
      <c r="R43" s="19" t="inlineStr">
        <is>
          <t>backend/test/user-access.test.js :: the seeded roles are the broker roles and the System Administrator [passed]
backend/test/broker-roles-migration.test.js :: leaves no old role code anywhere and is idempotent [passed]
Screen check /master/generals/usermanagement/role: opened clean</t>
        </is>
      </c>
    </row>
    <row r="44">
      <c r="A44" s="19" t="inlineStr">
        <is>
          <t>BV-USR-008</t>
        </is>
      </c>
      <c r="B44" s="19" t="inlineStr">
        <is>
          <t>User and role administration</t>
        </is>
      </c>
      <c r="C44" s="19" t="inlineStr">
        <is>
          <t>Role permissions</t>
        </is>
      </c>
      <c r="D44" s="19" t="inlineStr">
        <is>
          <t>System Administrator (BrokerVerse)</t>
        </is>
      </c>
      <c r="E44" s="19" t="inlineStr">
        <is>
          <t>Change a role permission; the change waits for a second approver</t>
        </is>
      </c>
      <c r="F44" s="19" t="inlineStr">
        <is>
          <t>Functional</t>
        </is>
      </c>
      <c r="G44" s="19" t="inlineStr">
        <is>
          <t>High</t>
        </is>
      </c>
      <c r="H44" s="19" t="inlineStr">
        <is>
          <t>Two administrators.</t>
        </is>
      </c>
      <c r="I44" s="19" t="inlineStr">
        <is>
          <t>1. Open Master &gt; Generals &gt; User Management &gt; Role Permissions.
2. Add read:reports to role claims and save.
3. Check that the change is pending.
4. Sign in as the second administrator and approve it on Master &gt; Finance &gt; Configuration Approvals.</t>
        </is>
      </c>
      <c r="J44" s="19" t="inlineStr">
        <is>
          <t>Role: claims; permission read:reports</t>
        </is>
      </c>
      <c r="K44" s="19" t="inlineStr">
        <is>
          <t>Change shows as pending until a different user approves. After approval the users of the role receive renewed tokens with the new permission.</t>
        </is>
      </c>
      <c r="L44" s="19" t="inlineStr">
        <is>
          <t>As expected.</t>
        </is>
      </c>
      <c r="M44" s="19" t="inlineStr">
        <is>
          <t>Pass</t>
        </is>
      </c>
      <c r="N44" s="19" t="inlineStr"/>
      <c r="O44" s="19" t="inlineStr">
        <is>
          <t>iorta TechNXT QA</t>
        </is>
      </c>
      <c r="P44" s="19" t="inlineStr">
        <is>
          <t>03 October 2026</t>
        </is>
      </c>
      <c r="Q44" s="19" t="inlineStr"/>
      <c r="R44" s="19" t="inlineStr">
        <is>
          <t>backend/test/configuration-controls.test.js :: a role change waits for a different approver [passed]
backend/test/hardening.test.js :: role permission changes renew the tokens of the role's users [passed]
Screen check /master/generals/usermanagement/role-permissions: opened clean
Screen check /master/finance/configuration-approvals: opened clean</t>
        </is>
      </c>
    </row>
    <row r="45">
      <c r="A45" s="19" t="inlineStr">
        <is>
          <t>BV-USR-009</t>
        </is>
      </c>
      <c r="B45" s="19" t="inlineStr">
        <is>
          <t>User and role administration</t>
        </is>
      </c>
      <c r="C45" s="19" t="inlineStr">
        <is>
          <t>Authority matrix</t>
        </is>
      </c>
      <c r="D45" s="19" t="inlineStr">
        <is>
          <t>System Administrator (BrokerVerse)</t>
        </is>
      </c>
      <c r="E45" s="19" t="inlineStr">
        <is>
          <t>Approval limits per role and transaction type</t>
        </is>
      </c>
      <c r="F45" s="19" t="inlineStr">
        <is>
          <t>Functional</t>
        </is>
      </c>
      <c r="G45" s="19" t="inlineStr">
        <is>
          <t>High</t>
        </is>
      </c>
      <c r="H45" s="19" t="inlineStr">
        <is>
          <t>Seeded authority matrix.</t>
        </is>
      </c>
      <c r="I45" s="19" t="inlineStr">
        <is>
          <t>1. Open Master &gt; Generals &gt; User Management &gt; Authority Matrix.
2. Read the default limits.
3. Raise the journal voucher limit of accounting to PHP 1,000,000.00 and save.
4. Approve as the second administrator.</t>
        </is>
      </c>
      <c r="J45" s="19" t="inlineStr">
        <is>
          <t>Journal voucher limit: PHP 1,000,000.00</t>
        </is>
      </c>
      <c r="K45" s="19" t="inlineStr">
        <is>
          <t>Matrix shows transaction types down and roles across. The new limit applies only after another administrator approves.</t>
        </is>
      </c>
      <c r="L45" s="19" t="inlineStr">
        <is>
          <t>As expected.</t>
        </is>
      </c>
      <c r="M45" s="19" t="inlineStr">
        <is>
          <t>Pass</t>
        </is>
      </c>
      <c r="N45" s="19" t="inlineStr"/>
      <c r="O45" s="19" t="inlineStr">
        <is>
          <t>iorta TechNXT QA</t>
        </is>
      </c>
      <c r="P45" s="19" t="inlineStr">
        <is>
          <t>03 October 2026</t>
        </is>
      </c>
      <c r="Q45" s="19" t="inlineStr"/>
      <c r="R45" s="19" t="inlineStr">
        <is>
          <t>backend/test/access-control.test.js :: ships default limits per role and shows them types down, roles across [passed]
backend/test/access-control.test.js :: a new limit applies only after another administrator approves it [passed]
Screen check /master/generals/usermanagement/authority-matrix: opened clean</t>
        </is>
      </c>
    </row>
    <row r="46">
      <c r="A46" s="19" t="inlineStr">
        <is>
          <t>BV-USR-010</t>
        </is>
      </c>
      <c r="B46" s="19" t="inlineStr">
        <is>
          <t>User and role administration</t>
        </is>
      </c>
      <c r="C46" s="19" t="inlineStr">
        <is>
          <t>Authority matrix</t>
        </is>
      </c>
      <c r="D46" s="19" t="inlineStr">
        <is>
          <t>Accounting Manager (teresa.villaroman)</t>
        </is>
      </c>
      <c r="E46" s="19" t="inlineStr">
        <is>
          <t>Approval above the approver limit is refused</t>
        </is>
      </c>
      <c r="F46" s="19" t="inlineStr">
        <is>
          <t>Negative</t>
        </is>
      </c>
      <c r="G46" s="19" t="inlineStr">
        <is>
          <t>High</t>
        </is>
      </c>
      <c r="H46" s="19" t="inlineStr">
        <is>
          <t>Journal voucher of PHP 3,500,000.00 pending; accounting limit lower than that.</t>
        </is>
      </c>
      <c r="I46" s="19" t="inlineStr">
        <is>
          <t>1. Sign in as liza.quiambao's colleague nestor.pangilinan (accounting).
2. Try to approve the voucher.
3. Sign in as teresa.villaroman and approve.</t>
        </is>
      </c>
      <c r="J46" s="19" t="inlineStr">
        <is>
          <t>JV: go-live opening balance of BDO-OPS, PHP 3,500,000.00</t>
        </is>
      </c>
      <c r="K46" s="19" t="inlineStr">
        <is>
          <t>Accounting approver is refused (above limit). The Accounting Manager approves within limit.</t>
        </is>
      </c>
      <c r="L46" s="19" t="inlineStr">
        <is>
          <t>As expected.</t>
        </is>
      </c>
      <c r="M46" s="19" t="inlineStr">
        <is>
          <t>Pass</t>
        </is>
      </c>
      <c r="N46" s="19" t="inlineStr"/>
      <c r="O46" s="19" t="inlineStr">
        <is>
          <t>iorta TechNXT QA</t>
        </is>
      </c>
      <c r="P46" s="19" t="inlineStr">
        <is>
          <t>04 October 2026</t>
        </is>
      </c>
      <c r="Q46" s="19" t="inlineStr"/>
      <c r="R46" s="19" t="inlineStr">
        <is>
          <t>backend/test/access-control.test.js :: refuses an approval above the approver's limit and allows it within [passed]
UAT cycle 03-04 October 2026, phase Reconciliation: bank and insurer statements (10 passed, 0 failed)</t>
        </is>
      </c>
    </row>
    <row r="47">
      <c r="A47" s="19" t="inlineStr">
        <is>
          <t>BV-USR-011</t>
        </is>
      </c>
      <c r="B47" s="19" t="inlineStr">
        <is>
          <t>User and role administration</t>
        </is>
      </c>
      <c r="C47" s="19" t="inlineStr">
        <is>
          <t>Delegations</t>
        </is>
      </c>
      <c r="D47" s="19" t="inlineStr">
        <is>
          <t>System Administrator (BrokerVerse)</t>
        </is>
      </c>
      <c r="E47" s="19" t="inlineStr">
        <is>
          <t>Delegate approval authority for a date range</t>
        </is>
      </c>
      <c r="F47" s="19" t="inlineStr">
        <is>
          <t>Functional</t>
        </is>
      </c>
      <c r="G47" s="19" t="inlineStr">
        <is>
          <t>Medium</t>
        </is>
      </c>
      <c r="H47" s="19" t="inlineStr">
        <is>
          <t>teresa.villaroman on leave 05 to 09 October 2026.</t>
        </is>
      </c>
      <c r="I47" s="19" t="inlineStr">
        <is>
          <t>1. Open Master &gt; Generals &gt; User Management &gt; Delegations.
2. Add a delegation from teresa.villaroman to ramon.almario for journal vouchers, 05 to 09 October 2026.
3. Save.</t>
        </is>
      </c>
      <c r="J47" s="19" t="inlineStr">
        <is>
          <t>Delegator: teresa.villaroman; Delegate: ramon.almario</t>
        </is>
      </c>
      <c r="K47" s="19" t="inlineStr">
        <is>
          <t>Within the dates ramon.almario approves with the delegator's authority for the listed types only.</t>
        </is>
      </c>
      <c r="L47" s="19" t="inlineStr">
        <is>
          <t>As expected.</t>
        </is>
      </c>
      <c r="M47" s="19" t="inlineStr">
        <is>
          <t>Pass</t>
        </is>
      </c>
      <c r="N47" s="19" t="inlineStr"/>
      <c r="O47" s="19" t="inlineStr">
        <is>
          <t>iorta TechNXT QA</t>
        </is>
      </c>
      <c r="P47" s="19" t="inlineStr">
        <is>
          <t>03 October 2026</t>
        </is>
      </c>
      <c r="Q47" s="19" t="inlineStr"/>
      <c r="R47" s="19" t="inlineStr">
        <is>
          <t>backend/test/access-control.test.js :: a delegation lends the delegator's authority for its types and dates [passed]
Screen check /master/generals/usermanagement/delegations: opened clean</t>
        </is>
      </c>
    </row>
    <row r="48">
      <c r="A48" s="19" t="inlineStr">
        <is>
          <t>BV-USR-012</t>
        </is>
      </c>
      <c r="B48" s="19" t="inlineStr">
        <is>
          <t>User and role administration</t>
        </is>
      </c>
      <c r="C48" s="19" t="inlineStr">
        <is>
          <t>Segregation of duties</t>
        </is>
      </c>
      <c r="D48" s="19" t="inlineStr">
        <is>
          <t>System Administrator (BrokerVerse)</t>
        </is>
      </c>
      <c r="E48" s="19" t="inlineStr">
        <is>
          <t>Conflicting roles blocked on one user</t>
        </is>
      </c>
      <c r="F48" s="19" t="inlineStr">
        <is>
          <t>Negative</t>
        </is>
      </c>
      <c r="G48" s="19" t="inlineStr">
        <is>
          <t>High</t>
        </is>
      </c>
      <c r="H48" s="19" t="inlineStr">
        <is>
          <t>SoD rules seeded.</t>
        </is>
      </c>
      <c r="I48" s="19" t="inlineStr">
        <is>
          <t>1. Open Master &gt; Generals &gt; User Management &gt; Segregation of Duties and read the rules.
2. Open user liza.quiambao and add a role that conflicts with accounting (blocking rule).
3. Save.</t>
        </is>
      </c>
      <c r="J48" s="19" t="inlineStr">
        <is>
          <t>User: liza.quiambao</t>
        </is>
      </c>
      <c r="K48" s="19" t="inlineStr">
        <is>
          <t>Blocking conflicts refused; warning-level conflicts saved with a warning.</t>
        </is>
      </c>
      <c r="L48" s="19" t="inlineStr">
        <is>
          <t>As expected.</t>
        </is>
      </c>
      <c r="M48" s="19" t="inlineStr">
        <is>
          <t>Pass</t>
        </is>
      </c>
      <c r="N48" s="19" t="inlineStr"/>
      <c r="O48" s="19" t="inlineStr">
        <is>
          <t>iorta TechNXT QA</t>
        </is>
      </c>
      <c r="P48" s="19" t="inlineStr">
        <is>
          <t>03 October 2026</t>
        </is>
      </c>
      <c r="Q48" s="19" t="inlineStr"/>
      <c r="R48" s="19" t="inlineStr">
        <is>
          <t>backend/test/access-control.test.js :: blocks roles one person may not hold together and warns on the others [passed]
Screen check /master/generals/usermanagement/segregation-of-duties: opened clean</t>
        </is>
      </c>
    </row>
    <row r="49">
      <c r="A49" s="19" t="inlineStr">
        <is>
          <t>BV-USR-013</t>
        </is>
      </c>
      <c r="B49" s="19" t="inlineStr">
        <is>
          <t>User and role administration</t>
        </is>
      </c>
      <c r="C49" s="19" t="inlineStr">
        <is>
          <t>Access reviews</t>
        </is>
      </c>
      <c r="D49" s="19" t="inlineStr">
        <is>
          <t>System Administrator (BrokerVerse)</t>
        </is>
      </c>
      <c r="E49" s="19" t="inlineStr">
        <is>
          <t>Periodic access review closes when every user is decided</t>
        </is>
      </c>
      <c r="F49" s="19" t="inlineStr">
        <is>
          <t>Functional</t>
        </is>
      </c>
      <c r="G49" s="19" t="inlineStr">
        <is>
          <t>Medium</t>
        </is>
      </c>
      <c r="H49" s="19" t="inlineStr">
        <is>
          <t>Active users exist.</t>
        </is>
      </c>
      <c r="I49" s="19" t="inlineStr">
        <is>
          <t>1. Open Master &gt; Generals &gt; User Management &gt; Access Reviews.
2. Start a review.
3. Keep all users except one; revoke paolo.dizon.
4. Complete the review.</t>
        </is>
      </c>
      <c r="J49" s="19" t="inlineStr">
        <is>
          <t>Revoked: paolo.dizon</t>
        </is>
      </c>
      <c r="K49" s="19" t="inlineStr">
        <is>
          <t>Every active user is listed. The revoked user is deactivated. The review closes when all are decided.</t>
        </is>
      </c>
      <c r="L49" s="19" t="inlineStr">
        <is>
          <t>As expected.</t>
        </is>
      </c>
      <c r="M49" s="19" t="inlineStr">
        <is>
          <t>Pass</t>
        </is>
      </c>
      <c r="N49" s="19" t="inlineStr"/>
      <c r="O49" s="19" t="inlineStr">
        <is>
          <t>iorta TechNXT QA</t>
        </is>
      </c>
      <c r="P49" s="19" t="inlineStr">
        <is>
          <t>03 October 2026</t>
        </is>
      </c>
      <c r="Q49" s="19" t="inlineStr"/>
      <c r="R49" s="19" t="inlineStr">
        <is>
          <t>backend/test/access-control.test.js :: reviews every active user; a revoked user is deactivated and the review closes when all are decided [passed]
Screen check /master/generals/usermanagement/access-reviews: opened clean</t>
        </is>
      </c>
    </row>
    <row r="50">
      <c r="A50" s="19" t="inlineStr">
        <is>
          <t>BV-USR-014</t>
        </is>
      </c>
      <c r="B50" s="19" t="inlineStr">
        <is>
          <t>User and role administration</t>
        </is>
      </c>
      <c r="C50" s="19" t="inlineStr">
        <is>
          <t>User Access Matrix</t>
        </is>
      </c>
      <c r="D50" s="19" t="inlineStr">
        <is>
          <t>System Administrator (BrokerVerse)</t>
        </is>
      </c>
      <c r="E50" s="19" t="inlineStr">
        <is>
          <t>User access report downloads</t>
        </is>
      </c>
      <c r="F50" s="19" t="inlineStr">
        <is>
          <t>Report</t>
        </is>
      </c>
      <c r="G50" s="19" t="inlineStr">
        <is>
          <t>Low</t>
        </is>
      </c>
      <c r="H50" s="19" t="inlineStr">
        <is>
          <t>Users exist.</t>
        </is>
      </c>
      <c r="I50" s="19" t="inlineStr">
        <is>
          <t>1. Open Master &gt; Generals &gt; User Management &gt; User Access Matrix.
2. Click Download.</t>
        </is>
      </c>
      <c r="J50" s="19" t="inlineStr">
        <is>
          <t>None</t>
        </is>
      </c>
      <c r="K50" s="19" t="inlineStr">
        <is>
          <t>Every user listed with roles, last sign-in and status; file downloads.</t>
        </is>
      </c>
      <c r="L50" s="19" t="inlineStr">
        <is>
          <t>As expected.</t>
        </is>
      </c>
      <c r="M50" s="19" t="inlineStr">
        <is>
          <t>Pass</t>
        </is>
      </c>
      <c r="N50" s="19" t="inlineStr"/>
      <c r="O50" s="19" t="inlineStr">
        <is>
          <t>iorta TechNXT QA</t>
        </is>
      </c>
      <c r="P50" s="19" t="inlineStr">
        <is>
          <t>03 October 2026</t>
        </is>
      </c>
      <c r="Q50" s="19" t="inlineStr"/>
      <c r="R50" s="19" t="inlineStr">
        <is>
          <t>backend/test/access-control.test.js :: lists every user with roles and sign-in facts, and downloads it [passed]
Screen check /master/generals/usermanagement/access-matrix: opened clean</t>
        </is>
      </c>
    </row>
    <row r="51">
      <c r="A51" s="19" t="inlineStr">
        <is>
          <t>BV-USR-015</t>
        </is>
      </c>
      <c r="B51" s="19" t="inlineStr">
        <is>
          <t>User and role administration</t>
        </is>
      </c>
      <c r="C51" s="19" t="inlineStr">
        <is>
          <t>Dormant accounts</t>
        </is>
      </c>
      <c r="D51" s="19" t="inlineStr">
        <is>
          <t>System Administrator (BrokerVerse)</t>
        </is>
      </c>
      <c r="E51" s="19" t="inlineStr">
        <is>
          <t>Dormant accounts deactivated, administrator kept</t>
        </is>
      </c>
      <c r="F51" s="19" t="inlineStr">
        <is>
          <t>Functional</t>
        </is>
      </c>
      <c r="G51" s="19" t="inlineStr">
        <is>
          <t>Low</t>
        </is>
      </c>
      <c r="H51" s="19" t="inlineStr">
        <is>
          <t>A user with no sign-in for the dormant period.</t>
        </is>
      </c>
      <c r="I51" s="19" t="inlineStr">
        <is>
          <t>1. Open Master &gt; Schedules.
2. Run the dormant account job.</t>
        </is>
      </c>
      <c r="J51" s="19" t="inlineStr">
        <is>
          <t>User last signed in more than the dormant period ago</t>
        </is>
      </c>
      <c r="K51" s="19" t="inlineStr">
        <is>
          <t>The dormant user is deactivated; the built-in administrator is never deactivated.</t>
        </is>
      </c>
      <c r="L51" s="19" t="inlineStr">
        <is>
          <t>As expected.</t>
        </is>
      </c>
      <c r="M51" s="19" t="inlineStr">
        <is>
          <t>Pass</t>
        </is>
      </c>
      <c r="N51" s="19" t="inlineStr"/>
      <c r="O51" s="19" t="inlineStr">
        <is>
          <t>iorta TechNXT QA</t>
        </is>
      </c>
      <c r="P51" s="19" t="inlineStr">
        <is>
          <t>03 October 2026</t>
        </is>
      </c>
      <c r="Q51" s="19" t="inlineStr"/>
      <c r="R51" s="19" t="inlineStr">
        <is>
          <t>backend/test/access-control.test.js :: deactivates accounts with no sign-in for the dormant period, never the built-in administrator [passed]</t>
        </is>
      </c>
    </row>
    <row r="52">
      <c r="A52" s="19" t="inlineStr">
        <is>
          <t>BV-USR-016</t>
        </is>
      </c>
      <c r="B52" s="19" t="inlineStr">
        <is>
          <t>User and role administration</t>
        </is>
      </c>
      <c r="C52" s="19" t="inlineStr">
        <is>
          <t>Agent scope</t>
        </is>
      </c>
      <c r="D52" s="19" t="inlineStr">
        <is>
          <t>Sales / Account Executive (maria.rivera)</t>
        </is>
      </c>
      <c r="E52" s="19" t="inlineStr">
        <is>
          <t>Account Executive in a scoped role sees only own book</t>
        </is>
      </c>
      <c r="F52" s="19" t="inlineStr">
        <is>
          <t>Role access</t>
        </is>
      </c>
      <c r="G52" s="19" t="inlineStr">
        <is>
          <t>High</t>
        </is>
      </c>
      <c r="H52" s="19" t="inlineStr">
        <is>
          <t>security.scoped_roles = ["sales"]; leads exist for maria.rivera and paolo.dizon.</t>
        </is>
      </c>
      <c r="I52" s="19" t="inlineStr">
        <is>
          <t>1. Sign in as maria.rivera.
2. Open Prospects, Quotations, Policy and Clients.
3. Type the address of a quotation of paolo.dizon.</t>
        </is>
      </c>
      <c r="J52" s="19" t="inlineStr">
        <is>
          <t>Quotation of paolo.dizon</t>
        </is>
      </c>
      <c r="K52" s="19" t="inlineStr">
        <is>
          <t>Lists show only maria.rivera's records. The other quotation answers "not found". Administrator sees both.</t>
        </is>
      </c>
      <c r="L52" s="19" t="inlineStr">
        <is>
          <t>As expected.</t>
        </is>
      </c>
      <c r="M52" s="19" t="inlineStr">
        <is>
          <t>Pass</t>
        </is>
      </c>
      <c r="N52" s="19" t="inlineStr"/>
      <c r="O52" s="19" t="inlineStr">
        <is>
          <t>iorta TechNXT QA</t>
        </is>
      </c>
      <c r="P52" s="19" t="inlineStr">
        <is>
          <t>03 October 2026</t>
        </is>
      </c>
      <c r="Q52" s="19" t="inlineStr"/>
      <c r="R52" s="19" t="inlineStr">
        <is>
          <t>backend/test/scope.test.js :: leads: each agent lists, reads and updates only their own; admin sees all [passed]
backend/test/scope.test.js :: quotations: own list and stats; someone else's quote (or lead) answers 404 [passed]
backend/test/scope.test.js :: policies and clients: own book only; admin sees both agents' policies [passed]
backend/test/scope.test.js :: scoped roles come from security.scoped_roles [passed]</t>
        </is>
      </c>
    </row>
    <row r="53">
      <c r="A53" s="19" t="inlineStr">
        <is>
          <t>BV-MST-001</t>
        </is>
      </c>
      <c r="B53" s="19" t="inlineStr">
        <is>
          <t>Masters</t>
        </is>
      </c>
      <c r="C53" s="19" t="inlineStr">
        <is>
          <t>Insurance Company</t>
        </is>
      </c>
      <c r="D53" s="19" t="inlineStr">
        <is>
          <t>System Administrator (beatriz.lacson)</t>
        </is>
      </c>
      <c r="E53" s="19" t="inlineStr">
        <is>
          <t>Add an insurer with credit terms</t>
        </is>
      </c>
      <c r="F53" s="19" t="inlineStr">
        <is>
          <t>Functional</t>
        </is>
      </c>
      <c r="G53" s="19" t="inlineStr">
        <is>
          <t>High</t>
        </is>
      </c>
      <c r="H53" s="19" t="inlineStr">
        <is>
          <t>Signed in as beatriz.lacson.</t>
        </is>
      </c>
      <c r="I53" s="19" t="inlineStr">
        <is>
          <t>1. Open Master &gt; Generals &gt; Insurance Management &gt; Insurance Company.
2. Click Add Insurance Company.
3. Enter code, name, short name, TIN, address, e-mail, phone, commission rate, premium warranty days, remittance terms days, billing mode.
4. Click Save.</t>
        </is>
      </c>
      <c r="J53" s="19" t="inlineStr">
        <is>
          <t>PCIC; Pacific Crest Insurance Corp.; Makati; commission 17.5%; warranty 60 days; remittance 30 days; billing broker</t>
        </is>
      </c>
      <c r="K53" s="19" t="inlineStr">
        <is>
          <t>Insurer saved and listed; it appears in the quotation insurer drop-down; credit terms resolve to 60 / 30 days.</t>
        </is>
      </c>
      <c r="L53" s="19" t="inlineStr">
        <is>
          <t>7 insurers created; credit terms read back per insurer.</t>
        </is>
      </c>
      <c r="M53" s="19" t="inlineStr">
        <is>
          <t>Pass</t>
        </is>
      </c>
      <c r="N53" s="19" t="inlineStr"/>
      <c r="O53" s="19" t="inlineStr">
        <is>
          <t>iorta TechNXT QA</t>
        </is>
      </c>
      <c r="P53" s="19" t="inlineStr">
        <is>
          <t>04 October 2026</t>
        </is>
      </c>
      <c r="Q53" s="19" t="inlineStr"/>
      <c r="R53" s="19" t="inlineStr">
        <is>
          <t>backend/test/masters.test.js :: creates, reads, searches, updates and deactivates [passed]
backend/test/numbering.test.js :: are edited on the insurer master and fall back to the settings [passed]
UAT cycle 03-04 October 2026, phase Set-up (46 passed, 0 failed)
Screen check /master/generals/insurancemanagement/insurancecompany: opened clean</t>
        </is>
      </c>
    </row>
    <row r="54">
      <c r="A54" s="19" t="inlineStr">
        <is>
          <t>BV-MST-002</t>
        </is>
      </c>
      <c r="B54" s="19" t="inlineStr">
        <is>
          <t>Masters</t>
        </is>
      </c>
      <c r="C54" s="19" t="inlineStr">
        <is>
          <t>Insurance Company</t>
        </is>
      </c>
      <c r="D54" s="19" t="inlineStr">
        <is>
          <t>System Administrator (beatriz.lacson)</t>
        </is>
      </c>
      <c r="E54" s="19" t="inlineStr">
        <is>
          <t>Required fields and duplicate code on a master</t>
        </is>
      </c>
      <c r="F54" s="19" t="inlineStr">
        <is>
          <t>Validation</t>
        </is>
      </c>
      <c r="G54" s="19" t="inlineStr">
        <is>
          <t>Medium</t>
        </is>
      </c>
      <c r="H54" s="19" t="inlineStr">
        <is>
          <t>Insurer PCIC exists.</t>
        </is>
      </c>
      <c r="I54" s="19" t="inlineStr">
        <is>
          <t>1. Click Add Insurance Company and save empty.
2. Enter code PCIC again and save.</t>
        </is>
      </c>
      <c r="J54" s="19" t="inlineStr">
        <is>
          <t>Code: PCIC</t>
        </is>
      </c>
      <c r="K54" s="19" t="inlineStr">
        <is>
          <t>Required field messages. Duplicate code refused.</t>
        </is>
      </c>
      <c r="L54" s="19" t="inlineStr">
        <is>
          <t>As expected.</t>
        </is>
      </c>
      <c r="M54" s="19" t="inlineStr">
        <is>
          <t>Pass</t>
        </is>
      </c>
      <c r="N54" s="19" t="inlineStr"/>
      <c r="O54" s="19" t="inlineStr">
        <is>
          <t>iorta TechNXT QA</t>
        </is>
      </c>
      <c r="P54" s="19" t="inlineStr">
        <is>
          <t>03 October 2026</t>
        </is>
      </c>
      <c r="Q54" s="19" t="inlineStr"/>
      <c r="R54" s="19" t="inlineStr">
        <is>
          <t>backend/test/masters.test.js :: validates required fields, types and duplicate codes [passed]</t>
        </is>
      </c>
    </row>
    <row r="55">
      <c r="A55" s="19" t="inlineStr">
        <is>
          <t>BV-MST-003</t>
        </is>
      </c>
      <c r="B55" s="19" t="inlineStr">
        <is>
          <t>Masters</t>
        </is>
      </c>
      <c r="C55" s="19" t="inlineStr">
        <is>
          <t>Product</t>
        </is>
      </c>
      <c r="D55" s="19" t="inlineStr">
        <is>
          <t>System Administrator (beatriz.lacson)</t>
        </is>
      </c>
      <c r="E55" s="19" t="inlineStr">
        <is>
          <t>Product master shows package / non-package classification</t>
        </is>
      </c>
      <c r="F55" s="19" t="inlineStr">
        <is>
          <t>Functional</t>
        </is>
      </c>
      <c r="G55" s="19" t="inlineStr">
        <is>
          <t>Medium</t>
        </is>
      </c>
      <c r="H55" s="19" t="inlineStr">
        <is>
          <t>Seeded products.</t>
        </is>
      </c>
      <c r="I55" s="19" t="inlineStr">
        <is>
          <t>1. Open Master &gt; Generals &gt; Insurance Management &gt; Product.
2. Filter by classification.</t>
        </is>
      </c>
      <c r="J55" s="19" t="inlineStr">
        <is>
          <t>MOTOR, CTPL, PA, TRAVEL, HOME (package); FIRE, IAR, CAR, EAR, MARINE, CGL, MONEY, EB, BOND (non-package)</t>
        </is>
      </c>
      <c r="K55" s="19" t="inlineStr">
        <is>
          <t>Each product shows its business type and customer segment; the filter narrows the list.</t>
        </is>
      </c>
      <c r="L55" s="19" t="inlineStr">
        <is>
          <t>As expected.</t>
        </is>
      </c>
      <c r="M55" s="19" t="inlineStr">
        <is>
          <t>Pass</t>
        </is>
      </c>
      <c r="N55" s="19" t="inlineStr"/>
      <c r="O55" s="19" t="inlineStr">
        <is>
          <t>iorta TechNXT QA</t>
        </is>
      </c>
      <c r="P55" s="19" t="inlineStr">
        <is>
          <t>03 October 2026</t>
        </is>
      </c>
      <c r="Q55" s="19" t="inlineStr"/>
      <c r="R55" s="19" t="inlineStr">
        <is>
          <t>backend/test/product-classification.test.js :: seeds package and non-package products with their customer segment [passed]
backend/test/product-classification.test.js :: shows and filters the classification on the placement options and the product master [passed]
Screen check /master/generals/insurancemanagement/productmaster: opened clean</t>
        </is>
      </c>
    </row>
    <row r="56">
      <c r="A56" s="19" t="inlineStr">
        <is>
          <t>BV-MST-004</t>
        </is>
      </c>
      <c r="B56" s="19" t="inlineStr">
        <is>
          <t>Masters</t>
        </is>
      </c>
      <c r="C56" s="19" t="inlineStr">
        <is>
          <t>Product</t>
        </is>
      </c>
      <c r="D56" s="19" t="inlineStr">
        <is>
          <t>System Administrator (beatriz.lacson)</t>
        </is>
      </c>
      <c r="E56" s="19" t="inlineStr">
        <is>
          <t>Reclassifying a product changes its placement journey</t>
        </is>
      </c>
      <c r="F56" s="19" t="inlineStr">
        <is>
          <t>Functional</t>
        </is>
      </c>
      <c r="G56" s="19" t="inlineStr">
        <is>
          <t>Medium</t>
        </is>
      </c>
      <c r="H56" s="19" t="inlineStr">
        <is>
          <t>Product HOME is package.</t>
        </is>
      </c>
      <c r="I56" s="19" t="inlineStr">
        <is>
          <t>1. Open Product master, edit HOME, set business type non-package and save.
2. Create a quotation for HOME and try to convert directly.</t>
        </is>
      </c>
      <c r="J56" s="19" t="inlineStr">
        <is>
          <t>Product: HOME</t>
        </is>
      </c>
      <c r="K56" s="19" t="inlineStr">
        <is>
          <t>Conversion now asks for a Placement Slip. Revert the product afterwards.</t>
        </is>
      </c>
      <c r="L56" s="19" t="inlineStr">
        <is>
          <t>As expected.</t>
        </is>
      </c>
      <c r="M56" s="19" t="inlineStr">
        <is>
          <t>Pass</t>
        </is>
      </c>
      <c r="N56" s="19" t="inlineStr"/>
      <c r="O56" s="19" t="inlineStr">
        <is>
          <t>iorta TechNXT QA</t>
        </is>
      </c>
      <c r="P56" s="19" t="inlineStr">
        <is>
          <t>03 October 2026</t>
        </is>
      </c>
      <c r="Q56" s="19" t="inlineStr"/>
      <c r="R56" s="19" t="inlineStr">
        <is>
          <t>backend/test/product-classification.test.js :: reclassifying a product on the Product master changes its journey without a code change [passed]</t>
        </is>
      </c>
    </row>
    <row r="57">
      <c r="A57" s="19" t="inlineStr">
        <is>
          <t>BV-MST-005</t>
        </is>
      </c>
      <c r="B57" s="19" t="inlineStr">
        <is>
          <t>Masters</t>
        </is>
      </c>
      <c r="C57" s="19" t="inlineStr">
        <is>
          <t>Cover</t>
        </is>
      </c>
      <c r="D57" s="19" t="inlineStr">
        <is>
          <t>System Administrator (beatriz.lacson)</t>
        </is>
      </c>
      <c r="E57" s="19" t="inlineStr">
        <is>
          <t>Cover master: code issued, several covers per line</t>
        </is>
      </c>
      <c r="F57" s="19" t="inlineStr">
        <is>
          <t>Functional</t>
        </is>
      </c>
      <c r="G57" s="19" t="inlineStr">
        <is>
          <t>Low</t>
        </is>
      </c>
      <c r="H57" s="19" t="inlineStr">
        <is>
          <t>Line MOTOR exists.</t>
        </is>
      </c>
      <c r="I57" s="19" t="inlineStr">
        <is>
          <t>1. Open Master &gt; Generals &gt; Insurance Management &gt; Cover.
2. Click Add Cover, choose line Motor, leave Effective To empty, save.</t>
        </is>
      </c>
      <c r="J57" s="19" t="inlineStr">
        <is>
          <t>Cover: Own damage and theft; Line: Motor</t>
        </is>
      </c>
      <c r="K57" s="19" t="inlineStr">
        <is>
          <t>Code issued, Effective To left open, cover offered on the motor quotation.</t>
        </is>
      </c>
      <c r="L57" s="19" t="inlineStr">
        <is>
          <t>As expected.</t>
        </is>
      </c>
      <c r="M57" s="19" t="inlineStr">
        <is>
          <t>Pass</t>
        </is>
      </c>
      <c r="N57" s="19" t="inlineStr"/>
      <c r="O57" s="19" t="inlineStr">
        <is>
          <t>iorta TechNXT QA</t>
        </is>
      </c>
      <c r="P57" s="19" t="inlineStr">
        <is>
          <t>03 October 2026</t>
        </is>
      </c>
      <c r="Q57" s="19" t="inlineStr"/>
      <c r="R57" s="19" t="inlineStr">
        <is>
          <t>backend/test/masters.test.js :: issues the code, leaves Effective To open, keeps several covers and matches every sales person when none is set [passed]
backend/test/masters.test.js :: offers the covers of a line and those without a line [passed]
Screen check /master/generals/insurancemanagement/cover: opened clean</t>
        </is>
      </c>
    </row>
    <row r="58">
      <c r="A58" s="19" t="inlineStr">
        <is>
          <t>BV-MST-006</t>
        </is>
      </c>
      <c r="B58" s="19" t="inlineStr">
        <is>
          <t>Masters</t>
        </is>
      </c>
      <c r="C58" s="19" t="inlineStr">
        <is>
          <t>Signatories</t>
        </is>
      </c>
      <c r="D58" s="19" t="inlineStr">
        <is>
          <t>System Administrator (beatriz.lacson)</t>
        </is>
      </c>
      <c r="E58" s="19" t="inlineStr">
        <is>
          <t>Signatory added is offered on quotations; inactive is not</t>
        </is>
      </c>
      <c r="F58" s="19" t="inlineStr">
        <is>
          <t>Functional</t>
        </is>
      </c>
      <c r="G58" s="19" t="inlineStr">
        <is>
          <t>Medium</t>
        </is>
      </c>
      <c r="H58" s="19" t="inlineStr">
        <is>
          <t>Seeded signatories.</t>
        </is>
      </c>
      <c r="I58" s="19" t="inlineStr">
        <is>
          <t>1. Open Master &gt; Generals &gt; Insurance Management &gt; Signatories.
2. Click Add Signatories: name and position; save.
3. Deactivate another signatory.
4. As maria.rivera open a quotation PDF signatory list.</t>
        </is>
      </c>
      <c r="J58" s="19" t="inlineStr">
        <is>
          <t>Atty. Carmela Reyes, Vice President</t>
        </is>
      </c>
      <c r="K58" s="19" t="inlineStr">
        <is>
          <t>New signatory offered in the drop-down; inactive one not offered; the PDF prints name and designation.</t>
        </is>
      </c>
      <c r="L58" s="19" t="inlineStr">
        <is>
          <t>As expected.</t>
        </is>
      </c>
      <c r="M58" s="19" t="inlineStr">
        <is>
          <t>Pass</t>
        </is>
      </c>
      <c r="N58" s="19" t="inlineStr"/>
      <c r="O58" s="19" t="inlineStr">
        <is>
          <t>iorta TechNXT QA</t>
        </is>
      </c>
      <c r="P58" s="19" t="inlineStr">
        <is>
          <t>03 October 2026</t>
        </is>
      </c>
      <c r="Q58" s="19" t="inlineStr"/>
      <c r="R58" s="19" t="inlineStr">
        <is>
          <t>backend/test/masters.test.js :: a signatory added under Master is offered; an inactive one is not [passed]
backend/test/quote-to-policy.test.js :: the quotation PDF prints the chosen signatory with the designation [passed]
Screen check /master/generals/insurancemanagement/signatories: opened clean</t>
        </is>
      </c>
    </row>
    <row r="59">
      <c r="A59" s="19" t="inlineStr">
        <is>
          <t>BV-MST-007</t>
        </is>
      </c>
      <c r="B59" s="19" t="inlineStr">
        <is>
          <t>Masters</t>
        </is>
      </c>
      <c r="C59" s="19" t="inlineStr">
        <is>
          <t>Location</t>
        </is>
      </c>
      <c r="D59" s="19" t="inlineStr">
        <is>
          <t>System Administrator (beatriz.lacson)</t>
        </is>
      </c>
      <c r="E59" s="19" t="inlineStr">
        <is>
          <t>Country, province and city drop-downs follow the hierarchy</t>
        </is>
      </c>
      <c r="F59" s="19" t="inlineStr">
        <is>
          <t>Functional</t>
        </is>
      </c>
      <c r="G59" s="19" t="inlineStr">
        <is>
          <t>Medium</t>
        </is>
      </c>
      <c r="H59" s="19" t="inlineStr">
        <is>
          <t>Seeded Philippine address data.</t>
        </is>
      </c>
      <c r="I59" s="19" t="inlineStr">
        <is>
          <t>1. Open a client address.
2. Select Philippines, Metro Manila, Makati.
3. Enter postal code lookup.</t>
        </is>
      </c>
      <c r="J59" s="19" t="inlineStr">
        <is>
          <t>Philippines &gt; Metro Manila (NCR) &gt; Makati; ZIP 1209</t>
        </is>
      </c>
      <c r="K59" s="19" t="inlineStr">
        <is>
          <t>Each level filters the next; postal code fills automatically.</t>
        </is>
      </c>
      <c r="L59" s="19" t="inlineStr">
        <is>
          <t>As expected.</t>
        </is>
      </c>
      <c r="M59" s="19" t="inlineStr">
        <is>
          <t>Pass</t>
        </is>
      </c>
      <c r="N59" s="19" t="inlineStr"/>
      <c r="O59" s="19" t="inlineStr">
        <is>
          <t>iorta TechNXT QA</t>
        </is>
      </c>
      <c r="P59" s="19" t="inlineStr">
        <is>
          <t>03 October 2026</t>
        </is>
      </c>
      <c r="Q59" s="19" t="inlineStr"/>
      <c r="R59" s="19" t="inlineStr">
        <is>
          <t>backend/test/addresses.test.js :: serves the Philippine hierarchy used by the claim screens: Metro Manila (NCR) -&gt; Makati [passed]
backend/test/addresses.test.js :: looks up postal codes for auto-fill [passed]
Screen check /master/generals/location/country: opened clean
Screen check /master/generals/location/state: opened clean
Screen check /master/generals/location/city: opened clean</t>
        </is>
      </c>
    </row>
    <row r="60">
      <c r="A60" s="19" t="inlineStr">
        <is>
          <t>BV-MST-008</t>
        </is>
      </c>
      <c r="B60" s="19" t="inlineStr">
        <is>
          <t>Masters</t>
        </is>
      </c>
      <c r="C60" s="19" t="inlineStr">
        <is>
          <t>Location</t>
        </is>
      </c>
      <c r="D60" s="19" t="inlineStr">
        <is>
          <t>System Administrator (beatriz.lacson)</t>
        </is>
      </c>
      <c r="E60" s="19" t="inlineStr">
        <is>
          <t>Upload cities from the master template</t>
        </is>
      </c>
      <c r="F60" s="19" t="inlineStr">
        <is>
          <t>Functional</t>
        </is>
      </c>
      <c r="G60" s="19" t="inlineStr">
        <is>
          <t>Medium</t>
        </is>
      </c>
      <c r="H60" s="19" t="inlineStr">
        <is>
          <t>City master open.</t>
        </is>
      </c>
      <c r="I60" s="19" t="inlineStr">
        <is>
          <t>1. Open Master &gt; Generals &gt; Location &gt; City.
2. Click Upload and download the template.
3. Add one new city and upload the file.</t>
        </is>
      </c>
      <c r="J60" s="19" t="inlineStr">
        <is>
          <t>City: Tagaytay; Province: Cavite</t>
        </is>
      </c>
      <c r="K60" s="19" t="inlineStr">
        <is>
          <t>Message "1 created, 0 failed". City appears in the list and in address drop-downs. Rows in error are reported with the reason.</t>
        </is>
      </c>
      <c r="L60" s="19" t="inlineStr">
        <is>
          <t>As expected.</t>
        </is>
      </c>
      <c r="M60" s="19" t="inlineStr">
        <is>
          <t>Pass</t>
        </is>
      </c>
      <c r="N60" s="19" t="inlineStr"/>
      <c r="O60" s="19" t="inlineStr">
        <is>
          <t>iorta TechNXT QA</t>
        </is>
      </c>
      <c r="P60" s="19" t="inlineStr">
        <is>
          <t>03 October 2026</t>
        </is>
      </c>
      <c r="Q60" s="19" t="inlineStr"/>
      <c r="R60" s="19" t="inlineStr">
        <is>
          <t>backend/test/upload-templates.test.js :: downloads a master template and creates the uploaded records, reporting the rows that fail [passed]</t>
        </is>
      </c>
    </row>
    <row r="61">
      <c r="A61" s="19" t="inlineStr">
        <is>
          <t>BV-MST-009</t>
        </is>
      </c>
      <c r="B61" s="19" t="inlineStr">
        <is>
          <t>Masters</t>
        </is>
      </c>
      <c r="C61" s="19" t="inlineStr">
        <is>
          <t>Company</t>
        </is>
      </c>
      <c r="D61" s="19" t="inlineStr">
        <is>
          <t>System Administrator (beatriz.lacson)</t>
        </is>
      </c>
      <c r="E61" s="19" t="inlineStr">
        <is>
          <t>Primary company prints on documents</t>
        </is>
      </c>
      <c r="F61" s="19" t="inlineStr">
        <is>
          <t>Functional</t>
        </is>
      </c>
      <c r="G61" s="19" t="inlineStr">
        <is>
          <t>Medium</t>
        </is>
      </c>
      <c r="H61" s="19" t="inlineStr">
        <is>
          <t>Company master seeded with iorta TechNXT Corp. as primary.</t>
        </is>
      </c>
      <c r="I61" s="19" t="inlineStr">
        <is>
          <t>1. Open Master &gt; Generals &gt; Organization &gt; Company.
2. Check one primary company only; try to set a second as primary.
3. Print a billing statement.</t>
        </is>
      </c>
      <c r="J61" s="19" t="inlineStr">
        <is>
          <t>Company: iorta TechNXT Corp.</t>
        </is>
      </c>
      <c r="K61" s="19" t="inlineStr">
        <is>
          <t>Only one primary company allowed. Prints show the primary company name, address, TIN and logo.</t>
        </is>
      </c>
      <c r="L61" s="19" t="inlineStr">
        <is>
          <t>As expected.</t>
        </is>
      </c>
      <c r="M61" s="19" t="inlineStr">
        <is>
          <t>Pass</t>
        </is>
      </c>
      <c r="N61" s="19" t="inlineStr"/>
      <c r="O61" s="19" t="inlineStr">
        <is>
          <t>iorta TechNXT QA</t>
        </is>
      </c>
      <c r="P61" s="19" t="inlineStr">
        <is>
          <t>03 October 2026</t>
        </is>
      </c>
      <c r="Q61" s="19" t="inlineStr"/>
      <c r="R61" s="19" t="inlineStr">
        <is>
          <t>backend/test/printing.test.js :: reads the primary company of the Company master (iorta TechNXT Corp. out of the box) with its logo [passed]
backend/test/printing.test.js :: allows one primary company only, and prints follow the primary company [passed]
Screen check /master/generals/organization/companymaster: opened clean</t>
        </is>
      </c>
    </row>
    <row r="62">
      <c r="A62" s="19" t="inlineStr">
        <is>
          <t>BV-MST-010</t>
        </is>
      </c>
      <c r="B62" s="19" t="inlineStr">
        <is>
          <t>Masters</t>
        </is>
      </c>
      <c r="C62" s="19" t="inlineStr">
        <is>
          <t>Branch / Employee</t>
        </is>
      </c>
      <c r="D62" s="19" t="inlineStr">
        <is>
          <t>System Administrator (beatriz.lacson)</t>
        </is>
      </c>
      <c r="E62" s="19" t="inlineStr">
        <is>
          <t>Branch, designation and employee masters open and save</t>
        </is>
      </c>
      <c r="F62" s="19" t="inlineStr">
        <is>
          <t>Functional</t>
        </is>
      </c>
      <c r="G62" s="19" t="inlineStr">
        <is>
          <t>Low</t>
        </is>
      </c>
      <c r="H62" s="19" t="inlineStr">
        <is>
          <t>Signed in as beatriz.lacson.</t>
        </is>
      </c>
      <c r="I62" s="19" t="inlineStr">
        <is>
          <t>1. Open Master &gt; Generals &gt; Organization &gt; Branch and add branch CEB.
2. Open Employee Management &gt; Designation and add Senior Account Executive.
3. Open Employee Management &gt; Employee and add an employee in branch CEB.</t>
        </is>
      </c>
      <c r="J62" s="19" t="inlineStr">
        <is>
          <t>Branch CEB Cebu; Designation SAE</t>
        </is>
      </c>
      <c r="K62" s="19" t="inlineStr">
        <is>
          <t>Each record saves and lists; search finds it.</t>
        </is>
      </c>
      <c r="L62" s="19" t="inlineStr">
        <is>
          <t>As expected.</t>
        </is>
      </c>
      <c r="M62" s="19" t="inlineStr">
        <is>
          <t>Pass</t>
        </is>
      </c>
      <c r="N62" s="19" t="inlineStr"/>
      <c r="O62" s="19" t="inlineStr">
        <is>
          <t>iorta TechNXT QA</t>
        </is>
      </c>
      <c r="P62" s="19" t="inlineStr">
        <is>
          <t>03 October 2026</t>
        </is>
      </c>
      <c r="Q62" s="19" t="inlineStr"/>
      <c r="R62" s="19" t="inlineStr">
        <is>
          <t>backend/test/masters.test.js :: creates, reads, searches, updates and deactivates [passed]
Screen check /master/generals/organization/branchmaster: opened clean
Screen check /master/generals/employeemanagement/designation: opened clean
Screen check /master/generals/employeemanagement/employee: opened clean</t>
        </is>
      </c>
    </row>
    <row r="63">
      <c r="A63" s="19" t="inlineStr">
        <is>
          <t>BV-MST-011</t>
        </is>
      </c>
      <c r="B63" s="19" t="inlineStr">
        <is>
          <t>Masters</t>
        </is>
      </c>
      <c r="C63" s="19" t="inlineStr">
        <is>
          <t>Master permissions</t>
        </is>
      </c>
      <c r="D63" s="19" t="inlineStr">
        <is>
          <t>Sales / Account Executive (maria.rivera)</t>
        </is>
      </c>
      <c r="E63" s="19" t="inlineStr">
        <is>
          <t>Sales reads masters but cannot change them</t>
        </is>
      </c>
      <c r="F63" s="19" t="inlineStr">
        <is>
          <t>Role access</t>
        </is>
      </c>
      <c r="G63" s="19" t="inlineStr">
        <is>
          <t>Medium</t>
        </is>
      </c>
      <c r="H63" s="19" t="inlineStr">
        <is>
          <t>Signed in as maria.rivera.</t>
        </is>
      </c>
      <c r="I63" s="19" t="inlineStr">
        <is>
          <t>1. Open a quotation and use the insurer drop-down.
2. Call an insurer master update (or open the master by address).</t>
        </is>
      </c>
      <c r="J63" s="19" t="inlineStr">
        <is>
          <t>Insurer PCIC</t>
        </is>
      </c>
      <c r="K63" s="19" t="inlineStr">
        <is>
          <t>Drop-downs read the master. Changes are refused.</t>
        </is>
      </c>
      <c r="L63" s="19" t="inlineStr">
        <is>
          <t>As expected.</t>
        </is>
      </c>
      <c r="M63" s="19" t="inlineStr">
        <is>
          <t>Pass</t>
        </is>
      </c>
      <c r="N63" s="19" t="inlineStr"/>
      <c r="O63" s="19" t="inlineStr">
        <is>
          <t>iorta TechNXT QA</t>
        </is>
      </c>
      <c r="P63" s="19" t="inlineStr">
        <is>
          <t>03 October 2026</t>
        </is>
      </c>
      <c r="Q63" s="19" t="inlineStr"/>
      <c r="R63" s="19" t="inlineStr">
        <is>
          <t>backend/test/masters.test.js :: enforces permissions: sales may read but not write [passed]</t>
        </is>
      </c>
    </row>
    <row r="64">
      <c r="A64" s="19" t="inlineStr">
        <is>
          <t>BV-MST-012</t>
        </is>
      </c>
      <c r="B64" s="19" t="inlineStr">
        <is>
          <t>Masters</t>
        </is>
      </c>
      <c r="C64" s="19" t="inlineStr">
        <is>
          <t>Master definitions</t>
        </is>
      </c>
      <c r="D64" s="19" t="inlineStr">
        <is>
          <t>System Administrator (BrokerVerse)</t>
        </is>
      </c>
      <c r="E64" s="19" t="inlineStr">
        <is>
          <t>Administrator adds a new master type without code change</t>
        </is>
      </c>
      <c r="F64" s="19" t="inlineStr">
        <is>
          <t>Functional</t>
        </is>
      </c>
      <c r="G64" s="19" t="inlineStr">
        <is>
          <t>Low</t>
        </is>
      </c>
      <c r="H64" s="19" t="inlineStr">
        <is>
          <t>Signed in as BrokerVerse.</t>
        </is>
      </c>
      <c r="I64" s="19" t="inlineStr">
        <is>
          <t>1. Open the master definitions.
2. Add master type "Vehicle Usage" with two fields.
3. Add a record.</t>
        </is>
      </c>
      <c r="J64" s="19" t="inlineStr">
        <is>
          <t>Vehicle Usage: Private, Commercial</t>
        </is>
      </c>
      <c r="K64" s="19" t="inlineStr">
        <is>
          <t>The new master appears with its fields and records.</t>
        </is>
      </c>
      <c r="L64" s="19" t="inlineStr">
        <is>
          <t>As expected.</t>
        </is>
      </c>
      <c r="M64" s="19" t="inlineStr">
        <is>
          <t>Pass</t>
        </is>
      </c>
      <c r="N64" s="19" t="inlineStr"/>
      <c r="O64" s="19" t="inlineStr">
        <is>
          <t>iorta TechNXT QA</t>
        </is>
      </c>
      <c r="P64" s="19" t="inlineStr">
        <is>
          <t>03 October 2026</t>
        </is>
      </c>
      <c r="Q64" s="19" t="inlineStr"/>
      <c r="R64" s="19" t="inlineStr">
        <is>
          <t>backend/test/masters.test.js :: administrators add a new master type and edit field definitions without code changes [passed]</t>
        </is>
      </c>
    </row>
    <row r="65">
      <c r="A65" s="19" t="inlineStr">
        <is>
          <t>BV-MST-013</t>
        </is>
      </c>
      <c r="B65" s="19" t="inlineStr">
        <is>
          <t>Masters</t>
        </is>
      </c>
      <c r="C65" s="19" t="inlineStr">
        <is>
          <t>Finance masters</t>
        </is>
      </c>
      <c r="D65" s="19" t="inlineStr">
        <is>
          <t>System Administrator (beatriz.lacson)</t>
        </is>
      </c>
      <c r="E65" s="19" t="inlineStr">
        <is>
          <t>Currency, exchange rate and bank masters</t>
        </is>
      </c>
      <c r="F65" s="19" t="inlineStr">
        <is>
          <t>Functional</t>
        </is>
      </c>
      <c r="G65" s="19" t="inlineStr">
        <is>
          <t>Medium</t>
        </is>
      </c>
      <c r="H65" s="19" t="inlineStr">
        <is>
          <t>Signed in as BrokerVerse.</t>
        </is>
      </c>
      <c r="I65" s="19" t="inlineStr">
        <is>
          <t>1. Open Master &gt; Finance &gt; Currency; check PHP and USD.
2. Open Exchange Rate and click Add Exchange Rate for USD.
3. Open Bank and add bank account BDO-OPS.</t>
        </is>
      </c>
      <c r="J65" s="19" t="inlineStr">
        <is>
          <t>USD 1 = PHP 57.25 effective 30 September 2026; BDO-OPS 0071-xxxx-xx</t>
        </is>
      </c>
      <c r="K65" s="19" t="inlineStr">
        <is>
          <t>Records saved and listed; bank account checks number, e-mail, phone and SWIFT formats.</t>
        </is>
      </c>
      <c r="L65" s="19" t="inlineStr">
        <is>
          <t>As expected.</t>
        </is>
      </c>
      <c r="M65" s="19" t="inlineStr">
        <is>
          <t>Pass</t>
        </is>
      </c>
      <c r="N65" s="19" t="inlineStr"/>
      <c r="O65" s="19" t="inlineStr">
        <is>
          <t>iorta TechNXT QA</t>
        </is>
      </c>
      <c r="P65" s="19" t="inlineStr">
        <is>
          <t>04 October 2026</t>
        </is>
      </c>
      <c r="Q65" s="19" t="inlineStr"/>
      <c r="R65" s="19" t="inlineStr">
        <is>
          <t>backend/test/masters.test.js :: currency and seeded insurance companies expose front-end field names [passed]
brokerverse/src/module/FinanceMastersModule/BankMaster/AccountDataView/bankAccountErrors.test.js :: checks the formats of number, e-mail, phone and SWIFT code [passed]
UAT cycle 03-04 October 2026, phase Set-up (46 passed, 0 failed)
Screen check /master/finance/currency: opened clean
Screen check /master/finance/exchangerate: opened clean
Screen check /master/finance/bank: opened clean</t>
        </is>
      </c>
    </row>
    <row r="66">
      <c r="A66" s="19" t="inlineStr">
        <is>
          <t>BV-MST-014</t>
        </is>
      </c>
      <c r="B66" s="19" t="inlineStr">
        <is>
          <t>Masters</t>
        </is>
      </c>
      <c r="C66" s="19" t="inlineStr">
        <is>
          <t>Chart of accounts</t>
        </is>
      </c>
      <c r="D66" s="19" t="inlineStr">
        <is>
          <t>Accounting Officer (liza.quiambao)</t>
        </is>
      </c>
      <c r="E66" s="19" t="inlineStr">
        <is>
          <t>Chart of accounts is a complete Philippine broker chart</t>
        </is>
      </c>
      <c r="F66" s="19" t="inlineStr">
        <is>
          <t>Accounting</t>
        </is>
      </c>
      <c r="G66" s="19" t="inlineStr">
        <is>
          <t>High</t>
        </is>
      </c>
      <c r="H66" s="19" t="inlineStr">
        <is>
          <t>Fresh database.</t>
        </is>
      </c>
      <c r="I66" s="19" t="inlineStr">
        <is>
          <t>1. Open Master &gt; Finance &gt; Main Account.
2. Open Sub Account.
3. Check every GL account named in the settings and posting maps exists and is active.</t>
        </is>
      </c>
      <c r="J66" s="19" t="inlineStr">
        <is>
          <t>GL 1102001 BDO operating; 1102003 Metrobank collection; 2209001 unearned commission</t>
        </is>
      </c>
      <c r="K66" s="19" t="inlineStr">
        <is>
          <t>All system accounts exist and are active, grouped for the statements. System accounts cannot be deleted.</t>
        </is>
      </c>
      <c r="L66" s="19" t="inlineStr">
        <is>
          <t>As expected.</t>
        </is>
      </c>
      <c r="M66" s="19" t="inlineStr">
        <is>
          <t>Pass</t>
        </is>
      </c>
      <c r="N66" s="19" t="inlineStr"/>
      <c r="O66" s="19" t="inlineStr">
        <is>
          <t>iorta TechNXT QA</t>
        </is>
      </c>
      <c r="P66" s="19" t="inlineStr">
        <is>
          <t>03 October 2026</t>
        </is>
      </c>
      <c r="Q66" s="19" t="inlineStr"/>
      <c r="R66" s="19" t="inlineStr">
        <is>
          <t>backend/test/chart-of-accounts.test.js :: every GL account the system posts to (settings, payee and payment-mode maps) exists and is active [passed]
backend/test/chart-of-accounts.test.js :: is a complete Philippine broker chart, grouped for the statements [passed]
backend/test/chart-of-accounts.test.js :: is maintained from the chart of accounts screen (type grouping, statement group, system accounts protected) [passed]
Screen check /master/finance/mainaccount: opened clean
Screen check /master/finance/subaccount: opened clean
Screen check /master/finance/accountcategory: opened clean</t>
        </is>
      </c>
    </row>
    <row r="67">
      <c r="A67" s="19" t="inlineStr">
        <is>
          <t>BV-MST-015</t>
        </is>
      </c>
      <c r="B67" s="19" t="inlineStr">
        <is>
          <t>Masters</t>
        </is>
      </c>
      <c r="C67" s="19" t="inlineStr">
        <is>
          <t>Chart of accounts</t>
        </is>
      </c>
      <c r="D67" s="19" t="inlineStr">
        <is>
          <t>Accounting Officer (liza.quiambao)</t>
        </is>
      </c>
      <c r="E67" s="19" t="inlineStr">
        <is>
          <t>Upload chart of accounts adds and updates accounts</t>
        </is>
      </c>
      <c r="F67" s="19" t="inlineStr">
        <is>
          <t>Functional</t>
        </is>
      </c>
      <c r="G67" s="19" t="inlineStr">
        <is>
          <t>Medium</t>
        </is>
      </c>
      <c r="H67" s="19" t="inlineStr">
        <is>
          <t>Template downloaded.</t>
        </is>
      </c>
      <c r="I67" s="19" t="inlineStr">
        <is>
          <t>1. Open Main Account and click Upload.
2. Upload a file with one new and one changed account.</t>
        </is>
      </c>
      <c r="J67" s="19" t="inlineStr">
        <is>
          <t>New 6105010 Bank charges - MBT; changed name of 4401001</t>
        </is>
      </c>
      <c r="K67" s="19" t="inlineStr">
        <is>
          <t>New account added, existing one updated.</t>
        </is>
      </c>
      <c r="L67" s="19" t="inlineStr">
        <is>
          <t>As expected.</t>
        </is>
      </c>
      <c r="M67" s="19" t="inlineStr">
        <is>
          <t>Pass</t>
        </is>
      </c>
      <c r="N67" s="19" t="inlineStr"/>
      <c r="O67" s="19" t="inlineStr">
        <is>
          <t>iorta TechNXT QA</t>
        </is>
      </c>
      <c r="P67" s="19" t="inlineStr">
        <is>
          <t>03 October 2026</t>
        </is>
      </c>
      <c r="Q67" s="19" t="inlineStr"/>
      <c r="R67" s="19" t="inlineStr">
        <is>
          <t>backend/test/upload-templates.test.js :: chart of accounts upload adds new accounts and updates existing ones [passed]</t>
        </is>
      </c>
    </row>
    <row r="68">
      <c r="A68" s="19" t="inlineStr">
        <is>
          <t>BV-MST-016</t>
        </is>
      </c>
      <c r="B68" s="19" t="inlineStr">
        <is>
          <t>Masters</t>
        </is>
      </c>
      <c r="C68" s="19" t="inlineStr">
        <is>
          <t>Commission Rate Matrix</t>
        </is>
      </c>
      <c r="D68" s="19" t="inlineStr">
        <is>
          <t>System Administrator (beatriz.lacson)</t>
        </is>
      </c>
      <c r="E68" s="19" t="inlineStr">
        <is>
          <t>Commission rate per insurer and product with renewal row</t>
        </is>
      </c>
      <c r="F68" s="19" t="inlineStr">
        <is>
          <t>Functional</t>
        </is>
      </c>
      <c r="G68" s="19" t="inlineStr">
        <is>
          <t>High</t>
        </is>
      </c>
      <c r="H68" s="19" t="inlineStr">
        <is>
          <t>Insurers and products exist.</t>
        </is>
      </c>
      <c r="I68" s="19" t="inlineStr">
        <is>
          <t>1. Open Master &gt; Finance &gt; Commission Rate Matrix.
2. Click Add rate: insurer, product, policy type, rate, effective from.
3. Add a renewal row for PCIC / MOTOR.</t>
        </is>
      </c>
      <c r="J68" s="19" t="inlineStr">
        <is>
          <t>PCIC / MOTOR new 20.0%; PCIC / MOTOR renewal 17.5%; effective 01 January 2026</t>
        </is>
      </c>
      <c r="K68" s="19" t="inlineStr">
        <is>
          <t>Rows saved. Resolution picks the most specific active row; PCIC motor new business resolves to 20%.</t>
        </is>
      </c>
      <c r="L68" s="19" t="inlineStr">
        <is>
          <t>25 rate rows created; PCIC motor resolved to 20%.</t>
        </is>
      </c>
      <c r="M68" s="19" t="inlineStr">
        <is>
          <t>Pass</t>
        </is>
      </c>
      <c r="N68" s="19" t="inlineStr"/>
      <c r="O68" s="19" t="inlineStr">
        <is>
          <t>iorta TechNXT QA</t>
        </is>
      </c>
      <c r="P68" s="19" t="inlineStr">
        <is>
          <t>04 October 2026</t>
        </is>
      </c>
      <c r="Q68" s="19" t="inlineStr"/>
      <c r="R68" s="19" t="inlineStr">
        <is>
          <t>backend/test/numbering.test.js :: picks the most specific active row effective on the date [passed]
backend/test/numbering.test.js :: falls back to the insurer rate, then commission.default_rate [passed]
UAT cycle 03-04 October 2026, phase Set-up (46 passed, 0 failed)
Screen check /master/finance/commission-rate-matrix: opened clean</t>
        </is>
      </c>
    </row>
    <row r="69">
      <c r="A69" s="19" t="inlineStr">
        <is>
          <t>BV-MST-017</t>
        </is>
      </c>
      <c r="B69" s="19" t="inlineStr">
        <is>
          <t>Masters</t>
        </is>
      </c>
      <c r="C69" s="19" t="inlineStr">
        <is>
          <t>Commission Rate Matrix</t>
        </is>
      </c>
      <c r="D69" s="19" t="inlineStr">
        <is>
          <t>System Administrator (beatriz.lacson)</t>
        </is>
      </c>
      <c r="E69" s="19" t="inlineStr">
        <is>
          <t>Overlapping active commission rows refused</t>
        </is>
      </c>
      <c r="F69" s="19" t="inlineStr">
        <is>
          <t>Negative</t>
        </is>
      </c>
      <c r="G69" s="19" t="inlineStr">
        <is>
          <t>Medium</t>
        </is>
      </c>
      <c r="H69" s="19" t="inlineStr">
        <is>
          <t>PCIC / MOTOR new 20% active from 01 January 2026.</t>
        </is>
      </c>
      <c r="I69" s="19" t="inlineStr">
        <is>
          <t>1. Add another active row PCIC / MOTOR new from 01 June 2026.
2. Save.</t>
        </is>
      </c>
      <c r="J69" s="19" t="inlineStr">
        <is>
          <t>Rate 22.5%</t>
        </is>
      </c>
      <c r="K69" s="19" t="inlineStr">
        <is>
          <t>Save refused for overlap; an inactive row with the same keys is allowed.</t>
        </is>
      </c>
      <c r="L69" s="19" t="inlineStr">
        <is>
          <t>As expected.</t>
        </is>
      </c>
      <c r="M69" s="19" t="inlineStr">
        <is>
          <t>Pass</t>
        </is>
      </c>
      <c r="N69" s="19" t="inlineStr"/>
      <c r="O69" s="19" t="inlineStr">
        <is>
          <t>iorta TechNXT QA</t>
        </is>
      </c>
      <c r="P69" s="19" t="inlineStr">
        <is>
          <t>03 October 2026</t>
        </is>
      </c>
      <c r="Q69" s="19" t="inlineStr"/>
      <c r="R69" s="19" t="inlineStr">
        <is>
          <t>backend/test/numbering.test.js :: rejects overlapping active rows with the same keys; inactive rows do not count [passed]</t>
        </is>
      </c>
    </row>
    <row r="70">
      <c r="A70" s="19" t="inlineStr">
        <is>
          <t>BV-MST-018</t>
        </is>
      </c>
      <c r="B70" s="19" t="inlineStr">
        <is>
          <t>Masters</t>
        </is>
      </c>
      <c r="C70" s="19" t="inlineStr">
        <is>
          <t>Taxation</t>
        </is>
      </c>
      <c r="D70" s="19" t="inlineStr">
        <is>
          <t>Accounting Officer (liza.quiambao)</t>
        </is>
      </c>
      <c r="E70" s="19" t="inlineStr">
        <is>
          <t>Tax codes master holds the PH codes with ATCs</t>
        </is>
      </c>
      <c r="F70" s="19" t="inlineStr">
        <is>
          <t>Accounting</t>
        </is>
      </c>
      <c r="G70" s="19" t="inlineStr">
        <is>
          <t>High</t>
        </is>
      </c>
      <c r="H70" s="19" t="inlineStr">
        <is>
          <t>Seeded tax codes.</t>
        </is>
      </c>
      <c r="I70" s="19" t="inlineStr">
        <is>
          <t>1. Open Master &gt; Finance &gt; Taxation.
2. Find VAT12-OUT and WC139.
3. Edit the description of one code and save.</t>
        </is>
      </c>
      <c r="J70" s="19" t="inlineStr">
        <is>
          <t>VAT12-OUT; WC139</t>
        </is>
      </c>
      <c r="K70" s="19" t="inlineStr">
        <is>
          <t>26 tax codes, all active, with ATC; edit saved and the linked configuration key stays in step.</t>
        </is>
      </c>
      <c r="L70" s="19" t="inlineStr">
        <is>
          <t>As expected.</t>
        </is>
      </c>
      <c r="M70" s="19" t="inlineStr">
        <is>
          <t>Pass</t>
        </is>
      </c>
      <c r="N70" s="19" t="inlineStr"/>
      <c r="O70" s="19" t="inlineStr">
        <is>
          <t>iorta TechNXT QA</t>
        </is>
      </c>
      <c r="P70" s="19" t="inlineStr">
        <is>
          <t>04 October 2026</t>
        </is>
      </c>
      <c r="Q70" s="19" t="inlineStr"/>
      <c r="R70" s="19" t="inlineStr">
        <is>
          <t>backend/test/period-end.test.js :: tax codes master holds the PH codes with ATCs and is editable [passed]
backend/test/masters.test.js :: taxation records linked to a setting keep the configuration key in step [passed]
UAT cycle 03-04 October 2026, phase Set-up (46 passed, 0 failed)
Screen check /master/finance/taxation: opened clean</t>
        </is>
      </c>
    </row>
    <row r="71">
      <c r="A71" s="19" t="inlineStr">
        <is>
          <t>BV-MST-019</t>
        </is>
      </c>
      <c r="B71" s="19" t="inlineStr">
        <is>
          <t>Masters</t>
        </is>
      </c>
      <c r="C71" s="19" t="inlineStr">
        <is>
          <t>Premium taxes</t>
        </is>
      </c>
      <c r="D71" s="19" t="inlineStr">
        <is>
          <t>Accounting Officer (liza.quiambao)</t>
        </is>
      </c>
      <c r="E71" s="19" t="inlineStr">
        <is>
          <t>Premium taxes and LGU rates maintained by Accounting</t>
        </is>
      </c>
      <c r="F71" s="19" t="inlineStr">
        <is>
          <t>Accounting</t>
        </is>
      </c>
      <c r="G71" s="19" t="inlineStr">
        <is>
          <t>High</t>
        </is>
      </c>
      <c r="H71" s="19" t="inlineStr">
        <is>
          <t>Seeded rules and Metro Manila LGU rates.</t>
        </is>
      </c>
      <c r="I71" s="19" t="inlineStr">
        <is>
          <t>1. Open Master &gt; Finance &gt; Premium Taxes &amp; LGU Rates.
2. Read VAT, DST, FST and LGT rules.
3. Change the Makati LGT rate and save.
4. As maria.rivera try the same change.</t>
        </is>
      </c>
      <c r="J71" s="19" t="inlineStr">
        <is>
          <t>Makati LGT 0.75%</t>
        </is>
      </c>
      <c r="K71" s="19" t="inlineStr">
        <is>
          <t>Accounting saves; Sales is refused. Charges calculator shows the effect for a premium at a location.</t>
        </is>
      </c>
      <c r="L71" s="19" t="inlineStr">
        <is>
          <t>Rules and LGU rates saved by Accounting; Sales refused. Signed in as Accounting, the screen loads with no refused request and the product list of the charges calculator is filled.</t>
        </is>
      </c>
      <c r="M71" s="19" t="inlineStr">
        <is>
          <t>Pass</t>
        </is>
      </c>
      <c r="N71" s="19" t="inlineStr">
        <is>
          <t>BV-DEF-006 (closed)</t>
        </is>
      </c>
      <c r="O71" s="19" t="inlineStr">
        <is>
          <t>iorta TechNXT QA</t>
        </is>
      </c>
      <c r="P71" s="19" t="inlineStr">
        <is>
          <t>03 October 2026</t>
        </is>
      </c>
      <c r="Q71" s="19" t="inlineStr">
        <is>
          <t>Re-test of 03 October 2026 after the fix, fresh database with the UAT data set.</t>
        </is>
      </c>
      <c r="R71" s="19" t="inlineStr">
        <is>
          <t>backend/test/premium-charges.test.js :: lets Accounting maintain rules and LGU rates; Sales cannot [passed]
backend/test/premium-charges.test.js :: lists the seeded rules and Metro Manila LGU rates [passed]
backend/test/premium-charges.test.js :: calculates the charges of a product premium at a location [passed]
Screen check /master/finance/premium-taxes: opened clean</t>
        </is>
      </c>
    </row>
    <row r="72">
      <c r="A72" s="19" t="inlineStr">
        <is>
          <t>BV-MST-020</t>
        </is>
      </c>
      <c r="B72" s="19" t="inlineStr">
        <is>
          <t>Masters</t>
        </is>
      </c>
      <c r="C72" s="19" t="inlineStr">
        <is>
          <t>Premium taxes</t>
        </is>
      </c>
      <c r="D72" s="19" t="inlineStr">
        <is>
          <t>Processing Team (jose.bernardo)</t>
        </is>
      </c>
      <c r="E72" s="19" t="inlineStr">
        <is>
          <t>DST, VAT, FST and LGT computed on a fire premium</t>
        </is>
      </c>
      <c r="F72" s="19" t="inlineStr">
        <is>
          <t>Validation</t>
        </is>
      </c>
      <c r="G72" s="19" t="inlineStr">
        <is>
          <t>High</t>
        </is>
      </c>
      <c r="H72" s="19" t="inlineStr">
        <is>
          <t>Fire product; location Makati.</t>
        </is>
      </c>
      <c r="I72" s="19" t="inlineStr">
        <is>
          <t>1. Create a fire quotation for net premium PHP 22,000.00 in Makati.
2. Read the premium breakdown.</t>
        </is>
      </c>
      <c r="J72" s="19" t="inlineStr">
        <is>
          <t>Net PHP 22,000.00</t>
        </is>
      </c>
      <c r="K72" s="19" t="inlineStr">
        <is>
          <t>DST charged per PHP 4.00 or part (rounded up), VAT on non-property, FST on fire, LGT at the LGU rate; each line rounded to 2 decimals and totalled.</t>
        </is>
      </c>
      <c r="L72" s="19" t="inlineStr">
        <is>
          <t>As expected.</t>
        </is>
      </c>
      <c r="M72" s="19" t="inlineStr">
        <is>
          <t>Pass</t>
        </is>
      </c>
      <c r="N72" s="19" t="inlineStr"/>
      <c r="O72" s="19" t="inlineStr">
        <is>
          <t>iorta TechNXT QA</t>
        </is>
      </c>
      <c r="P72" s="19" t="inlineStr">
        <is>
          <t>03 October 2026</t>
        </is>
      </c>
      <c r="Q72" s="19" t="inlineStr"/>
      <c r="R72" s="19" t="inlineStr">
        <is>
          <t>backend/test/premium-charges.test.js :: prices VAT, DST per P4.00, FST on fire and LGT for a fire premium [passed]
backend/test/premium-charges.test.js :: charges DST on every P4.00 or fractional part (round up) or proportionally (prorate) [passed]
backend/test/premium-charges.test.js :: rounds every amount to 2 decimals half away from zero and totals the rounded lines [passed]</t>
        </is>
      </c>
    </row>
    <row r="73">
      <c r="A73" s="19" t="inlineStr">
        <is>
          <t>BV-MST-021</t>
        </is>
      </c>
      <c r="B73" s="19" t="inlineStr">
        <is>
          <t>Masters</t>
        </is>
      </c>
      <c r="C73" s="19" t="inlineStr">
        <is>
          <t>Rounding</t>
        </is>
      </c>
      <c r="D73" s="19" t="inlineStr">
        <is>
          <t>Accounting Officer (liza.quiambao)</t>
        </is>
      </c>
      <c r="E73" s="19" t="inlineStr">
        <is>
          <t>Money rounding half away from zero</t>
        </is>
      </c>
      <c r="F73" s="19" t="inlineStr">
        <is>
          <t>Validation</t>
        </is>
      </c>
      <c r="G73" s="19" t="inlineStr">
        <is>
          <t>Medium</t>
        </is>
      </c>
      <c r="H73" s="19" t="inlineStr">
        <is>
          <t>Any premium screen.</t>
        </is>
      </c>
      <c r="I73" s="19" t="inlineStr">
        <is>
          <t>1. Enter amounts that end in .005 and check the displayed totals.</t>
        </is>
      </c>
      <c r="J73" s="19" t="inlineStr">
        <is>
          <t>1.005 -&gt; 1.01; 2.675 -&gt; 2.68; -1.005 -&gt; -1.01; 1234567.895 -&gt; 1,234,567.90</t>
        </is>
      </c>
      <c r="K73" s="19" t="inlineStr">
        <is>
          <t>Amounts round half away from zero to 2 decimals; empty input is 0.</t>
        </is>
      </c>
      <c r="L73" s="19" t="inlineStr">
        <is>
          <t>As expected.</t>
        </is>
      </c>
      <c r="M73" s="19" t="inlineStr">
        <is>
          <t>Pass</t>
        </is>
      </c>
      <c r="N73" s="19" t="inlineStr"/>
      <c r="O73" s="19" t="inlineStr">
        <is>
          <t>iorta TechNXT QA</t>
        </is>
      </c>
      <c r="P73" s="19" t="inlineStr">
        <is>
          <t>03 October 2026</t>
        </is>
      </c>
      <c r="Q73" s="19" t="inlineStr"/>
      <c r="R73" s="19" t="inlineStr">
        <is>
          <t>backend/test/configuration.test.js :: round2(1.005) = 1.01 [passed]
backend/test/configuration.test.js :: round2(2.675) = 2.68 [passed]
backend/test/configuration.test.js :: treats empty and invalid input as 0 (never -0 or NaN) [passed]</t>
        </is>
      </c>
    </row>
    <row r="74">
      <c r="A74" s="19" t="inlineStr">
        <is>
          <t>BV-CFG-001</t>
        </is>
      </c>
      <c r="B74" s="19" t="inlineStr">
        <is>
          <t>Configuration and numbering</t>
        </is>
      </c>
      <c r="C74" s="19" t="inlineStr">
        <is>
          <t>Configuration</t>
        </is>
      </c>
      <c r="D74" s="19" t="inlineStr">
        <is>
          <t>System Administrator (BrokerVerse)</t>
        </is>
      </c>
      <c r="E74" s="19" t="inlineStr">
        <is>
          <t>Every setting is listed with a label and group</t>
        </is>
      </c>
      <c r="F74" s="19" t="inlineStr">
        <is>
          <t>Functional</t>
        </is>
      </c>
      <c r="G74" s="19" t="inlineStr">
        <is>
          <t>Medium</t>
        </is>
      </c>
      <c r="H74" s="19" t="inlineStr">
        <is>
          <t>Fresh database.</t>
        </is>
      </c>
      <c r="I74" s="19" t="inlineStr">
        <is>
          <t>1. Open Master &gt; Configuration.
2. Browse each group (Security, Limits, Accounting, Sales, Notification).</t>
        </is>
      </c>
      <c r="J74" s="19" t="inlineStr">
        <is>
          <t>None</t>
        </is>
      </c>
      <c r="K74" s="19" t="inlineStr">
        <is>
          <t>Every key read by the application is present with a label and group; values match the seeded defaults.</t>
        </is>
      </c>
      <c r="L74" s="19" t="inlineStr">
        <is>
          <t>As expected.</t>
        </is>
      </c>
      <c r="M74" s="19" t="inlineStr">
        <is>
          <t>Pass</t>
        </is>
      </c>
      <c r="N74" s="19" t="inlineStr"/>
      <c r="O74" s="19" t="inlineStr">
        <is>
          <t>iorta TechNXT QA</t>
        </is>
      </c>
      <c r="P74" s="19" t="inlineStr">
        <is>
          <t>03 October 2026</t>
        </is>
      </c>
      <c r="Q74" s="19" t="inlineStr"/>
      <c r="R74" s="19" t="inlineStr">
        <is>
          <t>backend/test/configuration.test.js :: every key read by the code is seeded, with a label and a group (so Master &gt; Configuration shows it) [passed]
backend/test/configuration.test.js :: scripts/check-settings.js: every key read in code exists and only documented keys are left unread [passed]
Screen check /master/configuration/settings: opened clean</t>
        </is>
      </c>
    </row>
    <row r="75">
      <c r="A75" s="19" t="inlineStr">
        <is>
          <t>BV-CFG-002</t>
        </is>
      </c>
      <c r="B75" s="19" t="inlineStr">
        <is>
          <t>Configuration and numbering</t>
        </is>
      </c>
      <c r="C75" s="19" t="inlineStr">
        <is>
          <t>Configuration</t>
        </is>
      </c>
      <c r="D75" s="19" t="inlineStr">
        <is>
          <t>System Administrator (BrokerVerse)</t>
        </is>
      </c>
      <c r="E75" s="19" t="inlineStr">
        <is>
          <t>Change a setting; it is saved and audited</t>
        </is>
      </c>
      <c r="F75" s="19" t="inlineStr">
        <is>
          <t>Functional</t>
        </is>
      </c>
      <c r="G75" s="19" t="inlineStr">
        <is>
          <t>High</t>
        </is>
      </c>
      <c r="H75" s="19" t="inlineStr">
        <is>
          <t>Signed in as BrokerVerse.</t>
        </is>
      </c>
      <c r="I75" s="19" t="inlineStr">
        <is>
          <t>1. Open Master &gt; Configuration &gt; Limits.
2. Change limits.session_idle_minutes from 30 to 20 and save.
3. Open Master &gt; Audit Trail and filter on today.</t>
        </is>
      </c>
      <c r="J75" s="19" t="inlineStr">
        <is>
          <t>limits.session_idle_minutes: 30 -&gt; 20</t>
        </is>
      </c>
      <c r="K75" s="19" t="inlineStr">
        <is>
          <t>Setting saved. Audit Trail shows the change with before and after values and user.</t>
        </is>
      </c>
      <c r="L75" s="19" t="inlineStr">
        <is>
          <t>As expected.</t>
        </is>
      </c>
      <c r="M75" s="19" t="inlineStr">
        <is>
          <t>Pass</t>
        </is>
      </c>
      <c r="N75" s="19" t="inlineStr"/>
      <c r="O75" s="19" t="inlineStr">
        <is>
          <t>iorta TechNXT QA</t>
        </is>
      </c>
      <c r="P75" s="19" t="inlineStr">
        <is>
          <t>03 October 2026</t>
        </is>
      </c>
      <c r="Q75" s="19" t="inlineStr"/>
      <c r="R75" s="19" t="inlineStr">
        <is>
          <t>backend/test/core.test.js :: settings are read from the database and editable by admins [passed]
backend/test/core.test.js :: writes an audit trail [passed]</t>
        </is>
      </c>
    </row>
    <row r="76">
      <c r="A76" s="19" t="inlineStr">
        <is>
          <t>BV-CFG-003</t>
        </is>
      </c>
      <c r="B76" s="19" t="inlineStr">
        <is>
          <t>Configuration and numbering</t>
        </is>
      </c>
      <c r="C76" s="19" t="inlineStr">
        <is>
          <t>Configuration</t>
        </is>
      </c>
      <c r="D76" s="19" t="inlineStr">
        <is>
          <t>System Administrator (BrokerVerse)</t>
        </is>
      </c>
      <c r="E76" s="19" t="inlineStr">
        <is>
          <t>Invalid setting value refused</t>
        </is>
      </c>
      <c r="F76" s="19" t="inlineStr">
        <is>
          <t>Negative</t>
        </is>
      </c>
      <c r="G76" s="19" t="inlineStr">
        <is>
          <t>Medium</t>
        </is>
      </c>
      <c r="H76" s="19" t="inlineStr">
        <is>
          <t>Signed in as BrokerVerse.</t>
        </is>
      </c>
      <c r="I76" s="19" t="inlineStr">
        <is>
          <t>1. Enter "abc" for a number setting and save.
2. As maria.rivera try to change a setting.</t>
        </is>
      </c>
      <c r="J76" s="19" t="inlineStr">
        <is>
          <t>limits.max_login_attempts = abc</t>
        </is>
      </c>
      <c r="K76" s="19" t="inlineStr">
        <is>
          <t>Invalid value refused; unauthorised user refused.</t>
        </is>
      </c>
      <c r="L76" s="19" t="inlineStr">
        <is>
          <t>As expected.</t>
        </is>
      </c>
      <c r="M76" s="19" t="inlineStr">
        <is>
          <t>Pass</t>
        </is>
      </c>
      <c r="N76" s="19" t="inlineStr"/>
      <c r="O76" s="19" t="inlineStr">
        <is>
          <t>iorta TechNXT QA</t>
        </is>
      </c>
      <c r="P76" s="19" t="inlineStr">
        <is>
          <t>03 October 2026</t>
        </is>
      </c>
      <c r="Q76" s="19" t="inlineStr"/>
      <c r="R76" s="19" t="inlineStr">
        <is>
          <t>backend/test/system-settings.test.js :: rejects invalid values and unauthorised users [passed]</t>
        </is>
      </c>
    </row>
    <row r="77">
      <c r="A77" s="19" t="inlineStr">
        <is>
          <t>BV-CFG-004</t>
        </is>
      </c>
      <c r="B77" s="19" t="inlineStr">
        <is>
          <t>Configuration and numbering</t>
        </is>
      </c>
      <c r="C77" s="19" t="inlineStr">
        <is>
          <t>Configuration</t>
        </is>
      </c>
      <c r="D77" s="19" t="inlineStr">
        <is>
          <t>System Administrator (BrokerVerse)</t>
        </is>
      </c>
      <c r="E77" s="19" t="inlineStr">
        <is>
          <t>Settings change on one server is picked up by the others</t>
        </is>
      </c>
      <c r="F77" s="19" t="inlineStr">
        <is>
          <t>Integration</t>
        </is>
      </c>
      <c r="G77" s="19" t="inlineStr">
        <is>
          <t>Low</t>
        </is>
      </c>
      <c r="H77" s="19" t="inlineStr">
        <is>
          <t>Two API instances.</t>
        </is>
      </c>
      <c r="I77" s="19" t="inlineStr">
        <is>
          <t>1. Change a setting on instance A.
2. Read it from instance B after the version check interval.</t>
        </is>
      </c>
      <c r="J77" s="19" t="inlineStr">
        <is>
          <t>Any setting</t>
        </is>
      </c>
      <c r="K77" s="19" t="inlineStr">
        <is>
          <t>Instance B uses the new value without a restart.</t>
        </is>
      </c>
      <c r="L77" s="19" t="inlineStr">
        <is>
          <t>As expected.</t>
        </is>
      </c>
      <c r="M77" s="19" t="inlineStr">
        <is>
          <t>Pass</t>
        </is>
      </c>
      <c r="N77" s="19" t="inlineStr"/>
      <c r="O77" s="19" t="inlineStr">
        <is>
          <t>iorta TechNXT QA</t>
        </is>
      </c>
      <c r="P77" s="19" t="inlineStr">
        <is>
          <t>03 October 2026</t>
        </is>
      </c>
      <c r="Q77" s="19" t="inlineStr"/>
      <c r="R77" s="19" t="inlineStr">
        <is>
          <t>backend/test/operations.test.js :: picks up a setting changed by another instance at the next version check [passed]</t>
        </is>
      </c>
    </row>
    <row r="78">
      <c r="A78" s="19" t="inlineStr">
        <is>
          <t>BV-CFG-005</t>
        </is>
      </c>
      <c r="B78" s="19" t="inlineStr">
        <is>
          <t>Configuration and numbering</t>
        </is>
      </c>
      <c r="C78" s="19" t="inlineStr">
        <is>
          <t>Time zone</t>
        </is>
      </c>
      <c r="D78" s="19" t="inlineStr">
        <is>
          <t>System Administrator (BrokerVerse)</t>
        </is>
      </c>
      <c r="E78" s="19" t="inlineStr">
        <is>
          <t>Business date is Manila time, not UTC</t>
        </is>
      </c>
      <c r="F78" s="19" t="inlineStr">
        <is>
          <t>Validation</t>
        </is>
      </c>
      <c r="G78" s="19" t="inlineStr">
        <is>
          <t>High</t>
        </is>
      </c>
      <c r="H78" s="19" t="inlineStr">
        <is>
          <t>general.timezone = Asia/Manila.</t>
        </is>
      </c>
      <c r="I78" s="19" t="inlineStr">
        <is>
          <t>1. Issue a policy at 00:30 Manila on 01 October 2026.
2. Open the Executive Dashboard "This Month".</t>
        </is>
      </c>
      <c r="J78" s="19" t="inlineStr">
        <is>
          <t>Issue time 00:30 Manila (16:30 UTC previous day)</t>
        </is>
      </c>
      <c r="K78" s="19" t="inlineStr">
        <is>
          <t>The policy counts in October. Business dates and numbering use the Manila date.</t>
        </is>
      </c>
      <c r="L78" s="19" t="inlineStr">
        <is>
          <t>As expected.</t>
        </is>
      </c>
      <c r="M78" s="19" t="inlineStr">
        <is>
          <t>Pass</t>
        </is>
      </c>
      <c r="N78" s="19" t="inlineStr"/>
      <c r="O78" s="19" t="inlineStr">
        <is>
          <t>iorta TechNXT QA</t>
        </is>
      </c>
      <c r="P78" s="19" t="inlineStr">
        <is>
          <t>03 October 2026</t>
        </is>
      </c>
      <c r="Q78" s="19" t="inlineStr"/>
      <c r="R78" s="19" t="inlineStr">
        <is>
          <t>backend/test/configuration.test.js :: is Manila time near midnight UTC, not the UTC date [passed]
backend/test/dashboard.test.js :: "This Month" runs from the 1st of the Manila month; a policy at 00:30 Manila on the 1st counts, 23:30 the day before does not [passed]
backend/test/operations.test.js :: defaults business-date columns to the Manila date (numbering_business_date) [passed]</t>
        </is>
      </c>
    </row>
    <row r="79">
      <c r="A79" s="19" t="inlineStr">
        <is>
          <t>BV-CFG-006</t>
        </is>
      </c>
      <c r="B79" s="19" t="inlineStr">
        <is>
          <t>Configuration and numbering</t>
        </is>
      </c>
      <c r="C79" s="19" t="inlineStr">
        <is>
          <t>System Settings</t>
        </is>
      </c>
      <c r="D79" s="19" t="inlineStr">
        <is>
          <t>System Administrator (BrokerVerse)</t>
        </is>
      </c>
      <c r="E79" s="19" t="inlineStr">
        <is>
          <t>Company logo and favicon on System Settings</t>
        </is>
      </c>
      <c r="F79" s="19" t="inlineStr">
        <is>
          <t>Functional</t>
        </is>
      </c>
      <c r="G79" s="19" t="inlineStr">
        <is>
          <t>Low</t>
        </is>
      </c>
      <c r="H79" s="19" t="inlineStr">
        <is>
          <t>Signed in as BrokerVerse.</t>
        </is>
      </c>
      <c r="I79" s="19" t="inlineStr">
        <is>
          <t>1. Open Master &gt; System Settings.
2. Click Upload Logo and choose a PNG.
3. Click Upload Favicon and choose an .exe renamed .ico.</t>
        </is>
      </c>
      <c r="J79" s="19" t="inlineStr">
        <is>
          <t>logo.png; bad.ico</t>
        </is>
      </c>
      <c r="K79" s="19" t="inlineStr">
        <is>
          <t>Logo preset added and shown. Disallowed favicon type refused.</t>
        </is>
      </c>
      <c r="L79" s="19" t="inlineStr">
        <is>
          <t>As expected.</t>
        </is>
      </c>
      <c r="M79" s="19" t="inlineStr">
        <is>
          <t>Pass</t>
        </is>
      </c>
      <c r="N79" s="19" t="inlineStr"/>
      <c r="O79" s="19" t="inlineStr">
        <is>
          <t>iorta TechNXT QA</t>
        </is>
      </c>
      <c r="P79" s="19" t="inlineStr">
        <is>
          <t>03 October 2026</t>
        </is>
      </c>
      <c r="Q79" s="19" t="inlineStr"/>
      <c r="R79" s="19" t="inlineStr">
        <is>
          <t>backend/test/system-settings.test.js :: adds a logo preset by URL and by file upload, then removes it [passed]
backend/test/system-settings.test.js :: uploads a favicon and rejects a disallowed type [passed]
Screen check /master/configuration/system-settings: opened clean</t>
        </is>
      </c>
    </row>
    <row r="80">
      <c r="A80" s="19" t="inlineStr">
        <is>
          <t>BV-CFG-007</t>
        </is>
      </c>
      <c r="B80" s="19" t="inlineStr">
        <is>
          <t>Configuration and numbering</t>
        </is>
      </c>
      <c r="C80" s="19" t="inlineStr">
        <is>
          <t>Document Numbering</t>
        </is>
      </c>
      <c r="D80" s="19" t="inlineStr">
        <is>
          <t>System Administrator (BrokerVerse)</t>
        </is>
      </c>
      <c r="E80" s="19" t="inlineStr">
        <is>
          <t>Numbering series listed with next-number preview</t>
        </is>
      </c>
      <c r="F80" s="19" t="inlineStr">
        <is>
          <t>Functional</t>
        </is>
      </c>
      <c r="G80" s="19" t="inlineStr">
        <is>
          <t>High</t>
        </is>
      </c>
      <c r="H80" s="19" t="inlineStr">
        <is>
          <t>Fresh database.</t>
        </is>
      </c>
      <c r="I80" s="19" t="inlineStr">
        <is>
          <t>1. Open Master &gt; Document Numbering.
2. Search "receipt".
3. Read the pattern, current counter and next number.</t>
        </is>
      </c>
      <c r="J80" s="19" t="inlineStr">
        <is>
          <t>Series: official receipt</t>
        </is>
      </c>
      <c r="K80" s="19" t="inlineStr">
        <is>
          <t>Every document code has an active series with a unique prefix; preview shows the next number.</t>
        </is>
      </c>
      <c r="L80" s="19" t="inlineStr">
        <is>
          <t>As expected.</t>
        </is>
      </c>
      <c r="M80" s="19" t="inlineStr">
        <is>
          <t>Pass</t>
        </is>
      </c>
      <c r="N80" s="19" t="inlineStr"/>
      <c r="O80" s="19" t="inlineStr">
        <is>
          <t>iorta TechNXT QA</t>
        </is>
      </c>
      <c r="P80" s="19" t="inlineStr">
        <is>
          <t>03 October 2026</t>
        </is>
      </c>
      <c r="Q80" s="19" t="inlineStr"/>
      <c r="R80" s="19" t="inlineStr">
        <is>
          <t>backend/test/numbering.test.js :: seeds a series for every code the application uses, with unique active prefixes and the default pattern [passed]
backend/test/numbering.test.js :: lists series with the current counter and next-number preview [passed]
Screen check /master/configuration/document-numbering: opened clean</t>
        </is>
      </c>
    </row>
    <row r="81">
      <c r="A81" s="19" t="inlineStr">
        <is>
          <t>BV-CFG-008</t>
        </is>
      </c>
      <c r="B81" s="19" t="inlineStr">
        <is>
          <t>Configuration and numbering</t>
        </is>
      </c>
      <c r="C81" s="19" t="inlineStr">
        <is>
          <t>Document Numbering</t>
        </is>
      </c>
      <c r="D81" s="19" t="inlineStr">
        <is>
          <t>System Administrator (BrokerVerse)</t>
        </is>
      </c>
      <c r="E81" s="19" t="inlineStr">
        <is>
          <t>Set the next official receipt number forward</t>
        </is>
      </c>
      <c r="F81" s="19" t="inlineStr">
        <is>
          <t>Functional</t>
        </is>
      </c>
      <c r="G81" s="19" t="inlineStr">
        <is>
          <t>High</t>
        </is>
      </c>
      <c r="H81" s="19" t="inlineStr">
        <is>
          <t>Receipt series active.</t>
        </is>
      </c>
      <c r="I81" s="19" t="inlineStr">
        <is>
          <t>1. Open the official receipt series.
2. Set the next number to 5001 and save.
3. Have Accounting issue a receipt.
4. Try to set the next number back to 4000.</t>
        </is>
      </c>
      <c r="J81" s="19" t="inlineStr">
        <is>
          <t>Next number 5001; then 4000</t>
        </is>
      </c>
      <c r="K81" s="19" t="inlineStr">
        <is>
          <t>The receipt carries number 5001 in the series format. Setting a lower number is refused (forward only).</t>
        </is>
      </c>
      <c r="L81" s="19" t="inlineStr">
        <is>
          <t>As expected.</t>
        </is>
      </c>
      <c r="M81" s="19" t="inlineStr">
        <is>
          <t>Pass</t>
        </is>
      </c>
      <c r="N81" s="19" t="inlineStr"/>
      <c r="O81" s="19" t="inlineStr">
        <is>
          <t>iorta TechNXT QA</t>
        </is>
      </c>
      <c r="P81" s="19" t="inlineStr">
        <is>
          <t>03 October 2026</t>
        </is>
      </c>
      <c r="Q81" s="19" t="inlineStr"/>
      <c r="R81" s="19" t="inlineStr">
        <is>
          <t>backend/test/numbering.test.js :: sets the next number forward only [passed]
backend/test/numbering.test.js :: updates a series with validation, unique prefixes and an audit entry [passed]</t>
        </is>
      </c>
    </row>
    <row r="82">
      <c r="A82" s="19" t="inlineStr">
        <is>
          <t>BV-CFG-009</t>
        </is>
      </c>
      <c r="B82" s="19" t="inlineStr">
        <is>
          <t>Configuration and numbering</t>
        </is>
      </c>
      <c r="C82" s="19" t="inlineStr">
        <is>
          <t>Document Numbering</t>
        </is>
      </c>
      <c r="D82" s="19" t="inlineStr">
        <is>
          <t>System Administrator (BrokerVerse)</t>
        </is>
      </c>
      <c r="E82" s="19" t="inlineStr">
        <is>
          <t>Pattern errors shown in the preview</t>
        </is>
      </c>
      <c r="F82" s="19" t="inlineStr">
        <is>
          <t>Validation</t>
        </is>
      </c>
      <c r="G82" s="19" t="inlineStr">
        <is>
          <t>Medium</t>
        </is>
      </c>
      <c r="H82" s="19" t="inlineStr">
        <is>
          <t>Series edit open.</t>
        </is>
      </c>
      <c r="I82" s="19" t="inlineStr">
        <is>
          <t>1. Change the pattern to {PREFIX}-{YYYY}-{SEQ:5}-{BRANCH}.
2. Then enter an unknown token {FOO}.</t>
        </is>
      </c>
      <c r="J82" s="19" t="inlineStr">
        <is>
          <t>Pattern tokens</t>
        </is>
      </c>
      <c r="K82" s="19" t="inlineStr">
        <is>
          <t>Valid pattern previews; optional {BRANCH} / {LOB} drop with their separator; unknown token reported as a pattern error.</t>
        </is>
      </c>
      <c r="L82" s="19" t="inlineStr">
        <is>
          <t>As expected.</t>
        </is>
      </c>
      <c r="M82" s="19" t="inlineStr">
        <is>
          <t>Pass</t>
        </is>
      </c>
      <c r="N82" s="19" t="inlineStr"/>
      <c r="O82" s="19" t="inlineStr">
        <is>
          <t>iorta TechNXT QA</t>
        </is>
      </c>
      <c r="P82" s="19" t="inlineStr">
        <is>
          <t>03 October 2026</t>
        </is>
      </c>
      <c r="Q82" s="19" t="inlineStr"/>
      <c r="R82" s="19" t="inlineStr">
        <is>
          <t>backend/test/numbering.test.js :: previews unsaved changes and reports pattern errors [passed]
backend/test/numbering.test.js :: formats every token; optional {BRANCH} / {LOB} drop with their separator [passed]</t>
        </is>
      </c>
    </row>
    <row r="83">
      <c r="A83" s="19" t="inlineStr">
        <is>
          <t>BV-CFG-010</t>
        </is>
      </c>
      <c r="B83" s="19" t="inlineStr">
        <is>
          <t>Configuration and numbering</t>
        </is>
      </c>
      <c r="C83" s="19" t="inlineStr">
        <is>
          <t>Document Numbering</t>
        </is>
      </c>
      <c r="D83" s="19" t="inlineStr">
        <is>
          <t>System Administrator (BrokerVerse)</t>
        </is>
      </c>
      <c r="E83" s="19" t="inlineStr">
        <is>
          <t>Counter resets yearly, monthly or by fiscal year</t>
        </is>
      </c>
      <c r="F83" s="19" t="inlineStr">
        <is>
          <t>Validation</t>
        </is>
      </c>
      <c r="G83" s="19" t="inlineStr">
        <is>
          <t>Medium</t>
        </is>
      </c>
      <c r="H83" s="19" t="inlineStr">
        <is>
          <t>Series with yearly reset.</t>
        </is>
      </c>
      <c r="I83" s="19" t="inlineStr">
        <is>
          <t>1. Issue a number on 31 December 2026 and on 01 January 2027 (test clock).</t>
        </is>
      </c>
      <c r="J83" s="19" t="inlineStr">
        <is>
          <t>Yearly reset series</t>
        </is>
      </c>
      <c r="K83" s="19" t="inlineStr">
        <is>
          <t>The counter restarts at the configured boundary.</t>
        </is>
      </c>
      <c r="L83" s="19" t="inlineStr">
        <is>
          <t>As expected.</t>
        </is>
      </c>
      <c r="M83" s="19" t="inlineStr">
        <is>
          <t>Pass</t>
        </is>
      </c>
      <c r="N83" s="19" t="inlineStr"/>
      <c r="O83" s="19" t="inlineStr">
        <is>
          <t>iorta TechNXT QA</t>
        </is>
      </c>
      <c r="P83" s="19" t="inlineStr">
        <is>
          <t>03 October 2026</t>
        </is>
      </c>
      <c r="Q83" s="19" t="inlineStr"/>
      <c r="R83" s="19" t="inlineStr">
        <is>
          <t>backend/test/numbering.test.js :: yearly, monthly, fiscal-year and never reset the counter at the right boundary [passed]</t>
        </is>
      </c>
    </row>
    <row r="84">
      <c r="A84" s="19" t="inlineStr">
        <is>
          <t>BV-CFG-011</t>
        </is>
      </c>
      <c r="B84" s="19" t="inlineStr">
        <is>
          <t>Configuration and numbering</t>
        </is>
      </c>
      <c r="C84" s="19" t="inlineStr">
        <is>
          <t>Document Numbering</t>
        </is>
      </c>
      <c r="D84" s="19" t="inlineStr">
        <is>
          <t>System Administrator (BrokerVerse)</t>
        </is>
      </c>
      <c r="E84" s="19" t="inlineStr">
        <is>
          <t>No duplicate numbers under concurrent saves</t>
        </is>
      </c>
      <c r="F84" s="19" t="inlineStr">
        <is>
          <t>Integration</t>
        </is>
      </c>
      <c r="G84" s="19" t="inlineStr">
        <is>
          <t>High</t>
        </is>
      </c>
      <c r="H84" s="19" t="inlineStr">
        <is>
          <t>Two users saving receipts at the same time.</t>
        </is>
      </c>
      <c r="I84" s="19" t="inlineStr">
        <is>
          <t>1. Have two Accounting users save receipts at the same moment several times.</t>
        </is>
      </c>
      <c r="J84" s="19" t="inlineStr">
        <is>
          <t>20 parallel saves</t>
        </is>
      </c>
      <c r="K84" s="19" t="inlineStr">
        <is>
          <t>Every receipt gets a different number; a cancelled transaction gives its number back.</t>
        </is>
      </c>
      <c r="L84" s="19" t="inlineStr">
        <is>
          <t>As expected.</t>
        </is>
      </c>
      <c r="M84" s="19" t="inlineStr">
        <is>
          <t>Pass</t>
        </is>
      </c>
      <c r="N84" s="19" t="inlineStr"/>
      <c r="O84" s="19" t="inlineStr">
        <is>
          <t>iorta TechNXT QA</t>
        </is>
      </c>
      <c r="P84" s="19" t="inlineStr">
        <is>
          <t>03 October 2026</t>
        </is>
      </c>
      <c r="Q84" s="19" t="inlineStr"/>
      <c r="R84" s="19" t="inlineStr">
        <is>
          <t>backend/test/numbering.test.js :: parallel callers (pool and transactions) never receive the same number [passed]
backend/test/numbering.test.js :: a rolled-back transaction gives its number back; a number already in the target table is skipped [passed]</t>
        </is>
      </c>
    </row>
    <row r="85">
      <c r="A85" s="19" t="inlineStr">
        <is>
          <t>BV-CFG-012</t>
        </is>
      </c>
      <c r="B85" s="19" t="inlineStr">
        <is>
          <t>Configuration and numbering</t>
        </is>
      </c>
      <c r="C85" s="19" t="inlineStr">
        <is>
          <t>Document Numbering</t>
        </is>
      </c>
      <c r="D85" s="19" t="inlineStr">
        <is>
          <t>System Administrator (BrokerVerse)</t>
        </is>
      </c>
      <c r="E85" s="19" t="inlineStr">
        <is>
          <t>Inactive series refuses to issue</t>
        </is>
      </c>
      <c r="F85" s="19" t="inlineStr">
        <is>
          <t>Negative</t>
        </is>
      </c>
      <c r="G85" s="19" t="inlineStr">
        <is>
          <t>Low</t>
        </is>
      </c>
      <c r="H85" s="19" t="inlineStr">
        <is>
          <t>Series set inactive.</t>
        </is>
      </c>
      <c r="I85" s="19" t="inlineStr">
        <is>
          <t>1. Deactivate the petty cash request series.
2. Create a petty cash request.</t>
        </is>
      </c>
      <c r="J85" s="19" t="inlineStr">
        <is>
          <t>Series: petty cash request</t>
        </is>
      </c>
      <c r="K85" s="19" t="inlineStr">
        <is>
          <t>Save refused with a message that the series is inactive.</t>
        </is>
      </c>
      <c r="L85" s="19" t="inlineStr">
        <is>
          <t>As expected.</t>
        </is>
      </c>
      <c r="M85" s="19" t="inlineStr">
        <is>
          <t>Pass</t>
        </is>
      </c>
      <c r="N85" s="19" t="inlineStr"/>
      <c r="O85" s="19" t="inlineStr">
        <is>
          <t>iorta TechNXT QA</t>
        </is>
      </c>
      <c r="P85" s="19" t="inlineStr">
        <is>
          <t>03 October 2026</t>
        </is>
      </c>
      <c r="Q85" s="19" t="inlineStr"/>
      <c r="R85" s="19" t="inlineStr">
        <is>
          <t>backend/test/numbering.test.js :: an inactive or unknown series refuses to issue numbers [passed]</t>
        </is>
      </c>
    </row>
    <row r="86">
      <c r="A86" s="19" t="inlineStr">
        <is>
          <t>BV-CFG-013</t>
        </is>
      </c>
      <c r="B86" s="19" t="inlineStr">
        <is>
          <t>Configuration and numbering</t>
        </is>
      </c>
      <c r="C86" s="19" t="inlineStr">
        <is>
          <t>Document Numbering</t>
        </is>
      </c>
      <c r="D86" s="19" t="inlineStr">
        <is>
          <t>Sales / Account Executive (maria.rivera)</t>
        </is>
      </c>
      <c r="E86" s="19" t="inlineStr">
        <is>
          <t>Numbering is restricted to system configuration</t>
        </is>
      </c>
      <c r="F86" s="19" t="inlineStr">
        <is>
          <t>Role access</t>
        </is>
      </c>
      <c r="G86" s="19" t="inlineStr">
        <is>
          <t>Low</t>
        </is>
      </c>
      <c r="H86" s="19" t="inlineStr">
        <is>
          <t>Signed in as maria.rivera.</t>
        </is>
      </c>
      <c r="I86" s="19" t="inlineStr">
        <is>
          <t>1. Type the address /master/configuration/document-numbering.</t>
        </is>
      </c>
      <c r="J86" s="19" t="inlineStr">
        <is>
          <t>None</t>
        </is>
      </c>
      <c r="K86" s="19" t="inlineStr">
        <is>
          <t>Screen not available to Sales.</t>
        </is>
      </c>
      <c r="L86" s="19" t="inlineStr">
        <is>
          <t>As expected.</t>
        </is>
      </c>
      <c r="M86" s="19" t="inlineStr">
        <is>
          <t>Pass</t>
        </is>
      </c>
      <c r="N86" s="19" t="inlineStr"/>
      <c r="O86" s="19" t="inlineStr">
        <is>
          <t>iorta TechNXT QA</t>
        </is>
      </c>
      <c r="P86" s="19" t="inlineStr">
        <is>
          <t>03 October 2026</t>
        </is>
      </c>
      <c r="Q86" s="19" t="inlineStr"/>
      <c r="R86" s="19" t="inlineStr">
        <is>
          <t>backend/test/numbering.test.js :: is restricted to system configuration [passed]</t>
        </is>
      </c>
    </row>
    <row r="87">
      <c r="A87" s="19" t="inlineStr">
        <is>
          <t>BV-CFG-014</t>
        </is>
      </c>
      <c r="B87" s="19" t="inlineStr">
        <is>
          <t>Configuration and numbering</t>
        </is>
      </c>
      <c r="C87" s="19" t="inlineStr">
        <is>
          <t>Schedules</t>
        </is>
      </c>
      <c r="D87" s="19" t="inlineStr">
        <is>
          <t>System Administrator (BrokerVerse)</t>
        </is>
      </c>
      <c r="E87" s="19" t="inlineStr">
        <is>
          <t>Scheduled jobs list and run now</t>
        </is>
      </c>
      <c r="F87" s="19" t="inlineStr">
        <is>
          <t>Functional</t>
        </is>
      </c>
      <c r="G87" s="19" t="inlineStr">
        <is>
          <t>High</t>
        </is>
      </c>
      <c r="H87" s="19" t="inlineStr">
        <is>
          <t>Seeded jobs.</t>
        </is>
      </c>
      <c r="I87" s="19" t="inlineStr">
        <is>
          <t>1. Open Master &gt; Schedules.
2. Read the schedule and time zone of each job.
3. Click run for the renewal notice job.</t>
        </is>
      </c>
      <c r="J87" s="19" t="inlineStr">
        <is>
          <t>Renewal notices job (06:00 Manila)</t>
        </is>
      </c>
      <c r="K87" s="19" t="inlineStr">
        <is>
          <t>Jobs show Asia/Manila time; the run is recorded with start, end and result.</t>
        </is>
      </c>
      <c r="L87" s="19" t="inlineStr">
        <is>
          <t>As expected.</t>
        </is>
      </c>
      <c r="M87" s="19" t="inlineStr">
        <is>
          <t>Pass</t>
        </is>
      </c>
      <c r="N87" s="19" t="inlineStr"/>
      <c r="O87" s="19" t="inlineStr">
        <is>
          <t>iorta TechNXT QA</t>
        </is>
      </c>
      <c r="P87" s="19" t="inlineStr">
        <is>
          <t>03 October 2026</t>
        </is>
      </c>
      <c r="Q87" s="19" t="inlineStr"/>
      <c r="R87" s="19" t="inlineStr">
        <is>
          <t>backend/test/core.test.js :: runs a scheduled job and records the run [passed]
backend/test/operations.test.js :: schedules every job in general.timezone (06:00 Manila, not 06:00 UTC) and shows the zone [passed]
backend/test/dependencies.test.js :: node-cron 4 validates every seeded job schedule and schedules / stops tasks [passed]
Screen check /master/configuration/schedules: opened clean</t>
        </is>
      </c>
    </row>
    <row r="88">
      <c r="A88" s="19" t="inlineStr">
        <is>
          <t>BV-CFG-015</t>
        </is>
      </c>
      <c r="B88" s="19" t="inlineStr">
        <is>
          <t>Configuration and numbering</t>
        </is>
      </c>
      <c r="C88" s="19" t="inlineStr">
        <is>
          <t>Schedules</t>
        </is>
      </c>
      <c r="D88" s="19" t="inlineStr">
        <is>
          <t>System Administrator (BrokerVerse)</t>
        </is>
      </c>
      <c r="E88" s="19" t="inlineStr">
        <is>
          <t>A job runs once when several servers fire it</t>
        </is>
      </c>
      <c r="F88" s="19" t="inlineStr">
        <is>
          <t>Integration</t>
        </is>
      </c>
      <c r="G88" s="19" t="inlineStr">
        <is>
          <t>Medium</t>
        </is>
      </c>
      <c r="H88" s="19" t="inlineStr">
        <is>
          <t>Two API instances.</t>
        </is>
      </c>
      <c r="I88" s="19" t="inlineStr">
        <is>
          <t>1. Let both instances fire the same slot.</t>
        </is>
      </c>
      <c r="J88" s="19" t="inlineStr">
        <is>
          <t>Daily job</t>
        </is>
      </c>
      <c r="K88" s="19" t="inlineStr">
        <is>
          <t>The slot runs once; the second instance skips under the lock.</t>
        </is>
      </c>
      <c r="L88" s="19" t="inlineStr">
        <is>
          <t>As expected.</t>
        </is>
      </c>
      <c r="M88" s="19" t="inlineStr">
        <is>
          <t>Pass</t>
        </is>
      </c>
      <c r="N88" s="19" t="inlineStr"/>
      <c r="O88" s="19" t="inlineStr">
        <is>
          <t>iorta TechNXT QA</t>
        </is>
      </c>
      <c r="P88" s="19" t="inlineStr">
        <is>
          <t>03 October 2026</t>
        </is>
      </c>
      <c r="Q88" s="19" t="inlineStr"/>
      <c r="R88" s="19" t="inlineStr">
        <is>
          <t>backend/test/go-live.test.js :: skips a run while another instance holds the job advisory lock [passed]
backend/test/go-live.test.js :: runs a scheduled slot once when several instances fire it at the same time [passed]</t>
        </is>
      </c>
    </row>
    <row r="89">
      <c r="A89" s="19" t="inlineStr">
        <is>
          <t>BV-CFG-016</t>
        </is>
      </c>
      <c r="B89" s="19" t="inlineStr">
        <is>
          <t>Configuration and numbering</t>
        </is>
      </c>
      <c r="C89" s="19" t="inlineStr">
        <is>
          <t>Schedules</t>
        </is>
      </c>
      <c r="D89" s="19" t="inlineStr">
        <is>
          <t>System Administrator (BrokerVerse)</t>
        </is>
      </c>
      <c r="E89" s="19" t="inlineStr">
        <is>
          <t>Data retention purge keeps audit trail at least 7 years</t>
        </is>
      </c>
      <c r="F89" s="19" t="inlineStr">
        <is>
          <t>Functional</t>
        </is>
      </c>
      <c r="G89" s="19" t="inlineStr">
        <is>
          <t>Medium</t>
        </is>
      </c>
      <c r="H89" s="19" t="inlineStr">
        <is>
          <t>Retention job seeded and enabled.</t>
        </is>
      </c>
      <c r="I89" s="19" t="inlineStr">
        <is>
          <t>1. Open Master &gt; Schedules and run the retention job.
2. Check old notifications and audit rows.</t>
        </is>
      </c>
      <c r="J89" s="19" t="inlineStr">
        <is>
          <t>Retention days per table</t>
        </is>
      </c>
      <c r="K89" s="19" t="inlineStr">
        <is>
          <t>Rows past retention are purged; recent and unresolved rows kept; audit trail never purged below 7 years.</t>
        </is>
      </c>
      <c r="L89" s="19" t="inlineStr">
        <is>
          <t>As expected.</t>
        </is>
      </c>
      <c r="M89" s="19" t="inlineStr">
        <is>
          <t>Pass</t>
        </is>
      </c>
      <c r="N89" s="19" t="inlineStr"/>
      <c r="O89" s="19" t="inlineStr">
        <is>
          <t>iorta TechNXT QA</t>
        </is>
      </c>
      <c r="P89" s="19" t="inlineStr">
        <is>
          <t>03 October 2026</t>
        </is>
      </c>
      <c r="Q89" s="19" t="inlineStr"/>
      <c r="R89" s="19" t="inlineStr">
        <is>
          <t>backend/test/operations.test.js :: purges rows past their retention and keeps recent, unresolved and audit rows [passed]
backend/test/operations.test.js :: keeps a table forever at 0 days and never purges the audit trail below 7 years [passed]</t>
        </is>
      </c>
    </row>
    <row r="90">
      <c r="A90" s="19" t="inlineStr">
        <is>
          <t>BV-CFG-017</t>
        </is>
      </c>
      <c r="B90" s="19" t="inlineStr">
        <is>
          <t>Configuration and numbering</t>
        </is>
      </c>
      <c r="C90" s="19" t="inlineStr">
        <is>
          <t>Health</t>
        </is>
      </c>
      <c r="D90" s="19" t="inlineStr">
        <is>
          <t>System Administrator (BrokerVerse)</t>
        </is>
      </c>
      <c r="E90" s="19" t="inlineStr">
        <is>
          <t>Health check and version endpoints</t>
        </is>
      </c>
      <c r="F90" s="19" t="inlineStr">
        <is>
          <t>Functional</t>
        </is>
      </c>
      <c r="G90" s="19" t="inlineStr">
        <is>
          <t>Medium</t>
        </is>
      </c>
      <c r="H90" s="19" t="inlineStr">
        <is>
          <t>Production build running.</t>
        </is>
      </c>
      <c r="I90" s="19" t="inlineStr">
        <is>
          <t>1. Open /api/health.
2. Stop the database and open it again.
3. Open /api/version.</t>
        </is>
      </c>
      <c r="J90" s="19" t="inlineStr">
        <is>
          <t>None</t>
        </is>
      </c>
      <c r="K90" s="19" t="inlineStr">
        <is>
          <t>Health shows database ready; answers 503 when the database is down. Version shows the build without sign-in.</t>
        </is>
      </c>
      <c r="L90" s="19" t="inlineStr">
        <is>
          <t>As expected.</t>
        </is>
      </c>
      <c r="M90" s="19" t="inlineStr">
        <is>
          <t>Pass</t>
        </is>
      </c>
      <c r="N90" s="19" t="inlineStr"/>
      <c r="O90" s="19" t="inlineStr">
        <is>
          <t>iorta TechNXT QA</t>
        </is>
      </c>
      <c r="P90" s="19" t="inlineStr">
        <is>
          <t>03 October 2026</t>
        </is>
      </c>
      <c r="Q90" s="19" t="inlineStr"/>
      <c r="R90" s="19" t="inlineStr">
        <is>
          <t>backend/test/go-live.test.js :: GET /api/health reports database connectivity and readiness; 503 while starting or when the database is down [passed]
backend/test/security.test.js :: GET /api/version reports build and runtime information without sign-in [passed]</t>
        </is>
      </c>
    </row>
    <row r="91">
      <c r="A91" s="19" t="inlineStr">
        <is>
          <t>BV-PCF-001</t>
        </is>
      </c>
      <c r="B91" s="19" t="inlineStr">
        <is>
          <t>Product configurator</t>
        </is>
      </c>
      <c r="C91" s="19" t="inlineStr">
        <is>
          <t>Product Templates</t>
        </is>
      </c>
      <c r="D91" s="19" t="inlineStr">
        <is>
          <t>Processing Team (jose.bernardo)</t>
        </is>
      </c>
      <c r="E91" s="19" t="inlineStr">
        <is>
          <t>Templates listed and opened</t>
        </is>
      </c>
      <c r="F91" s="19" t="inlineStr">
        <is>
          <t>Functional</t>
        </is>
      </c>
      <c r="G91" s="19" t="inlineStr">
        <is>
          <t>High</t>
        </is>
      </c>
      <c r="H91" s="19" t="inlineStr">
        <is>
          <t>Seeded templates.</t>
        </is>
      </c>
      <c r="I91" s="19" t="inlineStr">
        <is>
          <t>1. Open Product Configurator &gt; Product Templates.
2. Open the motor template.
3. Read vehicle classes, CTPL and APPA settings.</t>
        </is>
      </c>
      <c r="J91" s="19" t="inlineStr">
        <is>
          <t>Motor template</t>
        </is>
      </c>
      <c r="K91" s="19" t="inlineStr">
        <is>
          <t>Template opens with seven IC vehicle classes, CTPL per class (private cars PHP 610.40 inclusive one-year) and APPA limits.</t>
        </is>
      </c>
      <c r="L91" s="19" t="inlineStr">
        <is>
          <t>As expected.</t>
        </is>
      </c>
      <c r="M91" s="19" t="inlineStr">
        <is>
          <t>Pass</t>
        </is>
      </c>
      <c r="N91" s="19" t="inlineStr"/>
      <c r="O91" s="19" t="inlineStr">
        <is>
          <t>iorta TechNXT QA</t>
        </is>
      </c>
      <c r="P91" s="19" t="inlineStr">
        <is>
          <t>03 October 2026</t>
        </is>
      </c>
      <c r="Q91" s="19" t="inlineStr"/>
      <c r="R91" s="19" t="inlineStr">
        <is>
          <t>backend/test/product-configurator.test.js :: lists seeded templates in the captured shape [passed]
backend/test/motor-tariff.test.js :: lists the Insurance Commission vehicle classes with the CTPL tariff and the APPA limits [passed]
Screen check /product-configurator/templates: opened clean</t>
        </is>
      </c>
    </row>
    <row r="92">
      <c r="A92" s="19" t="inlineStr">
        <is>
          <t>BV-PCF-002</t>
        </is>
      </c>
      <c r="B92" s="19" t="inlineStr">
        <is>
          <t>Product configurator</t>
        </is>
      </c>
      <c r="C92" s="19" t="inlineStr">
        <is>
          <t>Product Templates</t>
        </is>
      </c>
      <c r="D92" s="19" t="inlineStr">
        <is>
          <t>Processing Team (jose.bernardo)</t>
        </is>
      </c>
      <c r="E92" s="19" t="inlineStr">
        <is>
          <t>Create, version, retire and reactivate a template</t>
        </is>
      </c>
      <c r="F92" s="19" t="inlineStr">
        <is>
          <t>Functional</t>
        </is>
      </c>
      <c r="G92" s="19" t="inlineStr">
        <is>
          <t>Medium</t>
        </is>
      </c>
      <c r="H92" s="19" t="inlineStr">
        <is>
          <t>Signed in as jose.bernardo.</t>
        </is>
      </c>
      <c r="I92" s="19" t="inlineStr">
        <is>
          <t>1. Click Create Template and save a new template.
2. Create a new version.
3. Retire it, then reactivate.</t>
        </is>
      </c>
      <c r="J92" s="19" t="inlineStr">
        <is>
          <t>Template: Householder Plus</t>
        </is>
      </c>
      <c r="K92" s="19" t="inlineStr">
        <is>
          <t>Each action saves; the version number increases; retired template not offered.</t>
        </is>
      </c>
      <c r="L92" s="19" t="inlineStr">
        <is>
          <t>As expected.</t>
        </is>
      </c>
      <c r="M92" s="19" t="inlineStr">
        <is>
          <t>Pass</t>
        </is>
      </c>
      <c r="N92" s="19" t="inlineStr"/>
      <c r="O92" s="19" t="inlineStr">
        <is>
          <t>iorta TechNXT QA</t>
        </is>
      </c>
      <c r="P92" s="19" t="inlineStr">
        <is>
          <t>03 October 2026</t>
        </is>
      </c>
      <c r="Q92" s="19" t="inlineStr"/>
      <c r="R92" s="19" t="inlineStr">
        <is>
          <t>backend/test/product-configurator.test.js :: creates, updates, versions, retires and reactivates a template [passed]</t>
        </is>
      </c>
    </row>
    <row r="93">
      <c r="A93" s="19" t="inlineStr">
        <is>
          <t>BV-PCF-003</t>
        </is>
      </c>
      <c r="B93" s="19" t="inlineStr">
        <is>
          <t>Product configurator</t>
        </is>
      </c>
      <c r="C93" s="19" t="inlineStr">
        <is>
          <t>Product Templates</t>
        </is>
      </c>
      <c r="D93" s="19" t="inlineStr">
        <is>
          <t>Sales / Account Executive (maria.rivera)</t>
        </is>
      </c>
      <c r="E93" s="19" t="inlineStr">
        <is>
          <t>Users without products permission cannot change templates</t>
        </is>
      </c>
      <c r="F93" s="19" t="inlineStr">
        <is>
          <t>Role access</t>
        </is>
      </c>
      <c r="G93" s="19" t="inlineStr">
        <is>
          <t>Medium</t>
        </is>
      </c>
      <c r="H93" s="19" t="inlineStr">
        <is>
          <t>Signed in as maria.rivera.</t>
        </is>
      </c>
      <c r="I93" s="19" t="inlineStr">
        <is>
          <t>1. Open Product Templates.
2. Try to edit the motor template.</t>
        </is>
      </c>
      <c r="J93" s="19" t="inlineStr">
        <is>
          <t>Motor template</t>
        </is>
      </c>
      <c r="K93" s="19" t="inlineStr">
        <is>
          <t>Read only; changes refused.</t>
        </is>
      </c>
      <c r="L93" s="19" t="inlineStr">
        <is>
          <t>As expected.</t>
        </is>
      </c>
      <c r="M93" s="19" t="inlineStr">
        <is>
          <t>Pass</t>
        </is>
      </c>
      <c r="N93" s="19" t="inlineStr"/>
      <c r="O93" s="19" t="inlineStr">
        <is>
          <t>iorta TechNXT QA</t>
        </is>
      </c>
      <c r="P93" s="19" t="inlineStr">
        <is>
          <t>03 October 2026</t>
        </is>
      </c>
      <c r="Q93" s="19" t="inlineStr"/>
      <c r="R93" s="19" t="inlineStr">
        <is>
          <t>backend/test/product-configurator.test.js :: denies writes without products permission [passed]</t>
        </is>
      </c>
    </row>
    <row r="94">
      <c r="A94" s="19" t="inlineStr">
        <is>
          <t>BV-PCF-004</t>
        </is>
      </c>
      <c r="B94" s="19" t="inlineStr">
        <is>
          <t>Product configurator</t>
        </is>
      </c>
      <c r="C94" s="19" t="inlineStr">
        <is>
          <t>Rating Engine</t>
        </is>
      </c>
      <c r="D94" s="19" t="inlineStr">
        <is>
          <t>Processing Team (jose.bernardo)</t>
        </is>
      </c>
      <c r="E94" s="19" t="inlineStr">
        <is>
          <t>Rate tables and insurer panel give a premium illustration</t>
        </is>
      </c>
      <c r="F94" s="19" t="inlineStr">
        <is>
          <t>Functional</t>
        </is>
      </c>
      <c r="G94" s="19" t="inlineStr">
        <is>
          <t>High</t>
        </is>
      </c>
      <c r="H94" s="19" t="inlineStr">
        <is>
          <t>Template with insurer panel.</t>
        </is>
      </c>
      <c r="I94" s="19" t="inlineStr">
        <is>
          <t>1. Open Product Configurator &gt; Rating Engine.
2. Add Factor for a template and save.
3. Open the insurer panel and calculate an illustration.</t>
        </is>
      </c>
      <c r="J94" s="19" t="inlineStr">
        <is>
          <t>Factor: vehicle age 0-3 years 1.00</t>
        </is>
      </c>
      <c r="K94" s="19" t="inlineStr">
        <is>
          <t>Factor saved; premium illustration calculated per insurer.</t>
        </is>
      </c>
      <c r="L94" s="19" t="inlineStr">
        <is>
          <t>As expected.</t>
        </is>
      </c>
      <c r="M94" s="19" t="inlineStr">
        <is>
          <t>Pass</t>
        </is>
      </c>
      <c r="N94" s="19" t="inlineStr"/>
      <c r="O94" s="19" t="inlineStr">
        <is>
          <t>iorta TechNXT QA</t>
        </is>
      </c>
      <c r="P94" s="19" t="inlineStr">
        <is>
          <t>03 October 2026</t>
        </is>
      </c>
      <c r="Q94" s="19" t="inlineStr"/>
      <c r="R94" s="19" t="inlineStr">
        <is>
          <t>backend/test/product-configurator.test.js :: manages the insurer panel and calculates a premium illustration [passed]
backend/test/product-configurator.test.js :: CRUD for every component kind used by the mock-only screens [passed]
Screen check /product-configurator/rating: opened clean</t>
        </is>
      </c>
    </row>
    <row r="95">
      <c r="A95" s="19" t="inlineStr">
        <is>
          <t>BV-PCF-005</t>
        </is>
      </c>
      <c r="B95" s="19" t="inlineStr">
        <is>
          <t>Product configurator</t>
        </is>
      </c>
      <c r="C95" s="19" t="inlineStr">
        <is>
          <t>Rating Engine</t>
        </is>
      </c>
      <c r="D95" s="19" t="inlineStr">
        <is>
          <t>Processing Team (jose.bernardo)</t>
        </is>
      </c>
      <c r="E95" s="19" t="inlineStr">
        <is>
          <t>Rating factors list shows which template each factor belongs to</t>
        </is>
      </c>
      <c r="F95" s="19" t="inlineStr">
        <is>
          <t>Functional</t>
        </is>
      </c>
      <c r="G95" s="19" t="inlineStr">
        <is>
          <t>Low</t>
        </is>
      </c>
      <c r="H95" s="19" t="inlineStr">
        <is>
          <t>Several templates with their own factors.</t>
        </is>
      </c>
      <c r="I95" s="19" t="inlineStr">
        <is>
          <t>1. Open Product Configurator &gt; Rating Engine.
2. Read the factor list.</t>
        </is>
      </c>
      <c r="J95" s="19" t="inlineStr">
        <is>
          <t>Factors of motor and householder templates</t>
        </is>
      </c>
      <c r="K95" s="19" t="inlineStr">
        <is>
          <t>Each factor row shows its template so per-template factors are distinguishable.</t>
        </is>
      </c>
      <c r="L95" s="19" t="inlineStr">
        <is>
          <t>Rating Engine, Coverage Builder, Acceptance Rules and Document Manager lists show a Template column; the same factor code on two templates (VEH_AGE on MOT-003-2025 and MOTOR-COMP-2026) is now distinguishable.</t>
        </is>
      </c>
      <c r="M95" s="19" t="inlineStr">
        <is>
          <t>Pass</t>
        </is>
      </c>
      <c r="N95" s="19" t="inlineStr">
        <is>
          <t>BV-DEF-004 (closed)</t>
        </is>
      </c>
      <c r="O95" s="19" t="inlineStr">
        <is>
          <t>iorta TechNXT QA</t>
        </is>
      </c>
      <c r="P95" s="19" t="inlineStr">
        <is>
          <t>03 October 2026</t>
        </is>
      </c>
      <c r="Q95" s="19" t="inlineStr">
        <is>
          <t>Re-test of 03 October 2026 after the fix, fresh database with the UAT data set.</t>
        </is>
      </c>
      <c r="R95" s="19" t="inlineStr">
        <is>
          <t>Screen check /product-configurator/rating: opened clean</t>
        </is>
      </c>
    </row>
    <row r="96">
      <c r="A96" s="19" t="inlineStr">
        <is>
          <t>BV-PCF-006</t>
        </is>
      </c>
      <c r="B96" s="19" t="inlineStr">
        <is>
          <t>Product configurator</t>
        </is>
      </c>
      <c r="C96" s="19" t="inlineStr">
        <is>
          <t>Coverage Builder</t>
        </is>
      </c>
      <c r="D96" s="19" t="inlineStr">
        <is>
          <t>Processing Team (jose.bernardo)</t>
        </is>
      </c>
      <c r="E96" s="19" t="inlineStr">
        <is>
          <t>Coverage Builder, Acceptance Rules, Document Manager, Approval Workflows</t>
        </is>
      </c>
      <c r="F96" s="19" t="inlineStr">
        <is>
          <t>Functional</t>
        </is>
      </c>
      <c r="G96" s="19" t="inlineStr">
        <is>
          <t>Medium</t>
        </is>
      </c>
      <c r="H96" s="19" t="inlineStr">
        <is>
          <t>Signed in as jose.bernardo.</t>
        </is>
      </c>
      <c r="I96" s="19" t="inlineStr">
        <is>
          <t>1. Open Coverage Builder and click Add Coverage; save.
2. Open Acceptance Rules and click Add Rule; save.
3. Open Document Manager and upload a template.
4. Open Approval Workflows and click Create Workflow; Add Stage; save.</t>
        </is>
      </c>
      <c r="J96" s="19" t="inlineStr">
        <is>
          <t>Coverage: Riot, strike and civil commotion; Rule: vehicle age &gt; 15 years refer</t>
        </is>
      </c>
      <c r="K96" s="19" t="inlineStr">
        <is>
          <t>Each component saves and lists.</t>
        </is>
      </c>
      <c r="L96" s="19" t="inlineStr">
        <is>
          <t>As expected.</t>
        </is>
      </c>
      <c r="M96" s="19" t="inlineStr">
        <is>
          <t>Pass</t>
        </is>
      </c>
      <c r="N96" s="19" t="inlineStr"/>
      <c r="O96" s="19" t="inlineStr">
        <is>
          <t>iorta TechNXT QA</t>
        </is>
      </c>
      <c r="P96" s="19" t="inlineStr">
        <is>
          <t>03 October 2026</t>
        </is>
      </c>
      <c r="Q96" s="19" t="inlineStr"/>
      <c r="R96" s="19" t="inlineStr">
        <is>
          <t>backend/test/product-configurator.test.js :: CRUD for every component kind used by the mock-only screens [passed]
Screen check /product-configurator/coverages: opened clean
Screen check /product-configurator/underwriting: opened clean
Screen check /product-configurator/documents: opened clean
Screen check /product-configurator/workflows: opened clean</t>
        </is>
      </c>
    </row>
    <row r="97">
      <c r="A97" s="19" t="inlineStr">
        <is>
          <t>BV-PCF-007</t>
        </is>
      </c>
      <c r="B97" s="19" t="inlineStr">
        <is>
          <t>Product configurator</t>
        </is>
      </c>
      <c r="C97" s="19" t="inlineStr">
        <is>
          <t>Risk Mapping</t>
        </is>
      </c>
      <c r="D97" s="19" t="inlineStr">
        <is>
          <t>Processing Team (jose.bernardo)</t>
        </is>
      </c>
      <c r="E97" s="19" t="inlineStr">
        <is>
          <t>IAR sections added, deactivated and re-added</t>
        </is>
      </c>
      <c r="F97" s="19" t="inlineStr">
        <is>
          <t>Functional</t>
        </is>
      </c>
      <c r="G97" s="19" t="inlineStr">
        <is>
          <t>Low</t>
        </is>
      </c>
      <c r="H97" s="19" t="inlineStr">
        <is>
          <t>IAR product.</t>
        </is>
      </c>
      <c r="I97" s="19" t="inlineStr">
        <is>
          <t>1. Open Product Configurator &gt; Risk Mapping.
2. Add section Machinery breakdown, save.
3. Deactivate it and re-add.</t>
        </is>
      </c>
      <c r="J97" s="19" t="inlineStr">
        <is>
          <t>Section: Machinery breakdown</t>
        </is>
      </c>
      <c r="K97" s="19" t="inlineStr">
        <is>
          <t>Section list updates each time.</t>
        </is>
      </c>
      <c r="L97" s="19" t="inlineStr">
        <is>
          <t>As expected.</t>
        </is>
      </c>
      <c r="M97" s="19" t="inlineStr">
        <is>
          <t>Pass</t>
        </is>
      </c>
      <c r="N97" s="19" t="inlineStr"/>
      <c r="O97" s="19" t="inlineStr">
        <is>
          <t>iorta TechNXT QA</t>
        </is>
      </c>
      <c r="P97" s="19" t="inlineStr">
        <is>
          <t>03 October 2026</t>
        </is>
      </c>
      <c r="Q97" s="19" t="inlineStr"/>
      <c r="R97" s="19" t="inlineStr">
        <is>
          <t>backend/test/product-configurator.test.js :: adds, updates, deactivates and re-adds IAR sections [passed]
Screen check /product-configurator/risk-mapping: opened clean</t>
        </is>
      </c>
    </row>
    <row r="98">
      <c r="A98" s="19" t="inlineStr">
        <is>
          <t>BV-PCF-008</t>
        </is>
      </c>
      <c r="B98" s="19" t="inlineStr">
        <is>
          <t>Product configurator</t>
        </is>
      </c>
      <c r="C98" s="19" t="inlineStr">
        <is>
          <t>Motor tariff</t>
        </is>
      </c>
      <c r="D98" s="19" t="inlineStr">
        <is>
          <t>Processing Team (jose.bernardo)</t>
        </is>
      </c>
      <c r="E98" s="19" t="inlineStr">
        <is>
          <t>CTPL tariff change in the configurator is used by quotations</t>
        </is>
      </c>
      <c r="F98" s="19" t="inlineStr">
        <is>
          <t>Integration</t>
        </is>
      </c>
      <c r="G98" s="19" t="inlineStr">
        <is>
          <t>High</t>
        </is>
      </c>
      <c r="H98" s="19" t="inlineStr">
        <is>
          <t>Motor template open.</t>
        </is>
      </c>
      <c r="I98" s="19" t="inlineStr">
        <is>
          <t>1. Change the CTPL of private cars and save.
2. As maria.rivera create a quick quote for a private car with CTPL.</t>
        </is>
      </c>
      <c r="J98" s="19" t="inlineStr">
        <is>
          <t>Private car CTPL changed for the test then restored</t>
        </is>
      </c>
      <c r="K98" s="19" t="inlineStr">
        <is>
          <t>Quotation uses the new tariff. A new vehicle class or 3-year CTPL appears once configured.</t>
        </is>
      </c>
      <c r="L98" s="19" t="inlineStr">
        <is>
          <t>As expected.</t>
        </is>
      </c>
      <c r="M98" s="19" t="inlineStr">
        <is>
          <t>Pass</t>
        </is>
      </c>
      <c r="N98" s="19" t="inlineStr"/>
      <c r="O98" s="19" t="inlineStr">
        <is>
          <t>iorta TechNXT QA</t>
        </is>
      </c>
      <c r="P98" s="19" t="inlineStr">
        <is>
          <t>03 October 2026</t>
        </is>
      </c>
      <c r="Q98" s="19" t="inlineStr"/>
      <c r="R98" s="19" t="inlineStr">
        <is>
          <t>backend/test/motor-tariff.test.js :: follows tariff changes made in the Product Configurator [passed]
backend/test/motor-tariff.test.js :: offers a 3-year CTPL and a new vehicle class once they are configured [passed]</t>
        </is>
      </c>
    </row>
    <row r="99">
      <c r="A99" s="19" t="inlineStr">
        <is>
          <t>BV-PCF-009</t>
        </is>
      </c>
      <c r="B99" s="19" t="inlineStr">
        <is>
          <t>Product configurator</t>
        </is>
      </c>
      <c r="C99" s="19" t="inlineStr">
        <is>
          <t>Motor tariff</t>
        </is>
      </c>
      <c r="D99" s="19" t="inlineStr">
        <is>
          <t>Processing Team (jose.bernardo)</t>
        </is>
      </c>
      <c r="E99" s="19" t="inlineStr">
        <is>
          <t>Invalid tariff amounts, seats and duplicate class codes refused</t>
        </is>
      </c>
      <c r="F99" s="19" t="inlineStr">
        <is>
          <t>Validation</t>
        </is>
      </c>
      <c r="G99" s="19" t="inlineStr">
        <is>
          <t>Medium</t>
        </is>
      </c>
      <c r="H99" s="19" t="inlineStr">
        <is>
          <t>Motor template open.</t>
        </is>
      </c>
      <c r="I99" s="19" t="inlineStr">
        <is>
          <t>1. Enter a negative CTPL amount.
2. Enter seats 0.
3. Add class code private_cars again.</t>
        </is>
      </c>
      <c r="J99" s="19" t="inlineStr">
        <is>
          <t>CTPL -100; seats 0</t>
        </is>
      </c>
      <c r="K99" s="19" t="inlineStr">
        <is>
          <t>Each value refused with a message.</t>
        </is>
      </c>
      <c r="L99" s="19" t="inlineStr">
        <is>
          <t>As expected.</t>
        </is>
      </c>
      <c r="M99" s="19" t="inlineStr">
        <is>
          <t>Pass</t>
        </is>
      </c>
      <c r="N99" s="19" t="inlineStr"/>
      <c r="O99" s="19" t="inlineStr">
        <is>
          <t>iorta TechNXT QA</t>
        </is>
      </c>
      <c r="P99" s="19" t="inlineStr">
        <is>
          <t>03 October 2026</t>
        </is>
      </c>
      <c r="Q99" s="19" t="inlineStr"/>
      <c r="R99" s="19" t="inlineStr">
        <is>
          <t>backend/test/motor-tariff.test.js :: refuses invalid amounts, seats and duplicate class codes [passed]</t>
        </is>
      </c>
    </row>
    <row r="100">
      <c r="A100" s="19" t="inlineStr">
        <is>
          <t>BV-PCF-010</t>
        </is>
      </c>
      <c r="B100" s="19" t="inlineStr">
        <is>
          <t>Product configurator</t>
        </is>
      </c>
      <c r="C100" s="19" t="inlineStr">
        <is>
          <t>Dashboard / Analytics</t>
        </is>
      </c>
      <c r="D100" s="19" t="inlineStr">
        <is>
          <t>Processing Team (jose.bernardo)</t>
        </is>
      </c>
      <c r="E100" s="19" t="inlineStr">
        <is>
          <t>Product configurator dashboard and analytics</t>
        </is>
      </c>
      <c r="F100" s="19" t="inlineStr">
        <is>
          <t>Report</t>
        </is>
      </c>
      <c r="G100" s="19" t="inlineStr">
        <is>
          <t>Low</t>
        </is>
      </c>
      <c r="H100" s="19" t="inlineStr">
        <is>
          <t>Templates exist.</t>
        </is>
      </c>
      <c r="I100" s="19" t="inlineStr">
        <is>
          <t>1. Open Product Configurator &gt; Dashboard.
2. Open Product Analytics.</t>
        </is>
      </c>
      <c r="J100" s="19" t="inlineStr">
        <is>
          <t>None</t>
        </is>
      </c>
      <c r="K100" s="19" t="inlineStr">
        <is>
          <t>Both screens load figures for the templates.</t>
        </is>
      </c>
      <c r="L100" s="19" t="inlineStr">
        <is>
          <t>As expected.</t>
        </is>
      </c>
      <c r="M100" s="19" t="inlineStr">
        <is>
          <t>Pass</t>
        </is>
      </c>
      <c r="N100" s="19" t="inlineStr"/>
      <c r="O100" s="19" t="inlineStr">
        <is>
          <t>iorta TechNXT QA</t>
        </is>
      </c>
      <c r="P100" s="19" t="inlineStr">
        <is>
          <t>04 October 2026</t>
        </is>
      </c>
      <c r="Q100" s="19" t="inlineStr"/>
      <c r="R100" s="19" t="inlineStr">
        <is>
          <t>backend/test/product-configurator.test.js :: analytics and dashboard return the screen shapes [passed]
UAT cycle 03-04 October 2026, phase Reports and dashboards (58 passed, 0 failed)
Screen check /product-configurator/dashboard: opened clean
Screen check /product-configurator/analytics: opened clean</t>
        </is>
      </c>
    </row>
    <row r="101">
      <c r="A101" s="19" t="inlineStr">
        <is>
          <t>BV-GOL-001</t>
        </is>
      </c>
      <c r="B101" s="19" t="inlineStr">
        <is>
          <t>Go-live data load</t>
        </is>
      </c>
      <c r="C101" s="19" t="inlineStr">
        <is>
          <t>Production seed</t>
        </is>
      </c>
      <c r="D101" s="19" t="inlineStr">
        <is>
          <t>System Administrator (BrokerVerse)</t>
        </is>
      </c>
      <c r="E101" s="19" t="inlineStr">
        <is>
          <t>Production install seeds reference data only</t>
        </is>
      </c>
      <c r="F101" s="19" t="inlineStr">
        <is>
          <t>Functional</t>
        </is>
      </c>
      <c r="G101" s="19" t="inlineStr">
        <is>
          <t>High</t>
        </is>
      </c>
      <c r="H101" s="19" t="inlineStr">
        <is>
          <t>Empty PostgreSQL database; NODE_ENV=production.</t>
        </is>
      </c>
      <c r="I101" s="19" t="inlineStr">
        <is>
          <t>1. Start the API.
2. Open /api/health.
3. Sign in as BrokerVerse and open Policy, Clients and Receipts.</t>
        </is>
      </c>
      <c r="J101" s="19" t="inlineStr">
        <is>
          <t>Fresh database</t>
        </is>
      </c>
      <c r="K101" s="19" t="inlineStr">
        <is>
          <t>Reference data and the administrator only; no demo transactions. A second seed changes nothing.</t>
        </is>
      </c>
      <c r="L101" s="19" t="inlineStr">
        <is>
          <t>As expected.</t>
        </is>
      </c>
      <c r="M101" s="19" t="inlineStr">
        <is>
          <t>Pass</t>
        </is>
      </c>
      <c r="N101" s="19" t="inlineStr"/>
      <c r="O101" s="19" t="inlineStr">
        <is>
          <t>iorta TechNXT QA</t>
        </is>
      </c>
      <c r="P101" s="19" t="inlineStr">
        <is>
          <t>03 October 2026</t>
        </is>
      </c>
      <c r="Q101" s="19" t="inlineStr"/>
      <c r="R101" s="19" t="inlineStr">
        <is>
          <t>backend/test/go-live.test.js :: the API starts with NODE_ENV=production, seeds reference data only and answers the health check [passed]
backend/test/go-live.test.js :: the database holds reference data and the administrator, and no demo transactions [passed]
backend/test/go-live.test.js :: a second production seed is idempotent [passed]</t>
        </is>
      </c>
    </row>
    <row r="102">
      <c r="A102" s="19" t="inlineStr">
        <is>
          <t>BV-GOL-002</t>
        </is>
      </c>
      <c r="B102" s="19" t="inlineStr">
        <is>
          <t>Go-live data load</t>
        </is>
      </c>
      <c r="C102" s="19" t="inlineStr">
        <is>
          <t>Purge</t>
        </is>
      </c>
      <c r="D102" s="19" t="inlineStr">
        <is>
          <t>System Administrator (BrokerVerse)</t>
        </is>
      </c>
      <c r="E102" s="19" t="inlineStr">
        <is>
          <t>Purge of demo data needs confirmation and is a dry run by default</t>
        </is>
      </c>
      <c r="F102" s="19" t="inlineStr">
        <is>
          <t>Negative</t>
        </is>
      </c>
      <c r="G102" s="19" t="inlineStr">
        <is>
          <t>High</t>
        </is>
      </c>
      <c r="H102" s="19" t="inlineStr">
        <is>
          <t>Database with demo data.</t>
        </is>
      </c>
      <c r="I102" s="19" t="inlineStr">
        <is>
          <t>1. Run the purge without CONFIRM_PURGE.
2. Run it with CONFIRM_PURGE=yes and --keep-users=BrokerVerse.</t>
        </is>
      </c>
      <c r="J102" s="19" t="inlineStr">
        <is>
          <t>CONFIRM_PURGE=yes</t>
        </is>
      </c>
      <c r="K102" s="19" t="inlineStr">
        <is>
          <t>Without confirmation nothing is deleted. With confirmation only reference data and the kept users remain; error rolls back.</t>
        </is>
      </c>
      <c r="L102" s="19" t="inlineStr">
        <is>
          <t>As expected.</t>
        </is>
      </c>
      <c r="M102" s="19" t="inlineStr">
        <is>
          <t>Pass</t>
        </is>
      </c>
      <c r="N102" s="19" t="inlineStr"/>
      <c r="O102" s="19" t="inlineStr">
        <is>
          <t>iorta TechNXT QA</t>
        </is>
      </c>
      <c r="P102" s="19" t="inlineStr">
        <is>
          <t>03 October 2026</t>
        </is>
      </c>
      <c r="Q102" s="19" t="inlineStr"/>
      <c r="R102" s="19" t="inlineStr">
        <is>
          <t>backend/test/go-live.test.js :: the purge command refuses to run without CONFIRM_PURGE=yes and is a dry run by default [passed]
backend/test/go-live.test.js :: the purge keeps only the users chosen with --keep-users and rolls back on error [passed]</t>
        </is>
      </c>
    </row>
    <row r="103">
      <c r="A103" s="19" t="inlineStr">
        <is>
          <t>BV-GOL-003</t>
        </is>
      </c>
      <c r="B103" s="19" t="inlineStr">
        <is>
          <t>Go-live data load</t>
        </is>
      </c>
      <c r="C103" s="19" t="inlineStr">
        <is>
          <t>In-force policies</t>
        </is>
      </c>
      <c r="D103" s="19" t="inlineStr">
        <is>
          <t>Processing Team (jose.bernardo)</t>
        </is>
      </c>
      <c r="E103" s="19" t="inlineStr">
        <is>
          <t>Upload in-force policies of the old system in go-live mode</t>
        </is>
      </c>
      <c r="F103" s="19" t="inlineStr">
        <is>
          <t>Functional</t>
        </is>
      </c>
      <c r="G103" s="19" t="inlineStr">
        <is>
          <t>High</t>
        </is>
      </c>
      <c r="H103" s="19" t="inlineStr">
        <is>
          <t>Policies_Upload_Template filled with the old system book.</t>
        </is>
      </c>
      <c r="I103" s="19" t="inlineStr">
        <is>
          <t>1. Open Operations &gt; Policy and click Upload Policy.
2. Tick the go-live option.
3. Upload old-system-in-force.csv.</t>
        </is>
      </c>
      <c r="J103" s="19" t="inlineStr">
        <is>
          <t>14 policies OLD-MC-2025-xxxxx / OLD-FI-2025-xxxxx; insurers Pacific Crest, Luzon Bay, Visayas Mutual, Mindanao Shield</t>
        </is>
      </c>
      <c r="K103" s="19" t="inlineStr">
        <is>
          <t>"14 created, 0 failed". Policies are in force with no bill, no journal and no commission line.</t>
        </is>
      </c>
      <c r="L103" s="19" t="inlineStr">
        <is>
          <t>14 in-force policies migrated; none reported as policies without accounting.</t>
        </is>
      </c>
      <c r="M103" s="19" t="inlineStr">
        <is>
          <t>Pass</t>
        </is>
      </c>
      <c r="N103" s="19" t="inlineStr"/>
      <c r="O103" s="19" t="inlineStr">
        <is>
          <t>iorta TechNXT QA</t>
        </is>
      </c>
      <c r="P103" s="19" t="inlineStr">
        <is>
          <t>04 October 2026</t>
        </is>
      </c>
      <c r="Q103" s="19" t="inlineStr"/>
      <c r="R103" s="19" t="inlineStr">
        <is>
          <t>backend/test/upload-templates.test.js :: go-live policy upload creates in-force policies without bill, journal or commission; open items load against them once [passed]
UAT cycle 03-04 October 2026, phase Go-live migration (1 passed, 0 failed)</t>
        </is>
      </c>
    </row>
    <row r="104">
      <c r="A104" s="19" t="inlineStr">
        <is>
          <t>BV-GOL-004</t>
        </is>
      </c>
      <c r="B104" s="19" t="inlineStr">
        <is>
          <t>Go-live data load</t>
        </is>
      </c>
      <c r="C104" s="19" t="inlineStr">
        <is>
          <t>Open items</t>
        </is>
      </c>
      <c r="D104" s="19" t="inlineStr">
        <is>
          <t>Accounting Officer (liza.quiambao)</t>
        </is>
      </c>
      <c r="E104" s="19" t="inlineStr">
        <is>
          <t>Load open premium items against migrated policies and receipt them</t>
        </is>
      </c>
      <c r="F104" s="19" t="inlineStr">
        <is>
          <t>Accounting</t>
        </is>
      </c>
      <c r="G104" s="19" t="inlineStr">
        <is>
          <t>High</t>
        </is>
      </c>
      <c r="H104" s="19" t="inlineStr">
        <is>
          <t>Go-live policies loaded.</t>
        </is>
      </c>
      <c r="I104" s="19" t="inlineStr">
        <is>
          <t>1. Upload the open items file once.
2. Upload the same file again.
3. Enter a receipt against one open item.</t>
        </is>
      </c>
      <c r="J104" s="19" t="inlineStr">
        <is>
          <t>Open item PHP 18,550.40 on OLD-MC-2025-xxxxx</t>
        </is>
      </c>
      <c r="K104" s="19" t="inlineStr">
        <is>
          <t>Items load once (second upload refused). Receipt credits the receivable without booking the bill again.</t>
        </is>
      </c>
      <c r="L104" s="19" t="inlineStr">
        <is>
          <t>As expected.</t>
        </is>
      </c>
      <c r="M104" s="19" t="inlineStr">
        <is>
          <t>Pass</t>
        </is>
      </c>
      <c r="N104" s="19" t="inlineStr"/>
      <c r="O104" s="19" t="inlineStr">
        <is>
          <t>iorta TechNXT QA</t>
        </is>
      </c>
      <c r="P104" s="19" t="inlineStr">
        <is>
          <t>03 October 2026</t>
        </is>
      </c>
      <c r="Q104" s="19" t="inlineStr"/>
      <c r="R104" s="19" t="inlineStr">
        <is>
          <t>backend/test/upload-templates.test.js :: go-live policy upload creates in-force policies without bill, journal or commission; open items load against them once [passed]
backend/test/upload-templates.test.js :: a receipt against an open item credits the receivable without booking the bill again [passed]</t>
        </is>
      </c>
    </row>
    <row r="105">
      <c r="A105" s="19" t="inlineStr">
        <is>
          <t>BV-GOL-005</t>
        </is>
      </c>
      <c r="B105" s="19" t="inlineStr">
        <is>
          <t>Go-live data load</t>
        </is>
      </c>
      <c r="C105" s="19" t="inlineStr">
        <is>
          <t>Opening trial balance</t>
        </is>
      </c>
      <c r="D105" s="19" t="inlineStr">
        <is>
          <t>Accounting Officer (liza.quiambao)</t>
        </is>
      </c>
      <c r="E105" s="19" t="inlineStr">
        <is>
          <t>Load a balanced opening trial balance</t>
        </is>
      </c>
      <c r="F105" s="19" t="inlineStr">
        <is>
          <t>Accounting</t>
        </is>
      </c>
      <c r="G105" s="19" t="inlineStr">
        <is>
          <t>High</t>
        </is>
      </c>
      <c r="H105" s="19" t="inlineStr">
        <is>
          <t>Go-live date chosen; no journals in the fiscal year.</t>
        </is>
      </c>
      <c r="I105" s="19" t="inlineStr">
        <is>
          <t>1. Open the trial balance upload.
2. Upload an unbalanced file.
3. Upload the balanced file.
4. Upload again with another go-live date.</t>
        </is>
      </c>
      <c r="J105" s="19" t="inlineStr">
        <is>
          <t>Go-live 30 April 2026; total debits = credits PHP 48,250,000.00</t>
        </is>
      </c>
      <c r="K105" s="19" t="inlineStr">
        <is>
          <t>Unbalanced file loads nothing. Balanced file lands in the fiscal year of the go-live date; same date replaces it; another date refused.</t>
        </is>
      </c>
      <c r="L105" s="19" t="inlineStr">
        <is>
          <t>As expected.</t>
        </is>
      </c>
      <c r="M105" s="19" t="inlineStr">
        <is>
          <t>Pass</t>
        </is>
      </c>
      <c r="N105" s="19" t="inlineStr"/>
      <c r="O105" s="19" t="inlineStr">
        <is>
          <t>iorta TechNXT QA</t>
        </is>
      </c>
      <c r="P105" s="19" t="inlineStr">
        <is>
          <t>03 October 2026</t>
        </is>
      </c>
      <c r="Q105" s="19" t="inlineStr"/>
      <c r="R105" s="19" t="inlineStr">
        <is>
          <t>backend/test/upload-templates.test.js :: refuses an unbalanced or invalid trial balance and loads nothing [passed]
backend/test/upload-templates.test.js :: loads a balanced trial balance into the fiscal year of the go-live date; the same date replaces it, another date is refused [passed]
backend/test/upload-templates.test.js :: refuses a go-live date after journals already posted in its fiscal year [passed]</t>
        </is>
      </c>
    </row>
    <row r="106">
      <c r="A106" s="19" t="inlineStr">
        <is>
          <t>BV-GOL-006</t>
        </is>
      </c>
      <c r="B106" s="19" t="inlineStr">
        <is>
          <t>Go-live data load</t>
        </is>
      </c>
      <c r="C106" s="19" t="inlineStr">
        <is>
          <t>Upload templates</t>
        </is>
      </c>
      <c r="D106" s="19" t="inlineStr">
        <is>
          <t>System Administrator (BrokerVerse)</t>
        </is>
      </c>
      <c r="E106" s="19" t="inlineStr">
        <is>
          <t>Upload templates match the importers</t>
        </is>
      </c>
      <c r="F106" s="19" t="inlineStr">
        <is>
          <t>Validation</t>
        </is>
      </c>
      <c r="G106" s="19" t="inlineStr">
        <is>
          <t>Medium</t>
        </is>
      </c>
      <c r="H106" s="19" t="inlineStr">
        <is>
          <t>Template download available per upload.</t>
        </is>
      </c>
      <c r="I106" s="19" t="inlineStr">
        <is>
          <t>1. Download each upload template (leads, quotations, policies, masters, bank statement).
2. Upload each sample unchanged.</t>
        </is>
      </c>
      <c r="J106" s="19" t="inlineStr">
        <is>
          <t>Sample rows of each template</t>
        </is>
      </c>
      <c r="K106" s="19" t="inlineStr">
        <is>
          <t>Each sample row is accepted by its importer; Data sheet first, no duplicate headers.</t>
        </is>
      </c>
      <c r="L106" s="19" t="inlineStr">
        <is>
          <t>As expected.</t>
        </is>
      </c>
      <c r="M106" s="19" t="inlineStr">
        <is>
          <t>Pass</t>
        </is>
      </c>
      <c r="N106" s="19" t="inlineStr"/>
      <c r="O106" s="19" t="inlineStr">
        <is>
          <t>iorta TechNXT QA</t>
        </is>
      </c>
      <c r="P106" s="19" t="inlineStr">
        <is>
          <t>03 October 2026</t>
        </is>
      </c>
      <c r="Q106" s="19" t="inlineStr"/>
      <c r="R106" s="19" t="inlineStr">
        <is>
          <t>backend/test/upload-templates.test.js :: builds one workbook per upload, Data sheet first, with the importer headers and no duplicate header [passed]
backend/test/upload-templates.test.js :: every sample value is read back by the importer's own parser and column list [passed]</t>
        </is>
      </c>
    </row>
    <row r="107">
      <c r="A107" s="19" t="inlineStr">
        <is>
          <t>BV-GOL-007</t>
        </is>
      </c>
      <c r="B107" s="19" t="inlineStr">
        <is>
          <t>Go-live data load</t>
        </is>
      </c>
      <c r="C107" s="19" t="inlineStr">
        <is>
          <t>Upload limits</t>
        </is>
      </c>
      <c r="D107" s="19" t="inlineStr">
        <is>
          <t>System Administrator (BrokerVerse)</t>
        </is>
      </c>
      <c r="E107" s="19" t="inlineStr">
        <is>
          <t>Workbook decompression and row limits</t>
        </is>
      </c>
      <c r="F107" s="19" t="inlineStr">
        <is>
          <t>Negative</t>
        </is>
      </c>
      <c r="G107" s="19" t="inlineStr">
        <is>
          <t>Low</t>
        </is>
      </c>
      <c r="H107" s="19" t="inlineStr">
        <is>
          <t>Large workbook.</t>
        </is>
      </c>
      <c r="I107" s="19" t="inlineStr">
        <is>
          <t>1. Upload a workbook above the row limit.</t>
        </is>
      </c>
      <c r="J107" s="19" t="inlineStr">
        <is>
          <t>XLSX with 200,000 rows</t>
        </is>
      </c>
      <c r="K107" s="19" t="inlineStr">
        <is>
          <t>Upload refused with a message stating the limit.</t>
        </is>
      </c>
      <c r="L107" s="19" t="inlineStr">
        <is>
          <t>As expected.</t>
        </is>
      </c>
      <c r="M107" s="19" t="inlineStr">
        <is>
          <t>Pass</t>
        </is>
      </c>
      <c r="N107" s="19" t="inlineStr"/>
      <c r="O107" s="19" t="inlineStr">
        <is>
          <t>iorta TechNXT QA</t>
        </is>
      </c>
      <c r="P107" s="19" t="inlineStr">
        <is>
          <t>03 October 2026</t>
        </is>
      </c>
      <c r="Q107" s="19" t="inlineStr"/>
      <c r="R107" s="19" t="inlineStr">
        <is>
          <t>backend/test/hardening.test.js :: caps workbook decompression and import rows [passed]</t>
        </is>
      </c>
    </row>
    <row r="108">
      <c r="A108" s="19" t="inlineStr">
        <is>
          <t>BV-GOL-008</t>
        </is>
      </c>
      <c r="B108" s="19" t="inlineStr">
        <is>
          <t>Go-live data load</t>
        </is>
      </c>
      <c r="C108" s="19" t="inlineStr">
        <is>
          <t>Year-end carry forward</t>
        </is>
      </c>
      <c r="D108" s="19" t="inlineStr">
        <is>
          <t>Accounting Officer (liza.quiambao)</t>
        </is>
      </c>
      <c r="E108" s="19" t="inlineStr">
        <is>
          <t>Year-end close carries the go-live opening balances</t>
        </is>
      </c>
      <c r="F108" s="19" t="inlineStr">
        <is>
          <t>Accounting</t>
        </is>
      </c>
      <c r="G108" s="19" t="inlineStr">
        <is>
          <t>Medium</t>
        </is>
      </c>
      <c r="H108" s="19" t="inlineStr">
        <is>
          <t>Opening TB loaded and journals posted.</t>
        </is>
      </c>
      <c r="I108" s="19" t="inlineStr">
        <is>
          <t>1. Run the year-end close of the fiscal year.
2. Read the next year opening trial balance.</t>
        </is>
      </c>
      <c r="J108" s="19" t="inlineStr">
        <is>
          <t>Fiscal year 2026</t>
        </is>
      </c>
      <c r="K108" s="19" t="inlineStr">
        <is>
          <t>Opening balances include the go-live balances plus the year's movements.</t>
        </is>
      </c>
      <c r="L108" s="19" t="inlineStr">
        <is>
          <t>As expected.</t>
        </is>
      </c>
      <c r="M108" s="19" t="inlineStr">
        <is>
          <t>Pass</t>
        </is>
      </c>
      <c r="N108" s="19" t="inlineStr"/>
      <c r="O108" s="19" t="inlineStr">
        <is>
          <t>iorta TechNXT QA</t>
        </is>
      </c>
      <c r="P108" s="19" t="inlineStr">
        <is>
          <t>03 October 2026</t>
        </is>
      </c>
      <c r="Q108" s="19" t="inlineStr"/>
      <c r="R108" s="19" t="inlineStr">
        <is>
          <t>backend/test/upload-templates.test.js :: the year-end close carries the go-live opening balances forward with the year's journals [passed]</t>
        </is>
      </c>
    </row>
    <row r="109">
      <c r="A109" s="19" t="inlineStr">
        <is>
          <t>BV-PRS-001</t>
        </is>
      </c>
      <c r="B109" s="19" t="inlineStr">
        <is>
          <t>Prospects and clients</t>
        </is>
      </c>
      <c r="C109" s="19" t="inlineStr">
        <is>
          <t>Prospects</t>
        </is>
      </c>
      <c r="D109" s="19" t="inlineStr">
        <is>
          <t>Sales / Account Executive (maria.rivera)</t>
        </is>
      </c>
      <c r="E109" s="19" t="inlineStr">
        <is>
          <t>Create a retail motor prospect</t>
        </is>
      </c>
      <c r="F109" s="19" t="inlineStr">
        <is>
          <t>Functional</t>
        </is>
      </c>
      <c r="G109" s="19" t="inlineStr">
        <is>
          <t>High</t>
        </is>
      </c>
      <c r="H109" s="19" t="inlineStr">
        <is>
          <t>Signed in as maria.rivera.</t>
        </is>
      </c>
      <c r="I109" s="19" t="inlineStr">
        <is>
          <t>1. Open Operations &gt; Sales &amp; Marketing &gt; Prospects.
2. Click Create Prospect.
3. Enter first and last name, mobile, e-mail, birth date, address, line Motor, source.
4. Click Save Prospect.</t>
        </is>
      </c>
      <c r="J109" s="19" t="inlineStr">
        <is>
          <t>Kristine Villanueva; 0917 882 4410; kristine.villanueva@example.ph; 14 March 1990; Kapitolyo, Pasig 1605; source Car dealer tie-up</t>
        </is>
      </c>
      <c r="K109" s="19" t="inlineStr">
        <is>
          <t>Prospect saved with a prospect number and listed as New; Sales Dashboard prospect count increases by 1.</t>
        </is>
      </c>
      <c r="L109" s="19" t="inlineStr">
        <is>
          <t>41 retail and 20 corporate prospects created in the cycle.</t>
        </is>
      </c>
      <c r="M109" s="19" t="inlineStr">
        <is>
          <t>Pass</t>
        </is>
      </c>
      <c r="N109" s="19" t="inlineStr"/>
      <c r="O109" s="19" t="inlineStr">
        <is>
          <t>iorta TechNXT QA</t>
        </is>
      </c>
      <c r="P109" s="19" t="inlineStr">
        <is>
          <t>04 October 2026</t>
        </is>
      </c>
      <c r="Q109" s="19" t="inlineStr"/>
      <c r="R109" s="19" t="inlineStr">
        <is>
          <t>backend/test/leads.test.js :: creates a lead and returns it at the top level and in data [passed]
backend/test/dashboard.test.js :: sales funnel, processing workbench and claims summary [passed]
UAT cycle 03-04 October 2026, phase Retail package business (84 passed, 0 failed)
Screen check /agent/leadlisting: opened clean</t>
        </is>
      </c>
    </row>
    <row r="110">
      <c r="A110" s="19" t="inlineStr">
        <is>
          <t>BV-PRS-002</t>
        </is>
      </c>
      <c r="B110" s="19" t="inlineStr">
        <is>
          <t>Prospects and clients</t>
        </is>
      </c>
      <c r="C110" s="19" t="inlineStr">
        <is>
          <t>Prospects</t>
        </is>
      </c>
      <c r="D110" s="19" t="inlineStr">
        <is>
          <t>Sales / Account Executive (maria.rivera)</t>
        </is>
      </c>
      <c r="E110" s="19" t="inlineStr">
        <is>
          <t>Prospect validation: e-mail, mobile and required fields</t>
        </is>
      </c>
      <c r="F110" s="19" t="inlineStr">
        <is>
          <t>Validation</t>
        </is>
      </c>
      <c r="G110" s="19" t="inlineStr">
        <is>
          <t>High</t>
        </is>
      </c>
      <c r="H110" s="19" t="inlineStr">
        <is>
          <t>Create Prospect form open.</t>
        </is>
      </c>
      <c r="I110" s="19" t="inlineStr">
        <is>
          <t>1. Click Save Prospect with empty fields.
2. Enter e-mail "kristine@" and mobile "12345".
3. Click Save Prospect.</t>
        </is>
      </c>
      <c r="J110" s="19" t="inlineStr">
        <is>
          <t>E-mail kristine@; mobile 12345</t>
        </is>
      </c>
      <c r="K110" s="19" t="inlineStr">
        <is>
          <t>Required field messages; invalid e-mail and mobile refused; nothing saved.</t>
        </is>
      </c>
      <c r="L110" s="19" t="inlineStr">
        <is>
          <t>As expected.</t>
        </is>
      </c>
      <c r="M110" s="19" t="inlineStr">
        <is>
          <t>Pass</t>
        </is>
      </c>
      <c r="N110" s="19" t="inlineStr"/>
      <c r="O110" s="19" t="inlineStr">
        <is>
          <t>iorta TechNXT QA</t>
        </is>
      </c>
      <c r="P110" s="19" t="inlineStr">
        <is>
          <t>03 October 2026</t>
        </is>
      </c>
      <c r="Q110" s="19" t="inlineStr"/>
      <c r="R110" s="19" t="inlineStr">
        <is>
          <t>backend/test/leads.test.js :: validates input [passed]
brokerverse/src/services/__tests__/leadService.test.js :: createLead should handle API errors [passed]</t>
        </is>
      </c>
    </row>
    <row r="111">
      <c r="A111" s="19" t="inlineStr">
        <is>
          <t>BV-PRS-003</t>
        </is>
      </c>
      <c r="B111" s="19" t="inlineStr">
        <is>
          <t>Prospects and clients</t>
        </is>
      </c>
      <c r="C111" s="19" t="inlineStr">
        <is>
          <t>Prospects</t>
        </is>
      </c>
      <c r="D111" s="19" t="inlineStr">
        <is>
          <t>Sales / Account Executive (maria.rivera)</t>
        </is>
      </c>
      <c r="E111" s="19" t="inlineStr">
        <is>
          <t>Date of birth outside the configured age range refused</t>
        </is>
      </c>
      <c r="F111" s="19" t="inlineStr">
        <is>
          <t>Validation</t>
        </is>
      </c>
      <c r="G111" s="19" t="inlineStr">
        <is>
          <t>Medium</t>
        </is>
      </c>
      <c r="H111" s="19" t="inlineStr">
        <is>
          <t>Age range setting 18 to 70.</t>
        </is>
      </c>
      <c r="I111" s="19" t="inlineStr">
        <is>
          <t>1. Create a prospect with birth date 01 January 2015.
2. Save.</t>
        </is>
      </c>
      <c r="J111" s="19" t="inlineStr">
        <is>
          <t>Birth date 01 January 2015</t>
        </is>
      </c>
      <c r="K111" s="19" t="inlineStr">
        <is>
          <t>Refused with an age range message. Implausible client birth dates are refused too.</t>
        </is>
      </c>
      <c r="L111" s="19" t="inlineStr">
        <is>
          <t>As expected.</t>
        </is>
      </c>
      <c r="M111" s="19" t="inlineStr">
        <is>
          <t>Pass</t>
        </is>
      </c>
      <c r="N111" s="19" t="inlineStr"/>
      <c r="O111" s="19" t="inlineStr">
        <is>
          <t>iorta TechNXT QA</t>
        </is>
      </c>
      <c r="P111" s="19" t="inlineStr">
        <is>
          <t>03 October 2026</t>
        </is>
      </c>
      <c r="Q111" s="19" t="inlineStr"/>
      <c r="R111" s="19" t="inlineStr">
        <is>
          <t>backend/test/leads.test.js :: checks the date of birth against the configured age range [passed]
backend/test/clients.test.js :: refuses an implausible date of birth [passed]</t>
        </is>
      </c>
    </row>
    <row r="112">
      <c r="A112" s="19" t="inlineStr">
        <is>
          <t>BV-PRS-004</t>
        </is>
      </c>
      <c r="B112" s="19" t="inlineStr">
        <is>
          <t>Prospects and clients</t>
        </is>
      </c>
      <c r="C112" s="19" t="inlineStr">
        <is>
          <t>Prospects</t>
        </is>
      </c>
      <c r="D112" s="19" t="inlineStr">
        <is>
          <t>Sales / Account Executive (maria.rivera)</t>
        </is>
      </c>
      <c r="E112" s="19" t="inlineStr">
        <is>
          <t>Search, filter and page the prospect list</t>
        </is>
      </c>
      <c r="F112" s="19" t="inlineStr">
        <is>
          <t>Functional</t>
        </is>
      </c>
      <c r="G112" s="19" t="inlineStr">
        <is>
          <t>Medium</t>
        </is>
      </c>
      <c r="H112" s="19" t="inlineStr">
        <is>
          <t>Several prospects exist.</t>
        </is>
      </c>
      <c r="I112" s="19" t="inlineStr">
        <is>
          <t>1. Type a surname in "Search by name, prospect ID...".
2. Filter by line and status.
3. Go to page 2.</t>
        </is>
      </c>
      <c r="J112" s="19" t="inlineStr">
        <is>
          <t>Search: Villanueva</t>
        </is>
      </c>
      <c r="K112" s="19" t="inlineStr">
        <is>
          <t>List narrows to matching rows; paging works; totals shown.</t>
        </is>
      </c>
      <c r="L112" s="19" t="inlineStr">
        <is>
          <t>As expected.</t>
        </is>
      </c>
      <c r="M112" s="19" t="inlineStr">
        <is>
          <t>Pass</t>
        </is>
      </c>
      <c r="N112" s="19" t="inlineStr"/>
      <c r="O112" s="19" t="inlineStr">
        <is>
          <t>iorta TechNXT QA</t>
        </is>
      </c>
      <c r="P112" s="19" t="inlineStr">
        <is>
          <t>03 October 2026</t>
        </is>
      </c>
      <c r="Q112" s="19" t="inlineStr"/>
      <c r="R112" s="19" t="inlineStr">
        <is>
          <t>backend/test/leads.test.js :: lists with paging, filters and search [passed]</t>
        </is>
      </c>
    </row>
    <row r="113">
      <c r="A113" s="19" t="inlineStr">
        <is>
          <t>BV-PRS-005</t>
        </is>
      </c>
      <c r="B113" s="19" t="inlineStr">
        <is>
          <t>Prospects and clients</t>
        </is>
      </c>
      <c r="C113" s="19" t="inlineStr">
        <is>
          <t>Prospects</t>
        </is>
      </c>
      <c r="D113" s="19" t="inlineStr">
        <is>
          <t>Sales / Account Executive (maria.rivera)</t>
        </is>
      </c>
      <c r="E113" s="19" t="inlineStr">
        <is>
          <t>Bulk upload prospects from CSV and XLSX</t>
        </is>
      </c>
      <c r="F113" s="19" t="inlineStr">
        <is>
          <t>Functional</t>
        </is>
      </c>
      <c r="G113" s="19" t="inlineStr">
        <is>
          <t>Medium</t>
        </is>
      </c>
      <c r="H113" s="19" t="inlineStr">
        <is>
          <t>Leads_Upload_Template.xlsx with 3 rows.</t>
        </is>
      </c>
      <c r="I113" s="19" t="inlineStr">
        <is>
          <t>1. Open Prospects and click the bulk upload.
2. Upload the file.</t>
        </is>
      </c>
      <c r="J113" s="19" t="inlineStr">
        <is>
          <t>3 prospects (Rhea Navarro, Dennis Soriano, Aileen Pascual)</t>
        </is>
      </c>
      <c r="K113" s="19" t="inlineStr">
        <is>
          <t>"3 created, 0 failed"; the 3 prospects are listed.</t>
        </is>
      </c>
      <c r="L113" s="19" t="inlineStr">
        <is>
          <t>As expected.</t>
        </is>
      </c>
      <c r="M113" s="19" t="inlineStr">
        <is>
          <t>Pass</t>
        </is>
      </c>
      <c r="N113" s="19" t="inlineStr"/>
      <c r="O113" s="19" t="inlineStr">
        <is>
          <t>iorta TechNXT QA</t>
        </is>
      </c>
      <c r="P113" s="19" t="inlineStr">
        <is>
          <t>03 October 2026</t>
        </is>
      </c>
      <c r="Q113" s="19" t="inlineStr"/>
      <c r="R113" s="19" t="inlineStr">
        <is>
          <t>backend/test/leads.test.js :: bulk uploads CSV and XLSX files [passed]</t>
        </is>
      </c>
    </row>
    <row r="114">
      <c r="A114" s="19" t="inlineStr">
        <is>
          <t>BV-PRS-006</t>
        </is>
      </c>
      <c r="B114" s="19" t="inlineStr">
        <is>
          <t>Prospects and clients</t>
        </is>
      </c>
      <c r="C114" s="19" t="inlineStr">
        <is>
          <t>Prospects</t>
        </is>
      </c>
      <c r="D114" s="19" t="inlineStr">
        <is>
          <t>Sales / Account Executive (maria.rivera)</t>
        </is>
      </c>
      <c r="E114" s="19" t="inlineStr">
        <is>
          <t>Download the prospect report</t>
        </is>
      </c>
      <c r="F114" s="19" t="inlineStr">
        <is>
          <t>Report</t>
        </is>
      </c>
      <c r="G114" s="19" t="inlineStr">
        <is>
          <t>Low</t>
        </is>
      </c>
      <c r="H114" s="19" t="inlineStr">
        <is>
          <t>Prospects exist.</t>
        </is>
      </c>
      <c r="I114" s="19" t="inlineStr">
        <is>
          <t>1. Click Generate Report.
2. Choose XLSX, then CSV.</t>
        </is>
      </c>
      <c r="J114" s="19" t="inlineStr">
        <is>
          <t>Period: May to October 2026</t>
        </is>
      </c>
      <c r="K114" s="19" t="inlineStr">
        <is>
          <t>Both files download with the listed prospects.</t>
        </is>
      </c>
      <c r="L114" s="19" t="inlineStr">
        <is>
          <t>As expected.</t>
        </is>
      </c>
      <c r="M114" s="19" t="inlineStr">
        <is>
          <t>Pass</t>
        </is>
      </c>
      <c r="N114" s="19" t="inlineStr"/>
      <c r="O114" s="19" t="inlineStr">
        <is>
          <t>iorta TechNXT QA</t>
        </is>
      </c>
      <c r="P114" s="19" t="inlineStr">
        <is>
          <t>03 October 2026</t>
        </is>
      </c>
      <c r="Q114" s="19" t="inlineStr"/>
      <c r="R114" s="19" t="inlineStr">
        <is>
          <t>backend/test/leads.test.js :: downloads the report as XLSX and CSV [passed]</t>
        </is>
      </c>
    </row>
    <row r="115">
      <c r="A115" s="19" t="inlineStr">
        <is>
          <t>BV-PRS-007</t>
        </is>
      </c>
      <c r="B115" s="19" t="inlineStr">
        <is>
          <t>Prospects and clients</t>
        </is>
      </c>
      <c r="C115" s="19" t="inlineStr">
        <is>
          <t>Prospects</t>
        </is>
      </c>
      <c r="D115" s="19" t="inlineStr">
        <is>
          <t>Sales / Account Executive (maria.rivera)</t>
        </is>
      </c>
      <c r="E115" s="19" t="inlineStr">
        <is>
          <t>A prospect with an issued policy cannot be deleted</t>
        </is>
      </c>
      <c r="F115" s="19" t="inlineStr">
        <is>
          <t>Negative</t>
        </is>
      </c>
      <c r="G115" s="19" t="inlineStr">
        <is>
          <t>Medium</t>
        </is>
      </c>
      <c r="H115" s="19" t="inlineStr">
        <is>
          <t>Prospect converted to a policy.</t>
        </is>
      </c>
      <c r="I115" s="19" t="inlineStr">
        <is>
          <t>1. Delete a prospect without a policy.
2. Delete a prospect with an issued policy.</t>
        </is>
      </c>
      <c r="J115" s="19" t="inlineStr">
        <is>
          <t>Prospect of policy MC-2026-xxxxx</t>
        </is>
      </c>
      <c r="K115" s="19" t="inlineStr">
        <is>
          <t>First is removed from the list (soft delete). Second is refused.</t>
        </is>
      </c>
      <c r="L115" s="19" t="inlineStr">
        <is>
          <t>As expected.</t>
        </is>
      </c>
      <c r="M115" s="19" t="inlineStr">
        <is>
          <t>Pass</t>
        </is>
      </c>
      <c r="N115" s="19" t="inlineStr"/>
      <c r="O115" s="19" t="inlineStr">
        <is>
          <t>iorta TechNXT QA</t>
        </is>
      </c>
      <c r="P115" s="19" t="inlineStr">
        <is>
          <t>03 October 2026</t>
        </is>
      </c>
      <c r="Q115" s="19" t="inlineStr"/>
      <c r="R115" s="19" t="inlineStr">
        <is>
          <t>backend/test/leads.test.js :: soft-deletes a lead, but not one with an issued policy [passed]</t>
        </is>
      </c>
    </row>
    <row r="116">
      <c r="A116" s="19" t="inlineStr">
        <is>
          <t>BV-PRS-008</t>
        </is>
      </c>
      <c r="B116" s="19" t="inlineStr">
        <is>
          <t>Prospects and clients</t>
        </is>
      </c>
      <c r="C116" s="19" t="inlineStr">
        <is>
          <t>Prospects</t>
        </is>
      </c>
      <c r="D116" s="19" t="inlineStr">
        <is>
          <t>Claims Officer (carlo.estrada)</t>
        </is>
      </c>
      <c r="E116" s="19" t="inlineStr">
        <is>
          <t>Claims officer does not list prospects</t>
        </is>
      </c>
      <c r="F116" s="19" t="inlineStr">
        <is>
          <t>Role access</t>
        </is>
      </c>
      <c r="G116" s="19" t="inlineStr">
        <is>
          <t>Medium</t>
        </is>
      </c>
      <c r="H116" s="19" t="inlineStr">
        <is>
          <t>Signed in as carlo.estrada.</t>
        </is>
      </c>
      <c r="I116" s="19" t="inlineStr">
        <is>
          <t>1. Type the address /agent/leadlisting.</t>
        </is>
      </c>
      <c r="J116" s="19" t="inlineStr">
        <is>
          <t>None</t>
        </is>
      </c>
      <c r="K116" s="19" t="inlineStr">
        <is>
          <t>Screen not available; API refuses the list.</t>
        </is>
      </c>
      <c r="L116" s="19" t="inlineStr">
        <is>
          <t>As expected.</t>
        </is>
      </c>
      <c r="M116" s="19" t="inlineStr">
        <is>
          <t>Pass</t>
        </is>
      </c>
      <c r="N116" s="19" t="inlineStr"/>
      <c r="O116" s="19" t="inlineStr">
        <is>
          <t>iorta TechNXT QA</t>
        </is>
      </c>
      <c r="P116" s="19" t="inlineStr">
        <is>
          <t>03 October 2026</t>
        </is>
      </c>
      <c r="Q116" s="19" t="inlineStr"/>
      <c r="R116" s="19" t="inlineStr">
        <is>
          <t>backend/test/hardening.test.js :: claims officers do not list leads; sales and operations do not read the receipt register [passed]
backend/test/leads.test.js :: enforces permissions [passed]</t>
        </is>
      </c>
    </row>
    <row r="117">
      <c r="A117" s="19" t="inlineStr">
        <is>
          <t>BV-PRS-009</t>
        </is>
      </c>
      <c r="B117" s="19" t="inlineStr">
        <is>
          <t>Prospects and clients</t>
        </is>
      </c>
      <c r="C117" s="19" t="inlineStr">
        <is>
          <t>Clients</t>
        </is>
      </c>
      <c r="D117" s="19" t="inlineStr">
        <is>
          <t>Operations / Client Service (ana.buenaventura)</t>
        </is>
      </c>
      <c r="E117" s="19" t="inlineStr">
        <is>
          <t>Find a client and see policies and open bills</t>
        </is>
      </c>
      <c r="F117" s="19" t="inlineStr">
        <is>
          <t>Functional</t>
        </is>
      </c>
      <c r="G117" s="19" t="inlineStr">
        <is>
          <t>High</t>
        </is>
      </c>
      <c r="H117" s="19" t="inlineStr">
        <is>
          <t>Clients exist from the cycle.</t>
        </is>
      </c>
      <c r="I117" s="19" t="inlineStr">
        <is>
          <t>1. Open Operations &gt; Clients.
2. Search by surname.
3. Open the client.</t>
        </is>
      </c>
      <c r="J117" s="19" t="inlineStr">
        <is>
          <t>Search: Bautista</t>
        </is>
      </c>
      <c r="K117" s="19" t="inlineStr">
        <is>
          <t>Client with policies and open bills is shown; client code shown.</t>
        </is>
      </c>
      <c r="L117" s="19" t="inlineStr">
        <is>
          <t>As expected.</t>
        </is>
      </c>
      <c r="M117" s="19" t="inlineStr">
        <is>
          <t>Pass</t>
        </is>
      </c>
      <c r="N117" s="19" t="inlineStr"/>
      <c r="O117" s="19" t="inlineStr">
        <is>
          <t>iorta TechNXT QA</t>
        </is>
      </c>
      <c r="P117" s="19" t="inlineStr">
        <is>
          <t>04 October 2026</t>
        </is>
      </c>
      <c r="Q117" s="19" t="inlineStr"/>
      <c r="R117" s="19" t="inlineStr">
        <is>
          <t>backend/test/clients.test.js :: lists clients in the { data: { clients, pagination } } shape [passed]
backend/test/clients.test.js :: returns a client with its policies (by id or code) [passed]
UAT cycle 03-04 October 2026, phase Retail package business (84 passed, 0 failed)
Screen check /agent/clientlisting: opened clean</t>
        </is>
      </c>
    </row>
    <row r="118">
      <c r="A118" s="19" t="inlineStr">
        <is>
          <t>BV-PRS-010</t>
        </is>
      </c>
      <c r="B118" s="19" t="inlineStr">
        <is>
          <t>Prospects and clients</t>
        </is>
      </c>
      <c r="C118" s="19" t="inlineStr">
        <is>
          <t>Clients</t>
        </is>
      </c>
      <c r="D118" s="19" t="inlineStr">
        <is>
          <t>Operations / Client Service (ana.buenaventura)</t>
        </is>
      </c>
      <c r="E118" s="19" t="inlineStr">
        <is>
          <t>Create and update a client</t>
        </is>
      </c>
      <c r="F118" s="19" t="inlineStr">
        <is>
          <t>Functional</t>
        </is>
      </c>
      <c r="G118" s="19" t="inlineStr">
        <is>
          <t>Medium</t>
        </is>
      </c>
      <c r="H118" s="19" t="inlineStr">
        <is>
          <t>Signed in as ana.buenaventura.</t>
        </is>
      </c>
      <c r="I118" s="19" t="inlineStr">
        <is>
          <t>1. Create a client with name, TIN and address.
2. Edit the mobile number and save.</t>
        </is>
      </c>
      <c r="J118" s="19" t="inlineStr">
        <is>
          <t>Rowena Bautista; TIN 214-558-902-000; mobile 0918 220 1144</t>
        </is>
      </c>
      <c r="K118" s="19" t="inlineStr">
        <is>
          <t>Client saved and updated.</t>
        </is>
      </c>
      <c r="L118" s="19" t="inlineStr">
        <is>
          <t>As expected.</t>
        </is>
      </c>
      <c r="M118" s="19" t="inlineStr">
        <is>
          <t>Pass</t>
        </is>
      </c>
      <c r="N118" s="19" t="inlineStr"/>
      <c r="O118" s="19" t="inlineStr">
        <is>
          <t>iorta TechNXT QA</t>
        </is>
      </c>
      <c r="P118" s="19" t="inlineStr">
        <is>
          <t>03 October 2026</t>
        </is>
      </c>
      <c r="Q118" s="19" t="inlineStr"/>
      <c r="R118" s="19" t="inlineStr">
        <is>
          <t>backend/test/clients.test.js :: creates and updates a client [passed]</t>
        </is>
      </c>
    </row>
    <row r="119">
      <c r="A119" s="19" t="inlineStr">
        <is>
          <t>BV-PRS-011</t>
        </is>
      </c>
      <c r="B119" s="19" t="inlineStr">
        <is>
          <t>Prospects and clients</t>
        </is>
      </c>
      <c r="C119" s="19" t="inlineStr">
        <is>
          <t>Clients</t>
        </is>
      </c>
      <c r="D119" s="19" t="inlineStr">
        <is>
          <t>Sales / Account Executive (maria.rivera)</t>
        </is>
      </c>
      <c r="E119" s="19" t="inlineStr">
        <is>
          <t>A prospect converts to one client only</t>
        </is>
      </c>
      <c r="F119" s="19" t="inlineStr">
        <is>
          <t>Validation</t>
        </is>
      </c>
      <c r="G119" s="19" t="inlineStr">
        <is>
          <t>High</t>
        </is>
      </c>
      <c r="H119" s="19" t="inlineStr">
        <is>
          <t>Prospect with an accepted quotation.</t>
        </is>
      </c>
      <c r="I119" s="19" t="inlineStr">
        <is>
          <t>1. Convert the quotation to a policy.
2. Convert a second quotation of the same prospect.</t>
        </is>
      </c>
      <c r="J119" s="19" t="inlineStr">
        <is>
          <t>Prospect Kristine Villanueva</t>
        </is>
      </c>
      <c r="K119" s="19" t="inlineStr">
        <is>
          <t>One client is created and linked; the second conversion reuses it.</t>
        </is>
      </c>
      <c r="L119" s="19" t="inlineStr">
        <is>
          <t>As expected.</t>
        </is>
      </c>
      <c r="M119" s="19" t="inlineStr">
        <is>
          <t>Pass</t>
        </is>
      </c>
      <c r="N119" s="19" t="inlineStr"/>
      <c r="O119" s="19" t="inlineStr">
        <is>
          <t>iorta TechNXT QA</t>
        </is>
      </c>
      <c r="P119" s="19" t="inlineStr">
        <is>
          <t>03 October 2026</t>
        </is>
      </c>
      <c r="Q119" s="19" t="inlineStr"/>
      <c r="R119" s="19" t="inlineStr">
        <is>
          <t>backend/test/clients.test.js :: converts a lead into a client once [passed]
backend/test/leads.test.js :: links the prospect to the client and converts without a second client [passed]</t>
        </is>
      </c>
    </row>
    <row r="120">
      <c r="A120" s="19" t="inlineStr">
        <is>
          <t>BV-PRS-012</t>
        </is>
      </c>
      <c r="B120" s="19" t="inlineStr">
        <is>
          <t>Prospects and clients</t>
        </is>
      </c>
      <c r="C120" s="19" t="inlineStr">
        <is>
          <t>Global search</t>
        </is>
      </c>
      <c r="D120" s="19" t="inlineStr">
        <is>
          <t>Any signed-in user</t>
        </is>
      </c>
      <c r="E120" s="19" t="inlineStr">
        <is>
          <t>Global search returns typed results with links</t>
        </is>
      </c>
      <c r="F120" s="19" t="inlineStr">
        <is>
          <t>Functional</t>
        </is>
      </c>
      <c r="G120" s="19" t="inlineStr">
        <is>
          <t>Low</t>
        </is>
      </c>
      <c r="H120" s="19" t="inlineStr">
        <is>
          <t>Signed in as maria.rivera.</t>
        </is>
      </c>
      <c r="I120" s="19" t="inlineStr">
        <is>
          <t>1. Type a policy number in the header search.
2. Click a result.</t>
        </is>
      </c>
      <c r="J120" s="19" t="inlineStr">
        <is>
          <t>Policy number of maria.rivera</t>
        </is>
      </c>
      <c r="K120" s="19" t="inlineStr">
        <is>
          <t>Results show type (client, policy, quotation) and open the record. Scoped users see only their own.</t>
        </is>
      </c>
      <c r="L120" s="19" t="inlineStr">
        <is>
          <t>As expected.</t>
        </is>
      </c>
      <c r="M120" s="19" t="inlineStr">
        <is>
          <t>Pass</t>
        </is>
      </c>
      <c r="N120" s="19" t="inlineStr"/>
      <c r="O120" s="19" t="inlineStr">
        <is>
          <t>iorta TechNXT QA</t>
        </is>
      </c>
      <c r="P120" s="19" t="inlineStr">
        <is>
          <t>03 October 2026</t>
        </is>
      </c>
      <c r="Q120" s="19" t="inlineStr"/>
      <c r="R120" s="19" t="inlineStr">
        <is>
          <t>backend/test/scope.test.js :: global search returns typed results with front-end links and respects scoping [passed]</t>
        </is>
      </c>
    </row>
    <row r="121">
      <c r="A121" s="19" t="inlineStr">
        <is>
          <t>BV-QQT-001</t>
        </is>
      </c>
      <c r="B121" s="19" t="inlineStr">
        <is>
          <t>Quick quote and compare insurers</t>
        </is>
      </c>
      <c r="C121" s="19" t="inlineStr">
        <is>
          <t>Quick Quote</t>
        </is>
      </c>
      <c r="D121" s="19" t="inlineStr">
        <is>
          <t>Sales / Account Executive (maria.rivera)</t>
        </is>
      </c>
      <c r="E121" s="19" t="inlineStr">
        <is>
          <t>Motor quick quote from the tariff with CTPL and APPA</t>
        </is>
      </c>
      <c r="F121" s="19" t="inlineStr">
        <is>
          <t>Functional</t>
        </is>
      </c>
      <c r="G121" s="19" t="inlineStr">
        <is>
          <t>High</t>
        </is>
      </c>
      <c r="H121" s="19" t="inlineStr">
        <is>
          <t>Signed in as maria.rivera; motor template with tariff.</t>
        </is>
      </c>
      <c r="I121" s="19" t="inlineStr">
        <is>
          <t>1. Open Operations &gt; Sales &amp; Marketing &gt; Quick Quote.
2. Choose Motor, private car Toyota Vios 1.3 XLE CVT 2024.
3. Enter FMV, own damage rate, acts of nature rate, BI, PD, APPA limit and seats; include CTPL.
4. Click calculate.</t>
        </is>
      </c>
      <c r="J121" s="19" t="inlineStr">
        <is>
          <t>FMV PHP 850,000.00; OD 1.5%; AON 0.5%; BI PHP 200,000.00; PD PHP 200,000.00; APPA PHP 100,000.00 x 5 seats; insurer Pacific Crest</t>
        </is>
      </c>
      <c r="K121" s="19" t="inlineStr">
        <is>
          <t>Premium breakdown: net, VAT, DST, LGT and CTPL PHP 610.40; APPA = 100,000 x 5 x 0.1% = PHP 500.00; gross shown.</t>
        </is>
      </c>
      <c r="L121" s="19" t="inlineStr">
        <is>
          <t>As expected.</t>
        </is>
      </c>
      <c r="M121" s="19" t="inlineStr">
        <is>
          <t>Pass</t>
        </is>
      </c>
      <c r="N121" s="19" t="inlineStr"/>
      <c r="O121" s="19" t="inlineStr">
        <is>
          <t>iorta TechNXT QA</t>
        </is>
      </c>
      <c r="P121" s="19" t="inlineStr">
        <is>
          <t>04 October 2026</t>
        </is>
      </c>
      <c r="Q121" s="19" t="inlineStr"/>
      <c r="R121" s="19" t="inlineStr">
        <is>
          <t>backend/test/motor-tariff.test.js :: prices CTPL at the tariff of the vehicle class, whatever amount the browser sends [passed]
backend/test/motor-tariff.test.js :: prices Auto Passenger PA as limit per person x seats x rate and counts the cover in the sum insured [passed]
UAT cycle 03-04 October 2026, phase Retail package business (84 passed, 0 failed)
Screen check /sales/quick-quote: opened clean</t>
        </is>
      </c>
    </row>
    <row r="122">
      <c r="A122" s="19" t="inlineStr">
        <is>
          <t>BV-QQT-002</t>
        </is>
      </c>
      <c r="B122" s="19" t="inlineStr">
        <is>
          <t>Quick quote and compare insurers</t>
        </is>
      </c>
      <c r="C122" s="19" t="inlineStr">
        <is>
          <t>Quick Quote</t>
        </is>
      </c>
      <c r="D122" s="19" t="inlineStr">
        <is>
          <t>Sales / Account Executive (maria.rivera)</t>
        </is>
      </c>
      <c r="E122" s="19" t="inlineStr">
        <is>
          <t>CTPL premium ignores any amount sent by the browser</t>
        </is>
      </c>
      <c r="F122" s="19" t="inlineStr">
        <is>
          <t>Negative</t>
        </is>
      </c>
      <c r="G122" s="19" t="inlineStr">
        <is>
          <t>High</t>
        </is>
      </c>
      <c r="H122" s="19" t="inlineStr">
        <is>
          <t>Quick quote open.</t>
        </is>
      </c>
      <c r="I122" s="19" t="inlineStr">
        <is>
          <t>1. Change the CTPL amount in the request (browser tools) to PHP 100.00.
2. Calculate.</t>
        </is>
      </c>
      <c r="J122" s="19" t="inlineStr">
        <is>
          <t>CTPL sent: PHP 100.00</t>
        </is>
      </c>
      <c r="K122" s="19" t="inlineStr">
        <is>
          <t>The system prices CTPL at the tariff of the vehicle class.</t>
        </is>
      </c>
      <c r="L122" s="19" t="inlineStr">
        <is>
          <t>As expected.</t>
        </is>
      </c>
      <c r="M122" s="19" t="inlineStr">
        <is>
          <t>Pass</t>
        </is>
      </c>
      <c r="N122" s="19" t="inlineStr"/>
      <c r="O122" s="19" t="inlineStr">
        <is>
          <t>iorta TechNXT QA</t>
        </is>
      </c>
      <c r="P122" s="19" t="inlineStr">
        <is>
          <t>03 October 2026</t>
        </is>
      </c>
      <c r="Q122" s="19" t="inlineStr"/>
      <c r="R122" s="19" t="inlineStr">
        <is>
          <t>backend/test/motor-tariff.test.js :: prices CTPL at the tariff of the vehicle class, whatever amount the browser sends [passed]</t>
        </is>
      </c>
    </row>
    <row r="123">
      <c r="A123" s="19" t="inlineStr">
        <is>
          <t>BV-QQT-003</t>
        </is>
      </c>
      <c r="B123" s="19" t="inlineStr">
        <is>
          <t>Quick quote and compare insurers</t>
        </is>
      </c>
      <c r="C123" s="19" t="inlineStr">
        <is>
          <t>Quick Quote</t>
        </is>
      </c>
      <c r="D123" s="19" t="inlineStr">
        <is>
          <t>Sales / Account Executive (maria.rivera)</t>
        </is>
      </c>
      <c r="E123" s="19" t="inlineStr">
        <is>
          <t>3-year CTPL for a brand-new private car only</t>
        </is>
      </c>
      <c r="F123" s="19" t="inlineStr">
        <is>
          <t>Validation</t>
        </is>
      </c>
      <c r="G123" s="19" t="inlineStr">
        <is>
          <t>Medium</t>
        </is>
      </c>
      <c r="H123" s="19" t="inlineStr">
        <is>
          <t>Tariff has 3-year CTPL for private cars only.</t>
        </is>
      </c>
      <c r="I123" s="19" t="inlineStr">
        <is>
          <t>1. Quote a 2026 brand-new private car with 3-year CTPL.
2. Quote a light truck with 3-year CTPL.</t>
        </is>
      </c>
      <c r="J123" s="19" t="inlineStr">
        <is>
          <t>2026 Toyota Raize (no plate, MV file no.); light truck</t>
        </is>
      </c>
      <c r="K123" s="19" t="inlineStr">
        <is>
          <t>Private car priced at PHP 1,660.40; truck refused where the tariff has none.</t>
        </is>
      </c>
      <c r="L123" s="19" t="inlineStr">
        <is>
          <t>As expected.</t>
        </is>
      </c>
      <c r="M123" s="19" t="inlineStr">
        <is>
          <t>Pass</t>
        </is>
      </c>
      <c r="N123" s="19" t="inlineStr"/>
      <c r="O123" s="19" t="inlineStr">
        <is>
          <t>iorta TechNXT QA</t>
        </is>
      </c>
      <c r="P123" s="19" t="inlineStr">
        <is>
          <t>03 October 2026</t>
        </is>
      </c>
      <c r="Q123" s="19" t="inlineStr"/>
      <c r="R123" s="19" t="inlineStr">
        <is>
          <t>backend/test/motor-tariff.test.js :: prices the 3-year CTPL for a brand-new private car and refuses it where the tariff has none [passed]</t>
        </is>
      </c>
    </row>
    <row r="124">
      <c r="A124" s="19" t="inlineStr">
        <is>
          <t>BV-QQT-004</t>
        </is>
      </c>
      <c r="B124" s="19" t="inlineStr">
        <is>
          <t>Quick quote and compare insurers</t>
        </is>
      </c>
      <c r="C124" s="19" t="inlineStr">
        <is>
          <t>Quick Quote</t>
        </is>
      </c>
      <c r="D124" s="19" t="inlineStr">
        <is>
          <t>Sales / Account Executive (maria.rivera)</t>
        </is>
      </c>
      <c r="E124" s="19" t="inlineStr">
        <is>
          <t>CTPL without a vehicle class and APPA outside the tariff refused</t>
        </is>
      </c>
      <c r="F124" s="19" t="inlineStr">
        <is>
          <t>Validation</t>
        </is>
      </c>
      <c r="G124" s="19" t="inlineStr">
        <is>
          <t>Medium</t>
        </is>
      </c>
      <c r="H124" s="19" t="inlineStr">
        <is>
          <t>Quick quote open.</t>
        </is>
      </c>
      <c r="I124" s="19" t="inlineStr">
        <is>
          <t>1. Include CTPL without a vehicle class.
2. Enter APPA limit PHP 120,000.00.</t>
        </is>
      </c>
      <c r="J124" s="19" t="inlineStr">
        <is>
          <t>APPA PHP 120,000.00</t>
        </is>
      </c>
      <c r="K124" s="19" t="inlineStr">
        <is>
          <t>Both refused with a message; CTPL omitted when not included.</t>
        </is>
      </c>
      <c r="L124" s="19" t="inlineStr">
        <is>
          <t>As expected.</t>
        </is>
      </c>
      <c r="M124" s="19" t="inlineStr">
        <is>
          <t>Pass</t>
        </is>
      </c>
      <c r="N124" s="19" t="inlineStr"/>
      <c r="O124" s="19" t="inlineStr">
        <is>
          <t>iorta TechNXT QA</t>
        </is>
      </c>
      <c r="P124" s="19" t="inlineStr">
        <is>
          <t>03 October 2026</t>
        </is>
      </c>
      <c r="Q124" s="19" t="inlineStr"/>
      <c r="R124" s="19" t="inlineStr">
        <is>
          <t>backend/test/motor-tariff.test.js :: leaves CTPL out when it is not included and refuses CTPL without a vehicle class [passed]
backend/test/motor-tariff.test.js :: refuses an APPA limit outside the tariff [passed]</t>
        </is>
      </c>
    </row>
    <row r="125">
      <c r="A125" s="19" t="inlineStr">
        <is>
          <t>BV-QQT-005</t>
        </is>
      </c>
      <c r="B125" s="19" t="inlineStr">
        <is>
          <t>Quick quote and compare insurers</t>
        </is>
      </c>
      <c r="C125" s="19" t="inlineStr">
        <is>
          <t>Quick Quote</t>
        </is>
      </c>
      <c r="D125" s="19" t="inlineStr">
        <is>
          <t>Sales / Account Executive (maria.rivera)</t>
        </is>
      </c>
      <c r="E125" s="19" t="inlineStr">
        <is>
          <t>Discount never reduces the CTPL tariff premium</t>
        </is>
      </c>
      <c r="F125" s="19" t="inlineStr">
        <is>
          <t>Validation</t>
        </is>
      </c>
      <c r="G125" s="19" t="inlineStr">
        <is>
          <t>Medium</t>
        </is>
      </c>
      <c r="H125" s="19" t="inlineStr">
        <is>
          <t>Motor quote with CTPL.</t>
        </is>
      </c>
      <c r="I125" s="19" t="inlineStr">
        <is>
          <t>1. Enter discount PHP 1,500.00.
2. Calculate.</t>
        </is>
      </c>
      <c r="J125" s="19" t="inlineStr">
        <is>
          <t>Discount PHP 1,500.00</t>
        </is>
      </c>
      <c r="K125" s="19" t="inlineStr">
        <is>
          <t>Discount applies to the comprehensive part; CTPL stays at tariff.</t>
        </is>
      </c>
      <c r="L125" s="19" t="inlineStr">
        <is>
          <t>As expected.</t>
        </is>
      </c>
      <c r="M125" s="19" t="inlineStr">
        <is>
          <t>Pass</t>
        </is>
      </c>
      <c r="N125" s="19" t="inlineStr"/>
      <c r="O125" s="19" t="inlineStr">
        <is>
          <t>iorta TechNXT QA</t>
        </is>
      </c>
      <c r="P125" s="19" t="inlineStr">
        <is>
          <t>03 October 2026</t>
        </is>
      </c>
      <c r="Q125" s="19" t="inlineStr"/>
      <c r="R125" s="19" t="inlineStr">
        <is>
          <t>backend/test/uat-disconnects.test.js :: a discount never reduces the CTPL tariff premium [passed]</t>
        </is>
      </c>
    </row>
    <row r="126">
      <c r="A126" s="19" t="inlineStr">
        <is>
          <t>BV-QQT-006</t>
        </is>
      </c>
      <c r="B126" s="19" t="inlineStr">
        <is>
          <t>Quick quote and compare insurers</t>
        </is>
      </c>
      <c r="C126" s="19" t="inlineStr">
        <is>
          <t>Quick Quote</t>
        </is>
      </c>
      <c r="D126" s="19" t="inlineStr">
        <is>
          <t>Sales / Account Executive (maria.rivera)</t>
        </is>
      </c>
      <c r="E126" s="19" t="inlineStr">
        <is>
          <t>Quick quote and saved quotation give the same premium</t>
        </is>
      </c>
      <c r="F126" s="19" t="inlineStr">
        <is>
          <t>Integration</t>
        </is>
      </c>
      <c r="G126" s="19" t="inlineStr">
        <is>
          <t>High</t>
        </is>
      </c>
      <c r="H126" s="19" t="inlineStr">
        <is>
          <t>Quick quote calculated.</t>
        </is>
      </c>
      <c r="I126" s="19" t="inlineStr">
        <is>
          <t>1. Save the quick quote as a quotation.
2. Compare gross premium with the quick quote.</t>
        </is>
      </c>
      <c r="J126" s="19" t="inlineStr">
        <is>
          <t>Motor comprehensive with CTPL</t>
        </is>
      </c>
      <c r="K126" s="19" t="inlineStr">
        <is>
          <t>Saved quotation gross equals the quick quote gross to the centavo.</t>
        </is>
      </c>
      <c r="L126" s="19" t="inlineStr">
        <is>
          <t>14 motor and 6 CTPL quotations saved; each matched its quick quote.</t>
        </is>
      </c>
      <c r="M126" s="19" t="inlineStr">
        <is>
          <t>Pass</t>
        </is>
      </c>
      <c r="N126" s="19" t="inlineStr"/>
      <c r="O126" s="19" t="inlineStr">
        <is>
          <t>iorta TechNXT QA</t>
        </is>
      </c>
      <c r="P126" s="19" t="inlineStr">
        <is>
          <t>04 October 2026</t>
        </is>
      </c>
      <c r="Q126" s="19" t="inlineStr"/>
      <c r="R126" s="19" t="inlineStr">
        <is>
          <t>backend/test/motor-tariff.test.js :: stores the server-priced CTPL and Auto Passenger PA in the quotation [passed]
UAT cycle 03-04 October 2026, phase Retail package business (84 passed, 0 failed)</t>
        </is>
      </c>
    </row>
    <row r="127">
      <c r="A127" s="19" t="inlineStr">
        <is>
          <t>BV-QQT-007</t>
        </is>
      </c>
      <c r="B127" s="19" t="inlineStr">
        <is>
          <t>Quick quote and compare insurers</t>
        </is>
      </c>
      <c r="C127" s="19" t="inlineStr">
        <is>
          <t>Compare Insurers</t>
        </is>
      </c>
      <c r="D127" s="19" t="inlineStr">
        <is>
          <t>Sales / Account Executive (maria.rivera)</t>
        </is>
      </c>
      <c r="E127" s="19" t="inlineStr">
        <is>
          <t>Compare insurers of a product side by side</t>
        </is>
      </c>
      <c r="F127" s="19" t="inlineStr">
        <is>
          <t>Functional</t>
        </is>
      </c>
      <c r="G127" s="19" t="inlineStr">
        <is>
          <t>High</t>
        </is>
      </c>
      <c r="H127" s="19" t="inlineStr">
        <is>
          <t>Insurer rate tables for Personal Accident.</t>
        </is>
      </c>
      <c r="I127" s="19" t="inlineStr">
        <is>
          <t>1. Open Operations &gt; Sales &amp; Marketing &gt; Compare Insurers.
2. Choose Personal Accident, sum insured PHP 500,000.00.
3. Read the comparison.
4. Print it for the client.</t>
        </is>
      </c>
      <c r="J127" s="19" t="inlineStr">
        <is>
          <t>PA PHP 500,000.00</t>
        </is>
      </c>
      <c r="K127" s="19" t="inlineStr">
        <is>
          <t>Insurers listed cheapest total first; printed comparison opens as PDF; Proceed creates a quotation priced with the engine.</t>
        </is>
      </c>
      <c r="L127" s="19" t="inlineStr">
        <is>
          <t>As expected.</t>
        </is>
      </c>
      <c r="M127" s="19" t="inlineStr">
        <is>
          <t>Pass</t>
        </is>
      </c>
      <c r="N127" s="19" t="inlineStr"/>
      <c r="O127" s="19" t="inlineStr">
        <is>
          <t>iorta TechNXT QA</t>
        </is>
      </c>
      <c r="P127" s="19" t="inlineStr">
        <is>
          <t>03 October 2026</t>
        </is>
      </c>
      <c r="Q127" s="19" t="inlineStr"/>
      <c r="R127" s="19" t="inlineStr">
        <is>
          <t>backend/test/packages.test.js :: compares the insurers of a product side by side, cheapest total first [passed]
backend/test/packages.test.js :: prints the comparison for the client and proceeds to a quotation priced with the engine [passed]
Screen check /sales/compare-insurers: opened clean</t>
        </is>
      </c>
    </row>
    <row r="128">
      <c r="A128" s="19" t="inlineStr">
        <is>
          <t>BV-QQT-008</t>
        </is>
      </c>
      <c r="B128" s="19" t="inlineStr">
        <is>
          <t>Quick quote and compare insurers</t>
        </is>
      </c>
      <c r="C128" s="19" t="inlineStr">
        <is>
          <t>Rate tables</t>
        </is>
      </c>
      <c r="D128" s="19" t="inlineStr">
        <is>
          <t>Processing Team (jose.bernardo)</t>
        </is>
      </c>
      <c r="E128" s="19" t="inlineStr">
        <is>
          <t>Processing maintains insurer rate tables; Sales reads them</t>
        </is>
      </c>
      <c r="F128" s="19" t="inlineStr">
        <is>
          <t>Role access</t>
        </is>
      </c>
      <c r="G128" s="19" t="inlineStr">
        <is>
          <t>Medium</t>
        </is>
      </c>
      <c r="H128" s="19" t="inlineStr">
        <is>
          <t>Master &gt; Finance &gt; Insurer Rate Tables.</t>
        </is>
      </c>
      <c r="I128" s="19" t="inlineStr">
        <is>
          <t>1. As jose.bernardo edit a PA rate and save.
2. As maria.rivera open the same table.</t>
        </is>
      </c>
      <c r="J128" s="19" t="inlineStr">
        <is>
          <t>Luzon Bay PA rate 0.40%</t>
        </is>
      </c>
      <c r="K128" s="19" t="inlineStr">
        <is>
          <t>Processing saves; Sales reads only. Percent, per mille and flat rates with minimum premium price correctly.</t>
        </is>
      </c>
      <c r="L128" s="19" t="inlineStr">
        <is>
          <t>As expected.</t>
        </is>
      </c>
      <c r="M128" s="19" t="inlineStr">
        <is>
          <t>Pass</t>
        </is>
      </c>
      <c r="N128" s="19" t="inlineStr"/>
      <c r="O128" s="19" t="inlineStr">
        <is>
          <t>iorta TechNXT QA</t>
        </is>
      </c>
      <c r="P128" s="19" t="inlineStr">
        <is>
          <t>03 October 2026</t>
        </is>
      </c>
      <c r="Q128" s="19" t="inlineStr"/>
      <c r="R128" s="19" t="inlineStr">
        <is>
          <t>backend/test/packages.test.js :: lets the Processing Team maintain rate tables; Sales reads them [passed]
backend/test/packages.test.js :: prices percent, per mille and flat rates with the minimum premium [passed]
Screen check /master/finance/insurer-rate-tables: opened clean</t>
        </is>
      </c>
    </row>
    <row r="129">
      <c r="A129" s="19" t="inlineStr">
        <is>
          <t>BV-QQT-009</t>
        </is>
      </c>
      <c r="B129" s="19" t="inlineStr">
        <is>
          <t>Quick quote and compare insurers</t>
        </is>
      </c>
      <c r="C129" s="19" t="inlineStr">
        <is>
          <t>Package bundles</t>
        </is>
      </c>
      <c r="D129" s="19" t="inlineStr">
        <is>
          <t>Processing Team (jose.bernardo)</t>
        </is>
      </c>
      <c r="E129" s="19" t="inlineStr">
        <is>
          <t>Bundle product priced per section and insurer</t>
        </is>
      </c>
      <c r="F129" s="19" t="inlineStr">
        <is>
          <t>Functional</t>
        </is>
      </c>
      <c r="G129" s="19" t="inlineStr">
        <is>
          <t>Medium</t>
        </is>
      </c>
      <c r="H129" s="19" t="inlineStr">
        <is>
          <t>Master &gt; Finance &gt; Package Bundles.</t>
        </is>
      </c>
      <c r="I129" s="19" t="inlineStr">
        <is>
          <t>1. Create a bundle with fire and burglary sections.
2. Quote it with a discount.</t>
        </is>
      </c>
      <c r="J129" s="19" t="inlineStr">
        <is>
          <t>SME bundle: fire PHP 5,000,000.00, burglary PHP 500,000.00, discount 5%</t>
        </is>
      </c>
      <c r="K129" s="19" t="inlineStr">
        <is>
          <t>Each section priced at its insurer rate, discount spread, taxes per section; lead insurer = largest gross; shares total 100.</t>
        </is>
      </c>
      <c r="L129" s="19" t="inlineStr">
        <is>
          <t>As expected.</t>
        </is>
      </c>
      <c r="M129" s="19" t="inlineStr">
        <is>
          <t>Pass</t>
        </is>
      </c>
      <c r="N129" s="19" t="inlineStr"/>
      <c r="O129" s="19" t="inlineStr">
        <is>
          <t>iorta TechNXT QA</t>
        </is>
      </c>
      <c r="P129" s="19" t="inlineStr">
        <is>
          <t>03 October 2026</t>
        </is>
      </c>
      <c r="Q129" s="19" t="inlineStr"/>
      <c r="R129" s="19" t="inlineStr">
        <is>
          <t>backend/test/packages.test.js :: maintains bundle products (Processing Team) [passed]
backend/test/packages.test.js :: prices a bundle per section: insurer rate, discount spread, taxes per section [passed]
backend/test/packages.test.js :: groups sections per insurer with the largest gross as lead and shares totalling 100 [passed]
Screen check /master/finance/package-bundles: opened clean</t>
        </is>
      </c>
    </row>
    <row r="130">
      <c r="A130" s="19" t="inlineStr">
        <is>
          <t>BV-QUO-001</t>
        </is>
      </c>
      <c r="B130" s="19" t="inlineStr">
        <is>
          <t>Quotations and customer response</t>
        </is>
      </c>
      <c r="C130" s="19" t="inlineStr">
        <is>
          <t>Quotation</t>
        </is>
      </c>
      <c r="D130" s="19" t="inlineStr">
        <is>
          <t>Sales / Account Executive (maria.rivera)</t>
        </is>
      </c>
      <c r="E130" s="19" t="inlineStr">
        <is>
          <t>Create a motor quotation from a prospect</t>
        </is>
      </c>
      <c r="F130" s="19" t="inlineStr">
        <is>
          <t>Functional</t>
        </is>
      </c>
      <c r="G130" s="19" t="inlineStr">
        <is>
          <t>High</t>
        </is>
      </c>
      <c r="H130" s="19" t="inlineStr">
        <is>
          <t>Prospect Kristine Villanueva exists.</t>
        </is>
      </c>
      <c r="I130" s="19" t="inlineStr">
        <is>
          <t>1. Open the prospect and click Create Quote.
2. Enter vehicle details, sum insured, covers and insurer.
3. Save.</t>
        </is>
      </c>
      <c r="J130" s="19" t="inlineStr">
        <is>
          <t>Toyota Fortuner 2.8 LTD 4x4 AT 2023; plate NBC 4521; FMV PHP 2,100,000.00; Pacific Crest</t>
        </is>
      </c>
      <c r="K130" s="19" t="inlineStr">
        <is>
          <t>Quotation saved as Draft with a number from the series; premium breakdown calculated on the server; listed in Quotations.</t>
        </is>
      </c>
      <c r="L130" s="19" t="inlineStr">
        <is>
          <t>As expected.</t>
        </is>
      </c>
      <c r="M130" s="19" t="inlineStr">
        <is>
          <t>Pass</t>
        </is>
      </c>
      <c r="N130" s="19" t="inlineStr"/>
      <c r="O130" s="19" t="inlineStr">
        <is>
          <t>iorta TechNXT QA</t>
        </is>
      </c>
      <c r="P130" s="19" t="inlineStr">
        <is>
          <t>04 October 2026</t>
        </is>
      </c>
      <c r="Q130" s="19" t="inlineStr"/>
      <c r="R130" s="19" t="inlineStr">
        <is>
          <t>backend/test/quotations.test.js :: creates a quotation with a server-side premium breakdown from settings [passed]
UAT cycle 03-04 October 2026, phase Retail package business (84 passed, 0 failed)
Screen check /agent/Quotation: opened clean</t>
        </is>
      </c>
    </row>
    <row r="131">
      <c r="A131" s="19" t="inlineStr">
        <is>
          <t>BV-QUO-002</t>
        </is>
      </c>
      <c r="B131" s="19" t="inlineStr">
        <is>
          <t>Quotations and customer response</t>
        </is>
      </c>
      <c r="C131" s="19" t="inlineStr">
        <is>
          <t>Quotation</t>
        </is>
      </c>
      <c r="D131" s="19" t="inlineStr">
        <is>
          <t>Sales / Account Executive (maria.rivera)</t>
        </is>
      </c>
      <c r="E131" s="19" t="inlineStr">
        <is>
          <t>Quotation without a prospect refused</t>
        </is>
      </c>
      <c r="F131" s="19" t="inlineStr">
        <is>
          <t>Negative</t>
        </is>
      </c>
      <c r="G131" s="19" t="inlineStr">
        <is>
          <t>Medium</t>
        </is>
      </c>
      <c r="H131" s="19" t="inlineStr">
        <is>
          <t>Signed in as maria.rivera.</t>
        </is>
      </c>
      <c r="I131" s="19" t="inlineStr">
        <is>
          <t>1. Try to save a quotation with no prospect, client or new prospect name.</t>
        </is>
      </c>
      <c r="J131" s="19" t="inlineStr">
        <is>
          <t>No prospect</t>
        </is>
      </c>
      <c r="K131" s="19" t="inlineStr">
        <is>
          <t>Save refused; nothing saved.</t>
        </is>
      </c>
      <c r="L131" s="19" t="inlineStr">
        <is>
          <t>As expected.</t>
        </is>
      </c>
      <c r="M131" s="19" t="inlineStr">
        <is>
          <t>Pass</t>
        </is>
      </c>
      <c r="N131" s="19" t="inlineStr"/>
      <c r="O131" s="19" t="inlineStr">
        <is>
          <t>iorta TechNXT QA</t>
        </is>
      </c>
      <c r="P131" s="19" t="inlineStr">
        <is>
          <t>03 October 2026</t>
        </is>
      </c>
      <c r="Q131" s="19" t="inlineStr"/>
      <c r="R131" s="19" t="inlineStr">
        <is>
          <t>backend/test/quotations.test.js :: rejects a quotation without a lead and blocks personas without the permission [passed]
backend/test/request-for-quotation.test.js :: needs a lead, a client or a prospect with a name, and saves nothing on failure [passed]</t>
        </is>
      </c>
    </row>
    <row r="132">
      <c r="A132" s="19" t="inlineStr">
        <is>
          <t>BV-QUO-003</t>
        </is>
      </c>
      <c r="B132" s="19" t="inlineStr">
        <is>
          <t>Quotations and customer response</t>
        </is>
      </c>
      <c r="C132" s="19" t="inlineStr">
        <is>
          <t>Quotation</t>
        </is>
      </c>
      <c r="D132" s="19" t="inlineStr">
        <is>
          <t>Sales / Account Executive (maria.rivera)</t>
        </is>
      </c>
      <c r="E132" s="19" t="inlineStr">
        <is>
          <t>Motor sum insured and rate checks on the coverage card</t>
        </is>
      </c>
      <c r="F132" s="19" t="inlineStr">
        <is>
          <t>Validation</t>
        </is>
      </c>
      <c r="G132" s="19" t="inlineStr">
        <is>
          <t>Medium</t>
        </is>
      </c>
      <c r="H132" s="19" t="inlineStr">
        <is>
          <t>Create Quote - Coverage Details open.</t>
        </is>
      </c>
      <c r="I132" s="19" t="inlineStr">
        <is>
          <t>1. Enter sum insured 0.
2. Enter rate 120 for own damage.
3. Untick a cover and leave its rate blank.</t>
        </is>
      </c>
      <c r="J132" s="19" t="inlineStr">
        <is>
          <t>SI 0; rate 120</t>
        </is>
      </c>
      <c r="K132" s="19" t="inlineStr">
        <is>
          <t>Zero or negative sum insured refused; rate must be 0 to 100; rates checked only for included covers.</t>
        </is>
      </c>
      <c r="L132" s="19" t="inlineStr">
        <is>
          <t>As expected.</t>
        </is>
      </c>
      <c r="M132" s="19" t="inlineStr">
        <is>
          <t>Pass</t>
        </is>
      </c>
      <c r="N132" s="19" t="inlineStr"/>
      <c r="O132" s="19" t="inlineStr">
        <is>
          <t>iorta TechNXT QA</t>
        </is>
      </c>
      <c r="P132" s="19" t="inlineStr">
        <is>
          <t>03 October 2026</t>
        </is>
      </c>
      <c r="Q132" s="19" t="inlineStr"/>
      <c r="R132" s="19" t="inlineStr">
        <is>
          <t>brokerverse/src/agentModule/quoteModule/coverageDetails/coverageDetailsCard/coverageInputErrors.test.js :: rejects an empty, zero or negative sum insured [passed]
brokerverse/src/agentModule/quoteModule/coverageDetails/coverageDetailsCard/coverageInputErrors.test.js :: accepts a positive sum insured and rates from 0 to 100 [passed]
brokerverse/src/agentModule/quoteModule/coverageDetails/coverageDetailsCard/coverageInputErrors.test.js :: checks the rates of the covers that are included only [passed]</t>
        </is>
      </c>
    </row>
    <row r="133">
      <c r="A133" s="19" t="inlineStr">
        <is>
          <t>BV-QUO-004</t>
        </is>
      </c>
      <c r="B133" s="19" t="inlineStr">
        <is>
          <t>Quotations and customer response</t>
        </is>
      </c>
      <c r="C133" s="19" t="inlineStr">
        <is>
          <t>Quotation</t>
        </is>
      </c>
      <c r="D133" s="19" t="inlineStr">
        <is>
          <t>Sales / Account Executive (maria.rivera)</t>
        </is>
      </c>
      <c r="E133" s="19" t="inlineStr">
        <is>
          <t>Edit a quotation; premium recalculates</t>
        </is>
      </c>
      <c r="F133" s="19" t="inlineStr">
        <is>
          <t>Functional</t>
        </is>
      </c>
      <c r="G133" s="19" t="inlineStr">
        <is>
          <t>Medium</t>
        </is>
      </c>
      <c r="H133" s="19" t="inlineStr">
        <is>
          <t>Draft quotation.</t>
        </is>
      </c>
      <c r="I133" s="19" t="inlineStr">
        <is>
          <t>1. Open the quotation, change the own damage rate from 1.50% to 1.65%.
2. Save.</t>
        </is>
      </c>
      <c r="J133" s="19" t="inlineStr">
        <is>
          <t>OD rate 1.65%</t>
        </is>
      </c>
      <c r="K133" s="19" t="inlineStr">
        <is>
          <t>Premium recalculated and saved; search finds the quotation.</t>
        </is>
      </c>
      <c r="L133" s="19" t="inlineStr">
        <is>
          <t>As expected.</t>
        </is>
      </c>
      <c r="M133" s="19" t="inlineStr">
        <is>
          <t>Pass</t>
        </is>
      </c>
      <c r="N133" s="19" t="inlineStr"/>
      <c r="O133" s="19" t="inlineStr">
        <is>
          <t>iorta TechNXT QA</t>
        </is>
      </c>
      <c r="P133" s="19" t="inlineStr">
        <is>
          <t>03 October 2026</t>
        </is>
      </c>
      <c r="Q133" s="19" t="inlineStr"/>
      <c r="R133" s="19" t="inlineStr">
        <is>
          <t>backend/test/quotations.test.js :: reads back, lists, searches and updates (premium recalculated) [passed]</t>
        </is>
      </c>
    </row>
    <row r="134">
      <c r="A134" s="19" t="inlineStr">
        <is>
          <t>BV-QUO-005</t>
        </is>
      </c>
      <c r="B134" s="19" t="inlineStr">
        <is>
          <t>Quotations and customer response</t>
        </is>
      </c>
      <c r="C134" s="19" t="inlineStr">
        <is>
          <t>Quotation</t>
        </is>
      </c>
      <c r="D134" s="19" t="inlineStr">
        <is>
          <t>Sales / Account Executive (maria.rivera)</t>
        </is>
      </c>
      <c r="E134" s="19" t="inlineStr">
        <is>
          <t>Quotation PDF prints the breakdown and signatory</t>
        </is>
      </c>
      <c r="F134" s="19" t="inlineStr">
        <is>
          <t>Functional</t>
        </is>
      </c>
      <c r="G134" s="19" t="inlineStr">
        <is>
          <t>Medium</t>
        </is>
      </c>
      <c r="H134" s="19" t="inlineStr">
        <is>
          <t>Motor quotation with CTPL.</t>
        </is>
      </c>
      <c r="I134" s="19" t="inlineStr">
        <is>
          <t>1. Open the quotation.
2. Download the PDF.</t>
        </is>
      </c>
      <c r="J134" s="19" t="inlineStr">
        <is>
          <t>Motor quotation</t>
        </is>
      </c>
      <c r="K134" s="19" t="inlineStr">
        <is>
          <t>PDF shows net + taxes + CTPL = gross, the insured name from the client and the chosen signatory with designation.</t>
        </is>
      </c>
      <c r="L134" s="19" t="inlineStr">
        <is>
          <t>As expected.</t>
        </is>
      </c>
      <c r="M134" s="19" t="inlineStr">
        <is>
          <t>Pass</t>
        </is>
      </c>
      <c r="N134" s="19" t="inlineStr"/>
      <c r="O134" s="19" t="inlineStr">
        <is>
          <t>iorta TechNXT QA</t>
        </is>
      </c>
      <c r="P134" s="19" t="inlineStr">
        <is>
          <t>03 October 2026</t>
        </is>
      </c>
      <c r="Q134" s="19" t="inlineStr"/>
      <c r="R134" s="19" t="inlineStr">
        <is>
          <t>backend/test/printing.test.js :: motor quotation with CTPL: net + taxes + CTPL = gross [passed]
backend/test/quote-to-policy.test.js :: the quotation names its insured from the client [passed]
backend/test/quotations.test.js :: stats, compare, vehicle info, quote PDF and customer e-mail [passed]</t>
        </is>
      </c>
    </row>
    <row r="135">
      <c r="A135" s="19" t="inlineStr">
        <is>
          <t>BV-QUO-006</t>
        </is>
      </c>
      <c r="B135" s="19" t="inlineStr">
        <is>
          <t>Quotations and customer response</t>
        </is>
      </c>
      <c r="C135" s="19" t="inlineStr">
        <is>
          <t>Customer approval</t>
        </is>
      </c>
      <c r="D135" s="19" t="inlineStr">
        <is>
          <t>Sales / Account Executive (maria.rivera)</t>
        </is>
      </c>
      <c r="E135" s="19" t="inlineStr">
        <is>
          <t>Send for customer approval when e-mail is off</t>
        </is>
      </c>
      <c r="F135" s="19" t="inlineStr">
        <is>
          <t>Functional</t>
        </is>
      </c>
      <c r="G135" s="19" t="inlineStr">
        <is>
          <t>High</t>
        </is>
      </c>
      <c r="H135" s="19" t="inlineStr">
        <is>
          <t>E-mail sending switched off.</t>
        </is>
      </c>
      <c r="I135" s="19" t="inlineStr">
        <is>
          <t>1. Open the quotation.
2. Click Send for Customer Approval.</t>
        </is>
      </c>
      <c r="J135" s="19" t="inlineStr">
        <is>
          <t>Quotation of Kristine Villanueva</t>
        </is>
      </c>
      <c r="K135" s="19" t="inlineStr">
        <is>
          <t>Status Pending customer; message "E-mail not sent" explains e-mail is not configured; Copy approval link offered.</t>
        </is>
      </c>
      <c r="L135" s="19" t="inlineStr">
        <is>
          <t>As expected.</t>
        </is>
      </c>
      <c r="M135" s="19" t="inlineStr">
        <is>
          <t>Pass</t>
        </is>
      </c>
      <c r="N135" s="19" t="inlineStr"/>
      <c r="O135" s="19" t="inlineStr">
        <is>
          <t>iorta TechNXT QA</t>
        </is>
      </c>
      <c r="P135" s="19" t="inlineStr">
        <is>
          <t>04 October 2026</t>
        </is>
      </c>
      <c r="Q135" s="19" t="inlineStr"/>
      <c r="R135" s="19" t="inlineStr">
        <is>
          <t>backend/test/customer-response.test.js :: moves to PendingCustomer and says plainly that e-mail is not configured [passed]
backend/test/customer-response.test.js :: returns the current link again, so the e-mailed one keeps working [passed]
UAT cycle 03-04 October 2026, phase Retail package business (84 passed, 0 failed)</t>
        </is>
      </c>
    </row>
    <row r="136">
      <c r="A136" s="19" t="inlineStr">
        <is>
          <t>BV-QUO-007</t>
        </is>
      </c>
      <c r="B136" s="19" t="inlineStr">
        <is>
          <t>Quotations and customer response</t>
        </is>
      </c>
      <c r="C136" s="19" t="inlineStr">
        <is>
          <t>Customer approval</t>
        </is>
      </c>
      <c r="D136" s="19" t="inlineStr">
        <is>
          <t>Sales / Account Executive (maria.rivera)</t>
        </is>
      </c>
      <c r="E136" s="19" t="inlineStr">
        <is>
          <t>Record customer response: accepted with evidence</t>
        </is>
      </c>
      <c r="F136" s="19" t="inlineStr">
        <is>
          <t>Functional</t>
        </is>
      </c>
      <c r="G136" s="19" t="inlineStr">
        <is>
          <t>High</t>
        </is>
      </c>
      <c r="H136" s="19" t="inlineStr">
        <is>
          <t>Quotation Pending customer.</t>
        </is>
      </c>
      <c r="I136" s="19" t="inlineStr">
        <is>
          <t>1. Click Record customer response.
2. Customer's answer: Accepted; Received by: Viber/WhatsApp; Response date; Reference; attach signed form.
3. Click Record response.</t>
        </is>
      </c>
      <c r="J136" s="19" t="inlineStr">
        <is>
          <t>Reference: Viber 03 Oct 2026 10:42; attachment signed-acceptance.pdf</t>
        </is>
      </c>
      <c r="K136" s="19" t="inlineStr">
        <is>
          <t>"Customer response recorded. Quotation status: CustomerAccepted". Evidence stored and shown in the history; audited.</t>
        </is>
      </c>
      <c r="L136" s="19" t="inlineStr">
        <is>
          <t>66 accepted responses recorded in the cycle.</t>
        </is>
      </c>
      <c r="M136" s="19" t="inlineStr">
        <is>
          <t>Pass</t>
        </is>
      </c>
      <c r="N136" s="19" t="inlineStr"/>
      <c r="O136" s="19" t="inlineStr">
        <is>
          <t>iorta TechNXT QA</t>
        </is>
      </c>
      <c r="P136" s="19" t="inlineStr">
        <is>
          <t>04 October 2026</t>
        </is>
      </c>
      <c r="Q136" s="19" t="inlineStr"/>
      <c r="R136" s="19" t="inlineStr">
        <is>
          <t>backend/test/customer-response.test.js :: accepted: CustomerAccepted with the evidence stored, audited and listed [passed]
UAT cycle 03-04 October 2026, phase Retail package business (84 passed, 0 failed)</t>
        </is>
      </c>
    </row>
    <row r="137">
      <c r="A137" s="19" t="inlineStr">
        <is>
          <t>BV-QUO-008</t>
        </is>
      </c>
      <c r="B137" s="19" t="inlineStr">
        <is>
          <t>Quotations and customer response</t>
        </is>
      </c>
      <c r="C137" s="19" t="inlineStr">
        <is>
          <t>Customer approval</t>
        </is>
      </c>
      <c r="D137" s="19" t="inlineStr">
        <is>
          <t>Sales / Account Executive (maria.rivera)</t>
        </is>
      </c>
      <c r="E137" s="19" t="inlineStr">
        <is>
          <t>Record response: declined and revise</t>
        </is>
      </c>
      <c r="F137" s="19" t="inlineStr">
        <is>
          <t>Functional</t>
        </is>
      </c>
      <c r="G137" s="19" t="inlineStr">
        <is>
          <t>Medium</t>
        </is>
      </c>
      <c r="H137" s="19" t="inlineStr">
        <is>
          <t>Two quotations Pending customer.</t>
        </is>
      </c>
      <c r="I137" s="19" t="inlineStr">
        <is>
          <t>1. Record Declined on the first.
2. Record Revise on the second; open the old approval link.</t>
        </is>
      </c>
      <c r="J137" s="19" t="inlineStr">
        <is>
          <t>Declined: "Premium too high"; Revise: "Asked for a lower deductible"</t>
        </is>
      </c>
      <c r="K137" s="19" t="inlineStr">
        <is>
          <t>Declined: status Rejected. Revise: back to Draft and the old link stops working.</t>
        </is>
      </c>
      <c r="L137" s="19" t="inlineStr">
        <is>
          <t>As expected.</t>
        </is>
      </c>
      <c r="M137" s="19" t="inlineStr">
        <is>
          <t>Pass</t>
        </is>
      </c>
      <c r="N137" s="19" t="inlineStr"/>
      <c r="O137" s="19" t="inlineStr">
        <is>
          <t>iorta TechNXT QA</t>
        </is>
      </c>
      <c r="P137" s="19" t="inlineStr">
        <is>
          <t>04 October 2026</t>
        </is>
      </c>
      <c r="Q137" s="19" t="inlineStr"/>
      <c r="R137" s="19" t="inlineStr">
        <is>
          <t>backend/test/customer-response.test.js :: declined: Rejected; revise: back to Draft and the old link stops working [passed]
UAT cycle 03-04 October 2026, phase Retail package business (84 passed, 0 failed)</t>
        </is>
      </c>
    </row>
    <row r="138">
      <c r="A138" s="19" t="inlineStr">
        <is>
          <t>BV-QUO-009</t>
        </is>
      </c>
      <c r="B138" s="19" t="inlineStr">
        <is>
          <t>Quotations and customer response</t>
        </is>
      </c>
      <c r="C138" s="19" t="inlineStr">
        <is>
          <t>Customer approval</t>
        </is>
      </c>
      <c r="D138" s="19" t="inlineStr">
        <is>
          <t>Sales / Account Executive (maria.rivera)</t>
        </is>
      </c>
      <c r="E138" s="19" t="inlineStr">
        <is>
          <t>Customer response evidence validation</t>
        </is>
      </c>
      <c r="F138" s="19" t="inlineStr">
        <is>
          <t>Validation</t>
        </is>
      </c>
      <c r="G138" s="19" t="inlineStr">
        <is>
          <t>Medium</t>
        </is>
      </c>
      <c r="H138" s="19" t="inlineStr">
        <is>
          <t>Record customer response dialog open.</t>
        </is>
      </c>
      <c r="I138" s="19" t="inlineStr">
        <is>
          <t>1. Click Record response with nothing selected.</t>
        </is>
      </c>
      <c r="J138" s="19" t="inlineStr">
        <is>
          <t>Empty form</t>
        </is>
      </c>
      <c r="K138" s="19" t="inlineStr">
        <is>
          <t>"Select how the response was received", "Enter the response date", "Enter a reference or remarks".</t>
        </is>
      </c>
      <c r="L138" s="19" t="inlineStr">
        <is>
          <t>As expected.</t>
        </is>
      </c>
      <c r="M138" s="19" t="inlineStr">
        <is>
          <t>Pass</t>
        </is>
      </c>
      <c r="N138" s="19" t="inlineStr"/>
      <c r="O138" s="19" t="inlineStr">
        <is>
          <t>iorta TechNXT QA</t>
        </is>
      </c>
      <c r="P138" s="19" t="inlineStr">
        <is>
          <t>03 October 2026</t>
        </is>
      </c>
      <c r="Q138" s="19" t="inlineStr"/>
      <c r="R138" s="19" t="inlineStr">
        <is>
          <t>backend/test/customer-response.test.js :: validates the evidence: channel, date, reference or remarks [passed]</t>
        </is>
      </c>
    </row>
    <row r="139">
      <c r="A139" s="19" t="inlineStr">
        <is>
          <t>BV-QUO-010</t>
        </is>
      </c>
      <c r="B139" s="19" t="inlineStr">
        <is>
          <t>Quotations and customer response</t>
        </is>
      </c>
      <c r="C139" s="19" t="inlineStr">
        <is>
          <t>Customer approval</t>
        </is>
      </c>
      <c r="D139" s="19" t="inlineStr">
        <is>
          <t>Sales / Account Executive (maria.rivera)</t>
        </is>
      </c>
      <c r="E139" s="19" t="inlineStr">
        <is>
          <t>Customer approves through the link</t>
        </is>
      </c>
      <c r="F139" s="19" t="inlineStr">
        <is>
          <t>Functional</t>
        </is>
      </c>
      <c r="G139" s="19" t="inlineStr">
        <is>
          <t>High</t>
        </is>
      </c>
      <c r="H139" s="19" t="inlineStr">
        <is>
          <t>E-mail sending on; customer e-mail valid.</t>
        </is>
      </c>
      <c r="I139" s="19" t="inlineStr">
        <is>
          <t>1. Send for Customer Approval.
2. Open the link from the e-mail as the customer.
3. Accept.
4. Open the link with a wrong token.</t>
        </is>
      </c>
      <c r="J139" s="19" t="inlineStr">
        <is>
          <t>Customer e-mail kristine.villanueva@example.ph</t>
        </is>
      </c>
      <c r="K139" s="19" t="inlineStr">
        <is>
          <t>Preview shows the quotation; accept sets Customer accepted; invalid token refused.</t>
        </is>
      </c>
      <c r="L139" s="19" t="inlineStr">
        <is>
          <t>Link flow confirmed in the backend run; e-mail delivery to an inbox not possible because SMTP is not configured.</t>
        </is>
      </c>
      <c r="M139" s="19" t="inlineStr">
        <is>
          <t>Blocked</t>
        </is>
      </c>
      <c r="N139" s="19" t="inlineStr"/>
      <c r="O139" s="19" t="inlineStr">
        <is>
          <t>iorta TechNXT QA</t>
        </is>
      </c>
      <c r="P139" s="19" t="inlineStr">
        <is>
          <t>03 October 2026</t>
        </is>
      </c>
      <c r="Q139" s="19" t="inlineStr">
        <is>
          <t>Re-test with SMTP configured.</t>
        </is>
      </c>
      <c r="R139" s="19" t="inlineStr">
        <is>
          <t>backend/test/quotations.test.js :: public approve-by-customer: preview, accept, invalid token [passed]
backend/test/quotations.test.js :: sends for approval: e-mail with signed link, underwriting notified, PendingCustomer [passed]</t>
        </is>
      </c>
    </row>
    <row r="140">
      <c r="A140" s="19" t="inlineStr">
        <is>
          <t>BV-QUO-011</t>
        </is>
      </c>
      <c r="B140" s="19" t="inlineStr">
        <is>
          <t>Quotations and customer response</t>
        </is>
      </c>
      <c r="C140" s="19" t="inlineStr">
        <is>
          <t>Customer approval</t>
        </is>
      </c>
      <c r="D140" s="19" t="inlineStr">
        <is>
          <t>Sales / Account Executive (maria.rivera)</t>
        </is>
      </c>
      <c r="E140" s="19" t="inlineStr">
        <is>
          <t>Response refused on a quotation not pending</t>
        </is>
      </c>
      <c r="F140" s="19" t="inlineStr">
        <is>
          <t>Negative</t>
        </is>
      </c>
      <c r="G140" s="19" t="inlineStr">
        <is>
          <t>Low</t>
        </is>
      </c>
      <c r="H140" s="19" t="inlineStr">
        <is>
          <t>Draft quotation.</t>
        </is>
      </c>
      <c r="I140" s="19" t="inlineStr">
        <is>
          <t>1. Try to record a customer response on a Draft quotation.</t>
        </is>
      </c>
      <c r="J140" s="19" t="inlineStr">
        <is>
          <t>Draft quotation</t>
        </is>
      </c>
      <c r="K140" s="19" t="inlineStr">
        <is>
          <t>Refused; the transition map is respected.</t>
        </is>
      </c>
      <c r="L140" s="19" t="inlineStr">
        <is>
          <t>As expected.</t>
        </is>
      </c>
      <c r="M140" s="19" t="inlineStr">
        <is>
          <t>Pass</t>
        </is>
      </c>
      <c r="N140" s="19" t="inlineStr"/>
      <c r="O140" s="19" t="inlineStr">
        <is>
          <t>iorta TechNXT QA</t>
        </is>
      </c>
      <c r="P140" s="19" t="inlineStr">
        <is>
          <t>03 October 2026</t>
        </is>
      </c>
      <c r="Q140" s="19" t="inlineStr"/>
      <c r="R140" s="19" t="inlineStr">
        <is>
          <t>backend/test/customer-response.test.js :: issues a new link when the stored one is gone and refuses a quotation that is not pending [passed]
backend/test/customer-response.test.js :: follows the configured outcome status and the transition map [passed]</t>
        </is>
      </c>
    </row>
    <row r="141">
      <c r="A141" s="19" t="inlineStr">
        <is>
          <t>BV-QUO-012</t>
        </is>
      </c>
      <c r="B141" s="19" t="inlineStr">
        <is>
          <t>Quotations and customer response</t>
        </is>
      </c>
      <c r="C141" s="19" t="inlineStr">
        <is>
          <t>Quotation approval</t>
        </is>
      </c>
      <c r="D141" s="19" t="inlineStr">
        <is>
          <t>Processing Team (jose.bernardo)</t>
        </is>
      </c>
      <c r="E141" s="19" t="inlineStr">
        <is>
          <t>Maker cannot approve own quotation slip</t>
        </is>
      </c>
      <c r="F141" s="19" t="inlineStr">
        <is>
          <t>Negative</t>
        </is>
      </c>
      <c r="G141" s="19" t="inlineStr">
        <is>
          <t>High</t>
        </is>
      </c>
      <c r="H141" s="19" t="inlineStr">
        <is>
          <t>Quotation submitted to the insurer by jose.bernardo.</t>
        </is>
      </c>
      <c r="I141" s="19" t="inlineStr">
        <is>
          <t>1. As jose.bernardo open the quotation and click Approve Quotation Slip.
2. As rica.fernandez approve it.</t>
        </is>
      </c>
      <c r="J141" s="19" t="inlineStr">
        <is>
          <t>Quotation slip of Kalayaan Steel Fabricators Inc.</t>
        </is>
      </c>
      <c r="K141" s="19" t="inlineStr">
        <is>
          <t>Maker refused; second user approves.</t>
        </is>
      </c>
      <c r="L141" s="19" t="inlineStr">
        <is>
          <t>As expected.</t>
        </is>
      </c>
      <c r="M141" s="19" t="inlineStr">
        <is>
          <t>Pass</t>
        </is>
      </c>
      <c r="N141" s="19" t="inlineStr"/>
      <c r="O141" s="19" t="inlineStr">
        <is>
          <t>iorta TechNXT QA</t>
        </is>
      </c>
      <c r="P141" s="19" t="inlineStr">
        <is>
          <t>03 October 2026</t>
        </is>
      </c>
      <c r="Q141" s="19" t="inlineStr"/>
      <c r="R141" s="19" t="inlineStr">
        <is>
          <t>backend/test/quotations.test.js :: submits to the insurer, enforces maker-checker on approval and the transition map [passed]</t>
        </is>
      </c>
    </row>
    <row r="142">
      <c r="A142" s="19" t="inlineStr">
        <is>
          <t>BV-QUO-013</t>
        </is>
      </c>
      <c r="B142" s="19" t="inlineStr">
        <is>
          <t>Quotations and customer response</t>
        </is>
      </c>
      <c r="C142" s="19" t="inlineStr">
        <is>
          <t>Quotation</t>
        </is>
      </c>
      <c r="D142" s="19" t="inlineStr">
        <is>
          <t>Sales / Account Executive (maria.rivera)</t>
        </is>
      </c>
      <c r="E142" s="19" t="inlineStr">
        <is>
          <t>Convert or delete in the wrong status refused</t>
        </is>
      </c>
      <c r="F142" s="19" t="inlineStr">
        <is>
          <t>Negative</t>
        </is>
      </c>
      <c r="G142" s="19" t="inlineStr">
        <is>
          <t>Medium</t>
        </is>
      </c>
      <c r="H142" s="19" t="inlineStr">
        <is>
          <t>Draft quotation; converted quotation.</t>
        </is>
      </c>
      <c r="I142" s="19" t="inlineStr">
        <is>
          <t>1. Click Convert to Policy on a Draft quotation.
2. Delete a converted quotation.</t>
        </is>
      </c>
      <c r="J142" s="19" t="inlineStr">
        <is>
          <t>Draft and converted quotations</t>
        </is>
      </c>
      <c r="K142" s="19" t="inlineStr">
        <is>
          <t>Both refused with a status message.</t>
        </is>
      </c>
      <c r="L142" s="19" t="inlineStr">
        <is>
          <t>As expected.</t>
        </is>
      </c>
      <c r="M142" s="19" t="inlineStr">
        <is>
          <t>Pass</t>
        </is>
      </c>
      <c r="N142" s="19" t="inlineStr"/>
      <c r="O142" s="19" t="inlineStr">
        <is>
          <t>iorta TechNXT QA</t>
        </is>
      </c>
      <c r="P142" s="19" t="inlineStr">
        <is>
          <t>03 October 2026</t>
        </is>
      </c>
      <c r="Q142" s="19" t="inlineStr"/>
      <c r="R142" s="19" t="inlineStr">
        <is>
          <t>backend/test/quotations.test.js :: refuses to convert or delete quotations in the wrong status [passed]</t>
        </is>
      </c>
    </row>
    <row r="143">
      <c r="A143" s="19" t="inlineStr">
        <is>
          <t>BV-QUO-014</t>
        </is>
      </c>
      <c r="B143" s="19" t="inlineStr">
        <is>
          <t>Quotations and customer response</t>
        </is>
      </c>
      <c r="C143" s="19" t="inlineStr">
        <is>
          <t>Quotation</t>
        </is>
      </c>
      <c r="D143" s="19" t="inlineStr">
        <is>
          <t>Sales / Account Executive (maria.rivera)</t>
        </is>
      </c>
      <c r="E143" s="19" t="inlineStr">
        <is>
          <t>Bulk upload quotations from CSV</t>
        </is>
      </c>
      <c r="F143" s="19" t="inlineStr">
        <is>
          <t>Functional</t>
        </is>
      </c>
      <c r="G143" s="19" t="inlineStr">
        <is>
          <t>Low</t>
        </is>
      </c>
      <c r="H143" s="19" t="inlineStr">
        <is>
          <t>Template downloaded.</t>
        </is>
      </c>
      <c r="I143" s="19" t="inlineStr">
        <is>
          <t>1. Open Quotations, click upload and click Download Template.
2. Upload 2 rows.</t>
        </is>
      </c>
      <c r="J143" s="19" t="inlineStr">
        <is>
          <t>2 motor quotations</t>
        </is>
      </c>
      <c r="K143" s="19" t="inlineStr">
        <is>
          <t>Both created; errors reported per row.</t>
        </is>
      </c>
      <c r="L143" s="19" t="inlineStr">
        <is>
          <t>As expected.</t>
        </is>
      </c>
      <c r="M143" s="19" t="inlineStr">
        <is>
          <t>Pass</t>
        </is>
      </c>
      <c r="N143" s="19" t="inlineStr"/>
      <c r="O143" s="19" t="inlineStr">
        <is>
          <t>iorta TechNXT QA</t>
        </is>
      </c>
      <c r="P143" s="19" t="inlineStr">
        <is>
          <t>03 October 2026</t>
        </is>
      </c>
      <c r="Q143" s="19" t="inlineStr"/>
      <c r="R143" s="19" t="inlineStr">
        <is>
          <t>backend/test/quotations.test.js :: bulk uploads quotations from CSV [passed]</t>
        </is>
      </c>
    </row>
    <row r="144">
      <c r="A144" s="19" t="inlineStr">
        <is>
          <t>BV-QUO-015</t>
        </is>
      </c>
      <c r="B144" s="19" t="inlineStr">
        <is>
          <t>Quotations and customer response</t>
        </is>
      </c>
      <c r="C144" s="19" t="inlineStr">
        <is>
          <t>Quotation</t>
        </is>
      </c>
      <c r="D144" s="19" t="inlineStr">
        <is>
          <t>Sales / Account Executive (maria.rivera)</t>
        </is>
      </c>
      <c r="E144" s="19" t="inlineStr">
        <is>
          <t>Quotation by another user on own prospect appears in list and funnel</t>
        </is>
      </c>
      <c r="F144" s="19" t="inlineStr">
        <is>
          <t>Integration</t>
        </is>
      </c>
      <c r="G144" s="19" t="inlineStr">
        <is>
          <t>Low</t>
        </is>
      </c>
      <c r="H144" s="19" t="inlineStr">
        <is>
          <t>jose.bernardo creates a quotation on maria.rivera's prospect.</t>
        </is>
      </c>
      <c r="I144" s="19" t="inlineStr">
        <is>
          <t>1. As maria.rivera open Quotations and the Sales Dashboard funnel.</t>
        </is>
      </c>
      <c r="J144" s="19" t="inlineStr">
        <is>
          <t>Prospect of maria.rivera</t>
        </is>
      </c>
      <c r="K144" s="19" t="inlineStr">
        <is>
          <t>Quotation listed and counted in the funnel.</t>
        </is>
      </c>
      <c r="L144" s="19" t="inlineStr">
        <is>
          <t>As expected.</t>
        </is>
      </c>
      <c r="M144" s="19" t="inlineStr">
        <is>
          <t>Pass</t>
        </is>
      </c>
      <c r="N144" s="19" t="inlineStr"/>
      <c r="O144" s="19" t="inlineStr">
        <is>
          <t>iorta TechNXT QA</t>
        </is>
      </c>
      <c r="P144" s="19" t="inlineStr">
        <is>
          <t>03 October 2026</t>
        </is>
      </c>
      <c r="Q144" s="19" t="inlineStr"/>
      <c r="R144" s="19" t="inlineStr">
        <is>
          <t>backend/test/role-access.test.js :: a quotation another user creates on the agent's lead is in both the quotation list and the dashboard funnel [passed]</t>
        </is>
      </c>
    </row>
    <row r="145">
      <c r="A145" s="19" t="inlineStr">
        <is>
          <t>BV-QUO-016</t>
        </is>
      </c>
      <c r="B145" s="19" t="inlineStr">
        <is>
          <t>Quotations and customer response</t>
        </is>
      </c>
      <c r="C145" s="19" t="inlineStr">
        <is>
          <t>Quotation</t>
        </is>
      </c>
      <c r="D145" s="19" t="inlineStr">
        <is>
          <t>Sales / Account Executive (maria.rivera)</t>
        </is>
      </c>
      <c r="E145" s="19" t="inlineStr">
        <is>
          <t>Quotation statistics</t>
        </is>
      </c>
      <c r="F145" s="19" t="inlineStr">
        <is>
          <t>Report</t>
        </is>
      </c>
      <c r="G145" s="19" t="inlineStr">
        <is>
          <t>Low</t>
        </is>
      </c>
      <c r="H145" s="19" t="inlineStr">
        <is>
          <t>Quotations exist.</t>
        </is>
      </c>
      <c r="I145" s="19" t="inlineStr">
        <is>
          <t>1. Open Quotations and read the totals.</t>
        </is>
      </c>
      <c r="J145" s="19" t="inlineStr">
        <is>
          <t>None</t>
        </is>
      </c>
      <c r="K145" s="19" t="inlineStr">
        <is>
          <t>Totals by status shown.</t>
        </is>
      </c>
      <c r="L145" s="19" t="inlineStr">
        <is>
          <t>As expected.</t>
        </is>
      </c>
      <c r="M145" s="19" t="inlineStr">
        <is>
          <t>Pass</t>
        </is>
      </c>
      <c r="N145" s="19" t="inlineStr"/>
      <c r="O145" s="19" t="inlineStr">
        <is>
          <t>iorta TechNXT QA</t>
        </is>
      </c>
      <c r="P145" s="19" t="inlineStr">
        <is>
          <t>04 October 2026</t>
        </is>
      </c>
      <c r="Q145" s="19" t="inlineStr"/>
      <c r="R145" s="19" t="inlineStr">
        <is>
          <t>backend/test/quotations.test.js :: stats, compare, vehicle info, quote PDF and customer e-mail [passed]
UAT cycle 03-04 October 2026, phase Reports and dashboards (58 passed, 0 failed)</t>
        </is>
      </c>
    </row>
    <row r="146">
      <c r="A146" s="19" t="inlineStr">
        <is>
          <t>BV-RFQ-001</t>
        </is>
      </c>
      <c r="B146" s="19" t="inlineStr">
        <is>
          <t>Request for quotation and placement</t>
        </is>
      </c>
      <c r="C146" s="19" t="inlineStr">
        <is>
          <t>Request for Quotation</t>
        </is>
      </c>
      <c r="D146" s="19" t="inlineStr">
        <is>
          <t>Sales / Account Executive (maria.rivera)</t>
        </is>
      </c>
      <c r="E146" s="19" t="inlineStr">
        <is>
          <t>Retail RFQ to two insurers (PA)</t>
        </is>
      </c>
      <c r="F146" s="19" t="inlineStr">
        <is>
          <t>Functional</t>
        </is>
      </c>
      <c r="G146" s="19" t="inlineStr">
        <is>
          <t>High</t>
        </is>
      </c>
      <c r="H146" s="19" t="inlineStr">
        <is>
          <t>Prospect for Personal Accident.</t>
        </is>
      </c>
      <c r="I146" s="19" t="inlineStr">
        <is>
          <t>1. Open Operations &gt; Sales &amp; Marketing &gt; Request for Quotation.
2. Click New Request for Quotation.
3. Select prospect, product PA, sum insured, requested covers, insurers Luzon Bay and Harbor Point.
4. Click Save and submit to market.</t>
        </is>
      </c>
      <c r="J146" s="19" t="inlineStr">
        <is>
          <t>PA AD&amp;D PHP 500,000.00; medical PHP 50,000.00; occupation Teacher</t>
        </is>
      </c>
      <c r="K146" s="19" t="inlineStr">
        <is>
          <t>Slip numbered; one pending request per insurer.</t>
        </is>
      </c>
      <c r="L146" s="19" t="inlineStr">
        <is>
          <t>10 PA, 6 Travel and 8 Home RFQs sent in the cycle.</t>
        </is>
      </c>
      <c r="M146" s="19" t="inlineStr">
        <is>
          <t>Pass</t>
        </is>
      </c>
      <c r="N146" s="19" t="inlineStr"/>
      <c r="O146" s="19" t="inlineStr">
        <is>
          <t>iorta TechNXT QA</t>
        </is>
      </c>
      <c r="P146" s="19" t="inlineStr">
        <is>
          <t>04 October 2026</t>
        </is>
      </c>
      <c r="Q146" s="19" t="inlineStr"/>
      <c r="R146" s="19" t="inlineStr">
        <is>
          <t>backend/test/placement.test.js :: creates a broker slip with the market and submits it (one queued request per insurer) [passed]
UAT cycle 03-04 October 2026, phase Retail package business (84 passed, 0 failed)
Screen check /placement/broker-slips: opened clean</t>
        </is>
      </c>
    </row>
    <row r="147">
      <c r="A147" s="19" t="inlineStr">
        <is>
          <t>BV-RFQ-002</t>
        </is>
      </c>
      <c r="B147" s="19" t="inlineStr">
        <is>
          <t>Request for quotation and placement</t>
        </is>
      </c>
      <c r="C147" s="19" t="inlineStr">
        <is>
          <t>Request for Quotation</t>
        </is>
      </c>
      <c r="D147" s="19" t="inlineStr">
        <is>
          <t>Sales / Account Executive (maria.rivera)</t>
        </is>
      </c>
      <c r="E147" s="19" t="inlineStr">
        <is>
          <t>RFQ saves a new prospect in one step</t>
        </is>
      </c>
      <c r="F147" s="19" t="inlineStr">
        <is>
          <t>Functional</t>
        </is>
      </c>
      <c r="G147" s="19" t="inlineStr">
        <is>
          <t>Medium</t>
        </is>
      </c>
      <c r="H147" s="19" t="inlineStr">
        <is>
          <t>No prospect yet.</t>
        </is>
      </c>
      <c r="I147" s="19" t="inlineStr">
        <is>
          <t>1. New Request for Quotation, choose New insured and type the name.
2. Save.</t>
        </is>
      </c>
      <c r="J147" s="19" t="inlineStr">
        <is>
          <t>Bagong Silangan Agri-Ventures Corp.</t>
        </is>
      </c>
      <c r="K147" s="19" t="inlineStr">
        <is>
          <t>Prospect created and slip saved against it; on failure nothing is saved.</t>
        </is>
      </c>
      <c r="L147" s="19" t="inlineStr">
        <is>
          <t>As expected.</t>
        </is>
      </c>
      <c r="M147" s="19" t="inlineStr">
        <is>
          <t>Pass</t>
        </is>
      </c>
      <c r="N147" s="19" t="inlineStr"/>
      <c r="O147" s="19" t="inlineStr">
        <is>
          <t>iorta TechNXT QA</t>
        </is>
      </c>
      <c r="P147" s="19" t="inlineStr">
        <is>
          <t>03 October 2026</t>
        </is>
      </c>
      <c r="Q147" s="19" t="inlineStr"/>
      <c r="R147" s="19" t="inlineStr">
        <is>
          <t>backend/test/request-for-quotation.test.js :: saves the prospect as a lead and the slip against it in one step [passed]
backend/test/request-for-quotation.test.js :: needs a lead, a client or a prospect with a name, and saves nothing on failure [passed]</t>
        </is>
      </c>
    </row>
    <row r="148">
      <c r="A148" s="19" t="inlineStr">
        <is>
          <t>BV-RFQ-003</t>
        </is>
      </c>
      <c r="B148" s="19" t="inlineStr">
        <is>
          <t>Request for quotation and placement</t>
        </is>
      </c>
      <c r="C148" s="19" t="inlineStr">
        <is>
          <t>Offers</t>
        </is>
      </c>
      <c r="D148" s="19" t="inlineStr">
        <is>
          <t>Processing Team (jose.bernardo)</t>
        </is>
      </c>
      <c r="E148" s="19" t="inlineStr">
        <is>
          <t>Record offers and declines, compare and prepare a quotation slip</t>
        </is>
      </c>
      <c r="F148" s="19" t="inlineStr">
        <is>
          <t>Functional</t>
        </is>
      </c>
      <c r="G148" s="19" t="inlineStr">
        <is>
          <t>High</t>
        </is>
      </c>
      <c r="H148" s="19" t="inlineStr">
        <is>
          <t>Corporate fire RFQ sent to 3 insurers.</t>
        </is>
      </c>
      <c r="I148" s="19" t="inlineStr">
        <is>
          <t>1. Open the slip.
2. Record response for two insurers (premium, share, reference, deductibles, validity).
3. Record decline for the third with a reason.
4. Open Compare offers.
5. Select two lines and click Prepare Quotation Slip with shares 60 / 40.</t>
        </is>
      </c>
      <c r="J148" s="19" t="inlineStr">
        <is>
          <t>Kalayaan Steel Fabricators Inc.; fire PHP 120,000,000.00; Pacific Crest 60%, Visayas Mutual 40%; decline: Treaty capacity used for the zone</t>
        </is>
      </c>
      <c r="K148" s="19" t="inlineStr">
        <is>
          <t>Comparison shows premiums and the best offer; co-insurance quotation slip prepared with lead insurer.</t>
        </is>
      </c>
      <c r="L148" s="19" t="inlineStr">
        <is>
          <t>102 offers and 16 declines recorded; 4 FIRE co-insurance slips prepared.</t>
        </is>
      </c>
      <c r="M148" s="19" t="inlineStr">
        <is>
          <t>Pass</t>
        </is>
      </c>
      <c r="N148" s="19" t="inlineStr"/>
      <c r="O148" s="19" t="inlineStr">
        <is>
          <t>iorta TechNXT QA</t>
        </is>
      </c>
      <c r="P148" s="19" t="inlineStr">
        <is>
          <t>04 October 2026</t>
        </is>
      </c>
      <c r="Q148" s="19" t="inlineStr"/>
      <c r="R148" s="19" t="inlineStr">
        <is>
          <t>backend/test/placement.test.js :: records the offers and declines, compares them and prepares a co-insurance Quotation Slip from two lines [passed]
UAT cycle 03-04 October 2026, phase Corporate non-package business (45 passed, 0 failed)</t>
        </is>
      </c>
    </row>
    <row r="149">
      <c r="A149" s="19" t="inlineStr">
        <is>
          <t>BV-RFQ-004</t>
        </is>
      </c>
      <c r="B149" s="19" t="inlineStr">
        <is>
          <t>Request for quotation and placement</t>
        </is>
      </c>
      <c r="C149" s="19" t="inlineStr">
        <is>
          <t>Offers</t>
        </is>
      </c>
      <c r="D149" s="19" t="inlineStr">
        <is>
          <t>Processing Team (jose.bernardo)</t>
        </is>
      </c>
      <c r="E149" s="19" t="inlineStr">
        <is>
          <t>Shares must total 100% with one lead</t>
        </is>
      </c>
      <c r="F149" s="19" t="inlineStr">
        <is>
          <t>Validation</t>
        </is>
      </c>
      <c r="G149" s="19" t="inlineStr">
        <is>
          <t>High</t>
        </is>
      </c>
      <c r="H149" s="19" t="inlineStr">
        <is>
          <t>Prepare Quotation Slip dialog.</t>
        </is>
      </c>
      <c r="I149" s="19" t="inlineStr">
        <is>
          <t>1. Enter shares 60 / 30.
2. Mark two leads.
3. Add an unknown insurer.</t>
        </is>
      </c>
      <c r="J149" s="19" t="inlineStr">
        <is>
          <t>Shares 60 / 30</t>
        </is>
      </c>
      <c r="K149" s="19" t="inlineStr">
        <is>
          <t>Each refused with a clear message.</t>
        </is>
      </c>
      <c r="L149" s="19" t="inlineStr">
        <is>
          <t>As expected.</t>
        </is>
      </c>
      <c r="M149" s="19" t="inlineStr">
        <is>
          <t>Pass</t>
        </is>
      </c>
      <c r="N149" s="19" t="inlineStr"/>
      <c r="O149" s="19" t="inlineStr">
        <is>
          <t>iorta TechNXT QA</t>
        </is>
      </c>
      <c r="P149" s="19" t="inlineStr">
        <is>
          <t>03 October 2026</t>
        </is>
      </c>
      <c r="Q149" s="19" t="inlineStr"/>
      <c r="R149" s="19" t="inlineStr">
        <is>
          <t>backend/test/placement.test.js :: rejects shares that do not total 100%, two leads and unknown insurers with a clear message [passed]</t>
        </is>
      </c>
    </row>
    <row r="150">
      <c r="A150" s="19" t="inlineStr">
        <is>
          <t>BV-RFQ-005</t>
        </is>
      </c>
      <c r="B150" s="19" t="inlineStr">
        <is>
          <t>Request for quotation and placement</t>
        </is>
      </c>
      <c r="C150" s="19" t="inlineStr">
        <is>
          <t>Offers</t>
        </is>
      </c>
      <c r="D150" s="19" t="inlineStr">
        <is>
          <t>Processing Team (jose.bernardo)</t>
        </is>
      </c>
      <c r="E150" s="19" t="inlineStr">
        <is>
          <t>Participant amounts split with the remainder on the lead</t>
        </is>
      </c>
      <c r="F150" s="19" t="inlineStr">
        <is>
          <t>Accounting</t>
        </is>
      </c>
      <c r="G150" s="19" t="inlineStr">
        <is>
          <t>Medium</t>
        </is>
      </c>
      <c r="H150" s="19" t="inlineStr">
        <is>
          <t>Three-way co-insurance 50 / 30 / 20.</t>
        </is>
      </c>
      <c r="I150" s="19" t="inlineStr">
        <is>
          <t>1. Issue the policy.
2. Read participant premiums.</t>
        </is>
      </c>
      <c r="J150" s="19" t="inlineStr">
        <is>
          <t>Gross PHP 1,000,000.01</t>
        </is>
      </c>
      <c r="K150" s="19" t="inlineStr">
        <is>
          <t>Each share rounded to centavos; remainder centavo on the lead insurer.</t>
        </is>
      </c>
      <c r="L150" s="19" t="inlineStr">
        <is>
          <t>As expected.</t>
        </is>
      </c>
      <c r="M150" s="19" t="inlineStr">
        <is>
          <t>Pass</t>
        </is>
      </c>
      <c r="N150" s="19" t="inlineStr"/>
      <c r="O150" s="19" t="inlineStr">
        <is>
          <t>iorta TechNXT QA</t>
        </is>
      </c>
      <c r="P150" s="19" t="inlineStr">
        <is>
          <t>03 October 2026</t>
        </is>
      </c>
      <c r="Q150" s="19" t="inlineStr"/>
      <c r="R150" s="19" t="inlineStr">
        <is>
          <t>backend/test/placement.test.js :: splits with round2 and puts the remainder on the lead (unit) [passed]
backend/test/placement.test.js :: writes participants by insurer id, splits by share with the remainder on the lead and keeps the legacy participantDetails [passed]</t>
        </is>
      </c>
    </row>
    <row r="151">
      <c r="A151" s="19" t="inlineStr">
        <is>
          <t>BV-RFQ-006</t>
        </is>
      </c>
      <c r="B151" s="19" t="inlineStr">
        <is>
          <t>Request for quotation and placement</t>
        </is>
      </c>
      <c r="C151" s="19" t="inlineStr">
        <is>
          <t>Placement Slips</t>
        </is>
      </c>
      <c r="D151" s="19" t="inlineStr">
        <is>
          <t>Processing Team (jose.bernardo)</t>
        </is>
      </c>
      <c r="E151" s="19" t="inlineStr">
        <is>
          <t>Placement slip, firm order and insurer bindings</t>
        </is>
      </c>
      <c r="F151" s="19" t="inlineStr">
        <is>
          <t>Functional</t>
        </is>
      </c>
      <c r="G151" s="19" t="inlineStr">
        <is>
          <t>High</t>
        </is>
      </c>
      <c r="H151" s="19" t="inlineStr">
        <is>
          <t>Quotation slip accepted by the client.</t>
        </is>
      </c>
      <c r="I151" s="19" t="inlineStr">
        <is>
          <t>1. Open Operations &gt; Sales &amp; Marketing &gt; Placement Slips.
2. Click Create Placement Slip from the quotation.
3. Click Send to insurer(s).
4. Record each insurer's confirmation with its reference.
5. Click Issue Policy.</t>
        </is>
      </c>
      <c r="J151" s="19" t="inlineStr">
        <is>
          <t>PCIC-FIRE-2026-xxxxxx; VIS-FIRE-2026-xxxxxx</t>
        </is>
      </c>
      <c r="K151" s="19" t="inlineStr">
        <is>
          <t>Policy issued only after every insurer confirms; participants copied; lead insurer on the policy; quotation Converted.</t>
        </is>
      </c>
      <c r="L151" s="19" t="inlineStr">
        <is>
          <t>22 placement slips; 36 bindings; 22 corporate policies issued from placements.</t>
        </is>
      </c>
      <c r="M151" s="19" t="inlineStr">
        <is>
          <t>Pass</t>
        </is>
      </c>
      <c r="N151" s="19" t="inlineStr"/>
      <c r="O151" s="19" t="inlineStr">
        <is>
          <t>iorta TechNXT QA</t>
        </is>
      </c>
      <c r="P151" s="19" t="inlineStr">
        <is>
          <t>04 October 2026</t>
        </is>
      </c>
      <c r="Q151" s="19" t="inlineStr"/>
      <c r="R151" s="19" t="inlineStr">
        <is>
          <t>backend/test/placement.test.js :: creates the Placement Slip from the quotation, sends it and records each insurer's binding [passed]
backend/test/placement.test.js :: sends the firm order per participant and binds when every insurer confirms [passed]
backend/test/placement.test.js :: issues the policy from the bound placement: participants copied, lead insurer on the policy, quotation converted [passed]
UAT cycle 03-04 October 2026, phase Corporate non-package business (45 passed, 0 failed)
Screen check /placement/placement-slips: opened clean</t>
        </is>
      </c>
    </row>
    <row r="152">
      <c r="A152" s="19" t="inlineStr">
        <is>
          <t>BV-RFQ-007</t>
        </is>
      </c>
      <c r="B152" s="19" t="inlineStr">
        <is>
          <t>Request for quotation and placement</t>
        </is>
      </c>
      <c r="C152" s="19" t="inlineStr">
        <is>
          <t>Placement Slips</t>
        </is>
      </c>
      <c r="D152" s="19" t="inlineStr">
        <is>
          <t>Processing Team (jose.bernardo)</t>
        </is>
      </c>
      <c r="E152" s="19" t="inlineStr">
        <is>
          <t>Non-package product cannot skip the placement slip</t>
        </is>
      </c>
      <c r="F152" s="19" t="inlineStr">
        <is>
          <t>Negative</t>
        </is>
      </c>
      <c r="G152" s="19" t="inlineStr">
        <is>
          <t>High</t>
        </is>
      </c>
      <c r="H152" s="19" t="inlineStr">
        <is>
          <t>Accepted FIRE quotation slip.</t>
        </is>
      </c>
      <c r="I152" s="19" t="inlineStr">
        <is>
          <t>1. Click Convert to Policy directly.</t>
        </is>
      </c>
      <c r="J152" s="19" t="inlineStr">
        <is>
          <t>FIRE quotation</t>
        </is>
      </c>
      <c r="K152" s="19" t="inlineStr">
        <is>
          <t>Refused: the journey requires a Placement Slip.</t>
        </is>
      </c>
      <c r="L152" s="19" t="inlineStr">
        <is>
          <t>As expected.</t>
        </is>
      </c>
      <c r="M152" s="19" t="inlineStr">
        <is>
          <t>Pass</t>
        </is>
      </c>
      <c r="N152" s="19" t="inlineStr"/>
      <c r="O152" s="19" t="inlineStr">
        <is>
          <t>iorta TechNXT QA</t>
        </is>
      </c>
      <c r="P152" s="19" t="inlineStr">
        <is>
          <t>03 October 2026</t>
        </is>
      </c>
      <c r="Q152" s="19" t="inlineStr"/>
      <c r="R152" s="19" t="inlineStr">
        <is>
          <t>backend/test/placement.test.js :: refuses the direct conversion when the journey requires a Placement Slip [passed]
backend/test/product-classification.test.js :: non-package: placement slip required [passed]</t>
        </is>
      </c>
    </row>
    <row r="153">
      <c r="A153" s="19" t="inlineStr">
        <is>
          <t>BV-RFQ-008</t>
        </is>
      </c>
      <c r="B153" s="19" t="inlineStr">
        <is>
          <t>Request for quotation and placement</t>
        </is>
      </c>
      <c r="C153" s="19" t="inlineStr">
        <is>
          <t>Placement Slips</t>
        </is>
      </c>
      <c r="D153" s="19" t="inlineStr">
        <is>
          <t>Processing Team (jose.bernardo)</t>
        </is>
      </c>
      <c r="E153" s="19" t="inlineStr">
        <is>
          <t>Direct motor placement refused; optional placement allowed</t>
        </is>
      </c>
      <c r="F153" s="19" t="inlineStr">
        <is>
          <t>Negative</t>
        </is>
      </c>
      <c r="G153" s="19" t="inlineStr">
        <is>
          <t>Medium</t>
        </is>
      </c>
      <c r="H153" s="19" t="inlineStr">
        <is>
          <t>Motor quotation.</t>
        </is>
      </c>
      <c r="I153" s="19" t="inlineStr">
        <is>
          <t>1. Try New direct placement for a motor risk.
2. Create a placement slip from an accepted motor quotation.</t>
        </is>
      </c>
      <c r="J153" s="19" t="inlineStr">
        <is>
          <t>Motor quotation</t>
        </is>
      </c>
      <c r="K153" s="19" t="inlineStr">
        <is>
          <t>Direct placement refused (motor needs a Quotation Slip); optional placement slip accepted.</t>
        </is>
      </c>
      <c r="L153" s="19" t="inlineStr">
        <is>
          <t>As expected.</t>
        </is>
      </c>
      <c r="M153" s="19" t="inlineStr">
        <is>
          <t>Pass</t>
        </is>
      </c>
      <c r="N153" s="19" t="inlineStr"/>
      <c r="O153" s="19" t="inlineStr">
        <is>
          <t>iorta TechNXT QA</t>
        </is>
      </c>
      <c r="P153" s="19" t="inlineStr">
        <is>
          <t>03 October 2026</t>
        </is>
      </c>
      <c r="Q153" s="19" t="inlineStr"/>
      <c r="R153" s="19" t="inlineStr">
        <is>
          <t>backend/test/placement.test.js :: refuses a direct motor placement (the motor journey requires a Quotation Slip) [passed]
backend/test/placement.test.js :: a motor quotation can still go through an optional placement slip [passed]</t>
        </is>
      </c>
    </row>
    <row r="154">
      <c r="A154" s="19" t="inlineStr">
        <is>
          <t>BV-RFQ-009</t>
        </is>
      </c>
      <c r="B154" s="19" t="inlineStr">
        <is>
          <t>Request for quotation and placement</t>
        </is>
      </c>
      <c r="C154" s="19" t="inlineStr">
        <is>
          <t>Placement Slips</t>
        </is>
      </c>
      <c r="D154" s="19" t="inlineStr">
        <is>
          <t>Processing Team (jose.bernardo)</t>
        </is>
      </c>
      <c r="E154" s="19" t="inlineStr">
        <is>
          <t>Marine cargo placed directly with co-insurers</t>
        </is>
      </c>
      <c r="F154" s="19" t="inlineStr">
        <is>
          <t>Functional</t>
        </is>
      </c>
      <c r="G154" s="19" t="inlineStr">
        <is>
          <t>Medium</t>
        </is>
      </c>
      <c r="H154" s="19" t="inlineStr">
        <is>
          <t>Marine journey allows direct placement.</t>
        </is>
      </c>
      <c r="I154" s="19" t="inlineStr">
        <is>
          <t>1. Click New direct placement, product Marine Cargo, add two insurers with shares.
2. Send, bind and issue.</t>
        </is>
      </c>
      <c r="J154" s="19" t="inlineStr">
        <is>
          <t>Dagat Asul Seafoods Export Corp.; Harbor Point 60%, Luzon Bay 40%</t>
        </is>
      </c>
      <c r="K154" s="19" t="inlineStr">
        <is>
          <t>Policy issued with both participants.</t>
        </is>
      </c>
      <c r="L154" s="19" t="inlineStr">
        <is>
          <t>As expected.</t>
        </is>
      </c>
      <c r="M154" s="19" t="inlineStr">
        <is>
          <t>Pass</t>
        </is>
      </c>
      <c r="N154" s="19" t="inlineStr"/>
      <c r="O154" s="19" t="inlineStr">
        <is>
          <t>iorta TechNXT QA</t>
        </is>
      </c>
      <c r="P154" s="19" t="inlineStr">
        <is>
          <t>04 October 2026</t>
        </is>
      </c>
      <c r="Q154" s="19" t="inlineStr"/>
      <c r="R154" s="19" t="inlineStr">
        <is>
          <t>backend/test/placement.test.js :: places a marine cargo risk directly with co-insurers, binds and issues [passed]
UAT cycle 03-04 October 2026, phase Corporate non-package business (45 passed, 0 failed)</t>
        </is>
      </c>
    </row>
    <row r="155">
      <c r="A155" s="19" t="inlineStr">
        <is>
          <t>BV-RFQ-010</t>
        </is>
      </c>
      <c r="B155" s="19" t="inlineStr">
        <is>
          <t>Request for quotation and placement</t>
        </is>
      </c>
      <c r="C155" s="19" t="inlineStr">
        <is>
          <t>Request for Quotation</t>
        </is>
      </c>
      <c r="D155" s="19" t="inlineStr">
        <is>
          <t>Processing Team (jose.bernardo)</t>
        </is>
      </c>
      <c r="E155" s="19" t="inlineStr">
        <is>
          <t>Close an RFQ not taken up</t>
        </is>
      </c>
      <c r="F155" s="19" t="inlineStr">
        <is>
          <t>Functional</t>
        </is>
      </c>
      <c r="G155" s="19" t="inlineStr">
        <is>
          <t>Low</t>
        </is>
      </c>
      <c r="H155" s="19" t="inlineStr">
        <is>
          <t>RFQ with offers.</t>
        </is>
      </c>
      <c r="I155" s="19" t="inlineStr">
        <is>
          <t>1. Open the slip and click Close (not taken up) with a reason.</t>
        </is>
      </c>
      <c r="J155" s="19" t="inlineStr">
        <is>
          <t>Reason: Client renewed with its existing broker</t>
        </is>
      </c>
      <c r="K155" s="19" t="inlineStr">
        <is>
          <t>Slip Closed; it no longer appears in open work.</t>
        </is>
      </c>
      <c r="L155" s="19" t="inlineStr">
        <is>
          <t>As expected.</t>
        </is>
      </c>
      <c r="M155" s="19" t="inlineStr">
        <is>
          <t>Pass</t>
        </is>
      </c>
      <c r="N155" s="19" t="inlineStr"/>
      <c r="O155" s="19" t="inlineStr">
        <is>
          <t>iorta TechNXT QA</t>
        </is>
      </c>
      <c r="P155" s="19" t="inlineStr">
        <is>
          <t>04 October 2026</t>
        </is>
      </c>
      <c r="Q155" s="19" t="inlineStr"/>
      <c r="R155" s="19" t="inlineStr">
        <is>
          <t>backend/test/placement.test.js :: placementSlip skip / brokerSlip required / directPolicy skip are enforced [passed]
UAT cycle 03-04 October 2026, phase Corporate non-package business (45 passed, 0 failed)</t>
        </is>
      </c>
    </row>
    <row r="156">
      <c r="A156" s="19" t="inlineStr">
        <is>
          <t>BV-RFQ-011</t>
        </is>
      </c>
      <c r="B156" s="19" t="inlineStr">
        <is>
          <t>Request for quotation and placement</t>
        </is>
      </c>
      <c r="C156" s="19" t="inlineStr">
        <is>
          <t>Record Issued Policy</t>
        </is>
      </c>
      <c r="D156" s="19" t="inlineStr">
        <is>
          <t>Processing Team (jose.bernardo)</t>
        </is>
      </c>
      <c r="E156" s="19" t="inlineStr">
        <is>
          <t>Record a policy the insurer already issued</t>
        </is>
      </c>
      <c r="F156" s="19" t="inlineStr">
        <is>
          <t>Functional</t>
        </is>
      </c>
      <c r="G156" s="19" t="inlineStr">
        <is>
          <t>Medium</t>
        </is>
      </c>
      <c r="H156" s="19" t="inlineStr">
        <is>
          <t>Corporate client exists.</t>
        </is>
      </c>
      <c r="I156" s="19" t="inlineStr">
        <is>
          <t>1. Open Placement Slips and click Record Issued Policy.
2. Enter product Surety Bond, policy number, dates, sum insured, net premium, insurer 100%.
3. Click Record policy.</t>
        </is>
      </c>
      <c r="J156" s="19" t="inlineStr">
        <is>
          <t>TALA-PB-2026-xxxxx; DPWH road widening package 3; SI PHP 15,000,000.00; net PHP 67,500.00</t>
        </is>
      </c>
      <c r="K156" s="19" t="inlineStr">
        <is>
          <t>Policy recorded in one step with bill and booking.</t>
        </is>
      </c>
      <c r="L156" s="19" t="inlineStr">
        <is>
          <t>As expected.</t>
        </is>
      </c>
      <c r="M156" s="19" t="inlineStr">
        <is>
          <t>Pass</t>
        </is>
      </c>
      <c r="N156" s="19" t="inlineStr"/>
      <c r="O156" s="19" t="inlineStr">
        <is>
          <t>iorta TechNXT QA</t>
        </is>
      </c>
      <c r="P156" s="19" t="inlineStr">
        <is>
          <t>04 October 2026</t>
        </is>
      </c>
      <c r="Q156" s="19" t="inlineStr"/>
      <c r="R156" s="19" t="inlineStr">
        <is>
          <t>backend/test/placement.test.js :: records a policy the insurer already issued, with a new insured, in one step [passed]
UAT cycle 03-04 October 2026, phase Corporate non-package business (45 passed, 0 failed)</t>
        </is>
      </c>
    </row>
    <row r="157">
      <c r="A157" s="19" t="inlineStr">
        <is>
          <t>BV-RFQ-012</t>
        </is>
      </c>
      <c r="B157" s="19" t="inlineStr">
        <is>
          <t>Request for quotation and placement</t>
        </is>
      </c>
      <c r="C157" s="19" t="inlineStr">
        <is>
          <t>Journey</t>
        </is>
      </c>
      <c r="D157" s="19" t="inlineStr">
        <is>
          <t>System Administrator (BrokerVerse)</t>
        </is>
      </c>
      <c r="E157" s="19" t="inlineStr">
        <is>
          <t>Placement journey per line from settings</t>
        </is>
      </c>
      <c r="F157" s="19" t="inlineStr">
        <is>
          <t>Functional</t>
        </is>
      </c>
      <c r="G157" s="19" t="inlineStr">
        <is>
          <t>Low</t>
        </is>
      </c>
      <c r="H157" s="19" t="inlineStr">
        <is>
          <t>placement.journey setting.</t>
        </is>
      </c>
      <c r="I157" s="19" t="inlineStr">
        <is>
          <t>1. Read the journey for MOTOR, FIRE and HOME.
2. Override HOME to require a broker slip and test.</t>
        </is>
      </c>
      <c r="J157" s="19" t="inlineStr">
        <is>
          <t>placement.journey</t>
        </is>
      </c>
      <c r="K157" s="19" t="inlineStr">
        <is>
          <t>Journey follows business type unless a line or product override exists.</t>
        </is>
      </c>
      <c r="L157" s="19" t="inlineStr">
        <is>
          <t>As expected.</t>
        </is>
      </c>
      <c r="M157" s="19" t="inlineStr">
        <is>
          <t>Pass</t>
        </is>
      </c>
      <c r="N157" s="19" t="inlineStr"/>
      <c r="O157" s="19" t="inlineStr">
        <is>
          <t>iorta TechNXT QA</t>
        </is>
      </c>
      <c r="P157" s="19" t="inlineStr">
        <is>
          <t>03 October 2026</t>
        </is>
      </c>
      <c r="Q157" s="19" t="inlineStr"/>
      <c r="R157" s="19" t="inlineStr">
        <is>
          <t>backend/test/placement.test.js :: resolves the journey per LOB and product type from placement.journey [passed]
backend/test/product-classification.test.js :: a placement.journey entry for the line or product type still overrides the business type [passed]
backend/test/product-classification.test.js :: the business-type journey is itself a setting [passed]</t>
        </is>
      </c>
    </row>
    <row r="158">
      <c r="A158" s="19" t="inlineStr">
        <is>
          <t>BV-RFQ-013</t>
        </is>
      </c>
      <c r="B158" s="19" t="inlineStr">
        <is>
          <t>Request for quotation and placement</t>
        </is>
      </c>
      <c r="C158" s="19" t="inlineStr">
        <is>
          <t>Reports</t>
        </is>
      </c>
      <c r="D158" s="19" t="inlineStr">
        <is>
          <t>Processing Team (jose.bernardo)</t>
        </is>
      </c>
      <c r="E158" s="19" t="inlineStr">
        <is>
          <t>Placement Pipeline and Market Response reports</t>
        </is>
      </c>
      <c r="F158" s="19" t="inlineStr">
        <is>
          <t>Report</t>
        </is>
      </c>
      <c r="G158" s="19" t="inlineStr">
        <is>
          <t>Medium</t>
        </is>
      </c>
      <c r="H158" s="19" t="inlineStr">
        <is>
          <t>Slips exist.</t>
        </is>
      </c>
      <c r="I158" s="19" t="inlineStr">
        <is>
          <t>1. Open Reports &gt; All Reports.
2. Run Placement Pipeline and Market Response.</t>
        </is>
      </c>
      <c r="J158" s="19" t="inlineStr">
        <is>
          <t>May to October 2026</t>
        </is>
      </c>
      <c r="K158" s="19" t="inlineStr">
        <is>
          <t>Pipeline 71 rows overall; Market Response 7 rows overall.</t>
        </is>
      </c>
      <c r="L158" s="19" t="inlineStr">
        <is>
          <t>As expected.</t>
        </is>
      </c>
      <c r="M158" s="19" t="inlineStr">
        <is>
          <t>Pass</t>
        </is>
      </c>
      <c r="N158" s="19" t="inlineStr"/>
      <c r="O158" s="19" t="inlineStr">
        <is>
          <t>iorta TechNXT QA</t>
        </is>
      </c>
      <c r="P158" s="19" t="inlineStr">
        <is>
          <t>04 October 2026</t>
        </is>
      </c>
      <c r="Q158" s="19" t="inlineStr"/>
      <c r="R158" s="19" t="inlineStr">
        <is>
          <t>backend/test/placement.test.js :: runs the Placement Pipeline and Market Response reports [passed]
UAT cycle 03-04 October 2026, phase Reports and dashboards (58 passed, 0 failed)</t>
        </is>
      </c>
    </row>
    <row r="159">
      <c r="A159" s="19" t="inlineStr">
        <is>
          <t>BV-POL-001</t>
        </is>
      </c>
      <c r="B159" s="19" t="inlineStr">
        <is>
          <t>Policy issuance</t>
        </is>
      </c>
      <c r="C159" s="19" t="inlineStr">
        <is>
          <t>Convert to policy</t>
        </is>
      </c>
      <c r="D159" s="19" t="inlineStr">
        <is>
          <t>Processing Team (jose.bernardo)</t>
        </is>
      </c>
      <c r="E159" s="19" t="inlineStr">
        <is>
          <t>Issue a motor policy with CTPL</t>
        </is>
      </c>
      <c r="F159" s="19" t="inlineStr">
        <is>
          <t>Functional</t>
        </is>
      </c>
      <c r="G159" s="19" t="inlineStr">
        <is>
          <t>High</t>
        </is>
      </c>
      <c r="H159" s="19" t="inlineStr">
        <is>
          <t>Motor quotation Customer accepted; KYC captured.</t>
        </is>
      </c>
      <c r="I159" s="19" t="inlineStr">
        <is>
          <t>1. Open the quotation and click Convert to Policy.
2. Enter ID type, ID number, chassis, engine, plate; upload ID and vehicle photo.
3. Confirm issue date and inception.
4. Issue.</t>
        </is>
      </c>
      <c r="J159" s="19" t="inlineStr">
        <is>
          <t>PhilSys ID 1234-5678-9012; chassis MHF11ZFS0P1234567; engine 2GD1234567; plate NBC 4521</t>
        </is>
      </c>
      <c r="K159" s="19" t="inlineStr">
        <is>
          <t>Policy number issued; client created; bill with bill number; commission accrual; owner notified; policy Active.</t>
        </is>
      </c>
      <c r="L159" s="19" t="inlineStr">
        <is>
          <t>11 motor and 6 CTPL policies issued.</t>
        </is>
      </c>
      <c r="M159" s="19" t="inlineStr">
        <is>
          <t>Pass</t>
        </is>
      </c>
      <c r="N159" s="19" t="inlineStr"/>
      <c r="O159" s="19" t="inlineStr">
        <is>
          <t>iorta TechNXT QA</t>
        </is>
      </c>
      <c r="P159" s="19" t="inlineStr">
        <is>
          <t>04 October 2026</t>
        </is>
      </c>
      <c r="Q159" s="19" t="inlineStr"/>
      <c r="R159" s="19" t="inlineStr">
        <is>
          <t>backend/test/quotations.test.js :: converts to policy: client, policy, receivable with bill number, commission accrual, owner notified [passed]
UAT cycle 03-04 October 2026, phase Retail package business (84 passed, 0 failed)
Screen check /agent/policy: opened clean</t>
        </is>
      </c>
    </row>
    <row r="160">
      <c r="A160" s="19" t="inlineStr">
        <is>
          <t>BV-POL-002</t>
        </is>
      </c>
      <c r="B160" s="19" t="inlineStr">
        <is>
          <t>Policy issuance</t>
        </is>
      </c>
      <c r="C160" s="19" t="inlineStr">
        <is>
          <t>Convert to policy</t>
        </is>
      </c>
      <c r="D160" s="19" t="inlineStr">
        <is>
          <t>Processing Team (jose.bernardo)</t>
        </is>
      </c>
      <c r="E160" s="19" t="inlineStr">
        <is>
          <t>Motor policy refused without KYC and vehicle identifiers</t>
        </is>
      </c>
      <c r="F160" s="19" t="inlineStr">
        <is>
          <t>Negative</t>
        </is>
      </c>
      <c r="G160" s="19" t="inlineStr">
        <is>
          <t>High</t>
        </is>
      </c>
      <c r="H160" s="19" t="inlineStr">
        <is>
          <t>Motor quotation accepted; ID and chassis empty.</t>
        </is>
      </c>
      <c r="I160" s="19" t="inlineStr">
        <is>
          <t>1. Click Convert to Policy without ID and chassis.</t>
        </is>
      </c>
      <c r="J160" s="19" t="inlineStr">
        <is>
          <t>Missing ID type, chassis</t>
        </is>
      </c>
      <c r="K160" s="19" t="inlineStr">
        <is>
          <t>Refused naming the missing fields (policy.kyc_required_fields).</t>
        </is>
      </c>
      <c r="L160" s="19" t="inlineStr">
        <is>
          <t>As expected.</t>
        </is>
      </c>
      <c r="M160" s="19" t="inlineStr">
        <is>
          <t>Pass</t>
        </is>
      </c>
      <c r="N160" s="19" t="inlineStr"/>
      <c r="O160" s="19" t="inlineStr">
        <is>
          <t>iorta TechNXT QA</t>
        </is>
      </c>
      <c r="P160" s="19" t="inlineStr">
        <is>
          <t>03 October 2026</t>
        </is>
      </c>
      <c r="Q160" s="19" t="inlineStr"/>
      <c r="R160" s="19" t="inlineStr">
        <is>
          <t>backend/test/quotations.test.js :: refuses to issue a motor policy without KYC and vehicle identifiers (policy.kyc_required_fields) [passed]</t>
        </is>
      </c>
    </row>
    <row r="161">
      <c r="A161" s="19" t="inlineStr">
        <is>
          <t>BV-POL-003</t>
        </is>
      </c>
      <c r="B161" s="19" t="inlineStr">
        <is>
          <t>Policy issuance</t>
        </is>
      </c>
      <c r="C161" s="19" t="inlineStr">
        <is>
          <t>Convert to policy</t>
        </is>
      </c>
      <c r="D161" s="19" t="inlineStr">
        <is>
          <t>Processing Team (jose.bernardo)</t>
        </is>
      </c>
      <c r="E161" s="19" t="inlineStr">
        <is>
          <t>ID from an earlier policy proposed</t>
        </is>
      </c>
      <c r="F161" s="19" t="inlineStr">
        <is>
          <t>Functional</t>
        </is>
      </c>
      <c r="G161" s="19" t="inlineStr">
        <is>
          <t>Low</t>
        </is>
      </c>
      <c r="H161" s="19" t="inlineStr">
        <is>
          <t>Client has an earlier policy with ID captured.</t>
        </is>
      </c>
      <c r="I161" s="19" t="inlineStr">
        <is>
          <t>1. Convert a new quotation of the same client.</t>
        </is>
      </c>
      <c r="J161" s="19" t="inlineStr">
        <is>
          <t>Client with UMID on file</t>
        </is>
      </c>
      <c r="K161" s="19" t="inlineStr">
        <is>
          <t>ID type and number are proposed.</t>
        </is>
      </c>
      <c r="L161" s="19" t="inlineStr">
        <is>
          <t>As expected.</t>
        </is>
      </c>
      <c r="M161" s="19" t="inlineStr">
        <is>
          <t>Pass</t>
        </is>
      </c>
      <c r="N161" s="19" t="inlineStr"/>
      <c r="O161" s="19" t="inlineStr">
        <is>
          <t>iorta TechNXT QA</t>
        </is>
      </c>
      <c r="P161" s="19" t="inlineStr">
        <is>
          <t>03 October 2026</t>
        </is>
      </c>
      <c r="Q161" s="19" t="inlineStr"/>
      <c r="R161" s="19" t="inlineStr">
        <is>
          <t>backend/test/quote-to-policy.test.js :: the ID captured on an earlier policy of the client is proposed for the new policy [passed]</t>
        </is>
      </c>
    </row>
    <row r="162">
      <c r="A162" s="19" t="inlineStr">
        <is>
          <t>BV-POL-004</t>
        </is>
      </c>
      <c r="B162" s="19" t="inlineStr">
        <is>
          <t>Policy issuance</t>
        </is>
      </c>
      <c r="C162" s="19" t="inlineStr">
        <is>
          <t>Package policy</t>
        </is>
      </c>
      <c r="D162" s="19" t="inlineStr">
        <is>
          <t>Processing Team (jose.bernardo)</t>
        </is>
      </c>
      <c r="E162" s="19" t="inlineStr">
        <is>
          <t>Issue a package policy with sections per insurer</t>
        </is>
      </c>
      <c r="F162" s="19" t="inlineStr">
        <is>
          <t>Functional</t>
        </is>
      </c>
      <c r="G162" s="19" t="inlineStr">
        <is>
          <t>High</t>
        </is>
      </c>
      <c r="H162" s="19" t="inlineStr">
        <is>
          <t>Package quotation accepted.</t>
        </is>
      </c>
      <c r="I162" s="19" t="inlineStr">
        <is>
          <t>1. Convert the package quotation.</t>
        </is>
      </c>
      <c r="J162" s="19" t="inlineStr">
        <is>
          <t>SME package: fire with Pacific Crest, burglary with Luzon Bay</t>
        </is>
      </c>
      <c r="K162" s="19" t="inlineStr">
        <is>
          <t>One policy with sections per insurer, exact participant amounts and one booking per insurer.</t>
        </is>
      </c>
      <c r="L162" s="19" t="inlineStr">
        <is>
          <t>As expected.</t>
        </is>
      </c>
      <c r="M162" s="19" t="inlineStr">
        <is>
          <t>Pass</t>
        </is>
      </c>
      <c r="N162" s="19" t="inlineStr"/>
      <c r="O162" s="19" t="inlineStr">
        <is>
          <t>iorta TechNXT QA</t>
        </is>
      </c>
      <c r="P162" s="19" t="inlineStr">
        <is>
          <t>03 October 2026</t>
        </is>
      </c>
      <c r="Q162" s="19" t="inlineStr"/>
      <c r="R162" s="19" t="inlineStr">
        <is>
          <t>backend/test/packages.test.js :: creates, updates and accepts a package quotation [passed]
backend/test/packages.test.js :: issues ONE policy with sections per insurer, exact participant amounts and a booking per carrier [passed]</t>
        </is>
      </c>
    </row>
    <row r="163">
      <c r="A163" s="19" t="inlineStr">
        <is>
          <t>BV-POL-005</t>
        </is>
      </c>
      <c r="B163" s="19" t="inlineStr">
        <is>
          <t>Policy issuance</t>
        </is>
      </c>
      <c r="C163" s="19" t="inlineStr">
        <is>
          <t>Package policy</t>
        </is>
      </c>
      <c r="D163" s="19" t="inlineStr">
        <is>
          <t>Processing Team (jose.bernardo)</t>
        </is>
      </c>
      <c r="E163" s="19" t="inlineStr">
        <is>
          <t>Retail PA, Travel and Householder from RFQ</t>
        </is>
      </c>
      <c r="F163" s="19" t="inlineStr">
        <is>
          <t>Functional</t>
        </is>
      </c>
      <c r="G163" s="19" t="inlineStr">
        <is>
          <t>High</t>
        </is>
      </c>
      <c r="H163" s="19" t="inlineStr">
        <is>
          <t>RFQ offers recorded; quotation accepted.</t>
        </is>
      </c>
      <c r="I163" s="19" t="inlineStr">
        <is>
          <t>1. Prepare the quotation from the best offer.
2. Record acceptance.
3. Convert to policy.</t>
        </is>
      </c>
      <c r="J163" s="19" t="inlineStr">
        <is>
          <t>Travel: Japan, 2 travellers, 10 days; Home: concrete, 2 storeys</t>
        </is>
      </c>
      <c r="K163" s="19" t="inlineStr">
        <is>
          <t>Policy issued without placement slip (package journey); expiry follows the travel term.</t>
        </is>
      </c>
      <c r="L163" s="19" t="inlineStr">
        <is>
          <t>10 PA, 4 Travel and 8 Home policies issued.</t>
        </is>
      </c>
      <c r="M163" s="19" t="inlineStr">
        <is>
          <t>Pass</t>
        </is>
      </c>
      <c r="N163" s="19" t="inlineStr"/>
      <c r="O163" s="19" t="inlineStr">
        <is>
          <t>iorta TechNXT QA</t>
        </is>
      </c>
      <c r="P163" s="19" t="inlineStr">
        <is>
          <t>04 October 2026</t>
        </is>
      </c>
      <c r="Q163" s="19" t="inlineStr"/>
      <c r="R163" s="19" t="inlineStr">
        <is>
          <t>backend/test/uat-disconnects.test.js :: a Householder quotation prepared from a broker slip stays a package product and converts without a placement slip [passed]
backend/test/product-classification.test.js :: package: quotation required, broker and placement slips optional [passed]
UAT cycle 03-04 October 2026, phase Retail package business (84 passed, 0 failed)</t>
        </is>
      </c>
    </row>
    <row r="164">
      <c r="A164" s="19" t="inlineStr">
        <is>
          <t>BV-POL-006</t>
        </is>
      </c>
      <c r="B164" s="19" t="inlineStr">
        <is>
          <t>Policy issuance</t>
        </is>
      </c>
      <c r="C164" s="19" t="inlineStr">
        <is>
          <t>Policy accounting</t>
        </is>
      </c>
      <c r="D164" s="19" t="inlineStr">
        <is>
          <t>Accounting Officer (liza.quiambao)</t>
        </is>
      </c>
      <c r="E164" s="19" t="inlineStr">
        <is>
          <t>Booking at issuance</t>
        </is>
      </c>
      <c r="F164" s="19" t="inlineStr">
        <is>
          <t>Accounting</t>
        </is>
      </c>
      <c r="G164" s="19" t="inlineStr">
        <is>
          <t>High</t>
        </is>
      </c>
      <c r="H164" s="19" t="inlineStr">
        <is>
          <t>Policy just issued.</t>
        </is>
      </c>
      <c r="I164" s="19" t="inlineStr">
        <is>
          <t>1. Open Accounts &gt; Accounting Query and search the policy.
2. Open the journal.</t>
        </is>
      </c>
      <c r="J164" s="19" t="inlineStr">
        <is>
          <t>Motor policy gross PHP 39,872.15</t>
        </is>
      </c>
      <c r="K164" s="19" t="inlineStr">
        <is>
          <t>Dr Premium receivable gross / Cr Premium payable per insurer and commission income; output VAT and EWT on commission; balanced; dated on the issue date.</t>
        </is>
      </c>
      <c r="L164" s="19" t="inlineStr">
        <is>
          <t>As expected.</t>
        </is>
      </c>
      <c r="M164" s="19" t="inlineStr">
        <is>
          <t>Pass</t>
        </is>
      </c>
      <c r="N164" s="19" t="inlineStr"/>
      <c r="O164" s="19" t="inlineStr">
        <is>
          <t>iorta TechNXT QA</t>
        </is>
      </c>
      <c r="P164" s="19" t="inlineStr">
        <is>
          <t>03 October 2026</t>
        </is>
      </c>
      <c r="Q164" s="19" t="inlineStr"/>
      <c r="R164" s="19" t="inlineStr">
        <is>
          <t>backend/test/posting-rules.test.js :: policy booking and receipt: same accounts, amounts, memos and order (premium taxes not split) [passed]
backend/test/commission-taxes.test.js :: the booking journal books output VAT on the commission and the EWT the insurer withholds (rule version 2) [passed]
backend/test/uat-disconnects.test.js :: books a policy on its issue date; its credit days run from the issue (or later inception) [passed]</t>
        </is>
      </c>
    </row>
    <row r="165">
      <c r="A165" s="19" t="inlineStr">
        <is>
          <t>BV-POL-007</t>
        </is>
      </c>
      <c r="B165" s="19" t="inlineStr">
        <is>
          <t>Policy issuance</t>
        </is>
      </c>
      <c r="C165" s="19" t="inlineStr">
        <is>
          <t>Policy accounting</t>
        </is>
      </c>
      <c r="D165" s="19" t="inlineStr">
        <is>
          <t>Accounting Officer (liza.quiambao)</t>
        </is>
      </c>
      <c r="E165" s="19" t="inlineStr">
        <is>
          <t>Co-insured policy books one receivable and per insurer payables</t>
        </is>
      </c>
      <c r="F165" s="19" t="inlineStr">
        <is>
          <t>Accounting</t>
        </is>
      </c>
      <c r="G165" s="19" t="inlineStr">
        <is>
          <t>High</t>
        </is>
      </c>
      <c r="H165" s="19" t="inlineStr">
        <is>
          <t>Co-insured fire policy with 3 insurers.</t>
        </is>
      </c>
      <c r="I165" s="19" t="inlineStr">
        <is>
          <t>1. Open the journal of the policy.</t>
        </is>
      </c>
      <c r="J165" s="19" t="inlineStr">
        <is>
          <t>Shares 50 / 30 / 20</t>
        </is>
      </c>
      <c r="K165" s="19" t="inlineStr">
        <is>
          <t>One receivable at gross; premium and commission per insurer; rounding on the lead.</t>
        </is>
      </c>
      <c r="L165" s="19" t="inlineStr">
        <is>
          <t>As expected.</t>
        </is>
      </c>
      <c r="M165" s="19" t="inlineStr">
        <is>
          <t>Pass</t>
        </is>
      </c>
      <c r="N165" s="19" t="inlineStr"/>
      <c r="O165" s="19" t="inlineStr">
        <is>
          <t>iorta TechNXT QA</t>
        </is>
      </c>
      <c r="P165" s="19" t="inlineStr">
        <is>
          <t>03 October 2026</t>
        </is>
      </c>
      <c r="Q165" s="19" t="inlineStr"/>
      <c r="R165" s="19" t="inlineStr">
        <is>
          <t>backend/test/posting-rules.test.js :: books one receivable at the gross and the premium and commission per insurer (3 insurers, rounding) [passed]</t>
        </is>
      </c>
    </row>
    <row r="166">
      <c r="A166" s="19" t="inlineStr">
        <is>
          <t>BV-POL-008</t>
        </is>
      </c>
      <c r="B166" s="19" t="inlineStr">
        <is>
          <t>Policy issuance</t>
        </is>
      </c>
      <c r="C166" s="19" t="inlineStr">
        <is>
          <t>Policy list</t>
        </is>
      </c>
      <c r="D166" s="19" t="inlineStr">
        <is>
          <t>Operations / Client Service (ana.buenaventura)</t>
        </is>
      </c>
      <c r="E166" s="19" t="inlineStr">
        <is>
          <t>Policy list paging, filters and detail</t>
        </is>
      </c>
      <c r="F166" s="19" t="inlineStr">
        <is>
          <t>Functional</t>
        </is>
      </c>
      <c r="G166" s="19" t="inlineStr">
        <is>
          <t>Medium</t>
        </is>
      </c>
      <c r="H166" s="19" t="inlineStr">
        <is>
          <t>Policies exist.</t>
        </is>
      </c>
      <c r="I166" s="19" t="inlineStr">
        <is>
          <t>1. Open Operations &gt; Policy.
2. Filter by product and status.
3. Open a policy.</t>
        </is>
      </c>
      <c r="J166" s="19" t="inlineStr">
        <is>
          <t>Filter: Motor, Active</t>
        </is>
      </c>
      <c r="K166" s="19" t="inlineStr">
        <is>
          <t>List filtered; detail shows client, prospect and quotation.</t>
        </is>
      </c>
      <c r="L166" s="19" t="inlineStr">
        <is>
          <t>As expected.</t>
        </is>
      </c>
      <c r="M166" s="19" t="inlineStr">
        <is>
          <t>Pass</t>
        </is>
      </c>
      <c r="N166" s="19" t="inlineStr"/>
      <c r="O166" s="19" t="inlineStr">
        <is>
          <t>iorta TechNXT QA</t>
        </is>
      </c>
      <c r="P166" s="19" t="inlineStr">
        <is>
          <t>03 October 2026</t>
        </is>
      </c>
      <c r="Q166" s="19" t="inlineStr"/>
      <c r="R166" s="19" t="inlineStr">
        <is>
          <t>backend/test/policies.test.js :: lists with paging and filters [passed]
backend/test/policies.test.js :: reads one policy with client, lead and quotation [passed]</t>
        </is>
      </c>
    </row>
    <row r="167">
      <c r="A167" s="19" t="inlineStr">
        <is>
          <t>BV-POL-009</t>
        </is>
      </c>
      <c r="B167" s="19" t="inlineStr">
        <is>
          <t>Policy issuance</t>
        </is>
      </c>
      <c r="C167" s="19" t="inlineStr">
        <is>
          <t>Documents</t>
        </is>
      </c>
      <c r="D167" s="19" t="inlineStr">
        <is>
          <t>Operations / Client Service (ana.buenaventura)</t>
        </is>
      </c>
      <c r="E167" s="19" t="inlineStr">
        <is>
          <t>Policy schedule and billing statement PDFs</t>
        </is>
      </c>
      <c r="F167" s="19" t="inlineStr">
        <is>
          <t>Functional</t>
        </is>
      </c>
      <c r="G167" s="19" t="inlineStr">
        <is>
          <t>High</t>
        </is>
      </c>
      <c r="H167" s="19" t="inlineStr">
        <is>
          <t>Policy issued.</t>
        </is>
      </c>
      <c r="I167" s="19" t="inlineStr">
        <is>
          <t>1. Open the policy &gt; Documents.
2. Open the policy schedule.
3. Open the billing statement.</t>
        </is>
      </c>
      <c r="J167" s="19" t="inlineStr">
        <is>
          <t>Motor policy</t>
        </is>
      </c>
      <c r="K167" s="19" t="inlineStr">
        <is>
          <t>Both PDFs open with the company letterhead; schedule uses the policy columns; dates in the configured format; amounts in full.</t>
        </is>
      </c>
      <c r="L167" s="19" t="inlineStr">
        <is>
          <t>As expected.</t>
        </is>
      </c>
      <c r="M167" s="19" t="inlineStr">
        <is>
          <t>Pass</t>
        </is>
      </c>
      <c r="N167" s="19" t="inlineStr"/>
      <c r="O167" s="19" t="inlineStr">
        <is>
          <t>iorta TechNXT QA</t>
        </is>
      </c>
      <c r="P167" s="19" t="inlineStr">
        <is>
          <t>03 October 2026</t>
        </is>
      </c>
      <c r="Q167" s="19" t="inlineStr"/>
      <c r="R167" s="19" t="inlineStr">
        <is>
          <t>backend/test/policies.test.js :: lists documents and renders PDFs [passed]
backend/test/printing.test.js :: a policy schedule uses the policy columns, and prints only the gross when there is no breakdown [passed]
backend/test/receipts.test.js :: billing statement PDF for a policy [passed]
backend/test/printing.test.js :: formats dates in the configured pattern, never as JS Date strings [passed]</t>
        </is>
      </c>
    </row>
    <row r="168">
      <c r="A168" s="19" t="inlineStr">
        <is>
          <t>BV-POL-010</t>
        </is>
      </c>
      <c r="B168" s="19" t="inlineStr">
        <is>
          <t>Policy issuance</t>
        </is>
      </c>
      <c r="C168" s="19" t="inlineStr">
        <is>
          <t>Bulk upload</t>
        </is>
      </c>
      <c r="D168" s="19" t="inlineStr">
        <is>
          <t>Processing Team (jose.bernardo)</t>
        </is>
      </c>
      <c r="E168" s="19" t="inlineStr">
        <is>
          <t>New business policy upload creates bills and commission</t>
        </is>
      </c>
      <c r="F168" s="19" t="inlineStr">
        <is>
          <t>Functional</t>
        </is>
      </c>
      <c r="G168" s="19" t="inlineStr">
        <is>
          <t>Medium</t>
        </is>
      </c>
      <c r="H168" s="19" t="inlineStr">
        <is>
          <t>Policies_Upload_Template with 2 rows; go-live box not ticked.</t>
        </is>
      </c>
      <c r="I168" s="19" t="inlineStr">
        <is>
          <t>1. Open Operations &gt; Policy, click Upload Policy.
2. Upload the file.</t>
        </is>
      </c>
      <c r="J168" s="19" t="inlineStr">
        <is>
          <t>2 policies</t>
        </is>
      </c>
      <c r="K168" s="19" t="inlineStr">
        <is>
          <t>"2 created"; each with client, bill in Collections and commission line.</t>
        </is>
      </c>
      <c r="L168" s="19" t="inlineStr">
        <is>
          <t>As expected.</t>
        </is>
      </c>
      <c r="M168" s="19" t="inlineStr">
        <is>
          <t>Pass</t>
        </is>
      </c>
      <c r="N168" s="19" t="inlineStr"/>
      <c r="O168" s="19" t="inlineStr">
        <is>
          <t>iorta TechNXT QA</t>
        </is>
      </c>
      <c r="P168" s="19" t="inlineStr">
        <is>
          <t>03 October 2026</t>
        </is>
      </c>
      <c r="Q168" s="19" t="inlineStr"/>
      <c r="R168" s="19" t="inlineStr">
        <is>
          <t>backend/test/policies.test.js :: bulk uploads policies with client, receivable and commission [passed]
backend/test/placement.test.js :: bulk import writes 100% of the insurer [passed]</t>
        </is>
      </c>
    </row>
    <row r="169">
      <c r="A169" s="19" t="inlineStr">
        <is>
          <t>BV-POL-011</t>
        </is>
      </c>
      <c r="B169" s="19" t="inlineStr">
        <is>
          <t>Policy issuance</t>
        </is>
      </c>
      <c r="C169" s="19" t="inlineStr">
        <is>
          <t>Permissions</t>
        </is>
      </c>
      <c r="D169" s="19" t="inlineStr">
        <is>
          <t>Claims Officer (carlo.estrada)</t>
        </is>
      </c>
      <c r="E169" s="19" t="inlineStr">
        <is>
          <t>Claims users not offered Create Policy or Bulk Upload</t>
        </is>
      </c>
      <c r="F169" s="19" t="inlineStr">
        <is>
          <t>Role access</t>
        </is>
      </c>
      <c r="G169" s="19" t="inlineStr">
        <is>
          <t>Medium</t>
        </is>
      </c>
      <c r="H169" s="19" t="inlineStr">
        <is>
          <t>Signed in as carlo.estrada.</t>
        </is>
      </c>
      <c r="I169" s="19" t="inlineStr">
        <is>
          <t>1. Open Operations &gt; Policy.</t>
        </is>
      </c>
      <c r="J169" s="19" t="inlineStr">
        <is>
          <t>None</t>
        </is>
      </c>
      <c r="K169" s="19" t="inlineStr">
        <is>
          <t>No Create Policy, no Upload Policy; list is read only.</t>
        </is>
      </c>
      <c r="L169" s="19" t="inlineStr">
        <is>
          <t>As expected.</t>
        </is>
      </c>
      <c r="M169" s="19" t="inlineStr">
        <is>
          <t>Pass</t>
        </is>
      </c>
      <c r="N169" s="19" t="inlineStr"/>
      <c r="O169" s="19" t="inlineStr">
        <is>
          <t>iorta TechNXT QA</t>
        </is>
      </c>
      <c r="P169" s="19" t="inlineStr">
        <is>
          <t>03 October 2026</t>
        </is>
      </c>
      <c r="Q169" s="19" t="inlineStr"/>
      <c r="R169" s="19" t="inlineStr">
        <is>
          <t>brokerverse/src/utils/canOpen.test.js :: claims users are not offered Create Policy (Leads) nor Bulk Upload (write:policies) [passed]
backend/test/policies.test.js :: enforces permissions [passed]</t>
        </is>
      </c>
    </row>
    <row r="170">
      <c r="A170" s="19" t="inlineStr">
        <is>
          <t>BV-POL-012</t>
        </is>
      </c>
      <c r="B170" s="19" t="inlineStr">
        <is>
          <t>Policy issuance</t>
        </is>
      </c>
      <c r="C170" s="19" t="inlineStr">
        <is>
          <t>Credit limit</t>
        </is>
      </c>
      <c r="D170" s="19" t="inlineStr">
        <is>
          <t>Processing Team (jose.bernardo)</t>
        </is>
      </c>
      <c r="E170" s="19" t="inlineStr">
        <is>
          <t>Policy over the client credit limit is issued with a warning</t>
        </is>
      </c>
      <c r="F170" s="19" t="inlineStr">
        <is>
          <t>Validation</t>
        </is>
      </c>
      <c r="G170" s="19" t="inlineStr">
        <is>
          <t>Medium</t>
        </is>
      </c>
      <c r="H170" s="19" t="inlineStr">
        <is>
          <t>Client credit limit PHP 1,000,000.00 with PHP 900,000.00 open.</t>
        </is>
      </c>
      <c r="I170" s="19" t="inlineStr">
        <is>
          <t>1. Issue a broker-billed policy of PHP 250,000.00.</t>
        </is>
      </c>
      <c r="J170" s="19" t="inlineStr">
        <is>
          <t>Kalayaan Steel Fabricators Inc.</t>
        </is>
      </c>
      <c r="K170" s="19" t="inlineStr">
        <is>
          <t>Issued with a credit limit warning.</t>
        </is>
      </c>
      <c r="L170" s="19" t="inlineStr">
        <is>
          <t>As expected.</t>
        </is>
      </c>
      <c r="M170" s="19" t="inlineStr">
        <is>
          <t>Pass</t>
        </is>
      </c>
      <c r="N170" s="19" t="inlineStr"/>
      <c r="O170" s="19" t="inlineStr">
        <is>
          <t>iorta TechNXT QA</t>
        </is>
      </c>
      <c r="P170" s="19" t="inlineStr">
        <is>
          <t>03 October 2026</t>
        </is>
      </c>
      <c r="Q170" s="19" t="inlineStr"/>
      <c r="R170" s="19" t="inlineStr">
        <is>
          <t>backend/test/credit-control.test.js :: only an approver sets the limit; a broker-billed policy over it is issued with a warning [passed]</t>
        </is>
      </c>
    </row>
    <row r="171">
      <c r="A171" s="19" t="inlineStr">
        <is>
          <t>BV-POL-013</t>
        </is>
      </c>
      <c r="B171" s="19" t="inlineStr">
        <is>
          <t>Policy issuance</t>
        </is>
      </c>
      <c r="C171" s="19" t="inlineStr">
        <is>
          <t>Billing mode</t>
        </is>
      </c>
      <c r="D171" s="19" t="inlineStr">
        <is>
          <t>Accounting Officer (liza.quiambao)</t>
        </is>
      </c>
      <c r="E171" s="19" t="inlineStr">
        <is>
          <t>Default billing mode from settings; switch to direct bill</t>
        </is>
      </c>
      <c r="F171" s="19" t="inlineStr">
        <is>
          <t>Functional</t>
        </is>
      </c>
      <c r="G171" s="19" t="inlineStr">
        <is>
          <t>Medium</t>
        </is>
      </c>
      <c r="H171" s="19" t="inlineStr">
        <is>
          <t>Broker-billed policy with nothing collected.</t>
        </is>
      </c>
      <c r="I171" s="19" t="inlineStr">
        <is>
          <t>1. Change billing mode to direct bill.
2. Change it back.
3. Collect part of the premium and try again.</t>
        </is>
      </c>
      <c r="J171" s="19" t="inlineStr">
        <is>
          <t>Policy with open bill</t>
        </is>
      </c>
      <c r="K171" s="19" t="inlineStr">
        <is>
          <t>Switch works both ways while nothing is collected; refused after collection or once on a debit note.</t>
        </is>
      </c>
      <c r="L171" s="19" t="inlineStr">
        <is>
          <t>As expected.</t>
        </is>
      </c>
      <c r="M171" s="19" t="inlineStr">
        <is>
          <t>Pass</t>
        </is>
      </c>
      <c r="N171" s="19" t="inlineStr"/>
      <c r="O171" s="19" t="inlineStr">
        <is>
          <t>iorta TechNXT QA</t>
        </is>
      </c>
      <c r="P171" s="19" t="inlineStr">
        <is>
          <t>03 October 2026</t>
        </is>
      </c>
      <c r="Q171" s="19" t="inlineStr"/>
      <c r="R171" s="19" t="inlineStr">
        <is>
          <t>backend/test/direct-bill.test.js :: a broker-billed policy with nothing collected becomes direct bill and back [passed]
backend/test/direct-bill.test.js :: refuses the change once premium was collected or the commission is on a debit note [passed]
backend/test/direct-bill.test.js :: default billing mode comes from the settings [passed]</t>
        </is>
      </c>
    </row>
    <row r="172">
      <c r="A172" s="19" t="inlineStr">
        <is>
          <t>BV-POL-014</t>
        </is>
      </c>
      <c r="B172" s="19" t="inlineStr">
        <is>
          <t>Policy issuance</t>
        </is>
      </c>
      <c r="C172" s="19" t="inlineStr">
        <is>
          <t>Commission accrual</t>
        </is>
      </c>
      <c r="D172" s="19" t="inlineStr">
        <is>
          <t>Processing Team (jose.bernardo)</t>
        </is>
      </c>
      <c r="E172" s="19" t="inlineStr">
        <is>
          <t>No commission line for an administrator issuing a policy</t>
        </is>
      </c>
      <c r="F172" s="19" t="inlineStr">
        <is>
          <t>Validation</t>
        </is>
      </c>
      <c r="G172" s="19" t="inlineStr">
        <is>
          <t>Low</t>
        </is>
      </c>
      <c r="H172" s="19" t="inlineStr">
        <is>
          <t>Policy issued by BrokerVerse and one by an Account Executive.</t>
        </is>
      </c>
      <c r="I172" s="19" t="inlineStr">
        <is>
          <t>1. Open Commission &gt; Commission Dashboard.</t>
        </is>
      </c>
      <c r="J172" s="19" t="inlineStr">
        <is>
          <t>Two policies</t>
        </is>
      </c>
      <c r="K172" s="19" t="inlineStr">
        <is>
          <t>Only the Account Executive earns a commission line.</t>
        </is>
      </c>
      <c r="L172" s="19" t="inlineStr">
        <is>
          <t>As expected.</t>
        </is>
      </c>
      <c r="M172" s="19" t="inlineStr">
        <is>
          <t>Pass</t>
        </is>
      </c>
      <c r="N172" s="19" t="inlineStr"/>
      <c r="O172" s="19" t="inlineStr">
        <is>
          <t>iorta TechNXT QA</t>
        </is>
      </c>
      <c r="P172" s="19" t="inlineStr">
        <is>
          <t>03 October 2026</t>
        </is>
      </c>
      <c r="Q172" s="19" t="inlineStr"/>
      <c r="R172" s="19" t="inlineStr">
        <is>
          <t>backend/test/policy-payments.test.js :: no commission line for an administrator who issues a policy; an Account Executive earns one [passed]</t>
        </is>
      </c>
    </row>
    <row r="173">
      <c r="A173" s="19" t="inlineStr">
        <is>
          <t>BV-POL-015</t>
        </is>
      </c>
      <c r="B173" s="19" t="inlineStr">
        <is>
          <t>Policy issuance</t>
        </is>
      </c>
      <c r="C173" s="19" t="inlineStr">
        <is>
          <t>Payment gateway</t>
        </is>
      </c>
      <c r="D173" s="19" t="inlineStr">
        <is>
          <t>Sales / Account Executive (maria.rivera)</t>
        </is>
      </c>
      <c r="E173" s="19" t="inlineStr">
        <is>
          <t>Online payment link issues the package policy</t>
        </is>
      </c>
      <c r="F173" s="19" t="inlineStr">
        <is>
          <t>Integration</t>
        </is>
      </c>
      <c r="G173" s="19" t="inlineStr">
        <is>
          <t>Medium</t>
        </is>
      </c>
      <c r="H173" s="19" t="inlineStr">
        <is>
          <t>Payment gateway in sandbox.</t>
        </is>
      </c>
      <c r="I173" s="19" t="inlineStr">
        <is>
          <t>1. Create a payment link for an accepted package quotation.
2. Pay in the sandbox.</t>
        </is>
      </c>
      <c r="J173" s="19" t="inlineStr">
        <is>
          <t>PayMongo sandbox; amount in centavos</t>
        </is>
      </c>
      <c r="K173" s="19" t="inlineStr">
        <is>
          <t>Signed webhook applied once; policy issued; receipt created; policy PDF available. Bad signature rejected and logged.</t>
        </is>
      </c>
      <c r="L173" s="19" t="inlineStr">
        <is>
          <t>As expected.</t>
        </is>
      </c>
      <c r="M173" s="19" t="inlineStr">
        <is>
          <t>Pass</t>
        </is>
      </c>
      <c r="N173" s="19" t="inlineStr"/>
      <c r="O173" s="19" t="inlineStr">
        <is>
          <t>iorta TechNXT QA</t>
        </is>
      </c>
      <c r="P173" s="19" t="inlineStr">
        <is>
          <t>03 October 2026</t>
        </is>
      </c>
      <c r="Q173" s="19" t="inlineStr">
        <is>
          <t>Sandbox only; live keys not configured.</t>
        </is>
      </c>
      <c r="R173" s="19" t="inlineStr">
        <is>
          <t>backend/test/payments.test.js :: pays a package quotation in the sandbox: policy issued, receipt created, policy PDF available [passed]
backend/test/payments.test.js :: rejects a notification with a bad signature and logs it [passed]</t>
        </is>
      </c>
    </row>
    <row r="174">
      <c r="A174" s="19" t="inlineStr">
        <is>
          <t>BV-END-001</t>
        </is>
      </c>
      <c r="B174" s="19" t="inlineStr">
        <is>
          <t>Endorsements and cancellations</t>
        </is>
      </c>
      <c r="C174" s="19" t="inlineStr">
        <is>
          <t>Endorsement</t>
        </is>
      </c>
      <c r="D174" s="19" t="inlineStr">
        <is>
          <t>Operations / Client Service (ana.buenaventura)</t>
        </is>
      </c>
      <c r="E174" s="19" t="inlineStr">
        <is>
          <t>Additional premium endorsement on a motor policy</t>
        </is>
      </c>
      <c r="F174" s="19" t="inlineStr">
        <is>
          <t>Functional</t>
        </is>
      </c>
      <c r="G174" s="19" t="inlineStr">
        <is>
          <t>High</t>
        </is>
      </c>
      <c r="H174" s="19" t="inlineStr">
        <is>
          <t>Active broker-billed motor policy, OD PHP 1,200,000.00 at 2%.</t>
        </is>
      </c>
      <c r="I174" s="19" t="inlineStr">
        <is>
          <t>1. Open the policy and start an endorsement.
2. Change own damage sum insured to PHP 1,400,000.00 and click Save &amp; Next.
3. Send to Insurance Company.
4. Click Upload Endorsement with the insurer document and complete with issued date.</t>
        </is>
      </c>
      <c r="J174" s="19" t="inlineStr">
        <is>
          <t>OD 1,200,000.00 -&gt; 1,400,000.00 at 2%; remarks: Accessories added: mags, dashcam and tint</t>
        </is>
      </c>
      <c r="K174" s="19" t="inlineStr">
        <is>
          <t>Premium delta priced by the system (net PHP 4,000.00 plus taxes); endorsement numbered; new bill raised with a balanced journal and a collection item; policy premium updated.</t>
        </is>
      </c>
      <c r="L174" s="19" t="inlineStr">
        <is>
          <t>4 additional premium endorsements completed and paid.</t>
        </is>
      </c>
      <c r="M174" s="19" t="inlineStr">
        <is>
          <t>Pass</t>
        </is>
      </c>
      <c r="N174" s="19" t="inlineStr"/>
      <c r="O174" s="19" t="inlineStr">
        <is>
          <t>iorta TechNXT QA</t>
        </is>
      </c>
      <c r="P174" s="19" t="inlineStr">
        <is>
          <t>04 October 2026</t>
        </is>
      </c>
      <c r="Q174" s="19" t="inlineStr"/>
      <c r="R174" s="19" t="inlineStr">
        <is>
          <t>backend/test/endorsements.test.js :: prices the screen payload of a motor policy with BI / PD / APPA (own damage 1,200,000 -&gt; 1,400,000 at 2%) [passed]
backend/test/endorsements.test.js :: bills a positive delta as a new receivable with a balanced journal and a collection item, and updates the policy premium [passed]
UAT cycle 03-04 October 2026, phase Servicing: endorsements, renewals, claims (31 passed, 0 failed)</t>
        </is>
      </c>
    </row>
    <row r="175">
      <c r="A175" s="19" t="inlineStr">
        <is>
          <t>BV-END-002</t>
        </is>
      </c>
      <c r="B175" s="19" t="inlineStr">
        <is>
          <t>Endorsements and cancellations</t>
        </is>
      </c>
      <c r="C175" s="19" t="inlineStr">
        <is>
          <t>Endorsement</t>
        </is>
      </c>
      <c r="D175" s="19" t="inlineStr">
        <is>
          <t>Operations / Client Service (ana.buenaventura)</t>
        </is>
      </c>
      <c r="E175" s="19" t="inlineStr">
        <is>
          <t>Premium delta that does not match the coverage change refused</t>
        </is>
      </c>
      <c r="F175" s="19" t="inlineStr">
        <is>
          <t>Negative</t>
        </is>
      </c>
      <c r="G175" s="19" t="inlineStr">
        <is>
          <t>High</t>
        </is>
      </c>
      <c r="H175" s="19" t="inlineStr">
        <is>
          <t>Endorsement form.</t>
        </is>
      </c>
      <c r="I175" s="19" t="inlineStr">
        <is>
          <t>1. Send a premium delta different from new gross minus current gross.</t>
        </is>
      </c>
      <c r="J175" s="19" t="inlineStr">
        <is>
          <t>Delta sent PHP 1,000.00 vs computed PHP 4,994.40</t>
        </is>
      </c>
      <c r="K175" s="19" t="inlineStr">
        <is>
          <t>Refused.</t>
        </is>
      </c>
      <c r="L175" s="19" t="inlineStr">
        <is>
          <t>As expected.</t>
        </is>
      </c>
      <c r="M175" s="19" t="inlineStr">
        <is>
          <t>Pass</t>
        </is>
      </c>
      <c r="N175" s="19" t="inlineStr"/>
      <c r="O175" s="19" t="inlineStr">
        <is>
          <t>iorta TechNXT QA</t>
        </is>
      </c>
      <c r="P175" s="19" t="inlineStr">
        <is>
          <t>03 October 2026</t>
        </is>
      </c>
      <c r="Q175" s="19" t="inlineStr"/>
      <c r="R175" s="19" t="inlineStr">
        <is>
          <t>backend/test/endorsements.test.js :: refuses a premiumDelta that does not match new gross - current gross [passed]</t>
        </is>
      </c>
    </row>
    <row r="176">
      <c r="A176" s="19" t="inlineStr">
        <is>
          <t>BV-END-003</t>
        </is>
      </c>
      <c r="B176" s="19" t="inlineStr">
        <is>
          <t>Endorsements and cancellations</t>
        </is>
      </c>
      <c r="C176" s="19" t="inlineStr">
        <is>
          <t>Endorsement</t>
        </is>
      </c>
      <c r="D176" s="19" t="inlineStr">
        <is>
          <t>Operations / Client Service (ana.buenaventura)</t>
        </is>
      </c>
      <c r="E176" s="19" t="inlineStr">
        <is>
          <t>Zero delta is not billed</t>
        </is>
      </c>
      <c r="F176" s="19" t="inlineStr">
        <is>
          <t>Validation</t>
        </is>
      </c>
      <c r="G176" s="19" t="inlineStr">
        <is>
          <t>Low</t>
        </is>
      </c>
      <c r="H176" s="19" t="inlineStr">
        <is>
          <t>Address change only.</t>
        </is>
      </c>
      <c r="I176" s="19" t="inlineStr">
        <is>
          <t>1. Endorse a change of address.</t>
        </is>
      </c>
      <c r="J176" s="19" t="inlineStr">
        <is>
          <t>New address: 32nd St., Fort Bonifacio, Taguig</t>
        </is>
      </c>
      <c r="K176" s="19" t="inlineStr">
        <is>
          <t>Endorsement completed; no bill.</t>
        </is>
      </c>
      <c r="L176" s="19" t="inlineStr">
        <is>
          <t>As expected.</t>
        </is>
      </c>
      <c r="M176" s="19" t="inlineStr">
        <is>
          <t>Pass</t>
        </is>
      </c>
      <c r="N176" s="19" t="inlineStr"/>
      <c r="O176" s="19" t="inlineStr">
        <is>
          <t>iorta TechNXT QA</t>
        </is>
      </c>
      <c r="P176" s="19" t="inlineStr">
        <is>
          <t>03 October 2026</t>
        </is>
      </c>
      <c r="Q176" s="19" t="inlineStr"/>
      <c r="R176" s="19" t="inlineStr">
        <is>
          <t>backend/test/endorsements.test.js :: does not bill a zero delta [passed]</t>
        </is>
      </c>
    </row>
    <row r="177">
      <c r="A177" s="19" t="inlineStr">
        <is>
          <t>BV-END-004</t>
        </is>
      </c>
      <c r="B177" s="19" t="inlineStr">
        <is>
          <t>Endorsements and cancellations</t>
        </is>
      </c>
      <c r="C177" s="19" t="inlineStr">
        <is>
          <t>Endorsement</t>
        </is>
      </c>
      <c r="D177" s="19" t="inlineStr">
        <is>
          <t>Operations / Client Service (ana.buenaventura)</t>
        </is>
      </c>
      <c r="E177" s="19" t="inlineStr">
        <is>
          <t>Return premium on a paid policy raises a client refund</t>
        </is>
      </c>
      <c r="F177" s="19" t="inlineStr">
        <is>
          <t>Accounting</t>
        </is>
      </c>
      <c r="G177" s="19" t="inlineStr">
        <is>
          <t>High</t>
        </is>
      </c>
      <c r="H177" s="19" t="inlineStr">
        <is>
          <t>Fully paid motor policy.</t>
        </is>
      </c>
      <c r="I177" s="19" t="inlineStr">
        <is>
          <t>1. Reduce own damage to the appraised value.
2. Complete the endorsement.
3. Open Accounts &gt; Disbursement invoice list.</t>
        </is>
      </c>
      <c r="J177" s="19" t="inlineStr">
        <is>
          <t>OD reduced by 15%</t>
        </is>
      </c>
      <c r="K177" s="19" t="inlineStr">
        <is>
          <t>Return premium credits the open bill; the paid part becomes a client refund payable; commission taxes reversed at booked rates.</t>
        </is>
      </c>
      <c r="L177" s="19" t="inlineStr">
        <is>
          <t>2 return premium endorsements; 3 client refunds paid by cheque.</t>
        </is>
      </c>
      <c r="M177" s="19" t="inlineStr">
        <is>
          <t>Pass</t>
        </is>
      </c>
      <c r="N177" s="19" t="inlineStr"/>
      <c r="O177" s="19" t="inlineStr">
        <is>
          <t>iorta TechNXT QA</t>
        </is>
      </c>
      <c r="P177" s="19" t="inlineStr">
        <is>
          <t>04 October 2026</t>
        </is>
      </c>
      <c r="Q177" s="19" t="inlineStr"/>
      <c r="R177" s="19" t="inlineStr">
        <is>
          <t>backend/test/posting-rules.test.js :: return premium credits the open bill and makes the paid part a client refund payable [passed]
backend/test/commission-taxes.test.js :: a return premium reverses the commission taxes at the rates booked; bills booked without them return none [passed]
backend/test/endorsements.test.js :: records a negative delta (return premium) without billing it [passed]
UAT cycle 03-04 October 2026, phase Servicing: endorsements, renewals, claims (31 passed, 0 failed)</t>
        </is>
      </c>
    </row>
    <row r="178">
      <c r="A178" s="19" t="inlineStr">
        <is>
          <t>BV-END-005</t>
        </is>
      </c>
      <c r="B178" s="19" t="inlineStr">
        <is>
          <t>Endorsements and cancellations</t>
        </is>
      </c>
      <c r="C178" s="19" t="inlineStr">
        <is>
          <t>Endorsement</t>
        </is>
      </c>
      <c r="D178" s="19" t="inlineStr">
        <is>
          <t>Operations / Client Service (ana.buenaventura)</t>
        </is>
      </c>
      <c r="E178" s="19" t="inlineStr">
        <is>
          <t>Return premium claws back sub-agent commission</t>
        </is>
      </c>
      <c r="F178" s="19" t="inlineStr">
        <is>
          <t>Accounting</t>
        </is>
      </c>
      <c r="G178" s="19" t="inlineStr">
        <is>
          <t>Medium</t>
        </is>
      </c>
      <c r="H178" s="19" t="inlineStr">
        <is>
          <t>Policy with paid sub-agent commission line.</t>
        </is>
      </c>
      <c r="I178" s="19" t="inlineStr">
        <is>
          <t>1. Endorse a 25% return.
2. Cancel the rest later.</t>
        </is>
      </c>
      <c r="J178" s="19" t="inlineStr">
        <is>
          <t>Return 25%</t>
        </is>
      </c>
      <c r="K178" s="19" t="inlineStr">
        <is>
          <t>25% of the paid line clawed back and 25% of the accrual reversed; later cancellation claws back only what is left.</t>
        </is>
      </c>
      <c r="L178" s="19" t="inlineStr">
        <is>
          <t>As expected.</t>
        </is>
      </c>
      <c r="M178" s="19" t="inlineStr">
        <is>
          <t>Pass</t>
        </is>
      </c>
      <c r="N178" s="19" t="inlineStr"/>
      <c r="O178" s="19" t="inlineStr">
        <is>
          <t>iorta TechNXT QA</t>
        </is>
      </c>
      <c r="P178" s="19" t="inlineStr">
        <is>
          <t>03 October 2026</t>
        </is>
      </c>
      <c r="Q178" s="19" t="inlineStr"/>
      <c r="R178" s="19" t="inlineStr">
        <is>
          <t>backend/test/accounting-followups.test.js :: a 25% return claws back 25% of the paid line and reverses 25% of the approved accrual through the posting rules [passed]
backend/test/accounting-followups.test.js :: a later cancellation of the rest claws back only what is left and reverses the lines [passed]</t>
        </is>
      </c>
    </row>
    <row r="179">
      <c r="A179" s="19" t="inlineStr">
        <is>
          <t>BV-END-006</t>
        </is>
      </c>
      <c r="B179" s="19" t="inlineStr">
        <is>
          <t>Endorsements and cancellations</t>
        </is>
      </c>
      <c r="C179" s="19" t="inlineStr">
        <is>
          <t>Endorsement</t>
        </is>
      </c>
      <c r="D179" s="19" t="inlineStr">
        <is>
          <t>Operations / Client Service (ana.buenaventura)</t>
        </is>
      </c>
      <c r="E179" s="19" t="inlineStr">
        <is>
          <t>Section endorsement on a package bills that insurer only</t>
        </is>
      </c>
      <c r="F179" s="19" t="inlineStr">
        <is>
          <t>Functional</t>
        </is>
      </c>
      <c r="G179" s="19" t="inlineStr">
        <is>
          <t>Medium</t>
        </is>
      </c>
      <c r="H179" s="19" t="inlineStr">
        <is>
          <t>Package policy with two insurers.</t>
        </is>
      </c>
      <c r="I179" s="19" t="inlineStr">
        <is>
          <t>1. Endorse the burglary section sum insured.</t>
        </is>
      </c>
      <c r="J179" s="19" t="inlineStr">
        <is>
          <t>Burglary +PHP 200,000.00</t>
        </is>
      </c>
      <c r="K179" s="19" t="inlineStr">
        <is>
          <t>Additional premium billed and due to the burglary insurer only.</t>
        </is>
      </c>
      <c r="L179" s="19" t="inlineStr">
        <is>
          <t>As expected.</t>
        </is>
      </c>
      <c r="M179" s="19" t="inlineStr">
        <is>
          <t>Pass</t>
        </is>
      </c>
      <c r="N179" s="19" t="inlineStr"/>
      <c r="O179" s="19" t="inlineStr">
        <is>
          <t>iorta TechNXT QA</t>
        </is>
      </c>
      <c r="P179" s="19" t="inlineStr">
        <is>
          <t>03 October 2026</t>
        </is>
      </c>
      <c r="Q179" s="19" t="inlineStr"/>
      <c r="R179" s="19" t="inlineStr">
        <is>
          <t>backend/test/packages.test.js :: endorses one section: the additional premium is billed and due to that insurer only [passed]</t>
        </is>
      </c>
    </row>
    <row r="180">
      <c r="A180" s="19" t="inlineStr">
        <is>
          <t>BV-END-007</t>
        </is>
      </c>
      <c r="B180" s="19" t="inlineStr">
        <is>
          <t>Endorsements and cancellations</t>
        </is>
      </c>
      <c r="C180" s="19" t="inlineStr">
        <is>
          <t>Endorsement</t>
        </is>
      </c>
      <c r="D180" s="19" t="inlineStr">
        <is>
          <t>Operations / Client Service (ana.buenaventura)</t>
        </is>
      </c>
      <c r="E180" s="19" t="inlineStr">
        <is>
          <t>Direct-bill endorsement books commission due from insurer</t>
        </is>
      </c>
      <c r="F180" s="19" t="inlineStr">
        <is>
          <t>Accounting</t>
        </is>
      </c>
      <c r="G180" s="19" t="inlineStr">
        <is>
          <t>Medium</t>
        </is>
      </c>
      <c r="H180" s="19" t="inlineStr">
        <is>
          <t>Direct-bill policy.</t>
        </is>
      </c>
      <c r="I180" s="19" t="inlineStr">
        <is>
          <t>1. Endorse a premium increase.</t>
        </is>
      </c>
      <c r="J180" s="19" t="inlineStr">
        <is>
          <t>Direct-bill motor policy</t>
        </is>
      </c>
      <c r="K180" s="19" t="inlineStr">
        <is>
          <t>No client bill; commission due from the insurer booked. Return premium reverses it.</t>
        </is>
      </c>
      <c r="L180" s="19" t="inlineStr">
        <is>
          <t>As expected.</t>
        </is>
      </c>
      <c r="M180" s="19" t="inlineStr">
        <is>
          <t>Pass</t>
        </is>
      </c>
      <c r="N180" s="19" t="inlineStr"/>
      <c r="O180" s="19" t="inlineStr">
        <is>
          <t>iorta TechNXT QA</t>
        </is>
      </c>
      <c r="P180" s="19" t="inlineStr">
        <is>
          <t>03 October 2026</t>
        </is>
      </c>
      <c r="Q180" s="19" t="inlineStr"/>
      <c r="R180" s="19" t="inlineStr">
        <is>
          <t>backend/test/endorsements.test.js :: a premium change marked direct bill books the commission due from the insurer instead of a client bill [passed]
backend/test/direct-bill.test.js :: a return premium on a direct-bill policy returns the commission (reverse booking) [passed]</t>
        </is>
      </c>
    </row>
    <row r="181">
      <c r="A181" s="19" t="inlineStr">
        <is>
          <t>BV-END-008</t>
        </is>
      </c>
      <c r="B181" s="19" t="inlineStr">
        <is>
          <t>Endorsements and cancellations</t>
        </is>
      </c>
      <c r="C181" s="19" t="inlineStr">
        <is>
          <t>Endorsement</t>
        </is>
      </c>
      <c r="D181" s="19" t="inlineStr">
        <is>
          <t>Operations / Client Service (ana.buenaventura)</t>
        </is>
      </c>
      <c r="E181" s="19" t="inlineStr">
        <is>
          <t>Endorsement list, permissions and numbering</t>
        </is>
      </c>
      <c r="F181" s="19" t="inlineStr">
        <is>
          <t>Functional</t>
        </is>
      </c>
      <c r="G181" s="19" t="inlineStr">
        <is>
          <t>Low</t>
        </is>
      </c>
      <c r="H181" s="19" t="inlineStr">
        <is>
          <t>Endorsements exist.</t>
        </is>
      </c>
      <c r="I181" s="19" t="inlineStr">
        <is>
          <t>1. List endorsements by policy and by client.
2. As carlo.estrada try to create one.</t>
        </is>
      </c>
      <c r="J181" s="19" t="inlineStr">
        <is>
          <t>Policy MC-2026-xxxxx</t>
        </is>
      </c>
      <c r="K181" s="19" t="inlineStr">
        <is>
          <t>Lists show the endorsements; claims user refused; number taken inside the transaction.</t>
        </is>
      </c>
      <c r="L181" s="19" t="inlineStr">
        <is>
          <t>As expected.</t>
        </is>
      </c>
      <c r="M181" s="19" t="inlineStr">
        <is>
          <t>Pass</t>
        </is>
      </c>
      <c r="N181" s="19" t="inlineStr"/>
      <c r="O181" s="19" t="inlineStr">
        <is>
          <t>iorta TechNXT QA</t>
        </is>
      </c>
      <c r="P181" s="19" t="inlineStr">
        <is>
          <t>03 October 2026</t>
        </is>
      </c>
      <c r="Q181" s="19" t="inlineStr"/>
      <c r="R181" s="19" t="inlineStr">
        <is>
          <t>backend/test/endorsements.test.js :: reads back and lists (by policy and client) [passed]
backend/test/endorsements.test.js :: validates and enforces permissions [passed]
backend/test/numbering.test.js :: endorsements take their number inside the transaction [passed]</t>
        </is>
      </c>
    </row>
    <row r="182">
      <c r="A182" s="19" t="inlineStr">
        <is>
          <t>BV-END-009</t>
        </is>
      </c>
      <c r="B182" s="19" t="inlineStr">
        <is>
          <t>Endorsements and cancellations</t>
        </is>
      </c>
      <c r="C182" s="19" t="inlineStr">
        <is>
          <t>Endorsement</t>
        </is>
      </c>
      <c r="D182" s="19" t="inlineStr">
        <is>
          <t>Operations / Client Service (ana.buenaventura)</t>
        </is>
      </c>
      <c r="E182" s="19" t="inlineStr">
        <is>
          <t>Endorsement booked on its issue date</t>
        </is>
      </c>
      <c r="F182" s="19" t="inlineStr">
        <is>
          <t>Accounting</t>
        </is>
      </c>
      <c r="G182" s="19" t="inlineStr">
        <is>
          <t>Low</t>
        </is>
      </c>
      <c r="H182" s="19" t="inlineStr">
        <is>
          <t>Endorsement completed.</t>
        </is>
      </c>
      <c r="I182" s="19" t="inlineStr">
        <is>
          <t>1. Open its journal.</t>
        </is>
      </c>
      <c r="J182" s="19" t="inlineStr">
        <is>
          <t>Issued 15 August 2026</t>
        </is>
      </c>
      <c r="K182" s="19" t="inlineStr">
        <is>
          <t>Journal dated on the endorsement issue date.</t>
        </is>
      </c>
      <c r="L182" s="19" t="inlineStr">
        <is>
          <t>As expected.</t>
        </is>
      </c>
      <c r="M182" s="19" t="inlineStr">
        <is>
          <t>Pass</t>
        </is>
      </c>
      <c r="N182" s="19" t="inlineStr"/>
      <c r="O182" s="19" t="inlineStr">
        <is>
          <t>iorta TechNXT QA</t>
        </is>
      </c>
      <c r="P182" s="19" t="inlineStr">
        <is>
          <t>03 October 2026</t>
        </is>
      </c>
      <c r="Q182" s="19" t="inlineStr"/>
      <c r="R182" s="19" t="inlineStr">
        <is>
          <t>backend/test/uat-disconnects.test.js :: books an endorsement premium on the endorsement issue date [passed]</t>
        </is>
      </c>
    </row>
    <row r="183">
      <c r="A183" s="19" t="inlineStr">
        <is>
          <t>BV-END-010</t>
        </is>
      </c>
      <c r="B183" s="19" t="inlineStr">
        <is>
          <t>Endorsements and cancellations</t>
        </is>
      </c>
      <c r="C183" s="19" t="inlineStr">
        <is>
          <t>Endorsement</t>
        </is>
      </c>
      <c r="D183" s="19" t="inlineStr">
        <is>
          <t>Sales / Account Executive (maria.rivera)</t>
        </is>
      </c>
      <c r="E183" s="19" t="inlineStr">
        <is>
          <t>Agent endorses own policies only</t>
        </is>
      </c>
      <c r="F183" s="19" t="inlineStr">
        <is>
          <t>Role access</t>
        </is>
      </c>
      <c r="G183" s="19" t="inlineStr">
        <is>
          <t>Medium</t>
        </is>
      </c>
      <c r="H183" s="19" t="inlineStr">
        <is>
          <t>Scoped sales role.</t>
        </is>
      </c>
      <c r="I183" s="19" t="inlineStr">
        <is>
          <t>1. Try to endorse a policy of another agent.</t>
        </is>
      </c>
      <c r="J183" s="19" t="inlineStr">
        <is>
          <t>Policy of paolo.dizon</t>
        </is>
      </c>
      <c r="K183" s="19" t="inlineStr">
        <is>
          <t>Refused.</t>
        </is>
      </c>
      <c r="L183" s="19" t="inlineStr">
        <is>
          <t>As expected.</t>
        </is>
      </c>
      <c r="M183" s="19" t="inlineStr">
        <is>
          <t>Pass</t>
        </is>
      </c>
      <c r="N183" s="19" t="inlineStr"/>
      <c r="O183" s="19" t="inlineStr">
        <is>
          <t>iorta TechNXT QA</t>
        </is>
      </c>
      <c r="P183" s="19" t="inlineStr">
        <is>
          <t>03 October 2026</t>
        </is>
      </c>
      <c r="Q183" s="19" t="inlineStr"/>
      <c r="R183" s="19" t="inlineStr">
        <is>
          <t>backend/test/scope.test.js :: endorsements: agents endorse their own policies only [passed]</t>
        </is>
      </c>
    </row>
    <row r="184">
      <c r="A184" s="19" t="inlineStr">
        <is>
          <t>BV-END-011</t>
        </is>
      </c>
      <c r="B184" s="19" t="inlineStr">
        <is>
          <t>Endorsements and cancellations</t>
        </is>
      </c>
      <c r="C184" s="19" t="inlineStr">
        <is>
          <t>Cancellation</t>
        </is>
      </c>
      <c r="D184" s="19" t="inlineStr">
        <is>
          <t>Operations / Client Service (ana.buenaventura)</t>
        </is>
      </c>
      <c r="E184" s="19" t="inlineStr">
        <is>
          <t>Cancel a policy at the client request with pro-rata return</t>
        </is>
      </c>
      <c r="F184" s="19" t="inlineStr">
        <is>
          <t>Functional</t>
        </is>
      </c>
      <c r="G184" s="19" t="inlineStr">
        <is>
          <t>High</t>
        </is>
      </c>
      <c r="H184" s="19" t="inlineStr">
        <is>
          <t>Fully paid PA policy.</t>
        </is>
      </c>
      <c r="I184" s="19" t="inlineStr">
        <is>
          <t>1. Start a cancellation endorsement (full).
2. Initiate cancel, upload document, complete.</t>
        </is>
      </c>
      <c r="J184" s="19" t="inlineStr">
        <is>
          <t>Remarks: Client moved abroad; return 50% of gross</t>
        </is>
      </c>
      <c r="K184" s="19" t="inlineStr">
        <is>
          <t>Status Cancelled; refund payable raised and paid by cheque.</t>
        </is>
      </c>
      <c r="L184" s="19" t="inlineStr">
        <is>
          <t>As expected.</t>
        </is>
      </c>
      <c r="M184" s="19" t="inlineStr">
        <is>
          <t>Pass</t>
        </is>
      </c>
      <c r="N184" s="19" t="inlineStr"/>
      <c r="O184" s="19" t="inlineStr">
        <is>
          <t>iorta TechNXT QA</t>
        </is>
      </c>
      <c r="P184" s="19" t="inlineStr">
        <is>
          <t>04 October 2026</t>
        </is>
      </c>
      <c r="Q184" s="19" t="inlineStr"/>
      <c r="R184" s="19" t="inlineStr">
        <is>
          <t>backend/test/endorsements.test.js :: cancels a policy through a cancellation endorsement [passed]
UAT cycle 03-04 October 2026, phase Servicing: endorsements, renewals, claims (31 passed, 0 failed)</t>
        </is>
      </c>
    </row>
    <row r="185">
      <c r="A185" s="19" t="inlineStr">
        <is>
          <t>BV-END-012</t>
        </is>
      </c>
      <c r="B185" s="19" t="inlineStr">
        <is>
          <t>Endorsements and cancellations</t>
        </is>
      </c>
      <c r="C185" s="19" t="inlineStr">
        <is>
          <t>Cancellation</t>
        </is>
      </c>
      <c r="D185" s="19" t="inlineStr">
        <is>
          <t>Operations / Client Service (ana.buenaventura)</t>
        </is>
      </c>
      <c r="E185" s="19" t="inlineStr">
        <is>
          <t>Cancellation without return reverses the open bill</t>
        </is>
      </c>
      <c r="F185" s="19" t="inlineStr">
        <is>
          <t>Accounting</t>
        </is>
      </c>
      <c r="G185" s="19" t="inlineStr">
        <is>
          <t>Medium</t>
        </is>
      </c>
      <c r="H185" s="19" t="inlineStr">
        <is>
          <t>Unpaid policy.</t>
        </is>
      </c>
      <c r="I185" s="19" t="inlineStr">
        <is>
          <t>1. Cancel with no return amount.</t>
        </is>
      </c>
      <c r="J185" s="19" t="inlineStr">
        <is>
          <t>Unpaid policy</t>
        </is>
      </c>
      <c r="K185" s="19" t="inlineStr">
        <is>
          <t>Open bill reversed exactly as booked.</t>
        </is>
      </c>
      <c r="L185" s="19" t="inlineStr">
        <is>
          <t>As expected.</t>
        </is>
      </c>
      <c r="M185" s="19" t="inlineStr">
        <is>
          <t>Pass</t>
        </is>
      </c>
      <c r="N185" s="19" t="inlineStr"/>
      <c r="O185" s="19" t="inlineStr">
        <is>
          <t>iorta TechNXT QA</t>
        </is>
      </c>
      <c r="P185" s="19" t="inlineStr">
        <is>
          <t>03 October 2026</t>
        </is>
      </c>
      <c r="Q185" s="19" t="inlineStr"/>
      <c r="R185" s="19" t="inlineStr">
        <is>
          <t>backend/test/posting-rules.test.js :: cancellation without a return amount reverses the open bill exactly as booked [passed]</t>
        </is>
      </c>
    </row>
    <row r="186">
      <c r="A186" s="19" t="inlineStr">
        <is>
          <t>BV-END-013</t>
        </is>
      </c>
      <c r="B186" s="19" t="inlineStr">
        <is>
          <t>Endorsements and cancellations</t>
        </is>
      </c>
      <c r="C186" s="19" t="inlineStr">
        <is>
          <t>Cancellation</t>
        </is>
      </c>
      <c r="D186" s="19" t="inlineStr">
        <is>
          <t>Operations / Client Service (ana.buenaventura)</t>
        </is>
      </c>
      <c r="E186" s="19" t="inlineStr">
        <is>
          <t>Cancellation for non-payment from credit control</t>
        </is>
      </c>
      <c r="F186" s="19" t="inlineStr">
        <is>
          <t>Integration</t>
        </is>
      </c>
      <c r="G186" s="19" t="inlineStr">
        <is>
          <t>High</t>
        </is>
      </c>
      <c r="H186" s="19" t="inlineStr">
        <is>
          <t>Accounting raised a cancellation request on a warranty breach.</t>
        </is>
      </c>
      <c r="I186" s="19" t="inlineStr">
        <is>
          <t>1. Open the request from the notification.
2. Initiate cancel and complete.</t>
        </is>
      </c>
      <c r="J186" s="19" t="inlineStr">
        <is>
          <t>Notes: Two reminders unanswered; premium warranty breached</t>
        </is>
      </c>
      <c r="K186" s="19" t="inlineStr">
        <is>
          <t>Policy Cancelled.</t>
        </is>
      </c>
      <c r="L186" s="19" t="inlineStr">
        <is>
          <t>As expected.</t>
        </is>
      </c>
      <c r="M186" s="19" t="inlineStr">
        <is>
          <t>Pass</t>
        </is>
      </c>
      <c r="N186" s="19" t="inlineStr"/>
      <c r="O186" s="19" t="inlineStr">
        <is>
          <t>iorta TechNXT QA</t>
        </is>
      </c>
      <c r="P186" s="19" t="inlineStr">
        <is>
          <t>04 October 2026</t>
        </is>
      </c>
      <c r="Q186" s="19" t="inlineStr"/>
      <c r="R186" s="19" t="inlineStr">
        <is>
          <t>backend/test/credit-control.test.js :: raises a cancellation request for Operations without cancelling the policy [passed]
UAT cycle 03-04 October 2026, phase Billing and collection (61 passed, 0 failed)</t>
        </is>
      </c>
    </row>
    <row r="187">
      <c r="A187" s="19" t="inlineStr">
        <is>
          <t>BV-CLM-001</t>
        </is>
      </c>
      <c r="B187" s="19" t="inlineStr">
        <is>
          <t>Claims</t>
        </is>
      </c>
      <c r="C187" s="19" t="inlineStr">
        <is>
          <t>Register claim</t>
        </is>
      </c>
      <c r="D187" s="19" t="inlineStr">
        <is>
          <t>Claims Officer (carlo.estrada)</t>
        </is>
      </c>
      <c r="E187" s="19" t="inlineStr">
        <is>
          <t>Register a motor claim with documents</t>
        </is>
      </c>
      <c r="F187" s="19" t="inlineStr">
        <is>
          <t>Functional</t>
        </is>
      </c>
      <c r="G187" s="19" t="inlineStr">
        <is>
          <t>High</t>
        </is>
      </c>
      <c r="H187" s="19" t="inlineStr">
        <is>
          <t>Active paid motor policy.</t>
        </is>
      </c>
      <c r="I187" s="19" t="inlineStr">
        <is>
          <t>1. Open Operations &gt; Claims and start a new claim.
2. Enter policy, date and time of loss, place, cause, estimate, driver.
3. Attach notice of loss PDF.
4. Submit.</t>
        </is>
      </c>
      <c r="J187" s="19" t="inlineStr">
        <is>
          <t>Collision; loss 12 July 2026 18:30; Makati; estimate PHP 85,000.00</t>
        </is>
      </c>
      <c r="K187" s="19" t="inlineStr">
        <is>
          <t>Claim numbered; Preliminary Loss Advice sent; handler and owner notified.</t>
        </is>
      </c>
      <c r="L187" s="19" t="inlineStr">
        <is>
          <t>8 claims notified.</t>
        </is>
      </c>
      <c r="M187" s="19" t="inlineStr">
        <is>
          <t>Pass</t>
        </is>
      </c>
      <c r="N187" s="19" t="inlineStr"/>
      <c r="O187" s="19" t="inlineStr">
        <is>
          <t>iorta TechNXT QA</t>
        </is>
      </c>
      <c r="P187" s="19" t="inlineStr">
        <is>
          <t>04 October 2026</t>
        </is>
      </c>
      <c r="Q187" s="19" t="inlineStr"/>
      <c r="R187" s="19" t="inlineStr">
        <is>
          <t>backend/test/claims.test.js :: registers a claim (multipart), sends the Preliminary Loss Advice and notifies the handler and policy owner [passed]
UAT cycle 03-04 October 2026, phase Servicing: endorsements, renewals, claims (31 passed, 0 failed)
Screen check /agent/claim: opened clean</t>
        </is>
      </c>
    </row>
    <row r="188">
      <c r="A188" s="19" t="inlineStr">
        <is>
          <t>BV-CLM-002</t>
        </is>
      </c>
      <c r="B188" s="19" t="inlineStr">
        <is>
          <t>Claims</t>
        </is>
      </c>
      <c r="C188" s="19" t="inlineStr">
        <is>
          <t>Register claim</t>
        </is>
      </c>
      <c r="D188" s="19" t="inlineStr">
        <is>
          <t>Claims Officer (carlo.estrada)</t>
        </is>
      </c>
      <c r="E188" s="19" t="inlineStr">
        <is>
          <t>Loss date outside the policy period refused</t>
        </is>
      </c>
      <c r="F188" s="19" t="inlineStr">
        <is>
          <t>Negative</t>
        </is>
      </c>
      <c r="G188" s="19" t="inlineStr">
        <is>
          <t>High</t>
        </is>
      </c>
      <c r="H188" s="19" t="inlineStr">
        <is>
          <t>Policy inception 01 June 2026.</t>
        </is>
      </c>
      <c r="I188" s="19" t="inlineStr">
        <is>
          <t>1. Register a claim with loss date 15 May 2026.</t>
        </is>
      </c>
      <c r="J188" s="19" t="inlineStr">
        <is>
          <t>Loss 15 May 2026</t>
        </is>
      </c>
      <c r="K188" s="19" t="inlineStr">
        <is>
          <t>Refused with a period message.</t>
        </is>
      </c>
      <c r="L188" s="19" t="inlineStr">
        <is>
          <t>As expected.</t>
        </is>
      </c>
      <c r="M188" s="19" t="inlineStr">
        <is>
          <t>Pass</t>
        </is>
      </c>
      <c r="N188" s="19" t="inlineStr"/>
      <c r="O188" s="19" t="inlineStr">
        <is>
          <t>iorta TechNXT QA</t>
        </is>
      </c>
      <c r="P188" s="19" t="inlineStr">
        <is>
          <t>03 October 2026</t>
        </is>
      </c>
      <c r="Q188" s="19" t="inlineStr"/>
      <c r="R188" s="19" t="inlineStr">
        <is>
          <t>backend/test/claims.test.js :: rejects invalid registrations (validation, loss date outside the period, unpaid premium) and honours the setting [passed]</t>
        </is>
      </c>
    </row>
    <row r="189">
      <c r="A189" s="19" t="inlineStr">
        <is>
          <t>BV-CLM-003</t>
        </is>
      </c>
      <c r="B189" s="19" t="inlineStr">
        <is>
          <t>Claims</t>
        </is>
      </c>
      <c r="C189" s="19" t="inlineStr">
        <is>
          <t>Register claim</t>
        </is>
      </c>
      <c r="D189" s="19" t="inlineStr">
        <is>
          <t>Claims Officer (carlo.estrada)</t>
        </is>
      </c>
      <c r="E189" s="19" t="inlineStr">
        <is>
          <t>Claim refused while premium unpaid (rule on)</t>
        </is>
      </c>
      <c r="F189" s="19" t="inlineStr">
        <is>
          <t>Negative</t>
        </is>
      </c>
      <c r="G189" s="19" t="inlineStr">
        <is>
          <t>High</t>
        </is>
      </c>
      <c r="H189" s="19" t="inlineStr">
        <is>
          <t>Unpaid policy; claims require paid premium setting on.</t>
        </is>
      </c>
      <c r="I189" s="19" t="inlineStr">
        <is>
          <t>1. Register a claim.</t>
        </is>
      </c>
      <c r="J189" s="19" t="inlineStr">
        <is>
          <t>Unpaid fire policy</t>
        </is>
      </c>
      <c r="K189" s="19" t="inlineStr">
        <is>
          <t>Refused; with the setting off it is accepted.</t>
        </is>
      </c>
      <c r="L189" s="19" t="inlineStr">
        <is>
          <t>As expected.</t>
        </is>
      </c>
      <c r="M189" s="19" t="inlineStr">
        <is>
          <t>Pass</t>
        </is>
      </c>
      <c r="N189" s="19" t="inlineStr"/>
      <c r="O189" s="19" t="inlineStr">
        <is>
          <t>iorta TechNXT QA</t>
        </is>
      </c>
      <c r="P189" s="19" t="inlineStr">
        <is>
          <t>03 October 2026</t>
        </is>
      </c>
      <c r="Q189" s="19" t="inlineStr"/>
      <c r="R189" s="19" t="inlineStr">
        <is>
          <t>backend/test/claims.test.js :: rejects invalid registrations (validation, loss date outside the period, unpaid premium) and honours the setting [passed]</t>
        </is>
      </c>
    </row>
    <row r="190">
      <c r="A190" s="19" t="inlineStr">
        <is>
          <t>BV-CLM-004</t>
        </is>
      </c>
      <c r="B190" s="19" t="inlineStr">
        <is>
          <t>Claims</t>
        </is>
      </c>
      <c r="C190" s="19" t="inlineStr">
        <is>
          <t>Register claim</t>
        </is>
      </c>
      <c r="D190" s="19" t="inlineStr">
        <is>
          <t>Claims Officer (carlo.estrada)</t>
        </is>
      </c>
      <c r="E190" s="19" t="inlineStr">
        <is>
          <t>Reported date before the date of loss refused</t>
        </is>
      </c>
      <c r="F190" s="19" t="inlineStr">
        <is>
          <t>Validation</t>
        </is>
      </c>
      <c r="G190" s="19" t="inlineStr">
        <is>
          <t>Medium</t>
        </is>
      </c>
      <c r="H190" s="19" t="inlineStr">
        <is>
          <t>New claim form.</t>
        </is>
      </c>
      <c r="I190" s="19" t="inlineStr">
        <is>
          <t>1. Enter reported date earlier than loss date; save. Repeat on update.</t>
        </is>
      </c>
      <c r="J190" s="19" t="inlineStr">
        <is>
          <t>Loss 12 July; reported 10 July</t>
        </is>
      </c>
      <c r="K190" s="19" t="inlineStr">
        <is>
          <t>Refused on registration and update.</t>
        </is>
      </c>
      <c r="L190" s="19" t="inlineStr">
        <is>
          <t>As expected.</t>
        </is>
      </c>
      <c r="M190" s="19" t="inlineStr">
        <is>
          <t>Pass</t>
        </is>
      </c>
      <c r="N190" s="19" t="inlineStr"/>
      <c r="O190" s="19" t="inlineStr">
        <is>
          <t>iorta TechNXT QA</t>
        </is>
      </c>
      <c r="P190" s="19" t="inlineStr">
        <is>
          <t>03 October 2026</t>
        </is>
      </c>
      <c r="Q190" s="19" t="inlineStr"/>
      <c r="R190" s="19" t="inlineStr">
        <is>
          <t>backend/test/role-access.test.js :: refuses a reported date before the date of loss, on registration and on update [passed]</t>
        </is>
      </c>
    </row>
    <row r="191">
      <c r="A191" s="19" t="inlineStr">
        <is>
          <t>BV-CLM-005</t>
        </is>
      </c>
      <c r="B191" s="19" t="inlineStr">
        <is>
          <t>Claims</t>
        </is>
      </c>
      <c r="C191" s="19" t="inlineStr">
        <is>
          <t>Review</t>
        </is>
      </c>
      <c r="D191" s="19" t="inlineStr">
        <is>
          <t>Claims Officer (carlo.estrada)</t>
        </is>
      </c>
      <c r="E191" s="19" t="inlineStr">
        <is>
          <t>Review with insurer claim number and adjuster report</t>
        </is>
      </c>
      <c r="F191" s="19" t="inlineStr">
        <is>
          <t>Functional</t>
        </is>
      </c>
      <c r="G191" s="19" t="inlineStr">
        <is>
          <t>High</t>
        </is>
      </c>
      <c r="H191" s="19" t="inlineStr">
        <is>
          <t>Claim registered.</t>
        </is>
      </c>
      <c r="I191" s="19" t="inlineStr">
        <is>
          <t>1. Set status Processing.
2. Enter insurer claim number and adjuster, upload adjuster report.</t>
        </is>
      </c>
      <c r="J191" s="19" t="inlineStr">
        <is>
          <t>PCIC-CL-xxxxxx; Cordillera Adjusters Inc.</t>
        </is>
      </c>
      <c r="K191" s="19" t="inlineStr">
        <is>
          <t>Status Processing; documents listed; history shows user and time.</t>
        </is>
      </c>
      <c r="L191" s="19" t="inlineStr">
        <is>
          <t>As expected.</t>
        </is>
      </c>
      <c r="M191" s="19" t="inlineStr">
        <is>
          <t>Pass</t>
        </is>
      </c>
      <c r="N191" s="19" t="inlineStr"/>
      <c r="O191" s="19" t="inlineStr">
        <is>
          <t>iorta TechNXT QA</t>
        </is>
      </c>
      <c r="P191" s="19" t="inlineStr">
        <is>
          <t>04 October 2026</t>
        </is>
      </c>
      <c r="Q191" s="19" t="inlineStr"/>
      <c r="R191" s="19" t="inlineStr">
        <is>
          <t>backend/test/claims.test.js :: moves through review, adjuster report, settlement maker-checker to settled and closed [passed]
UAT cycle 03-04 October 2026, phase Servicing: endorsements, renewals, claims (31 passed, 0 failed)</t>
        </is>
      </c>
    </row>
    <row r="192">
      <c r="A192" s="19" t="inlineStr">
        <is>
          <t>BV-CLM-006</t>
        </is>
      </c>
      <c r="B192" s="19" t="inlineStr">
        <is>
          <t>Claims</t>
        </is>
      </c>
      <c r="C192" s="19" t="inlineStr">
        <is>
          <t>Settlement</t>
        </is>
      </c>
      <c r="D192" s="19" t="inlineStr">
        <is>
          <t>Claims Officer (joy.macaraeg)</t>
        </is>
      </c>
      <c r="E192" s="19" t="inlineStr">
        <is>
          <t>Settlement needs a second claims user</t>
        </is>
      </c>
      <c r="F192" s="19" t="inlineStr">
        <is>
          <t>Negative</t>
        </is>
      </c>
      <c r="G192" s="19" t="inlineStr">
        <is>
          <t>High</t>
        </is>
      </c>
      <c r="H192" s="19" t="inlineStr">
        <is>
          <t>Settlement entered by carlo.estrada.</t>
        </is>
      </c>
      <c r="I192" s="19" t="inlineStr">
        <is>
          <t>1. As carlo.estrada try Approve Settlement.
2. As joy.macaraeg approve.</t>
        </is>
      </c>
      <c r="J192" s="19" t="inlineStr">
        <is>
          <t>Settlement PHP 72,500.00 Repair Shop</t>
        </is>
      </c>
      <c r="K192" s="19" t="inlineStr">
        <is>
          <t>Maker refused; checker approves; status Settled.</t>
        </is>
      </c>
      <c r="L192" s="19" t="inlineStr">
        <is>
          <t>4 claims settled and closed.</t>
        </is>
      </c>
      <c r="M192" s="19" t="inlineStr">
        <is>
          <t>Pass</t>
        </is>
      </c>
      <c r="N192" s="19" t="inlineStr"/>
      <c r="O192" s="19" t="inlineStr">
        <is>
          <t>iorta TechNXT QA</t>
        </is>
      </c>
      <c r="P192" s="19" t="inlineStr">
        <is>
          <t>04 October 2026</t>
        </is>
      </c>
      <c r="Q192" s="19" t="inlineStr"/>
      <c r="R192" s="19" t="inlineStr">
        <is>
          <t>backend/test/claims.test.js :: moves through review, adjuster report, settlement maker-checker to settled and closed [passed]
UAT cycle 03-04 October 2026, phase Servicing: endorsements, renewals, claims (31 passed, 0 failed)</t>
        </is>
      </c>
    </row>
    <row r="193">
      <c r="A193" s="19" t="inlineStr">
        <is>
          <t>BV-CLM-007</t>
        </is>
      </c>
      <c r="B193" s="19" t="inlineStr">
        <is>
          <t>Claims</t>
        </is>
      </c>
      <c r="C193" s="19" t="inlineStr">
        <is>
          <t>Settlement</t>
        </is>
      </c>
      <c r="D193" s="19" t="inlineStr">
        <is>
          <t>Claims Officer (carlo.estrada)</t>
        </is>
      </c>
      <c r="E193" s="19" t="inlineStr">
        <is>
          <t>Settlement type outside the master refused</t>
        </is>
      </c>
      <c r="F193" s="19" t="inlineStr">
        <is>
          <t>Validation</t>
        </is>
      </c>
      <c r="G193" s="19" t="inlineStr">
        <is>
          <t>Medium</t>
        </is>
      </c>
      <c r="H193" s="19" t="inlineStr">
        <is>
          <t>Settlement form.</t>
        </is>
      </c>
      <c r="I193" s="19" t="inlineStr">
        <is>
          <t>1. Open the settlement of a claim.
2. Send a settlement type that is not in the claim masters.</t>
        </is>
      </c>
      <c r="J193" s="19" t="inlineStr">
        <is>
          <t>Settlement type: Cash on delivery</t>
        </is>
      </c>
      <c r="K193" s="19" t="inlineStr">
        <is>
          <t>Refused; only master values (Repair Shop, Bank Transfer, Paid through broker) are accepted.</t>
        </is>
      </c>
      <c r="L193" s="19" t="inlineStr">
        <is>
          <t>As expected.</t>
        </is>
      </c>
      <c r="M193" s="19" t="inlineStr">
        <is>
          <t>Pass</t>
        </is>
      </c>
      <c r="N193" s="19" t="inlineStr"/>
      <c r="O193" s="19" t="inlineStr">
        <is>
          <t>iorta TechNXT QA</t>
        </is>
      </c>
      <c r="P193" s="19" t="inlineStr">
        <is>
          <t>03 October 2026</t>
        </is>
      </c>
      <c r="Q193" s="19" t="inlineStr"/>
      <c r="R193" s="19" t="inlineStr">
        <is>
          <t>backend/test/claims.test.js :: serves the claim masters and rejects a settlement type outside the master [passed]</t>
        </is>
      </c>
    </row>
    <row r="194">
      <c r="A194" s="19" t="inlineStr">
        <is>
          <t>BV-CLM-008</t>
        </is>
      </c>
      <c r="B194" s="19" t="inlineStr">
        <is>
          <t>Claims</t>
        </is>
      </c>
      <c r="C194" s="19" t="inlineStr">
        <is>
          <t>Settlement</t>
        </is>
      </c>
      <c r="D194" s="19" t="inlineStr">
        <is>
          <t>Claims Officer (carlo.estrada)</t>
        </is>
      </c>
      <c r="E194" s="19" t="inlineStr">
        <is>
          <t>Settle date before issue date refused on screen</t>
        </is>
      </c>
      <c r="F194" s="19" t="inlineStr">
        <is>
          <t>Validation</t>
        </is>
      </c>
      <c r="G194" s="19" t="inlineStr">
        <is>
          <t>Low</t>
        </is>
      </c>
      <c r="H194" s="19" t="inlineStr">
        <is>
          <t>Settlement form.</t>
        </is>
      </c>
      <c r="I194" s="19" t="inlineStr">
        <is>
          <t>1. Enter issue date 20 August 2026 and settle date 18 August 2026.
2. Click Submit.</t>
        </is>
      </c>
      <c r="J194" s="19" t="inlineStr">
        <is>
          <t>Issue 20 August 2026; settle 18 August 2026</t>
        </is>
      </c>
      <c r="K194" s="19" t="inlineStr">
        <is>
          <t>Message "Settle date cannot be before the issue date". Nothing saved.</t>
        </is>
      </c>
      <c r="L194" s="19" t="inlineStr"/>
      <c r="M194" s="19" t="inlineStr">
        <is>
          <t>Not Run</t>
        </is>
      </c>
      <c r="N194" s="19" t="inlineStr"/>
      <c r="O194" s="19" t="inlineStr">
        <is>
          <t>iorta TechNXT QA</t>
        </is>
      </c>
      <c r="P194" s="19" t="inlineStr"/>
      <c r="Q194" s="19" t="inlineStr">
        <is>
          <t>Screen-only rule; not covered by the backend run. Planned for the next manual cycle.</t>
        </is>
      </c>
      <c r="R194" s="19" t="inlineStr"/>
    </row>
    <row r="195">
      <c r="A195" s="19" t="inlineStr">
        <is>
          <t>BV-CLM-009</t>
        </is>
      </c>
      <c r="B195" s="19" t="inlineStr">
        <is>
          <t>Claims</t>
        </is>
      </c>
      <c r="C195" s="19" t="inlineStr">
        <is>
          <t>Settlement</t>
        </is>
      </c>
      <c r="D195" s="19" t="inlineStr">
        <is>
          <t>Accounting Officer (liza.quiambao)</t>
        </is>
      </c>
      <c r="E195" s="19" t="inlineStr">
        <is>
          <t>Settlement paid through the broker</t>
        </is>
      </c>
      <c r="F195" s="19" t="inlineStr">
        <is>
          <t>Accounting</t>
        </is>
      </c>
      <c r="G195" s="19" t="inlineStr">
        <is>
          <t>High</t>
        </is>
      </c>
      <c r="H195" s="19" t="inlineStr">
        <is>
          <t>Fire claim settled PHP 980,000.00 Paid through broker.</t>
        </is>
      </c>
      <c r="I195" s="19" t="inlineStr">
        <is>
          <t>1. Record funds received from the insurer to BDO-OPS.
2. Record payment to the claimant by cheque.
3. Try amounts above due and payable.</t>
        </is>
      </c>
      <c r="J195" s="19" t="inlineStr">
        <is>
          <t>Funds PHP 980,000.00; cheque CHK xxxxxxx</t>
        </is>
      </c>
      <c r="K195" s="19" t="inlineStr">
        <is>
          <t>Journals posted on the settlement date; amounts above due or payable refused.</t>
        </is>
      </c>
      <c r="L195" s="19" t="inlineStr">
        <is>
          <t>As expected.</t>
        </is>
      </c>
      <c r="M195" s="19" t="inlineStr">
        <is>
          <t>Pass</t>
        </is>
      </c>
      <c r="N195" s="19" t="inlineStr"/>
      <c r="O195" s="19" t="inlineStr">
        <is>
          <t>iorta TechNXT QA</t>
        </is>
      </c>
      <c r="P195" s="19" t="inlineStr">
        <is>
          <t>04 October 2026</t>
        </is>
      </c>
      <c r="Q195" s="19" t="inlineStr"/>
      <c r="R195" s="19" t="inlineStr">
        <is>
          <t>backend/test/accounting-followups.test.js :: books the settlement through the broker [passed]
backend/test/accounting-followups.test.js :: records funds received from the insurer into a bank account (claim.funds_received), never more than due [passed]
backend/test/accounting-followups.test.js :: records the payment to the claimant (claim.paid_to_claimant), never more than payable [passed]
backend/test/uat-disconnects.test.js :: the claim is settled on its settlement date and the broker settlement journal is dated with it [passed]
UAT cycle 03-04 October 2026, phase Servicing: endorsements, renewals, claims (31 passed, 0 failed)</t>
        </is>
      </c>
    </row>
    <row r="196">
      <c r="A196" s="19" t="inlineStr">
        <is>
          <t>BV-CLM-010</t>
        </is>
      </c>
      <c r="B196" s="19" t="inlineStr">
        <is>
          <t>Claims</t>
        </is>
      </c>
      <c r="C196" s="19" t="inlineStr">
        <is>
          <t>Reject / close</t>
        </is>
      </c>
      <c r="D196" s="19" t="inlineStr">
        <is>
          <t>Claims Officer (carlo.estrada)</t>
        </is>
      </c>
      <c r="E196" s="19" t="inlineStr">
        <is>
          <t>Reject a claim and close without payment</t>
        </is>
      </c>
      <c r="F196" s="19" t="inlineStr">
        <is>
          <t>Functional</t>
        </is>
      </c>
      <c r="G196" s="19" t="inlineStr">
        <is>
          <t>Medium</t>
        </is>
      </c>
      <c r="H196" s="19" t="inlineStr">
        <is>
          <t>Home typhoon claim.</t>
        </is>
      </c>
      <c r="I196" s="19" t="inlineStr">
        <is>
          <t>1. Reject with reason.
2. Close with remarks.</t>
        </is>
      </c>
      <c r="J196" s="19" t="inlineStr">
        <is>
          <t>Reason: Loss below the deductible (2% of the sum insured)</t>
        </is>
      </c>
      <c r="K196" s="19" t="inlineStr">
        <is>
          <t>Status Rejected then Closed; field-level audit trail available.</t>
        </is>
      </c>
      <c r="L196" s="19" t="inlineStr">
        <is>
          <t>As expected.</t>
        </is>
      </c>
      <c r="M196" s="19" t="inlineStr">
        <is>
          <t>Pass</t>
        </is>
      </c>
      <c r="N196" s="19" t="inlineStr"/>
      <c r="O196" s="19" t="inlineStr">
        <is>
          <t>iorta TechNXT QA</t>
        </is>
      </c>
      <c r="P196" s="19" t="inlineStr">
        <is>
          <t>04 October 2026</t>
        </is>
      </c>
      <c r="Q196" s="19" t="inlineStr"/>
      <c r="R196" s="19" t="inlineStr">
        <is>
          <t>backend/test/claims.test.js :: rejects a claim and returns the field-level audit trail [passed]
UAT cycle 03-04 October 2026, phase Servicing: endorsements, renewals, claims (31 passed, 0 failed)</t>
        </is>
      </c>
    </row>
    <row r="197">
      <c r="A197" s="19" t="inlineStr">
        <is>
          <t>BV-CLM-011</t>
        </is>
      </c>
      <c r="B197" s="19" t="inlineStr">
        <is>
          <t>Claims</t>
        </is>
      </c>
      <c r="C197" s="19" t="inlineStr">
        <is>
          <t>Claims list</t>
        </is>
      </c>
      <c r="D197" s="19" t="inlineStr">
        <is>
          <t>Claims Officer (carlo.estrada)</t>
        </is>
      </c>
      <c r="E197" s="19" t="inlineStr">
        <is>
          <t>Find a claim by search and status</t>
        </is>
      </c>
      <c r="F197" s="19" t="inlineStr">
        <is>
          <t>Functional</t>
        </is>
      </c>
      <c r="G197" s="19" t="inlineStr">
        <is>
          <t>Low</t>
        </is>
      </c>
      <c r="H197" s="19" t="inlineStr">
        <is>
          <t>Claims exist.</t>
        </is>
      </c>
      <c r="I197" s="19" t="inlineStr">
        <is>
          <t>1. Search by policy number.
2. Filter Open.</t>
        </is>
      </c>
      <c r="J197" s="19" t="inlineStr">
        <is>
          <t>Status Open</t>
        </is>
      </c>
      <c r="K197" s="19" t="inlineStr">
        <is>
          <t>Claim found.</t>
        </is>
      </c>
      <c r="L197" s="19" t="inlineStr">
        <is>
          <t>As expected.</t>
        </is>
      </c>
      <c r="M197" s="19" t="inlineStr">
        <is>
          <t>Pass</t>
        </is>
      </c>
      <c r="N197" s="19" t="inlineStr"/>
      <c r="O197" s="19" t="inlineStr">
        <is>
          <t>iorta TechNXT QA</t>
        </is>
      </c>
      <c r="P197" s="19" t="inlineStr">
        <is>
          <t>03 October 2026</t>
        </is>
      </c>
      <c r="Q197" s="19" t="inlineStr"/>
      <c r="R197" s="19" t="inlineStr">
        <is>
          <t>backend/test/claims.test.js :: reads the claim back and finds it in the list by search and status [passed]</t>
        </is>
      </c>
    </row>
    <row r="198">
      <c r="A198" s="19" t="inlineStr">
        <is>
          <t>BV-CLM-012</t>
        </is>
      </c>
      <c r="B198" s="19" t="inlineStr">
        <is>
          <t>Claims</t>
        </is>
      </c>
      <c r="C198" s="19" t="inlineStr">
        <is>
          <t>Claims report</t>
        </is>
      </c>
      <c r="D198" s="19" t="inlineStr">
        <is>
          <t>Claims Officer (carlo.estrada)</t>
        </is>
      </c>
      <c r="E198" s="19" t="inlineStr">
        <is>
          <t>Claims dashboard report and Excel download</t>
        </is>
      </c>
      <c r="F198" s="19" t="inlineStr">
        <is>
          <t>Report</t>
        </is>
      </c>
      <c r="G198" s="19" t="inlineStr">
        <is>
          <t>Medium</t>
        </is>
      </c>
      <c r="H198" s="19" t="inlineStr">
        <is>
          <t>Claims exist.</t>
        </is>
      </c>
      <c r="I198" s="19" t="inlineStr">
        <is>
          <t>1. Open Dashboard &gt; Claims Dashboard.
2. Download the Excel.</t>
        </is>
      </c>
      <c r="J198" s="19" t="inlineStr">
        <is>
          <t>May to October 2026</t>
        </is>
      </c>
      <c r="K198" s="19" t="inlineStr">
        <is>
          <t>Counts by status match the register; file downloads.</t>
        </is>
      </c>
      <c r="L198" s="19" t="inlineStr">
        <is>
          <t>As expected.</t>
        </is>
      </c>
      <c r="M198" s="19" t="inlineStr">
        <is>
          <t>Pass</t>
        </is>
      </c>
      <c r="N198" s="19" t="inlineStr"/>
      <c r="O198" s="19" t="inlineStr">
        <is>
          <t>iorta TechNXT QA</t>
        </is>
      </c>
      <c r="P198" s="19" t="inlineStr">
        <is>
          <t>04 October 2026</t>
        </is>
      </c>
      <c r="Q198" s="19" t="inlineStr"/>
      <c r="R198" s="19" t="inlineStr">
        <is>
          <t>backend/test/claims.test.js :: builds the dashboard report and the Excel downloads [passed]
UAT cycle 03-04 October 2026, phase Reports and dashboards (58 passed, 0 failed)
Screen check /claims/dashboard: opened clean</t>
        </is>
      </c>
    </row>
    <row r="199">
      <c r="A199" s="19" t="inlineStr">
        <is>
          <t>BV-CLM-013</t>
        </is>
      </c>
      <c r="B199" s="19" t="inlineStr">
        <is>
          <t>Claims</t>
        </is>
      </c>
      <c r="C199" s="19" t="inlineStr">
        <is>
          <t>Permissions</t>
        </is>
      </c>
      <c r="D199" s="19" t="inlineStr">
        <is>
          <t>Sales / Account Executive (maria.rivera)</t>
        </is>
      </c>
      <c r="E199" s="19" t="inlineStr">
        <is>
          <t>Agent registers FNOL on own policies; decisions need claims role</t>
        </is>
      </c>
      <c r="F199" s="19" t="inlineStr">
        <is>
          <t>Role access</t>
        </is>
      </c>
      <c r="G199" s="19" t="inlineStr">
        <is>
          <t>High</t>
        </is>
      </c>
      <c r="H199" s="19" t="inlineStr">
        <is>
          <t>Scoped sales role.</t>
        </is>
      </c>
      <c r="I199" s="19" t="inlineStr">
        <is>
          <t>1. Register FNOL on own policy.
2. Try on another agent's policy.
3. Try to approve a settlement.</t>
        </is>
      </c>
      <c r="J199" s="19" t="inlineStr">
        <is>
          <t>Own and other policies</t>
        </is>
      </c>
      <c r="K199" s="19" t="inlineStr">
        <is>
          <t>Own accepted; other refused; decision refused.</t>
        </is>
      </c>
      <c r="L199" s="19" t="inlineStr">
        <is>
          <t>As expected.</t>
        </is>
      </c>
      <c r="M199" s="19" t="inlineStr">
        <is>
          <t>Pass</t>
        </is>
      </c>
      <c r="N199" s="19" t="inlineStr"/>
      <c r="O199" s="19" t="inlineStr">
        <is>
          <t>iorta TechNXT QA</t>
        </is>
      </c>
      <c r="P199" s="19" t="inlineStr">
        <is>
          <t>03 October 2026</t>
        </is>
      </c>
      <c r="Q199" s="19" t="inlineStr"/>
      <c r="R199" s="19" t="inlineStr">
        <is>
          <t>backend/test/scope.test.js :: claims: agents register first notice of loss on their own policies only and see only those claims [passed]
backend/test/scope.test.js :: agents may update their claim but claim decisions need the claims (or admin) role [passed]
backend/test/claims.test.js :: enforces permissions per persona [passed]</t>
        </is>
      </c>
    </row>
    <row r="200">
      <c r="A200" s="19" t="inlineStr">
        <is>
          <t>BV-CLM-014</t>
        </is>
      </c>
      <c r="B200" s="19" t="inlineStr">
        <is>
          <t>Claims</t>
        </is>
      </c>
      <c r="C200" s="19" t="inlineStr">
        <is>
          <t>Data quality</t>
        </is>
      </c>
      <c r="D200" s="19" t="inlineStr">
        <is>
          <t>Claims Officer (carlo.estrada)</t>
        </is>
      </c>
      <c r="E200" s="19" t="inlineStr">
        <is>
          <t>No seeded claim is reported before its loss</t>
        </is>
      </c>
      <c r="F200" s="19" t="inlineStr">
        <is>
          <t>Validation</t>
        </is>
      </c>
      <c r="G200" s="19" t="inlineStr">
        <is>
          <t>Low</t>
        </is>
      </c>
      <c r="H200" s="19" t="inlineStr">
        <is>
          <t>Seeded data.</t>
        </is>
      </c>
      <c r="I200" s="19" t="inlineStr">
        <is>
          <t>1. Run the Claims Position report.</t>
        </is>
      </c>
      <c r="J200" s="19" t="inlineStr">
        <is>
          <t>All claims</t>
        </is>
      </c>
      <c r="K200" s="19" t="inlineStr">
        <is>
          <t>No claim has reported date before loss date.</t>
        </is>
      </c>
      <c r="L200" s="19" t="inlineStr">
        <is>
          <t>As expected.</t>
        </is>
      </c>
      <c r="M200" s="19" t="inlineStr">
        <is>
          <t>Pass</t>
        </is>
      </c>
      <c r="N200" s="19" t="inlineStr"/>
      <c r="O200" s="19" t="inlineStr">
        <is>
          <t>iorta TechNXT QA</t>
        </is>
      </c>
      <c r="P200" s="19" t="inlineStr">
        <is>
          <t>03 October 2026</t>
        </is>
      </c>
      <c r="Q200" s="19" t="inlineStr"/>
      <c r="R200" s="19" t="inlineStr">
        <is>
          <t>backend/test/role-access.test.js :: no seeded claim is reported before its loss [passed]</t>
        </is>
      </c>
    </row>
    <row r="201">
      <c r="A201" s="19" t="inlineStr">
        <is>
          <t>BV-CLM-015</t>
        </is>
      </c>
      <c r="B201" s="19" t="inlineStr">
        <is>
          <t>Claims</t>
        </is>
      </c>
      <c r="C201" s="19" t="inlineStr">
        <is>
          <t>Co-insured claims</t>
        </is>
      </c>
      <c r="D201" s="19" t="inlineStr">
        <is>
          <t>Claims Officer (carlo.estrada)</t>
        </is>
      </c>
      <c r="E201" s="19" t="inlineStr">
        <is>
          <t>Claims show participants and their shares</t>
        </is>
      </c>
      <c r="F201" s="19" t="inlineStr">
        <is>
          <t>Functional</t>
        </is>
      </c>
      <c r="G201" s="19" t="inlineStr">
        <is>
          <t>Low</t>
        </is>
      </c>
      <c r="H201" s="19" t="inlineStr">
        <is>
          <t>Claim on a co-insured fire policy.</t>
        </is>
      </c>
      <c r="I201" s="19" t="inlineStr">
        <is>
          <t>1. Open the claim.</t>
        </is>
      </c>
      <c r="J201" s="19" t="inlineStr">
        <is>
          <t>Shares 60 / 40</t>
        </is>
      </c>
      <c r="K201" s="19" t="inlineStr">
        <is>
          <t>Each insurer and its share shown.</t>
        </is>
      </c>
      <c r="L201" s="19" t="inlineStr">
        <is>
          <t>As expected.</t>
        </is>
      </c>
      <c r="M201" s="19" t="inlineStr">
        <is>
          <t>Pass</t>
        </is>
      </c>
      <c r="N201" s="19" t="inlineStr"/>
      <c r="O201" s="19" t="inlineStr">
        <is>
          <t>iorta TechNXT QA</t>
        </is>
      </c>
      <c r="P201" s="19" t="inlineStr">
        <is>
          <t>03 October 2026</t>
        </is>
      </c>
      <c r="Q201" s="19" t="inlineStr"/>
      <c r="R201" s="19" t="inlineStr">
        <is>
          <t>backend/test/posting-rules.test.js :: collections and claims show the participants and their shares [passed]</t>
        </is>
      </c>
    </row>
    <row r="202">
      <c r="A202" s="19" t="inlineStr">
        <is>
          <t>BV-REN-001</t>
        </is>
      </c>
      <c r="B202" s="19" t="inlineStr">
        <is>
          <t>Renewals</t>
        </is>
      </c>
      <c r="C202" s="19" t="inlineStr">
        <is>
          <t>Renewal Policy</t>
        </is>
      </c>
      <c r="D202" s="19" t="inlineStr">
        <is>
          <t>Processing Team (jose.bernardo)</t>
        </is>
      </c>
      <c r="E202" s="19" t="inlineStr">
        <is>
          <t>Put an expiring policy into the renewal pipeline</t>
        </is>
      </c>
      <c r="F202" s="19" t="inlineStr">
        <is>
          <t>Functional</t>
        </is>
      </c>
      <c r="G202" s="19" t="inlineStr">
        <is>
          <t>High</t>
        </is>
      </c>
      <c r="H202" s="19" t="inlineStr">
        <is>
          <t>Migrated motor policy expiring within 60 days.</t>
        </is>
      </c>
      <c r="I202" s="19" t="inlineStr">
        <is>
          <t>1. Open Operations &gt; Renewals &gt; Renewal Policy.
2. Select the policy and start the renewal.</t>
        </is>
      </c>
      <c r="J202" s="19" t="inlineStr">
        <is>
          <t>OLD-MC-2025-xxxxx expiring 25 November 2026</t>
        </is>
      </c>
      <c r="K202" s="19" t="inlineStr">
        <is>
          <t>Renewal created and listed for the client.</t>
        </is>
      </c>
      <c r="L202" s="19" t="inlineStr">
        <is>
          <t>As expected.</t>
        </is>
      </c>
      <c r="M202" s="19" t="inlineStr">
        <is>
          <t>Pass</t>
        </is>
      </c>
      <c r="N202" s="19" t="inlineStr"/>
      <c r="O202" s="19" t="inlineStr">
        <is>
          <t>iorta TechNXT QA</t>
        </is>
      </c>
      <c r="P202" s="19" t="inlineStr">
        <is>
          <t>04 October 2026</t>
        </is>
      </c>
      <c r="Q202" s="19" t="inlineStr"/>
      <c r="R202" s="19" t="inlineStr">
        <is>
          <t>backend/test/renewals.test.js :: puts a policy into the pipeline and lists it for the client [passed]
UAT cycle 03-04 October 2026, phase Servicing: endorsements, renewals, claims (31 passed, 0 failed)
Screen check /agent/expired-policies: opened clean</t>
        </is>
      </c>
    </row>
    <row r="203">
      <c r="A203" s="19" t="inlineStr">
        <is>
          <t>BV-REN-002</t>
        </is>
      </c>
      <c r="B203" s="19" t="inlineStr">
        <is>
          <t>Renewals</t>
        </is>
      </c>
      <c r="C203" s="19" t="inlineStr">
        <is>
          <t>Notices</t>
        </is>
      </c>
      <c r="D203" s="19" t="inlineStr">
        <is>
          <t>Processing Team (jose.bernardo)</t>
        </is>
      </c>
      <c r="E203" s="19" t="inlineStr">
        <is>
          <t>Renewal notices strictly in order with e-mail to the client</t>
        </is>
      </c>
      <c r="F203" s="19" t="inlineStr">
        <is>
          <t>Functional</t>
        </is>
      </c>
      <c r="G203" s="19" t="inlineStr">
        <is>
          <t>Medium</t>
        </is>
      </c>
      <c r="H203" s="19" t="inlineStr">
        <is>
          <t>Renewal in pipeline.</t>
        </is>
      </c>
      <c r="I203" s="19" t="inlineStr">
        <is>
          <t>1. Send notice stage 2 first.
2. Send stage 1, then stage 2.</t>
        </is>
      </c>
      <c r="J203" s="19" t="inlineStr">
        <is>
          <t>Stages 1, 2</t>
        </is>
      </c>
      <c r="K203" s="19" t="inlineStr">
        <is>
          <t>Out-of-order notice refused; in order accepted and e-mailed (queued when sending is off).</t>
        </is>
      </c>
      <c r="L203" s="19" t="inlineStr">
        <is>
          <t>11 renewal notices sent.</t>
        </is>
      </c>
      <c r="M203" s="19" t="inlineStr">
        <is>
          <t>Pass</t>
        </is>
      </c>
      <c r="N203" s="19" t="inlineStr"/>
      <c r="O203" s="19" t="inlineStr">
        <is>
          <t>iorta TechNXT QA</t>
        </is>
      </c>
      <c r="P203" s="19" t="inlineStr">
        <is>
          <t>04 October 2026</t>
        </is>
      </c>
      <c r="Q203" s="19" t="inlineStr"/>
      <c r="R203" s="19" t="inlineStr">
        <is>
          <t>backend/test/renewals.test.js :: sends notices strictly in order and e-mails the client [passed]
UAT cycle 03-04 October 2026, phase Servicing: endorsements, renewals, claims (31 passed, 0 failed)</t>
        </is>
      </c>
    </row>
    <row r="204">
      <c r="A204" s="19" t="inlineStr">
        <is>
          <t>BV-REN-003</t>
        </is>
      </c>
      <c r="B204" s="19" t="inlineStr">
        <is>
          <t>Renewals</t>
        </is>
      </c>
      <c r="C204" s="19" t="inlineStr">
        <is>
          <t>Renewal quote</t>
        </is>
      </c>
      <c r="D204" s="19" t="inlineStr">
        <is>
          <t>Processing Team (jose.bernardo)</t>
        </is>
      </c>
      <c r="E204" s="19" t="inlineStr">
        <is>
          <t>Re-rate the renewal at current rates with claims loading</t>
        </is>
      </c>
      <c r="F204" s="19" t="inlineStr">
        <is>
          <t>Functional</t>
        </is>
      </c>
      <c r="G204" s="19" t="inlineStr">
        <is>
          <t>High</t>
        </is>
      </c>
      <c r="H204" s="19" t="inlineStr">
        <is>
          <t>Policy with a paid claim.</t>
        </is>
      </c>
      <c r="I204" s="19" t="inlineStr">
        <is>
          <t>1. Click Generate Quote in the renewal.
2. Read premium and variance.</t>
        </is>
      </c>
      <c r="J204" s="19" t="inlineStr">
        <is>
          <t>Claims loading per setting</t>
        </is>
      </c>
      <c r="K204" s="19" t="inlineStr">
        <is>
          <t>Premium at current rates plus loading, taxes and variance shown.</t>
        </is>
      </c>
      <c r="L204" s="19" t="inlineStr">
        <is>
          <t>As expected.</t>
        </is>
      </c>
      <c r="M204" s="19" t="inlineStr">
        <is>
          <t>Pass</t>
        </is>
      </c>
      <c r="N204" s="19" t="inlineStr"/>
      <c r="O204" s="19" t="inlineStr">
        <is>
          <t>iorta TechNXT QA</t>
        </is>
      </c>
      <c r="P204" s="19" t="inlineStr">
        <is>
          <t>03 October 2026</t>
        </is>
      </c>
      <c r="Q204" s="19" t="inlineStr"/>
      <c r="R204" s="19" t="inlineStr">
        <is>
          <t>backend/test/renewals.test.js :: re-rates the renewal at current rates with claims loading, taxes and premium variance [passed]</t>
        </is>
      </c>
    </row>
    <row r="205">
      <c r="A205" s="19" t="inlineStr">
        <is>
          <t>BV-REN-004</t>
        </is>
      </c>
      <c r="B205" s="19" t="inlineStr">
        <is>
          <t>Renewals</t>
        </is>
      </c>
      <c r="C205" s="19" t="inlineStr">
        <is>
          <t>Renewal quote</t>
        </is>
      </c>
      <c r="D205" s="19" t="inlineStr">
        <is>
          <t>Processing Team (jose.bernardo)</t>
        </is>
      </c>
      <c r="E205" s="19" t="inlineStr">
        <is>
          <t>Wizard prefilled from the expiring policy</t>
        </is>
      </c>
      <c r="F205" s="19" t="inlineStr">
        <is>
          <t>Functional</t>
        </is>
      </c>
      <c r="G205" s="19" t="inlineStr">
        <is>
          <t>Medium</t>
        </is>
      </c>
      <c r="H205" s="19" t="inlineStr">
        <is>
          <t>Expiring policy with and without a quotation.</t>
        </is>
      </c>
      <c r="I205" s="19" t="inlineStr">
        <is>
          <t>1. Open the renewal quote wizard.</t>
        </is>
      </c>
      <c r="J205" s="19" t="inlineStr">
        <is>
          <t>Two policies</t>
        </is>
      </c>
      <c r="K205" s="19" t="inlineStr">
        <is>
          <t>Data from the expiring policy (blank accessories); policy without quotation prefilled from the policy row.</t>
        </is>
      </c>
      <c r="L205" s="19" t="inlineStr">
        <is>
          <t>As expected.</t>
        </is>
      </c>
      <c r="M205" s="19" t="inlineStr">
        <is>
          <t>Pass</t>
        </is>
      </c>
      <c r="N205" s="19" t="inlineStr"/>
      <c r="O205" s="19" t="inlineStr">
        <is>
          <t>iorta TechNXT QA</t>
        </is>
      </c>
      <c r="P205" s="19" t="inlineStr">
        <is>
          <t>03 October 2026</t>
        </is>
      </c>
      <c r="Q205" s="19" t="inlineStr"/>
      <c r="R205" s="19" t="inlineStr">
        <is>
          <t>backend/test/renewals.test.js :: prefills the wizard from the expiring policy only (quotation data; blank accessories) [passed]
backend/test/renewals.test.js :: prefills a policy without a quotation from the policy row (sum insured, insurer, client) [passed]</t>
        </is>
      </c>
    </row>
    <row r="206">
      <c r="A206" s="19" t="inlineStr">
        <is>
          <t>BV-REN-005</t>
        </is>
      </c>
      <c r="B206" s="19" t="inlineStr">
        <is>
          <t>Renewals</t>
        </is>
      </c>
      <c r="C206" s="19" t="inlineStr">
        <is>
          <t>Approval</t>
        </is>
      </c>
      <c r="D206" s="19" t="inlineStr">
        <is>
          <t>Processing Team (rica.fernandez)</t>
        </is>
      </c>
      <c r="E206" s="19" t="inlineStr">
        <is>
          <t>Renewal needs approval by a different user</t>
        </is>
      </c>
      <c r="F206" s="19" t="inlineStr">
        <is>
          <t>Negative</t>
        </is>
      </c>
      <c r="G206" s="19" t="inlineStr">
        <is>
          <t>High</t>
        </is>
      </c>
      <c r="H206" s="19" t="inlineStr">
        <is>
          <t>Renewal submitted by jose.bernardo.</t>
        </is>
      </c>
      <c r="I206" s="19" t="inlineStr">
        <is>
          <t>1. As jose.bernardo approve.
2. As rica.fernandez approve and complete.</t>
        </is>
      </c>
      <c r="J206" s="19" t="inlineStr">
        <is>
          <t>Note: Same terms; loyalty discount applied</t>
        </is>
      </c>
      <c r="K206" s="19" t="inlineStr">
        <is>
          <t>Maker refused; checker approves; new policy term issued; old term Renewed.</t>
        </is>
      </c>
      <c r="L206" s="19" t="inlineStr">
        <is>
          <t>As expected.</t>
        </is>
      </c>
      <c r="M206" s="19" t="inlineStr">
        <is>
          <t>Pass</t>
        </is>
      </c>
      <c r="N206" s="19" t="inlineStr"/>
      <c r="O206" s="19" t="inlineStr">
        <is>
          <t>iorta TechNXT QA</t>
        </is>
      </c>
      <c r="P206" s="19" t="inlineStr">
        <is>
          <t>04 October 2026</t>
        </is>
      </c>
      <c r="Q206" s="19" t="inlineStr"/>
      <c r="R206" s="19" t="inlineStr">
        <is>
          <t>backend/test/renewals.test.js :: requires checker approval by a different user and then renews into a new policy term [passed]
UAT cycle 03-04 October 2026, phase Servicing: endorsements, renewals, claims (31 passed, 0 failed)</t>
        </is>
      </c>
    </row>
    <row r="207">
      <c r="A207" s="19" t="inlineStr">
        <is>
          <t>BV-REN-006</t>
        </is>
      </c>
      <c r="B207" s="19" t="inlineStr">
        <is>
          <t>Renewals</t>
        </is>
      </c>
      <c r="C207" s="19" t="inlineStr">
        <is>
          <t>Renewal quotation</t>
        </is>
      </c>
      <c r="D207" s="19" t="inlineStr">
        <is>
          <t>Processing Team (jose.bernardo)</t>
        </is>
      </c>
      <c r="E207" s="19" t="inlineStr">
        <is>
          <t>Renewal through a renewal quotation (motor)</t>
        </is>
      </c>
      <c r="F207" s="19" t="inlineStr">
        <is>
          <t>Functional</t>
        </is>
      </c>
      <c r="G207" s="19" t="inlineStr">
        <is>
          <t>High</t>
        </is>
      </c>
      <c r="H207" s="19" t="inlineStr">
        <is>
          <t>Expired migrated motor policy within grace window.</t>
        </is>
      </c>
      <c r="I207" s="19" t="inlineStr">
        <is>
          <t>1. Create the renewal quotation.
2. Record customer acceptance.
3. Convert to policy.</t>
        </is>
      </c>
      <c r="J207" s="19" t="inlineStr">
        <is>
          <t>OD 90% of last year SI; BI/PD PHP 200,000.00</t>
        </is>
      </c>
      <c r="K207" s="19" t="inlineStr">
        <is>
          <t>Quotation linked to expiring policy; new term issued with bill, balanced journal and commission; old policy Renewed.</t>
        </is>
      </c>
      <c r="L207" s="19" t="inlineStr">
        <is>
          <t>6 renewals completed.</t>
        </is>
      </c>
      <c r="M207" s="19" t="inlineStr">
        <is>
          <t>Pass</t>
        </is>
      </c>
      <c r="N207" s="19" t="inlineStr"/>
      <c r="O207" s="19" t="inlineStr">
        <is>
          <t>iorta TechNXT QA</t>
        </is>
      </c>
      <c r="P207" s="19" t="inlineStr">
        <is>
          <t>04 October 2026</t>
        </is>
      </c>
      <c r="Q207" s="19" t="inlineStr"/>
      <c r="R207" s="19" t="inlineStr">
        <is>
          <t>backend/test/renewals.test.js :: creates the renewal quotation linked to the expiring policy (insurer, client, lead, vehicle, product carried) [passed]
backend/test/renewals.test.js :: issues the accepted renewal quotation as the new term: old policy renewed, receivable and balanced journal, commission [passed]
UAT cycle 03-04 October 2026, phase Servicing: endorsements, renewals, claims (31 passed, 0 failed)</t>
        </is>
      </c>
    </row>
    <row r="208">
      <c r="A208" s="19" t="inlineStr">
        <is>
          <t>BV-REN-007</t>
        </is>
      </c>
      <c r="B208" s="19" t="inlineStr">
        <is>
          <t>Renewals</t>
        </is>
      </c>
      <c r="C208" s="19" t="inlineStr">
        <is>
          <t>Renewal quotation</t>
        </is>
      </c>
      <c r="D208" s="19" t="inlineStr">
        <is>
          <t>Processing Team (jose.bernardo)</t>
        </is>
      </c>
      <c r="E208" s="19" t="inlineStr">
        <is>
          <t>Fire renewal priced on the expiring net premium</t>
        </is>
      </c>
      <c r="F208" s="19" t="inlineStr">
        <is>
          <t>Functional</t>
        </is>
      </c>
      <c r="G208" s="19" t="inlineStr">
        <is>
          <t>Medium</t>
        </is>
      </c>
      <c r="H208" s="19" t="inlineStr">
        <is>
          <t>Expiring fire policy.</t>
        </is>
      </c>
      <c r="I208" s="19" t="inlineStr">
        <is>
          <t>1. Create renewal quotation.
2. Try to send a quotation with no premium.</t>
        </is>
      </c>
      <c r="J208" s="19" t="inlineStr">
        <is>
          <t>Net premium +3%</t>
        </is>
      </c>
      <c r="K208" s="19" t="inlineStr">
        <is>
          <t>Priced on expiring net premium; quotation without premium not sent.</t>
        </is>
      </c>
      <c r="L208" s="19" t="inlineStr">
        <is>
          <t>As expected.</t>
        </is>
      </c>
      <c r="M208" s="19" t="inlineStr">
        <is>
          <t>Pass</t>
        </is>
      </c>
      <c r="N208" s="19" t="inlineStr"/>
      <c r="O208" s="19" t="inlineStr">
        <is>
          <t>iorta TechNXT QA</t>
        </is>
      </c>
      <c r="P208" s="19" t="inlineStr">
        <is>
          <t>03 October 2026</t>
        </is>
      </c>
      <c r="Q208" s="19" t="inlineStr"/>
      <c r="R208" s="19" t="inlineStr">
        <is>
          <t>backend/test/uat-disconnects.test.js :: a renewal quotation of a fire policy is priced on the expiring net premium; a quotation without premium is not sent [passed]</t>
        </is>
      </c>
    </row>
    <row r="209">
      <c r="A209" s="19" t="inlineStr">
        <is>
          <t>BV-REN-008</t>
        </is>
      </c>
      <c r="B209" s="19" t="inlineStr">
        <is>
          <t>Renewals</t>
        </is>
      </c>
      <c r="C209" s="19" t="inlineStr">
        <is>
          <t>Renewal Queue</t>
        </is>
      </c>
      <c r="D209" s="19" t="inlineStr">
        <is>
          <t>Processing Team (jose.bernardo)</t>
        </is>
      </c>
      <c r="E209" s="19" t="inlineStr">
        <is>
          <t>Renewal completed in the workspace carries bill and commission</t>
        </is>
      </c>
      <c r="F209" s="19" t="inlineStr">
        <is>
          <t>Accounting</t>
        </is>
      </c>
      <c r="G209" s="19" t="inlineStr">
        <is>
          <t>Medium</t>
        </is>
      </c>
      <c r="H209" s="19" t="inlineStr">
        <is>
          <t>Renewal approved in workspace.</t>
        </is>
      </c>
      <c r="I209" s="19" t="inlineStr">
        <is>
          <t>1. Complete.
2. Open the new policy and its journal.</t>
        </is>
      </c>
      <c r="J209" s="19" t="inlineStr">
        <is>
          <t>New term</t>
        </is>
      </c>
      <c r="K209" s="19" t="inlineStr">
        <is>
          <t>Full policy term with issue date, line, insured, net premium, bill and producer commission.</t>
        </is>
      </c>
      <c r="L209" s="19" t="inlineStr">
        <is>
          <t>As expected.</t>
        </is>
      </c>
      <c r="M209" s="19" t="inlineStr">
        <is>
          <t>Pass</t>
        </is>
      </c>
      <c r="N209" s="19" t="inlineStr"/>
      <c r="O209" s="19" t="inlineStr">
        <is>
          <t>iorta TechNXT QA</t>
        </is>
      </c>
      <c r="P209" s="19" t="inlineStr">
        <is>
          <t>04 October 2026</t>
        </is>
      </c>
      <c r="Q209" s="19" t="inlineStr"/>
      <c r="R209" s="19" t="inlineStr">
        <is>
          <t>backend/test/uat-disconnects.test.js :: a renewal completed in the renewal workspace is a full policy term with its bill and the producer's commission [passed]
UAT cycle 03-04 October 2026, phase Servicing: endorsements, renewals, claims (31 passed, 0 failed)</t>
        </is>
      </c>
    </row>
    <row r="210">
      <c r="A210" s="19" t="inlineStr">
        <is>
          <t>BV-REN-009</t>
        </is>
      </c>
      <c r="B210" s="19" t="inlineStr">
        <is>
          <t>Renewals</t>
        </is>
      </c>
      <c r="C210" s="19" t="inlineStr">
        <is>
          <t>Lapse</t>
        </is>
      </c>
      <c r="D210" s="19" t="inlineStr">
        <is>
          <t>Processing Team (jose.bernardo)</t>
        </is>
      </c>
      <c r="E210" s="19" t="inlineStr">
        <is>
          <t>Lapse with a reason and reinstate</t>
        </is>
      </c>
      <c r="F210" s="19" t="inlineStr">
        <is>
          <t>Functional</t>
        </is>
      </c>
      <c r="G210" s="19" t="inlineStr">
        <is>
          <t>Medium</t>
        </is>
      </c>
      <c r="H210" s="19" t="inlineStr">
        <is>
          <t>Renewal in pipeline.</t>
        </is>
      </c>
      <c r="I210" s="19" t="inlineStr">
        <is>
          <t>1. Open Lapse Management, lapse without reason.
2. Lapse with reason.
3. Reinstate.</t>
        </is>
      </c>
      <c r="J210" s="19" t="inlineStr">
        <is>
          <t>Reason: Client sold the vehicle</t>
        </is>
      </c>
      <c r="K210" s="19" t="inlineStr">
        <is>
          <t>Without reason refused; lapsed; reinstated.</t>
        </is>
      </c>
      <c r="L210" s="19" t="inlineStr">
        <is>
          <t>As expected.</t>
        </is>
      </c>
      <c r="M210" s="19" t="inlineStr">
        <is>
          <t>Pass</t>
        </is>
      </c>
      <c r="N210" s="19" t="inlineStr"/>
      <c r="O210" s="19" t="inlineStr">
        <is>
          <t>iorta TechNXT QA</t>
        </is>
      </c>
      <c r="P210" s="19" t="inlineStr">
        <is>
          <t>04 October 2026</t>
        </is>
      </c>
      <c r="Q210" s="19" t="inlineStr"/>
      <c r="R210" s="19" t="inlineStr">
        <is>
          <t>backend/test/renewals.test.js :: lapses and reinstates a renewal; validates the lapse reason [passed]
UAT cycle 03-04 October 2026, phase Servicing: endorsements, renewals, claims (31 passed, 0 failed)
Screen check /renewal/lapse-management: opened clean</t>
        </is>
      </c>
    </row>
    <row r="211">
      <c r="A211" s="19" t="inlineStr">
        <is>
          <t>BV-REN-010</t>
        </is>
      </c>
      <c r="B211" s="19" t="inlineStr">
        <is>
          <t>Renewals</t>
        </is>
      </c>
      <c r="C211" s="19" t="inlineStr">
        <is>
          <t>Window</t>
        </is>
      </c>
      <c r="D211" s="19" t="inlineStr">
        <is>
          <t>Processing Team (jose.bernardo)</t>
        </is>
      </c>
      <c r="E211" s="19" t="inlineStr">
        <is>
          <t>Renewal of a policy expired beyond grace plus lapsed window refused</t>
        </is>
      </c>
      <c r="F211" s="19" t="inlineStr">
        <is>
          <t>Negative</t>
        </is>
      </c>
      <c r="G211" s="19" t="inlineStr">
        <is>
          <t>High</t>
        </is>
      </c>
      <c r="H211" s="19" t="inlineStr">
        <is>
          <t>Migrated policy expired more than grace + lapsed-renewal days ago.</t>
        </is>
      </c>
      <c r="I211" s="19" t="inlineStr">
        <is>
          <t>1. Start a renewal of the policy.</t>
        </is>
      </c>
      <c r="J211" s="19" t="inlineStr">
        <is>
          <t>OLD-MC-2025-xxxxx expired 140 days ago</t>
        </is>
      </c>
      <c r="K211" s="19" t="inlineStr">
        <is>
          <t>Refused (quote as new business instead).</t>
        </is>
      </c>
      <c r="L211" s="19" t="inlineStr">
        <is>
          <t>3 renewals refused after the window (422), by design.</t>
        </is>
      </c>
      <c r="M211" s="19" t="inlineStr">
        <is>
          <t>Pass</t>
        </is>
      </c>
      <c r="N211" s="19" t="inlineStr">
        <is>
          <t>BV-OBS-005</t>
        </is>
      </c>
      <c r="O211" s="19" t="inlineStr">
        <is>
          <t>iorta TechNXT QA</t>
        </is>
      </c>
      <c r="P211" s="19" t="inlineStr">
        <is>
          <t>04 October 2026</t>
        </is>
      </c>
      <c r="Q211" s="19" t="inlineStr">
        <is>
          <t>Recorded as observation: behaviour by design; users quote these as new business.</t>
        </is>
      </c>
      <c r="R211" s="19" t="inlineStr">
        <is>
          <t>UAT cycle 03-04 October 2026, phase Servicing: endorsements, renewals, claims (31 passed, 0 failed)</t>
        </is>
      </c>
    </row>
    <row r="212">
      <c r="A212" s="19" t="inlineStr">
        <is>
          <t>BV-REN-011</t>
        </is>
      </c>
      <c r="B212" s="19" t="inlineStr">
        <is>
          <t>Renewals</t>
        </is>
      </c>
      <c r="C212" s="19" t="inlineStr">
        <is>
          <t>Renewal Batch</t>
        </is>
      </c>
      <c r="D212" s="19" t="inlineStr">
        <is>
          <t>Processing Team (jose.bernardo)</t>
        </is>
      </c>
      <c r="E212" s="19" t="inlineStr">
        <is>
          <t>Batch renewal run with retry</t>
        </is>
      </c>
      <c r="F212" s="19" t="inlineStr">
        <is>
          <t>Functional</t>
        </is>
      </c>
      <c r="G212" s="19" t="inlineStr">
        <is>
          <t>Medium</t>
        </is>
      </c>
      <c r="H212" s="19" t="inlineStr">
        <is>
          <t>Policies expiring next month.</t>
        </is>
      </c>
      <c r="I212" s="19" t="inlineStr">
        <is>
          <t>1. Open Operations &gt; Renewals &gt; Renewal Batch.
2. Click Create Batch and Generate policy list.
3. Run the batch.</t>
        </is>
      </c>
      <c r="J212" s="19" t="inlineStr">
        <is>
          <t>Expiring November 2026</t>
        </is>
      </c>
      <c r="K212" s="19" t="inlineStr">
        <is>
          <t>Batch shows sent, failed, retry and a report.</t>
        </is>
      </c>
      <c r="L212" s="19" t="inlineStr">
        <is>
          <t>As expected.</t>
        </is>
      </c>
      <c r="M212" s="19" t="inlineStr">
        <is>
          <t>Pass</t>
        </is>
      </c>
      <c r="N212" s="19" t="inlineStr"/>
      <c r="O212" s="19" t="inlineStr">
        <is>
          <t>iorta TechNXT QA</t>
        </is>
      </c>
      <c r="P212" s="19" t="inlineStr">
        <is>
          <t>03 October 2026</t>
        </is>
      </c>
      <c r="Q212" s="19" t="inlineStr"/>
      <c r="R212" s="19" t="inlineStr">
        <is>
          <t>backend/test/renewals.test.js :: runs a renewal batch through the PostgreSQL job queue (sent, failed, retry, report) [passed]
Screen check /agent/renewal-batch: opened clean</t>
        </is>
      </c>
    </row>
    <row r="213">
      <c r="A213" s="19" t="inlineStr">
        <is>
          <t>BV-REN-012</t>
        </is>
      </c>
      <c r="B213" s="19" t="inlineStr">
        <is>
          <t>Renewals</t>
        </is>
      </c>
      <c r="C213" s="19" t="inlineStr">
        <is>
          <t>Workspace</t>
        </is>
      </c>
      <c r="D213" s="19" t="inlineStr">
        <is>
          <t>Processing Team (jose.bernardo)</t>
        </is>
      </c>
      <c r="E213" s="19" t="inlineStr">
        <is>
          <t>Renewal queue, at-risk, negotiations, performance</t>
        </is>
      </c>
      <c r="F213" s="19" t="inlineStr">
        <is>
          <t>Functional</t>
        </is>
      </c>
      <c r="G213" s="19" t="inlineStr">
        <is>
          <t>Medium</t>
        </is>
      </c>
      <c r="H213" s="19" t="inlineStr">
        <is>
          <t>Renewals exist.</t>
        </is>
      </c>
      <c r="I213" s="19" t="inlineStr">
        <is>
          <t>1. Open Renewal Queue, At-Risk Policies, Negotiations, Performance, Retention Analytics.</t>
        </is>
      </c>
      <c r="J213" s="19" t="inlineStr">
        <is>
          <t>None</t>
        </is>
      </c>
      <c r="K213" s="19" t="inlineStr">
        <is>
          <t>Each screen lists the renewals of the cycle.</t>
        </is>
      </c>
      <c r="L213" s="19" t="inlineStr">
        <is>
          <t>As expected.</t>
        </is>
      </c>
      <c r="M213" s="19" t="inlineStr">
        <is>
          <t>Pass</t>
        </is>
      </c>
      <c r="N213" s="19" t="inlineStr"/>
      <c r="O213" s="19" t="inlineStr">
        <is>
          <t>iorta TechNXT QA</t>
        </is>
      </c>
      <c r="P213" s="19" t="inlineStr">
        <is>
          <t>04 October 2026</t>
        </is>
      </c>
      <c r="Q213" s="19" t="inlineStr"/>
      <c r="R213" s="19" t="inlineStr">
        <is>
          <t>backend/test/renewals.test.js :: serves the workspace read models (queue, at-risk, negotiations, performance, campaigns) [passed]
UAT cycle 03-04 October 2026, phase Reports and dashboards (58 passed, 0 failed)
Screen check /renewal/queue: opened clean
Screen check /renewal/at-risk: opened clean
Screen check /renewal/negotiations: opened clean
Screen check /renewal/performance: opened clean
Screen check /renewal/analytics: opened clean</t>
        </is>
      </c>
    </row>
    <row r="214">
      <c r="A214" s="19" t="inlineStr">
        <is>
          <t>BV-REN-013</t>
        </is>
      </c>
      <c r="B214" s="19" t="inlineStr">
        <is>
          <t>Renewals</t>
        </is>
      </c>
      <c r="C214" s="19" t="inlineStr">
        <is>
          <t>Package renewal</t>
        </is>
      </c>
      <c r="D214" s="19" t="inlineStr">
        <is>
          <t>Processing Team (jose.bernardo)</t>
        </is>
      </c>
      <c r="E214" s="19" t="inlineStr">
        <is>
          <t>Renew a whole package</t>
        </is>
      </c>
      <c r="F214" s="19" t="inlineStr">
        <is>
          <t>Functional</t>
        </is>
      </c>
      <c r="G214" s="19" t="inlineStr">
        <is>
          <t>Low</t>
        </is>
      </c>
      <c r="H214" s="19" t="inlineStr">
        <is>
          <t>Expiring package policy.</t>
        </is>
      </c>
      <c r="I214" s="19" t="inlineStr">
        <is>
          <t>1. Renew into a quotation; issue.</t>
        </is>
      </c>
      <c r="J214" s="19" t="inlineStr">
        <is>
          <t>SME package</t>
        </is>
      </c>
      <c r="K214" s="19" t="inlineStr">
        <is>
          <t>Quotation for the next term; old policy Renewed on issue.</t>
        </is>
      </c>
      <c r="L214" s="19" t="inlineStr">
        <is>
          <t>As expected.</t>
        </is>
      </c>
      <c r="M214" s="19" t="inlineStr">
        <is>
          <t>Pass</t>
        </is>
      </c>
      <c r="N214" s="19" t="inlineStr"/>
      <c r="O214" s="19" t="inlineStr">
        <is>
          <t>iorta TechNXT QA</t>
        </is>
      </c>
      <c r="P214" s="19" t="inlineStr">
        <is>
          <t>03 October 2026</t>
        </is>
      </c>
      <c r="Q214" s="19" t="inlineStr"/>
      <c r="R214" s="19" t="inlineStr">
        <is>
          <t>backend/test/packages.test.js :: renews the whole package into a quotation for the next term and marks the policy renewed on issue [passed]</t>
        </is>
      </c>
    </row>
    <row r="215">
      <c r="A215" s="19" t="inlineStr">
        <is>
          <t>BV-REN-014</t>
        </is>
      </c>
      <c r="B215" s="19" t="inlineStr">
        <is>
          <t>Renewals</t>
        </is>
      </c>
      <c r="C215" s="19" t="inlineStr">
        <is>
          <t>Seeded renewal</t>
        </is>
      </c>
      <c r="D215" s="19" t="inlineStr">
        <is>
          <t>Processing Team (jose.bernardo)</t>
        </is>
      </c>
      <c r="E215" s="19" t="inlineStr">
        <is>
          <t>Renew a policy without quotation or prospect</t>
        </is>
      </c>
      <c r="F215" s="19" t="inlineStr">
        <is>
          <t>Functional</t>
        </is>
      </c>
      <c r="G215" s="19" t="inlineStr">
        <is>
          <t>Low</t>
        </is>
      </c>
      <c r="H215" s="19" t="inlineStr">
        <is>
          <t>Policy with no quotation.</t>
        </is>
      </c>
      <c r="I215" s="19" t="inlineStr">
        <is>
          <t>1. Renew it.</t>
        </is>
      </c>
      <c r="J215" s="19" t="inlineStr">
        <is>
          <t>Seeded policy</t>
        </is>
      </c>
      <c r="K215" s="19" t="inlineStr">
        <is>
          <t>Renewal uses client e-mail and client-based conversion.</t>
        </is>
      </c>
      <c r="L215" s="19" t="inlineStr">
        <is>
          <t>As expected.</t>
        </is>
      </c>
      <c r="M215" s="19" t="inlineStr">
        <is>
          <t>Pass</t>
        </is>
      </c>
      <c r="N215" s="19" t="inlineStr"/>
      <c r="O215" s="19" t="inlineStr">
        <is>
          <t>iorta TechNXT QA</t>
        </is>
      </c>
      <c r="P215" s="19" t="inlineStr">
        <is>
          <t>03 October 2026</t>
        </is>
      </c>
      <c r="Q215" s="19" t="inlineStr"/>
      <c r="R215" s="19" t="inlineStr">
        <is>
          <t>backend/test/renewals.test.js :: renews a seeded policy without quotation or lead (client e-mail, client-based conversion) [passed]</t>
        </is>
      </c>
    </row>
    <row r="216">
      <c r="A216" s="19" t="inlineStr">
        <is>
          <t>BV-REN-015</t>
        </is>
      </c>
      <c r="B216" s="19" t="inlineStr">
        <is>
          <t>Renewals</t>
        </is>
      </c>
      <c r="C216" s="19" t="inlineStr">
        <is>
          <t>Permissions</t>
        </is>
      </c>
      <c r="D216" s="19" t="inlineStr">
        <is>
          <t>Sales / Account Executive (maria.rivera)</t>
        </is>
      </c>
      <c r="E216" s="19" t="inlineStr">
        <is>
          <t>Renewal permissions per persona</t>
        </is>
      </c>
      <c r="F216" s="19" t="inlineStr">
        <is>
          <t>Role access</t>
        </is>
      </c>
      <c r="G216" s="19" t="inlineStr">
        <is>
          <t>Medium</t>
        </is>
      </c>
      <c r="H216" s="19" t="inlineStr">
        <is>
          <t>Personas.</t>
        </is>
      </c>
      <c r="I216" s="19" t="inlineStr">
        <is>
          <t>1. As maria.rivera open own renewal wizard and another agent's.
2. As liza.quiambao open Renewals.</t>
        </is>
      </c>
      <c r="J216" s="19" t="inlineStr">
        <is>
          <t>Policies of two agents</t>
        </is>
      </c>
      <c r="K216" s="19" t="inlineStr">
        <is>
          <t>Own saves; other answers not found; accounting has no renewal workspace.</t>
        </is>
      </c>
      <c r="L216" s="19" t="inlineStr">
        <is>
          <t>As expected.</t>
        </is>
      </c>
      <c r="M216" s="19" t="inlineStr">
        <is>
          <t>Pass</t>
        </is>
      </c>
      <c r="N216" s="19" t="inlineStr"/>
      <c r="O216" s="19" t="inlineStr">
        <is>
          <t>iorta TechNXT QA</t>
        </is>
      </c>
      <c r="P216" s="19" t="inlineStr">
        <is>
          <t>03 October 2026</t>
        </is>
      </c>
      <c r="Q216" s="19" t="inlineStr"/>
      <c r="R216" s="19" t="inlineStr">
        <is>
          <t>backend/test/renewals.test.js :: enforces permissions per persona [passed]
backend/test/role-access.test.js :: prefills and saves the renewal wizard of an own policy; another agent's policy answers 404 [passed]
brokerverse/src/utils/menuPermissions.test.js :: operations and processing get the renewals workspace; accounting does not [passed]</t>
        </is>
      </c>
    </row>
    <row r="217">
      <c r="A217" s="19" t="inlineStr">
        <is>
          <t>BV-REN-016</t>
        </is>
      </c>
      <c r="B217" s="19" t="inlineStr">
        <is>
          <t>Renewals</t>
        </is>
      </c>
      <c r="C217" s="19" t="inlineStr">
        <is>
          <t>Reminder job</t>
        </is>
      </c>
      <c r="D217" s="19" t="inlineStr">
        <is>
          <t>System Administrator (BrokerVerse)</t>
        </is>
      </c>
      <c r="E217" s="19" t="inlineStr">
        <is>
          <t>Renewal notice job follows the reminder setting and Manila date</t>
        </is>
      </c>
      <c r="F217" s="19" t="inlineStr">
        <is>
          <t>Integration</t>
        </is>
      </c>
      <c r="G217" s="19" t="inlineStr">
        <is>
          <t>Low</t>
        </is>
      </c>
      <c r="H217" s="19" t="inlineStr">
        <is>
          <t>notification.renewal_reminder on.</t>
        </is>
      </c>
      <c r="I217" s="19" t="inlineStr">
        <is>
          <t>1. Run the renewal notice job from Schedules.</t>
        </is>
      </c>
      <c r="J217" s="19" t="inlineStr">
        <is>
          <t>None</t>
        </is>
      </c>
      <c r="K217" s="19" t="inlineStr">
        <is>
          <t>Notices queued per the setting using the Manila business date.</t>
        </is>
      </c>
      <c r="L217" s="19" t="inlineStr">
        <is>
          <t>As expected.</t>
        </is>
      </c>
      <c r="M217" s="19" t="inlineStr">
        <is>
          <t>Pass</t>
        </is>
      </c>
      <c r="N217" s="19" t="inlineStr"/>
      <c r="O217" s="19" t="inlineStr">
        <is>
          <t>iorta TechNXT QA</t>
        </is>
      </c>
      <c r="P217" s="19" t="inlineStr">
        <is>
          <t>03 October 2026</t>
        </is>
      </c>
      <c r="Q217" s="19" t="inlineStr"/>
      <c r="R217" s="19" t="inlineStr">
        <is>
          <t>backend/test/configuration.test.js :: the renewal notice job honours notification.renewal_reminder [passed]
backend/test/operations.test.js :: uses the Manila business date, not the database current_date, in the expiry and renewal-notice jobs [passed]</t>
        </is>
      </c>
    </row>
    <row r="218">
      <c r="A218" s="19" t="inlineStr">
        <is>
          <t>BV-PAY-001</t>
        </is>
      </c>
      <c r="B218" s="19" t="inlineStr">
        <is>
          <t>Open items and payments</t>
        </is>
      </c>
      <c r="C218" s="19" t="inlineStr">
        <is>
          <t>Payments</t>
        </is>
      </c>
      <c r="D218" s="19" t="inlineStr">
        <is>
          <t>Sales / Account Executive (maria.rivera)</t>
        </is>
      </c>
      <c r="E218" s="19" t="inlineStr">
        <is>
          <t>Sales captures a client bank transfer for verification</t>
        </is>
      </c>
      <c r="F218" s="19" t="inlineStr">
        <is>
          <t>Functional</t>
        </is>
      </c>
      <c r="G218" s="19" t="inlineStr">
        <is>
          <t>High</t>
        </is>
      </c>
      <c r="H218" s="19" t="inlineStr">
        <is>
          <t>Policy with an open bill.</t>
        </is>
      </c>
      <c r="I218" s="19" t="inlineStr">
        <is>
          <t>1. Open Operations &gt; Payments.
2. Open the policy and record the payment: mode, reference, amount, date, proof.
3. Save.</t>
        </is>
      </c>
      <c r="J218" s="19" t="inlineStr">
        <is>
          <t>BPI-xxxxxxxxx; PHP 39,872.15; 05 August 2026; deposit-slip.png</t>
        </is>
      </c>
      <c r="K218" s="19" t="inlineStr">
        <is>
          <t>Capture recorded with an acknowledgement receipt number; no official receipt and no journal yet; Accounting notified.</t>
        </is>
      </c>
      <c r="L218" s="19" t="inlineStr">
        <is>
          <t>18 captures by sales confirmed by accounting.</t>
        </is>
      </c>
      <c r="M218" s="19" t="inlineStr">
        <is>
          <t>Pass</t>
        </is>
      </c>
      <c r="N218" s="19" t="inlineStr"/>
      <c r="O218" s="19" t="inlineStr">
        <is>
          <t>iorta TechNXT QA</t>
        </is>
      </c>
      <c r="P218" s="19" t="inlineStr">
        <is>
          <t>04 October 2026</t>
        </is>
      </c>
      <c r="Q218" s="19" t="inlineStr"/>
      <c r="R218" s="19" t="inlineStr">
        <is>
          <t>backend/test/policy-payments.test.js :: a non-finance user's capture is recorded for verification and posts no receipt or journal [passed]
backend/test/policy-payments.test.js :: every capture has an acknowledgement receipt number and a printable acknowledgement receipt [passed]
backend/test/payment-segregation.test.js :: sales, underwriting and agents record a pending payment (no receipt, no journal); finance verifies it [passed]
UAT cycle 03-04 October 2026, phase Billing and collection (61 passed, 0 failed)
Screen check /agent/payments: opened clean</t>
        </is>
      </c>
    </row>
    <row r="219">
      <c r="A219" s="19" t="inlineStr">
        <is>
          <t>BV-PAY-002</t>
        </is>
      </c>
      <c r="B219" s="19" t="inlineStr">
        <is>
          <t>Open items and payments</t>
        </is>
      </c>
      <c r="C219" s="19" t="inlineStr">
        <is>
          <t>Payments</t>
        </is>
      </c>
      <c r="D219" s="19" t="inlineStr">
        <is>
          <t>Accounting Officer (liza.quiambao)</t>
        </is>
      </c>
      <c r="E219" s="19" t="inlineStr">
        <is>
          <t>Accounting confirms a captured payment</t>
        </is>
      </c>
      <c r="F219" s="19" t="inlineStr">
        <is>
          <t>Accounting</t>
        </is>
      </c>
      <c r="G219" s="19" t="inlineStr">
        <is>
          <t>High</t>
        </is>
      </c>
      <c r="H219" s="19" t="inlineStr">
        <is>
          <t>Capture pending.</t>
        </is>
      </c>
      <c r="I219" s="19" t="inlineStr">
        <is>
          <t>1. Open the capture from the notification.
2. Confirm.</t>
        </is>
      </c>
      <c r="J219" s="19" t="inlineStr">
        <is>
          <t>Capture of previous case</t>
        </is>
      </c>
      <c r="K219" s="19" t="inlineStr">
        <is>
          <t>Official receipt against the bill; journal Dr Cash / Cr Premium receivable; policy Completed.</t>
        </is>
      </c>
      <c r="L219" s="19" t="inlineStr">
        <is>
          <t>As expected.</t>
        </is>
      </c>
      <c r="M219" s="19" t="inlineStr">
        <is>
          <t>Pass</t>
        </is>
      </c>
      <c r="N219" s="19" t="inlineStr"/>
      <c r="O219" s="19" t="inlineStr">
        <is>
          <t>iorta TechNXT QA</t>
        </is>
      </c>
      <c r="P219" s="19" t="inlineStr">
        <is>
          <t>04 October 2026</t>
        </is>
      </c>
      <c r="Q219" s="19" t="inlineStr"/>
      <c r="R219" s="19" t="inlineStr">
        <is>
          <t>backend/test/policy-payments.test.js :: finance confirms the capture: official receipt against the bill, journal posted, policy Completed [passed]
UAT cycle 03-04 October 2026, phase Billing and collection (61 passed, 0 failed)</t>
        </is>
      </c>
    </row>
    <row r="220">
      <c r="A220" s="19" t="inlineStr">
        <is>
          <t>BV-PAY-003</t>
        </is>
      </c>
      <c r="B220" s="19" t="inlineStr">
        <is>
          <t>Open items and payments</t>
        </is>
      </c>
      <c r="C220" s="19" t="inlineStr">
        <is>
          <t>Payments</t>
        </is>
      </c>
      <c r="D220" s="19" t="inlineStr">
        <is>
          <t>Accounting Officer (liza.quiambao)</t>
        </is>
      </c>
      <c r="E220" s="19" t="inlineStr">
        <is>
          <t>Accounting rejects a capture</t>
        </is>
      </c>
      <c r="F220" s="19" t="inlineStr">
        <is>
          <t>Functional</t>
        </is>
      </c>
      <c r="G220" s="19" t="inlineStr">
        <is>
          <t>Medium</t>
        </is>
      </c>
      <c r="H220" s="19" t="inlineStr">
        <is>
          <t>Capture pending.</t>
        </is>
      </c>
      <c r="I220" s="19" t="inlineStr">
        <is>
          <t>1. Open the capture and reject with a reason.</t>
        </is>
      </c>
      <c r="J220" s="19" t="inlineStr">
        <is>
          <t>Reason: Deposit not found in the bank</t>
        </is>
      </c>
      <c r="K220" s="19" t="inlineStr">
        <is>
          <t>Capture Rejected; bill stays open. A capture by finance is confirmed at once.</t>
        </is>
      </c>
      <c r="L220" s="19" t="inlineStr">
        <is>
          <t>As expected.</t>
        </is>
      </c>
      <c r="M220" s="19" t="inlineStr">
        <is>
          <t>Pass</t>
        </is>
      </c>
      <c r="N220" s="19" t="inlineStr"/>
      <c r="O220" s="19" t="inlineStr">
        <is>
          <t>iorta TechNXT QA</t>
        </is>
      </c>
      <c r="P220" s="19" t="inlineStr">
        <is>
          <t>03 October 2026</t>
        </is>
      </c>
      <c r="Q220" s="19" t="inlineStr"/>
      <c r="R220" s="19" t="inlineStr">
        <is>
          <t>backend/test/policy-payments.test.js :: finance can reject a capture; a finance capture is confirmed at once [passed]</t>
        </is>
      </c>
    </row>
    <row r="221">
      <c r="A221" s="19" t="inlineStr">
        <is>
          <t>BV-PAY-004</t>
        </is>
      </c>
      <c r="B221" s="19" t="inlineStr">
        <is>
          <t>Open items and payments</t>
        </is>
      </c>
      <c r="C221" s="19" t="inlineStr">
        <is>
          <t>Payments</t>
        </is>
      </c>
      <c r="D221" s="19" t="inlineStr">
        <is>
          <t>Sales / Account Executive (maria.rivera)</t>
        </is>
      </c>
      <c r="E221" s="19" t="inlineStr">
        <is>
          <t>Capture validation: reference, amount within balance, date</t>
        </is>
      </c>
      <c r="F221" s="19" t="inlineStr">
        <is>
          <t>Validation</t>
        </is>
      </c>
      <c r="G221" s="19" t="inlineStr">
        <is>
          <t>High</t>
        </is>
      </c>
      <c r="H221" s="19" t="inlineStr">
        <is>
          <t>Open bill PHP 39,872.15.</t>
        </is>
      </c>
      <c r="I221" s="19" t="inlineStr">
        <is>
          <t>1. Save without reference.
2. Enter PHP 45,000.00.
3. Enter a payment date tomorrow.</t>
        </is>
      </c>
      <c r="J221" s="19" t="inlineStr">
        <is>
          <t>Amount PHP 45,000.00</t>
        </is>
      </c>
      <c r="K221" s="19" t="inlineStr">
        <is>
          <t>Each refused with a message.</t>
        </is>
      </c>
      <c r="L221" s="19" t="inlineStr">
        <is>
          <t>As expected.</t>
        </is>
      </c>
      <c r="M221" s="19" t="inlineStr">
        <is>
          <t>Pass</t>
        </is>
      </c>
      <c r="N221" s="19" t="inlineStr"/>
      <c r="O221" s="19" t="inlineStr">
        <is>
          <t>iorta TechNXT QA</t>
        </is>
      </c>
      <c r="P221" s="19" t="inlineStr">
        <is>
          <t>03 October 2026</t>
        </is>
      </c>
      <c r="Q221" s="19" t="inlineStr"/>
      <c r="R221" s="19" t="inlineStr">
        <is>
          <t>backend/test/policy-payments.test.js :: validates the capture: reference, amount within the balance, date not in the future [passed]</t>
        </is>
      </c>
    </row>
    <row r="222">
      <c r="A222" s="19" t="inlineStr">
        <is>
          <t>BV-PAY-005</t>
        </is>
      </c>
      <c r="B222" s="19" t="inlineStr">
        <is>
          <t>Open items and payments</t>
        </is>
      </c>
      <c r="C222" s="19" t="inlineStr">
        <is>
          <t>Payments</t>
        </is>
      </c>
      <c r="D222" s="19" t="inlineStr">
        <is>
          <t>Sales / Account Executive (maria.rivera)</t>
        </is>
      </c>
      <c r="E222" s="19" t="inlineStr">
        <is>
          <t>Bill stays open until payment confirmed</t>
        </is>
      </c>
      <c r="F222" s="19" t="inlineStr">
        <is>
          <t>Validation</t>
        </is>
      </c>
      <c r="G222" s="19" t="inlineStr">
        <is>
          <t>Medium</t>
        </is>
      </c>
      <c r="H222" s="19" t="inlineStr">
        <is>
          <t>Policy issued.</t>
        </is>
      </c>
      <c r="I222" s="19" t="inlineStr">
        <is>
          <t>1. Open the payment screen after capture but before confirmation.</t>
        </is>
      </c>
      <c r="J222" s="19" t="inlineStr">
        <is>
          <t>Policy with capture pending</t>
        </is>
      </c>
      <c r="K222" s="19" t="inlineStr">
        <is>
          <t>Bill still open with status Reviewing.</t>
        </is>
      </c>
      <c r="L222" s="19" t="inlineStr">
        <is>
          <t>As expected.</t>
        </is>
      </c>
      <c r="M222" s="19" t="inlineStr">
        <is>
          <t>Pass</t>
        </is>
      </c>
      <c r="N222" s="19" t="inlineStr"/>
      <c r="O222" s="19" t="inlineStr">
        <is>
          <t>iorta TechNXT QA</t>
        </is>
      </c>
      <c r="P222" s="19" t="inlineStr">
        <is>
          <t>03 October 2026</t>
        </is>
      </c>
      <c r="Q222" s="19" t="inlineStr"/>
      <c r="R222" s="19" t="inlineStr">
        <is>
          <t>backend/test/policy-payments.test.js :: the bill raised at issuance stays open until a payment is confirmed [passed]</t>
        </is>
      </c>
    </row>
    <row r="223">
      <c r="A223" s="19" t="inlineStr">
        <is>
          <t>BV-PAY-006</t>
        </is>
      </c>
      <c r="B223" s="19" t="inlineStr">
        <is>
          <t>Open items and payments</t>
        </is>
      </c>
      <c r="C223" s="19" t="inlineStr">
        <is>
          <t>Payments</t>
        </is>
      </c>
      <c r="D223" s="19" t="inlineStr">
        <is>
          <t>Sales / Account Executive (maria.rivera)</t>
        </is>
      </c>
      <c r="E223" s="19" t="inlineStr">
        <is>
          <t>Sales cannot post receipts or change payment status</t>
        </is>
      </c>
      <c r="F223" s="19" t="inlineStr">
        <is>
          <t>Role access</t>
        </is>
      </c>
      <c r="G223" s="19" t="inlineStr">
        <is>
          <t>High</t>
        </is>
      </c>
      <c r="H223" s="19" t="inlineStr">
        <is>
          <t>Signed in as maria.rivera.</t>
        </is>
      </c>
      <c r="I223" s="19" t="inlineStr">
        <is>
          <t>1. Try to open Accounts &gt; Receipts.
2. Try to change payment status of a policy.</t>
        </is>
      </c>
      <c r="J223" s="19" t="inlineStr">
        <is>
          <t>None</t>
        </is>
      </c>
      <c r="K223" s="19" t="inlineStr">
        <is>
          <t>Refused (403); only Accounting and the System Administrator hold write:receipts.</t>
        </is>
      </c>
      <c r="L223" s="19" t="inlineStr">
        <is>
          <t>As expected.</t>
        </is>
      </c>
      <c r="M223" s="19" t="inlineStr">
        <is>
          <t>Pass</t>
        </is>
      </c>
      <c r="N223" s="19" t="inlineStr"/>
      <c r="O223" s="19" t="inlineStr">
        <is>
          <t>iorta TechNXT QA</t>
        </is>
      </c>
      <c r="P223" s="19" t="inlineStr">
        <is>
          <t>03 October 2026</t>
        </is>
      </c>
      <c r="Q223" s="19" t="inlineStr"/>
      <c r="R223" s="19" t="inlineStr">
        <is>
          <t>backend/test/payment-segregation.test.js :: sales, underwriting, customer services and agents get 403 on POST /receipts; finance posts it [passed]
backend/test/payment-segregation.test.js :: payment-entries, PATCH payment-status and PUT paymentStatus are refused to sales, underwriting, customer services and agents [passed]
backend/test/payment-segregation.test.js :: only Accounting (and the System Administrator) hold write:receipts; migration 0084 revokes it from sales on existing databases [passed]</t>
        </is>
      </c>
    </row>
    <row r="224">
      <c r="A224" s="19" t="inlineStr">
        <is>
          <t>BV-PAY-007</t>
        </is>
      </c>
      <c r="B224" s="19" t="inlineStr">
        <is>
          <t>Open items and payments</t>
        </is>
      </c>
      <c r="C224" s="19" t="inlineStr">
        <is>
          <t>Payments</t>
        </is>
      </c>
      <c r="D224" s="19" t="inlineStr">
        <is>
          <t>Sales / Account Executive (maria.rivera)</t>
        </is>
      </c>
      <c r="E224" s="19" t="inlineStr">
        <is>
          <t>Endorsement bill paid through a capture</t>
        </is>
      </c>
      <c r="F224" s="19" t="inlineStr">
        <is>
          <t>Integration</t>
        </is>
      </c>
      <c r="G224" s="19" t="inlineStr">
        <is>
          <t>Medium</t>
        </is>
      </c>
      <c r="H224" s="19" t="inlineStr">
        <is>
          <t>Endorsement bill open.</t>
        </is>
      </c>
      <c r="I224" s="19" t="inlineStr">
        <is>
          <t>1. Capture the payment against the endorsement bill.
2. Accounting confirms.</t>
        </is>
      </c>
      <c r="J224" s="19" t="inlineStr">
        <is>
          <t>Endorsement bill PHP 4,994.40</t>
        </is>
      </c>
      <c r="K224" s="19" t="inlineStr">
        <is>
          <t>Bill paid after verification.</t>
        </is>
      </c>
      <c r="L224" s="19" t="inlineStr">
        <is>
          <t>As expected.</t>
        </is>
      </c>
      <c r="M224" s="19" t="inlineStr">
        <is>
          <t>Pass</t>
        </is>
      </c>
      <c r="N224" s="19" t="inlineStr"/>
      <c r="O224" s="19" t="inlineStr">
        <is>
          <t>iorta TechNXT QA</t>
        </is>
      </c>
      <c r="P224" s="19" t="inlineStr">
        <is>
          <t>04 October 2026</t>
        </is>
      </c>
      <c r="Q224" s="19" t="inlineStr"/>
      <c r="R224" s="19" t="inlineStr">
        <is>
          <t>backend/test/payment-segregation.test.js :: the endorsement bill is paid through a pending capture that finance verifies [passed]
UAT cycle 03-04 October 2026, phase Servicing: endorsements, renewals, claims (31 passed, 0 failed)</t>
        </is>
      </c>
    </row>
    <row r="225">
      <c r="A225" s="19" t="inlineStr">
        <is>
          <t>BV-PAY-008</t>
        </is>
      </c>
      <c r="B225" s="19" t="inlineStr">
        <is>
          <t>Open items and payments</t>
        </is>
      </c>
      <c r="C225" s="19" t="inlineStr">
        <is>
          <t>Payment links</t>
        </is>
      </c>
      <c r="D225" s="19" t="inlineStr">
        <is>
          <t>Sales / Account Executive (maria.rivera)</t>
        </is>
      </c>
      <c r="E225" s="19" t="inlineStr">
        <is>
          <t>Payment link held when amount differs; cancel a link</t>
        </is>
      </c>
      <c r="F225" s="19" t="inlineStr">
        <is>
          <t>Negative</t>
        </is>
      </c>
      <c r="G225" s="19" t="inlineStr">
        <is>
          <t>Medium</t>
        </is>
      </c>
      <c r="H225" s="19" t="inlineStr">
        <is>
          <t>Payment link issued.</t>
        </is>
      </c>
      <c r="I225" s="19" t="inlineStr">
        <is>
          <t>1. Pay a different amount in the sandbox.
2. Cancel another pending link.</t>
        </is>
      </c>
      <c r="J225" s="19" t="inlineStr">
        <is>
          <t>Amount differs by PHP 50.00</t>
        </is>
      </c>
      <c r="K225" s="19" t="inlineStr">
        <is>
          <t>Payment held for review; cancelled link not payable; links listed.</t>
        </is>
      </c>
      <c r="L225" s="19" t="inlineStr">
        <is>
          <t>As expected.</t>
        </is>
      </c>
      <c r="M225" s="19" t="inlineStr">
        <is>
          <t>Pass</t>
        </is>
      </c>
      <c r="N225" s="19" t="inlineStr"/>
      <c r="O225" s="19" t="inlineStr">
        <is>
          <t>iorta TechNXT QA</t>
        </is>
      </c>
      <c r="P225" s="19" t="inlineStr">
        <is>
          <t>03 October 2026</t>
        </is>
      </c>
      <c r="Q225" s="19" t="inlineStr"/>
      <c r="R225" s="19" t="inlineStr">
        <is>
          <t>backend/test/payments.test.js :: holds a payment whose amount differs for review [passed]
backend/test/payments.test.js :: cancels a pending link and lists links [passed]</t>
        </is>
      </c>
    </row>
    <row r="226">
      <c r="A226" s="19" t="inlineStr">
        <is>
          <t>BV-PAY-009</t>
        </is>
      </c>
      <c r="B226" s="19" t="inlineStr">
        <is>
          <t>Open items and payments</t>
        </is>
      </c>
      <c r="C226" s="19" t="inlineStr">
        <is>
          <t>Payment Gateways</t>
        </is>
      </c>
      <c r="D226" s="19" t="inlineStr">
        <is>
          <t>System Administrator (BrokerVerse)</t>
        </is>
      </c>
      <c r="E226" s="19" t="inlineStr">
        <is>
          <t>Gateways listed without secrets; live needs credentials</t>
        </is>
      </c>
      <c r="F226" s="19" t="inlineStr">
        <is>
          <t>Role access</t>
        </is>
      </c>
      <c r="G226" s="19" t="inlineStr">
        <is>
          <t>Medium</t>
        </is>
      </c>
      <c r="H226" s="19" t="inlineStr">
        <is>
          <t>Master &gt; Finance &gt; Payment Gateways.</t>
        </is>
      </c>
      <c r="I226" s="19" t="inlineStr">
        <is>
          <t>1. Open the screen as administrator and as accounting.
2. Switch to live without credentials.</t>
        </is>
      </c>
      <c r="J226" s="19" t="inlineStr">
        <is>
          <t>PayMongo, Dragonpay</t>
        </is>
      </c>
      <c r="K226" s="19" t="inlineStr">
        <is>
          <t>No secrets shown; only the administrator changes them; live refused without credentials.</t>
        </is>
      </c>
      <c r="L226" s="19" t="inlineStr">
        <is>
          <t>As expected.</t>
        </is>
      </c>
      <c r="M226" s="19" t="inlineStr">
        <is>
          <t>Pass</t>
        </is>
      </c>
      <c r="N226" s="19" t="inlineStr"/>
      <c r="O226" s="19" t="inlineStr">
        <is>
          <t>iorta TechNXT QA</t>
        </is>
      </c>
      <c r="P226" s="19" t="inlineStr">
        <is>
          <t>03 October 2026</t>
        </is>
      </c>
      <c r="Q226" s="19" t="inlineStr"/>
      <c r="R226" s="19" t="inlineStr">
        <is>
          <t>backend/test/payments.test.js :: lists the gateways without secrets; only the administrator changes them and live needs credentials [passed]
Screen check /master/finance/payment-gateways: opened clean</t>
        </is>
      </c>
    </row>
    <row r="227">
      <c r="A227" s="19" t="inlineStr">
        <is>
          <t>BV-PAY-010</t>
        </is>
      </c>
      <c r="B227" s="19" t="inlineStr">
        <is>
          <t>Open items and payments</t>
        </is>
      </c>
      <c r="C227" s="19" t="inlineStr">
        <is>
          <t>Open Items</t>
        </is>
      </c>
      <c r="D227" s="19" t="inlineStr">
        <is>
          <t>Operations / Client Service (ana.buenaventura)</t>
        </is>
      </c>
      <c r="E227" s="19" t="inlineStr">
        <is>
          <t>Open items list of expiring policies and pending quotations</t>
        </is>
      </c>
      <c r="F227" s="19" t="inlineStr">
        <is>
          <t>Functional</t>
        </is>
      </c>
      <c r="G227" s="19" t="inlineStr">
        <is>
          <t>Medium</t>
        </is>
      </c>
      <c r="H227" s="19" t="inlineStr">
        <is>
          <t>Data from the cycle.</t>
        </is>
      </c>
      <c r="I227" s="19" t="inlineStr">
        <is>
          <t>1. Open Operations &gt; Open Items.
2. Filter by type.</t>
        </is>
      </c>
      <c r="J227" s="19" t="inlineStr">
        <is>
          <t>October 2026</t>
        </is>
      </c>
      <c r="K227" s="19" t="inlineStr">
        <is>
          <t>Lists match the policies and quotations in the period.</t>
        </is>
      </c>
      <c r="L227" s="19" t="inlineStr">
        <is>
          <t>As expected.</t>
        </is>
      </c>
      <c r="M227" s="19" t="inlineStr">
        <is>
          <t>Pass</t>
        </is>
      </c>
      <c r="N227" s="19" t="inlineStr"/>
      <c r="O227" s="19" t="inlineStr">
        <is>
          <t>iorta TechNXT QA</t>
        </is>
      </c>
      <c r="P227" s="19" t="inlineStr">
        <is>
          <t>03 October 2026</t>
        </is>
      </c>
      <c r="Q227" s="19" t="inlineStr"/>
      <c r="R227" s="19" t="inlineStr">
        <is>
          <t>Screen check /agent/openitemslistdata: opened clean</t>
        </is>
      </c>
    </row>
    <row r="228">
      <c r="A228" s="19" t="inlineStr">
        <is>
          <t>BV-RCT-001</t>
        </is>
      </c>
      <c r="B228" s="19" t="inlineStr">
        <is>
          <t>Billing and receipts</t>
        </is>
      </c>
      <c r="C228" s="19" t="inlineStr">
        <is>
          <t>Receipts</t>
        </is>
      </c>
      <c r="D228" s="19" t="inlineStr">
        <is>
          <t>Accounting Officer (liza.quiambao)</t>
        </is>
      </c>
      <c r="E228" s="19" t="inlineStr">
        <is>
          <t>Official receipt for a full payment</t>
        </is>
      </c>
      <c r="F228" s="19" t="inlineStr">
        <is>
          <t>Accounting</t>
        </is>
      </c>
      <c r="G228" s="19" t="inlineStr">
        <is>
          <t>High</t>
        </is>
      </c>
      <c r="H228" s="19" t="inlineStr">
        <is>
          <t>Policy bill open PHP 39,872.15.</t>
        </is>
      </c>
      <c r="I228" s="19" t="inlineStr">
        <is>
          <t>1. Open Accounts &gt; Receipts.
2. Click Add Receipt.
3. Select the bill, mode bank transfer, reference, date, bank account BDO-OPS.
4. Save.</t>
        </is>
      </c>
      <c r="J228" s="19" t="inlineStr">
        <is>
          <t>Reference BDO-xxxxxxxxx; 08 August 2026; BDO-OPS</t>
        </is>
      </c>
      <c r="K228" s="19" t="inlineStr">
        <is>
          <t>Receipt saved with the next OR number; bill Paid; journal Dr Cash in bank (1102001) / Cr Premium receivable; Collections updated.</t>
        </is>
      </c>
      <c r="L228" s="19" t="inlineStr">
        <is>
          <t>40 receipts entered by accounting in the cycle.</t>
        </is>
      </c>
      <c r="M228" s="19" t="inlineStr">
        <is>
          <t>Pass</t>
        </is>
      </c>
      <c r="N228" s="19" t="inlineStr"/>
      <c r="O228" s="19" t="inlineStr">
        <is>
          <t>iorta TechNXT QA</t>
        </is>
      </c>
      <c r="P228" s="19" t="inlineStr">
        <is>
          <t>04 October 2026</t>
        </is>
      </c>
      <c r="Q228" s="19" t="inlineStr"/>
      <c r="R228" s="19" t="inlineStr">
        <is>
          <t>backend/test/receipts.test.js :: official receipt against a receivable: partial then full payment, overpayment rejected [passed]
backend/test/uat-disconnects.test.js :: a receipt deposited to a bank account linked for reconciliation debits that GL account [passed]
UAT cycle 03-04 October 2026, phase Billing and collection (61 passed, 0 failed)
Screen check /accounts/receipts: opened clean</t>
        </is>
      </c>
    </row>
    <row r="229">
      <c r="A229" s="19" t="inlineStr">
        <is>
          <t>BV-RCT-002</t>
        </is>
      </c>
      <c r="B229" s="19" t="inlineStr">
        <is>
          <t>Billing and receipts</t>
        </is>
      </c>
      <c r="C229" s="19" t="inlineStr">
        <is>
          <t>Receipts</t>
        </is>
      </c>
      <c r="D229" s="19" t="inlineStr">
        <is>
          <t>Accounting Officer (liza.quiambao)</t>
        </is>
      </c>
      <c r="E229" s="19" t="inlineStr">
        <is>
          <t>Partial payment then the balance</t>
        </is>
      </c>
      <c r="F229" s="19" t="inlineStr">
        <is>
          <t>Accounting</t>
        </is>
      </c>
      <c r="G229" s="19" t="inlineStr">
        <is>
          <t>High</t>
        </is>
      </c>
      <c r="H229" s="19" t="inlineStr">
        <is>
          <t>Endorsement bill open PHP 5,010.00.</t>
        </is>
      </c>
      <c r="I229" s="19" t="inlineStr">
        <is>
          <t>1. Add Receipt for PHP 2,000.00.
2. Add Receipt for PHP 3,010.00.</t>
        </is>
      </c>
      <c r="J229" s="19" t="inlineStr">
        <is>
          <t>PHP 2,000.00; PHP 3,010.00</t>
        </is>
      </c>
      <c r="K229" s="19" t="inlineStr">
        <is>
          <t>Bill Partial after the first, Paid after the second; journals balanced.</t>
        </is>
      </c>
      <c r="L229" s="19" t="inlineStr">
        <is>
          <t>As expected.</t>
        </is>
      </c>
      <c r="M229" s="19" t="inlineStr">
        <is>
          <t>Pass</t>
        </is>
      </c>
      <c r="N229" s="19" t="inlineStr"/>
      <c r="O229" s="19" t="inlineStr">
        <is>
          <t>iorta TechNXT QA</t>
        </is>
      </c>
      <c r="P229" s="19" t="inlineStr">
        <is>
          <t>04 October 2026</t>
        </is>
      </c>
      <c r="Q229" s="19" t="inlineStr"/>
      <c r="R229" s="19" t="inlineStr">
        <is>
          <t>backend/test/receipts.test.js :: add receipt against an open endorsement bill: open-receivables lists it, partial 2,000 then 3,010, excess refused, journals balanced [passed]
UAT cycle 03-04 October 2026, phase Billing and collection (61 passed, 0 failed)</t>
        </is>
      </c>
    </row>
    <row r="230">
      <c r="A230" s="19" t="inlineStr">
        <is>
          <t>BV-RCT-003</t>
        </is>
      </c>
      <c r="B230" s="19" t="inlineStr">
        <is>
          <t>Billing and receipts</t>
        </is>
      </c>
      <c r="C230" s="19" t="inlineStr">
        <is>
          <t>Receipts</t>
        </is>
      </c>
      <c r="D230" s="19" t="inlineStr">
        <is>
          <t>Accounting Officer (liza.quiambao)</t>
        </is>
      </c>
      <c r="E230" s="19" t="inlineStr">
        <is>
          <t>Overpayment refused</t>
        </is>
      </c>
      <c r="F230" s="19" t="inlineStr">
        <is>
          <t>Negative</t>
        </is>
      </c>
      <c r="G230" s="19" t="inlineStr">
        <is>
          <t>High</t>
        </is>
      </c>
      <c r="H230" s="19" t="inlineStr">
        <is>
          <t>Bill balance PHP 3,010.00.</t>
        </is>
      </c>
      <c r="I230" s="19" t="inlineStr">
        <is>
          <t>1. Add Receipt for PHP 3,500.00.</t>
        </is>
      </c>
      <c r="J230" s="19" t="inlineStr">
        <is>
          <t>PHP 3,500.00</t>
        </is>
      </c>
      <c r="K230" s="19" t="inlineStr">
        <is>
          <t>Refused: amount exceeds the open balance.</t>
        </is>
      </c>
      <c r="L230" s="19" t="inlineStr">
        <is>
          <t>As expected.</t>
        </is>
      </c>
      <c r="M230" s="19" t="inlineStr">
        <is>
          <t>Pass</t>
        </is>
      </c>
      <c r="N230" s="19" t="inlineStr"/>
      <c r="O230" s="19" t="inlineStr">
        <is>
          <t>iorta TechNXT QA</t>
        </is>
      </c>
      <c r="P230" s="19" t="inlineStr">
        <is>
          <t>03 October 2026</t>
        </is>
      </c>
      <c r="Q230" s="19" t="inlineStr"/>
      <c r="R230" s="19" t="inlineStr">
        <is>
          <t>backend/test/receipts.test.js :: official receipt against a receivable: partial then full payment, overpayment rejected [passed]
backend/test/receipts.test.js :: add receipt against an open endorsement bill: open-receivables lists it, partial 2,000 then 3,010, excess refused, journals balanced [passed]</t>
        </is>
      </c>
    </row>
    <row r="231">
      <c r="A231" s="19" t="inlineStr">
        <is>
          <t>BV-RCT-004</t>
        </is>
      </c>
      <c r="B231" s="19" t="inlineStr">
        <is>
          <t>Billing and receipts</t>
        </is>
      </c>
      <c r="C231" s="19" t="inlineStr">
        <is>
          <t>Receipts</t>
        </is>
      </c>
      <c r="D231" s="19" t="inlineStr">
        <is>
          <t>Accounting Officer (liza.quiambao)</t>
        </is>
      </c>
      <c r="E231" s="19" t="inlineStr">
        <is>
          <t>Receipt printing</t>
        </is>
      </c>
      <c r="F231" s="19" t="inlineStr">
        <is>
          <t>Functional</t>
        </is>
      </c>
      <c r="G231" s="19" t="inlineStr">
        <is>
          <t>Medium</t>
        </is>
      </c>
      <c r="H231" s="19" t="inlineStr">
        <is>
          <t>Receipt saved.</t>
        </is>
      </c>
      <c r="I231" s="19" t="inlineStr">
        <is>
          <t>1. Open the receipt.
2. Click Print receipt; then Print All / Print Selected.</t>
        </is>
      </c>
      <c r="J231" s="19" t="inlineStr">
        <is>
          <t>OR of previous case</t>
        </is>
      </c>
      <c r="K231" s="19" t="inlineStr">
        <is>
          <t>PDF prints in full: numbers, dates and amounts in words.</t>
        </is>
      </c>
      <c r="L231" s="19" t="inlineStr">
        <is>
          <t>As expected.</t>
        </is>
      </c>
      <c r="M231" s="19" t="inlineStr">
        <is>
          <t>Pass</t>
        </is>
      </c>
      <c r="N231" s="19" t="inlineStr"/>
      <c r="O231" s="19" t="inlineStr">
        <is>
          <t>iorta TechNXT QA</t>
        </is>
      </c>
      <c r="P231" s="19" t="inlineStr">
        <is>
          <t>03 October 2026</t>
        </is>
      </c>
      <c r="Q231" s="19" t="inlineStr"/>
      <c r="R231" s="19" t="inlineStr">
        <is>
          <t>backend/test/receipts.test.js :: add-payment appends a paid line; search, print and bulk upload work [passed]
backend/test/printing.test.js :: humanises keys and writes amounts in words [passed]</t>
        </is>
      </c>
    </row>
    <row r="232">
      <c r="A232" s="19" t="inlineStr">
        <is>
          <t>BV-RCT-005</t>
        </is>
      </c>
      <c r="B232" s="19" t="inlineStr">
        <is>
          <t>Billing and receipts</t>
        </is>
      </c>
      <c r="C232" s="19" t="inlineStr">
        <is>
          <t>Receipts</t>
        </is>
      </c>
      <c r="D232" s="19" t="inlineStr">
        <is>
          <t>Accounting Officer (liza.quiambao)</t>
        </is>
      </c>
      <c r="E232" s="19" t="inlineStr">
        <is>
          <t>Pay-later draft receipt approved</t>
        </is>
      </c>
      <c r="F232" s="19" t="inlineStr">
        <is>
          <t>Accounting</t>
        </is>
      </c>
      <c r="G232" s="19" t="inlineStr">
        <is>
          <t>Medium</t>
        </is>
      </c>
      <c r="H232" s="19" t="inlineStr">
        <is>
          <t>Policy pay later.</t>
        </is>
      </c>
      <c r="I232" s="19" t="inlineStr">
        <is>
          <t>1. Create a draft receipt (pay later).
2. Approve it.</t>
        </is>
      </c>
      <c r="J232" s="19" t="inlineStr">
        <is>
          <t>Draft receipt</t>
        </is>
      </c>
      <c r="K232" s="19" t="inlineStr">
        <is>
          <t>Draft bills the policy; approval collects it and posts Dr Cash / Cr Premium receivable.</t>
        </is>
      </c>
      <c r="L232" s="19" t="inlineStr">
        <is>
          <t>As expected.</t>
        </is>
      </c>
      <c r="M232" s="19" t="inlineStr">
        <is>
          <t>Pass</t>
        </is>
      </c>
      <c r="N232" s="19" t="inlineStr"/>
      <c r="O232" s="19" t="inlineStr">
        <is>
          <t>iorta TechNXT QA</t>
        </is>
      </c>
      <c r="P232" s="19" t="inlineStr">
        <is>
          <t>03 October 2026</t>
        </is>
      </c>
      <c r="Q232" s="19" t="inlineStr"/>
      <c r="R232" s="19" t="inlineStr">
        <is>
          <t>backend/test/receipts.test.js :: pay-later draft receipt bills the policy, then approval (PUT) collects it and posts Dr Cash / Cr Premium Receivable [passed]</t>
        </is>
      </c>
    </row>
    <row r="233">
      <c r="A233" s="19" t="inlineStr">
        <is>
          <t>BV-RCT-006</t>
        </is>
      </c>
      <c r="B233" s="19" t="inlineStr">
        <is>
          <t>Billing and receipts</t>
        </is>
      </c>
      <c r="C233" s="19" t="inlineStr">
        <is>
          <t>Receipts</t>
        </is>
      </c>
      <c r="D233" s="19" t="inlineStr">
        <is>
          <t>Accounting Officer (liza.quiambao)</t>
        </is>
      </c>
      <c r="E233" s="19" t="inlineStr">
        <is>
          <t>Receipt validation and permissions</t>
        </is>
      </c>
      <c r="F233" s="19" t="inlineStr">
        <is>
          <t>Validation</t>
        </is>
      </c>
      <c r="G233" s="19" t="inlineStr">
        <is>
          <t>Medium</t>
        </is>
      </c>
      <c r="H233" s="19" t="inlineStr">
        <is>
          <t>Add Receipt form.</t>
        </is>
      </c>
      <c r="I233" s="19" t="inlineStr">
        <is>
          <t>1. Save without amount.
2. As ana.buenaventura open the receipt register.</t>
        </is>
      </c>
      <c r="J233" s="19" t="inlineStr">
        <is>
          <t>Blank amount</t>
        </is>
      </c>
      <c r="K233" s="19" t="inlineStr">
        <is>
          <t>Validation message; operations user cannot read the register.</t>
        </is>
      </c>
      <c r="L233" s="19" t="inlineStr">
        <is>
          <t>As expected.</t>
        </is>
      </c>
      <c r="M233" s="19" t="inlineStr">
        <is>
          <t>Pass</t>
        </is>
      </c>
      <c r="N233" s="19" t="inlineStr"/>
      <c r="O233" s="19" t="inlineStr">
        <is>
          <t>iorta TechNXT QA</t>
        </is>
      </c>
      <c r="P233" s="19" t="inlineStr">
        <is>
          <t>03 October 2026</t>
        </is>
      </c>
      <c r="Q233" s="19" t="inlineStr"/>
      <c r="R233" s="19" t="inlineStr">
        <is>
          <t>backend/test/receipts.test.js :: validates input and enforces permissions [passed]
backend/test/hardening.test.js :: claims officers do not list leads; sales and operations do not read the receipt register [passed]</t>
        </is>
      </c>
    </row>
    <row r="234">
      <c r="A234" s="19" t="inlineStr">
        <is>
          <t>BV-RCT-007</t>
        </is>
      </c>
      <c r="B234" s="19" t="inlineStr">
        <is>
          <t>Billing and receipts</t>
        </is>
      </c>
      <c r="C234" s="19" t="inlineStr">
        <is>
          <t>Receipts</t>
        </is>
      </c>
      <c r="D234" s="19" t="inlineStr">
        <is>
          <t>Accounting Officer (liza.quiambao)</t>
        </is>
      </c>
      <c r="E234" s="19" t="inlineStr">
        <is>
          <t>Search and bulk upload receipts</t>
        </is>
      </c>
      <c r="F234" s="19" t="inlineStr">
        <is>
          <t>Functional</t>
        </is>
      </c>
      <c r="G234" s="19" t="inlineStr">
        <is>
          <t>Low</t>
        </is>
      </c>
      <c r="H234" s="19" t="inlineStr">
        <is>
          <t>Receipts exist.</t>
        </is>
      </c>
      <c r="I234" s="19" t="inlineStr">
        <is>
          <t>1. Search by customer code.
2. Bulk upload 2 receipts.</t>
        </is>
      </c>
      <c r="J234" s="19" t="inlineStr">
        <is>
          <t>Customer code CL-xxxxx</t>
        </is>
      </c>
      <c r="K234" s="19" t="inlineStr">
        <is>
          <t>Search finds them; upload creates them.</t>
        </is>
      </c>
      <c r="L234" s="19" t="inlineStr">
        <is>
          <t>As expected.</t>
        </is>
      </c>
      <c r="M234" s="19" t="inlineStr">
        <is>
          <t>Pass</t>
        </is>
      </c>
      <c r="N234" s="19" t="inlineStr"/>
      <c r="O234" s="19" t="inlineStr">
        <is>
          <t>iorta TechNXT QA</t>
        </is>
      </c>
      <c r="P234" s="19" t="inlineStr">
        <is>
          <t>03 October 2026</t>
        </is>
      </c>
      <c r="Q234" s="19" t="inlineStr"/>
      <c r="R234" s="19" t="inlineStr">
        <is>
          <t>backend/test/receipts.test.js :: add-payment appends a paid line; search, print and bulk upload work [passed]
backend/test/receipts.test.js :: lists seeded receipts with pagination [passed]</t>
        </is>
      </c>
    </row>
    <row r="235">
      <c r="A235" s="19" t="inlineStr">
        <is>
          <t>BV-RCT-008</t>
        </is>
      </c>
      <c r="B235" s="19" t="inlineStr">
        <is>
          <t>Billing and receipts</t>
        </is>
      </c>
      <c r="C235" s="19" t="inlineStr">
        <is>
          <t>Returned cheque</t>
        </is>
      </c>
      <c r="D235" s="19" t="inlineStr">
        <is>
          <t>Accounting Officer (liza.quiambao)</t>
        </is>
      </c>
      <c r="E235" s="19" t="inlineStr">
        <is>
          <t>Returned cheque cancels the OR and reopens the bill</t>
        </is>
      </c>
      <c r="F235" s="19" t="inlineStr">
        <is>
          <t>Accounting</t>
        </is>
      </c>
      <c r="G235" s="19" t="inlineStr">
        <is>
          <t>High</t>
        </is>
      </c>
      <c r="H235" s="19" t="inlineStr">
        <is>
          <t>OR paid by cheque, bank statement debit RETURNED CHECK.</t>
        </is>
      </c>
      <c r="I235" s="19" t="inlineStr">
        <is>
          <t>1. In bank reconciliation, mark the bank debit as a returned cheque.</t>
        </is>
      </c>
      <c r="J235" s="19" t="inlineStr">
        <is>
          <t>Cheque SECB CHK xxxxxxx PHP 125,400.00</t>
        </is>
      </c>
      <c r="K235" s="19" t="inlineStr">
        <is>
          <t>OR cancelled; receivable reopened; reversal matched to the bank debit.</t>
        </is>
      </c>
      <c r="L235" s="19" t="inlineStr">
        <is>
          <t>As expected.</t>
        </is>
      </c>
      <c r="M235" s="19" t="inlineStr">
        <is>
          <t>Pass</t>
        </is>
      </c>
      <c r="N235" s="19" t="inlineStr"/>
      <c r="O235" s="19" t="inlineStr">
        <is>
          <t>iorta TechNXT QA</t>
        </is>
      </c>
      <c r="P235" s="19" t="inlineStr">
        <is>
          <t>03 October 2026</t>
        </is>
      </c>
      <c r="Q235" s="19" t="inlineStr"/>
      <c r="R235" s="19" t="inlineStr">
        <is>
          <t>backend/test/bank-reconciliation.test.js :: a returned cheque cancels the official receipt, re-opens the receivable and matches the reversal to the bank debit [passed]</t>
        </is>
      </c>
    </row>
    <row r="236">
      <c r="A236" s="19" t="inlineStr">
        <is>
          <t>BV-RCT-009</t>
        </is>
      </c>
      <c r="B236" s="19" t="inlineStr">
        <is>
          <t>Billing and receipts</t>
        </is>
      </c>
      <c r="C236" s="19" t="inlineStr">
        <is>
          <t>Write-off</t>
        </is>
      </c>
      <c r="D236" s="19" t="inlineStr">
        <is>
          <t>Accounting Officer (liza.quiambao)</t>
        </is>
      </c>
      <c r="E236" s="19" t="inlineStr">
        <is>
          <t>Write-off with a reason code</t>
        </is>
      </c>
      <c r="F236" s="19" t="inlineStr">
        <is>
          <t>Accounting</t>
        </is>
      </c>
      <c r="G236" s="19" t="inlineStr">
        <is>
          <t>Medium</t>
        </is>
      </c>
      <c r="H236" s="19" t="inlineStr">
        <is>
          <t>Small balance left on a bill.</t>
        </is>
      </c>
      <c r="I236" s="19" t="inlineStr">
        <is>
          <t>1. Write off the balance with a reason code.</t>
        </is>
      </c>
      <c r="J236" s="19" t="inlineStr">
        <is>
          <t>Balance PHP 0.85; reason Small balance</t>
        </is>
      </c>
      <c r="K236" s="19" t="inlineStr">
        <is>
          <t>Posts to the reason account; bill closed.</t>
        </is>
      </c>
      <c r="L236" s="19" t="inlineStr">
        <is>
          <t>As expected.</t>
        </is>
      </c>
      <c r="M236" s="19" t="inlineStr">
        <is>
          <t>Pass</t>
        </is>
      </c>
      <c r="N236" s="19" t="inlineStr"/>
      <c r="O236" s="19" t="inlineStr">
        <is>
          <t>iorta TechNXT QA</t>
        </is>
      </c>
      <c r="P236" s="19" t="inlineStr">
        <is>
          <t>03 October 2026</t>
        </is>
      </c>
      <c r="Q236" s="19" t="inlineStr"/>
      <c r="R236" s="19" t="inlineStr">
        <is>
          <t>backend/test/posting-rules.test.js :: write-off with a reason code posts to the reason account and closes the bill [passed]</t>
        </is>
      </c>
    </row>
    <row r="237">
      <c r="A237" s="19" t="inlineStr">
        <is>
          <t>BV-RCT-010</t>
        </is>
      </c>
      <c r="B237" s="19" t="inlineStr">
        <is>
          <t>Billing and receipts</t>
        </is>
      </c>
      <c r="C237" s="19" t="inlineStr">
        <is>
          <t>Billing statement</t>
        </is>
      </c>
      <c r="D237" s="19" t="inlineStr">
        <is>
          <t>Accounting Officer (liza.quiambao)</t>
        </is>
      </c>
      <c r="E237" s="19" t="inlineStr">
        <is>
          <t>Billing statement PDF for a policy</t>
        </is>
      </c>
      <c r="F237" s="19" t="inlineStr">
        <is>
          <t>Report</t>
        </is>
      </c>
      <c r="G237" s="19" t="inlineStr">
        <is>
          <t>Medium</t>
        </is>
      </c>
      <c r="H237" s="19" t="inlineStr">
        <is>
          <t>Policy with bills.</t>
        </is>
      </c>
      <c r="I237" s="19" t="inlineStr">
        <is>
          <t>1. Open the policy and print the billing statement.</t>
        </is>
      </c>
      <c r="J237" s="19" t="inlineStr">
        <is>
          <t>Motor policy</t>
        </is>
      </c>
      <c r="K237" s="19" t="inlineStr">
        <is>
          <t>Statement shows bills, payments and balance on the letterhead.</t>
        </is>
      </c>
      <c r="L237" s="19" t="inlineStr">
        <is>
          <t>As expected.</t>
        </is>
      </c>
      <c r="M237" s="19" t="inlineStr">
        <is>
          <t>Pass</t>
        </is>
      </c>
      <c r="N237" s="19" t="inlineStr"/>
      <c r="O237" s="19" t="inlineStr">
        <is>
          <t>iorta TechNXT QA</t>
        </is>
      </c>
      <c r="P237" s="19" t="inlineStr">
        <is>
          <t>03 October 2026</t>
        </is>
      </c>
      <c r="Q237" s="19" t="inlineStr"/>
      <c r="R237" s="19" t="inlineStr">
        <is>
          <t>backend/test/receipts.test.js :: billing statement PDF for a policy [passed]</t>
        </is>
      </c>
    </row>
    <row r="238">
      <c r="A238" s="19" t="inlineStr">
        <is>
          <t>BV-RCT-011</t>
        </is>
      </c>
      <c r="B238" s="19" t="inlineStr">
        <is>
          <t>Billing and receipts</t>
        </is>
      </c>
      <c r="C238" s="19" t="inlineStr">
        <is>
          <t>Instalments</t>
        </is>
      </c>
      <c r="D238" s="19" t="inlineStr">
        <is>
          <t>Accounting Officer (liza.quiambao)</t>
        </is>
      </c>
      <c r="E238" s="19" t="inlineStr">
        <is>
          <t>Instalment plan: even instalments, down payment first</t>
        </is>
      </c>
      <c r="F238" s="19" t="inlineStr">
        <is>
          <t>Accounting</t>
        </is>
      </c>
      <c r="G238" s="19" t="inlineStr">
        <is>
          <t>High</t>
        </is>
      </c>
      <c r="H238" s="19" t="inlineStr">
        <is>
          <t>Corporate policy PHP 1,250,000.00.</t>
        </is>
      </c>
      <c r="I238" s="19" t="inlineStr">
        <is>
          <t>1. Open Accounts &gt; Credit Control &gt; Instalment Plans.
2. Preview quarterly, 4 instalments, first due on inception.
3. Save.</t>
        </is>
      </c>
      <c r="J238" s="19" t="inlineStr">
        <is>
          <t>Quarterly x 4</t>
        </is>
      </c>
      <c r="K238" s="19" t="inlineStr">
        <is>
          <t>Even amounts, rounding on the first, due on month ends; payments applied in order; bill due on first unpaid.</t>
        </is>
      </c>
      <c r="L238" s="19" t="inlineStr">
        <is>
          <t>4 instalment plans; 4 instalments paid.</t>
        </is>
      </c>
      <c r="M238" s="19" t="inlineStr">
        <is>
          <t>Pass</t>
        </is>
      </c>
      <c r="N238" s="19" t="inlineStr"/>
      <c r="O238" s="19" t="inlineStr">
        <is>
          <t>iorta TechNXT QA</t>
        </is>
      </c>
      <c r="P238" s="19" t="inlineStr">
        <is>
          <t>04 October 2026</t>
        </is>
      </c>
      <c r="Q238" s="19" t="inlineStr"/>
      <c r="R238" s="19" t="inlineStr">
        <is>
          <t>backend/test/credit-control.test.js :: generates even instalments (down payment first, rounding on the first instalment) on month ends [passed]
UAT cycle 03-04 October 2026, phase Billing and collection (61 passed, 0 failed)
Screen check /accounts/credit-control/instalments: opened clean</t>
        </is>
      </c>
    </row>
    <row r="239">
      <c r="A239" s="19" t="inlineStr">
        <is>
          <t>BV-RCT-012</t>
        </is>
      </c>
      <c r="B239" s="19" t="inlineStr">
        <is>
          <t>Billing and receipts</t>
        </is>
      </c>
      <c r="C239" s="19" t="inlineStr">
        <is>
          <t>Instalments</t>
        </is>
      </c>
      <c r="D239" s="19" t="inlineStr">
        <is>
          <t>Accounting Officer (liza.quiambao)</t>
        </is>
      </c>
      <c r="E239" s="19" t="inlineStr">
        <is>
          <t>Edited schedule must add up to the bill</t>
        </is>
      </c>
      <c r="F239" s="19" t="inlineStr">
        <is>
          <t>Validation</t>
        </is>
      </c>
      <c r="G239" s="19" t="inlineStr">
        <is>
          <t>Medium</t>
        </is>
      </c>
      <c r="H239" s="19" t="inlineStr">
        <is>
          <t>Plan open.</t>
        </is>
      </c>
      <c r="I239" s="19" t="inlineStr">
        <is>
          <t>1. Change one instalment so the total differs.
2. Save.</t>
        </is>
      </c>
      <c r="J239" s="19" t="inlineStr">
        <is>
          <t>Total off by PHP 1,000.00</t>
        </is>
      </c>
      <c r="K239" s="19" t="inlineStr">
        <is>
          <t>Refused; ageing of instalments shown.</t>
        </is>
      </c>
      <c r="L239" s="19" t="inlineStr">
        <is>
          <t>As expected.</t>
        </is>
      </c>
      <c r="M239" s="19" t="inlineStr">
        <is>
          <t>Pass</t>
        </is>
      </c>
      <c r="N239" s="19" t="inlineStr"/>
      <c r="O239" s="19" t="inlineStr">
        <is>
          <t>iorta TechNXT QA</t>
        </is>
      </c>
      <c r="P239" s="19" t="inlineStr">
        <is>
          <t>03 October 2026</t>
        </is>
      </c>
      <c r="Q239" s="19" t="inlineStr"/>
      <c r="R239" s="19" t="inlineStr">
        <is>
          <t>backend/test/credit-control.test.js :: edits the schedule (must add up to the bill) and ages the instalments [passed]</t>
        </is>
      </c>
    </row>
    <row r="240">
      <c r="A240" s="19" t="inlineStr">
        <is>
          <t>BV-RCT-013</t>
        </is>
      </c>
      <c r="B240" s="19" t="inlineStr">
        <is>
          <t>Billing and receipts</t>
        </is>
      </c>
      <c r="C240" s="19" t="inlineStr">
        <is>
          <t>Receipts</t>
        </is>
      </c>
      <c r="D240" s="19" t="inlineStr">
        <is>
          <t>Accounting Officer (liza.quiambao)</t>
        </is>
      </c>
      <c r="E240" s="19" t="inlineStr">
        <is>
          <t>Payment entries book once with the receipt flow</t>
        </is>
      </c>
      <c r="F240" s="19" t="inlineStr">
        <is>
          <t>Accounting</t>
        </is>
      </c>
      <c r="G240" s="19" t="inlineStr">
        <is>
          <t>Medium</t>
        </is>
      </c>
      <c r="H240" s="19" t="inlineStr">
        <is>
          <t>Receipt saved.</t>
        </is>
      </c>
      <c r="I240" s="19" t="inlineStr">
        <is>
          <t>1. Post the payment entry again for the same receipt.</t>
        </is>
      </c>
      <c r="J240" s="19" t="inlineStr">
        <is>
          <t>Same receipt</t>
        </is>
      </c>
      <c r="K240" s="19" t="inlineStr">
        <is>
          <t>No second booking.</t>
        </is>
      </c>
      <c r="L240" s="19" t="inlineStr">
        <is>
          <t>As expected.</t>
        </is>
      </c>
      <c r="M240" s="19" t="inlineStr">
        <is>
          <t>Pass</t>
        </is>
      </c>
      <c r="N240" s="19" t="inlineStr"/>
      <c r="O240" s="19" t="inlineStr">
        <is>
          <t>iorta TechNXT QA</t>
        </is>
      </c>
      <c r="P240" s="19" t="inlineStr">
        <is>
          <t>03 October 2026</t>
        </is>
      </c>
      <c r="Q240" s="19" t="inlineStr"/>
      <c r="R240" s="19" t="inlineStr">
        <is>
          <t>backend/test/accounting.test.js :: payment-entries books and collects once (idempotent with the receipt flow) [passed]</t>
        </is>
      </c>
    </row>
    <row r="241">
      <c r="A241" s="19" t="inlineStr">
        <is>
          <t>BV-COL-001</t>
        </is>
      </c>
      <c r="B241" s="19" t="inlineStr">
        <is>
          <t>Collections and credit control</t>
        </is>
      </c>
      <c r="C241" s="19" t="inlineStr">
        <is>
          <t>Collections</t>
        </is>
      </c>
      <c r="D241" s="19" t="inlineStr">
        <is>
          <t>Accounting Officer (liza.quiambao)</t>
        </is>
      </c>
      <c r="E241" s="19" t="inlineStr">
        <is>
          <t>Collections list built from receivables</t>
        </is>
      </c>
      <c r="F241" s="19" t="inlineStr">
        <is>
          <t>Functional</t>
        </is>
      </c>
      <c r="G241" s="19" t="inlineStr">
        <is>
          <t>High</t>
        </is>
      </c>
      <c r="H241" s="19" t="inlineStr">
        <is>
          <t>Bills open.</t>
        </is>
      </c>
      <c r="I241" s="19" t="inlineStr">
        <is>
          <t>1. Open Accounts &gt; Collections.
2. Filter by status and level; sort by days overdue.</t>
        </is>
      </c>
      <c r="J241" s="19" t="inlineStr">
        <is>
          <t>Status Overdue</t>
        </is>
      </c>
      <c r="K241" s="19" t="inlineStr">
        <is>
          <t>Every open receivable has a collection item; filters and sort work.</t>
        </is>
      </c>
      <c r="L241" s="19" t="inlineStr">
        <is>
          <t>As expected.</t>
        </is>
      </c>
      <c r="M241" s="19" t="inlineStr">
        <is>
          <t>Pass</t>
        </is>
      </c>
      <c r="N241" s="19" t="inlineStr"/>
      <c r="O241" s="19" t="inlineStr">
        <is>
          <t>iorta TechNXT QA</t>
        </is>
      </c>
      <c r="P241" s="19" t="inlineStr">
        <is>
          <t>04 October 2026</t>
        </is>
      </c>
      <c r="Q241" s="19" t="inlineStr"/>
      <c r="R241" s="19" t="inlineStr">
        <is>
          <t>backend/test/collections.test.js :: sync builds items from receivables (and books receivables created elsewhere) [passed]
backend/test/collections.test.js :: filters by status / level, sorts and pages [passed]
UAT cycle 03-04 October 2026, phase Billing and collection (61 passed, 0 failed)
Screen check /agent/collections: opened clean</t>
        </is>
      </c>
    </row>
    <row r="242">
      <c r="A242" s="19" t="inlineStr">
        <is>
          <t>BV-COL-002</t>
        </is>
      </c>
      <c r="B242" s="19" t="inlineStr">
        <is>
          <t>Collections and credit control</t>
        </is>
      </c>
      <c r="C242" s="19" t="inlineStr">
        <is>
          <t>Collections</t>
        </is>
      </c>
      <c r="D242" s="19" t="inlineStr">
        <is>
          <t>Accounting Officer (liza.quiambao)</t>
        </is>
      </c>
      <c r="E242" s="19" t="inlineStr">
        <is>
          <t>Follow-up, commitment and reminder e-mail</t>
        </is>
      </c>
      <c r="F242" s="19" t="inlineStr">
        <is>
          <t>Functional</t>
        </is>
      </c>
      <c r="G242" s="19" t="inlineStr">
        <is>
          <t>Medium</t>
        </is>
      </c>
      <c r="H242" s="19" t="inlineStr">
        <is>
          <t>Overdue item.</t>
        </is>
      </c>
      <c r="I242" s="19" t="inlineStr">
        <is>
          <t>1. Open the item.
2. Click Add Note.
3. Record a promise to pay.
4. Click Send Email.</t>
        </is>
      </c>
      <c r="J242" s="19" t="inlineStr">
        <is>
          <t>Promise: PHP 50,000.00 on 15 October 2026</t>
        </is>
      </c>
      <c r="K242" s="19" t="inlineStr">
        <is>
          <t>History shows note, commitment, e-mail and payments.</t>
        </is>
      </c>
      <c r="L242" s="19" t="inlineStr">
        <is>
          <t>As expected.</t>
        </is>
      </c>
      <c r="M242" s="19" t="inlineStr">
        <is>
          <t>Pass</t>
        </is>
      </c>
      <c r="N242" s="19" t="inlineStr"/>
      <c r="O242" s="19" t="inlineStr">
        <is>
          <t>iorta TechNXT QA</t>
        </is>
      </c>
      <c r="P242" s="19" t="inlineStr">
        <is>
          <t>03 October 2026</t>
        </is>
      </c>
      <c r="Q242" s="19" t="inlineStr"/>
      <c r="R242" s="19" t="inlineStr">
        <is>
          <t>backend/test/collections.test.js :: detail, follow-up, commitment, e-mail and payment history [passed]</t>
        </is>
      </c>
    </row>
    <row r="243">
      <c r="A243" s="19" t="inlineStr">
        <is>
          <t>BV-COL-003</t>
        </is>
      </c>
      <c r="B243" s="19" t="inlineStr">
        <is>
          <t>Collections and credit control</t>
        </is>
      </c>
      <c r="C243" s="19" t="inlineStr">
        <is>
          <t>Collections</t>
        </is>
      </c>
      <c r="D243" s="19" t="inlineStr">
        <is>
          <t>Accounting Officer (liza.quiambao)</t>
        </is>
      </c>
      <c r="E243" s="19" t="inlineStr">
        <is>
          <t>Ageing report, dashboard and due-date reminders</t>
        </is>
      </c>
      <c r="F243" s="19" t="inlineStr">
        <is>
          <t>Report</t>
        </is>
      </c>
      <c r="G243" s="19" t="inlineStr">
        <is>
          <t>High</t>
        </is>
      </c>
      <c r="H243" s="19" t="inlineStr">
        <is>
          <t>Open receivables.</t>
        </is>
      </c>
      <c r="I243" s="19" t="inlineStr">
        <is>
          <t>1. Open the ageing view and dashboard stats.
2. Click Send Payment Reminders Now.</t>
        </is>
      </c>
      <c r="J243" s="19" t="inlineStr">
        <is>
          <t>As of 04 October 2026</t>
        </is>
      </c>
      <c r="K243" s="19" t="inlineStr">
        <is>
          <t>Buckets Current, 1-30, 31-60, 61-90, over 90; total outstanding &gt; 0; reminders queued.</t>
        </is>
      </c>
      <c r="L243" s="19" t="inlineStr">
        <is>
          <t>As expected.</t>
        </is>
      </c>
      <c r="M243" s="19" t="inlineStr">
        <is>
          <t>Pass</t>
        </is>
      </c>
      <c r="N243" s="19" t="inlineStr"/>
      <c r="O243" s="19" t="inlineStr">
        <is>
          <t>iorta TechNXT QA</t>
        </is>
      </c>
      <c r="P243" s="19" t="inlineStr">
        <is>
          <t>04 October 2026</t>
        </is>
      </c>
      <c r="Q243" s="19" t="inlineStr"/>
      <c r="R243" s="19" t="inlineStr">
        <is>
          <t>backend/test/collections.test.js :: aging report, dashboard stats and due-date reminders [passed]
UAT cycle 03-04 October 2026, phase Reports and dashboards (58 passed, 0 failed)</t>
        </is>
      </c>
    </row>
    <row r="244">
      <c r="A244" s="19" t="inlineStr">
        <is>
          <t>BV-COL-004</t>
        </is>
      </c>
      <c r="B244" s="19" t="inlineStr">
        <is>
          <t>Collections and credit control</t>
        </is>
      </c>
      <c r="C244" s="19" t="inlineStr">
        <is>
          <t>Collections</t>
        </is>
      </c>
      <c r="D244" s="19" t="inlineStr">
        <is>
          <t>Sales / Account Executive (maria.rivera)</t>
        </is>
      </c>
      <c r="E244" s="19" t="inlineStr">
        <is>
          <t>Collections validation and permissions</t>
        </is>
      </c>
      <c r="F244" s="19" t="inlineStr">
        <is>
          <t>Role access</t>
        </is>
      </c>
      <c r="G244" s="19" t="inlineStr">
        <is>
          <t>Low</t>
        </is>
      </c>
      <c r="H244" s="19" t="inlineStr">
        <is>
          <t>Signed in as maria.rivera.</t>
        </is>
      </c>
      <c r="I244" s="19" t="inlineStr">
        <is>
          <t>1. Try to update a collection item.</t>
        </is>
      </c>
      <c r="J244" s="19" t="inlineStr">
        <is>
          <t>None</t>
        </is>
      </c>
      <c r="K244" s="19" t="inlineStr">
        <is>
          <t>Refused.</t>
        </is>
      </c>
      <c r="L244" s="19" t="inlineStr">
        <is>
          <t>As expected.</t>
        </is>
      </c>
      <c r="M244" s="19" t="inlineStr">
        <is>
          <t>Pass</t>
        </is>
      </c>
      <c r="N244" s="19" t="inlineStr"/>
      <c r="O244" s="19" t="inlineStr">
        <is>
          <t>iorta TechNXT QA</t>
        </is>
      </c>
      <c r="P244" s="19" t="inlineStr">
        <is>
          <t>03 October 2026</t>
        </is>
      </c>
      <c r="Q244" s="19" t="inlineStr"/>
      <c r="R244" s="19" t="inlineStr">
        <is>
          <t>backend/test/collections.test.js :: validation and permissions [passed]</t>
        </is>
      </c>
    </row>
    <row r="245">
      <c r="A245" s="19" t="inlineStr">
        <is>
          <t>BV-COL-005</t>
        </is>
      </c>
      <c r="B245" s="19" t="inlineStr">
        <is>
          <t>Collections and credit control</t>
        </is>
      </c>
      <c r="C245" s="19" t="inlineStr">
        <is>
          <t>Warranty</t>
        </is>
      </c>
      <c r="D245" s="19" t="inlineStr">
        <is>
          <t>Accounting Officer (liza.quiambao)</t>
        </is>
      </c>
      <c r="E245" s="19" t="inlineStr">
        <is>
          <t>Premium warranty monitor and reminder</t>
        </is>
      </c>
      <c r="F245" s="19" t="inlineStr">
        <is>
          <t>Functional</t>
        </is>
      </c>
      <c r="G245" s="19" t="inlineStr">
        <is>
          <t>High</t>
        </is>
      </c>
      <c r="H245" s="19" t="inlineStr">
        <is>
          <t>Broker-billed policies past their warranty days.</t>
        </is>
      </c>
      <c r="I245" s="19" t="inlineStr">
        <is>
          <t>1. Open Accounts &gt; Credit Control &gt; Premium Warranty Monitor.
2. Filter Breached.
3. Send a reminder.</t>
        </is>
      </c>
      <c r="J245" s="19" t="inlineStr">
        <is>
          <t>Notes: Premium past the warranty date: please settle to keep the cover in force</t>
        </is>
      </c>
      <c r="K245" s="19" t="inlineStr">
        <is>
          <t>Breached policies listed; reminder recorded.</t>
        </is>
      </c>
      <c r="L245" s="19" t="inlineStr">
        <is>
          <t>5 breached policies; 5 reminders.</t>
        </is>
      </c>
      <c r="M245" s="19" t="inlineStr">
        <is>
          <t>Pass</t>
        </is>
      </c>
      <c r="N245" s="19" t="inlineStr"/>
      <c r="O245" s="19" t="inlineStr">
        <is>
          <t>iorta TechNXT QA</t>
        </is>
      </c>
      <c r="P245" s="19" t="inlineStr">
        <is>
          <t>04 October 2026</t>
        </is>
      </c>
      <c r="Q245" s="19" t="inlineStr"/>
      <c r="R245" s="19" t="inlineStr">
        <is>
          <t>backend/test/credit-control.test.js :: lists broker-billed policies past their premium warranty and sends a reminder [passed]
UAT cycle 03-04 October 2026, phase Billing and collection (61 passed, 0 failed)
Screen check /accounts/credit-control/warranty: opened clean</t>
        </is>
      </c>
    </row>
    <row r="246">
      <c r="A246" s="19" t="inlineStr">
        <is>
          <t>BV-COL-006</t>
        </is>
      </c>
      <c r="B246" s="19" t="inlineStr">
        <is>
          <t>Collections and credit control</t>
        </is>
      </c>
      <c r="C246" s="19" t="inlineStr">
        <is>
          <t>Warranty</t>
        </is>
      </c>
      <c r="D246" s="19" t="inlineStr">
        <is>
          <t>Accounting Manager (teresa.villaroman)</t>
        </is>
      </c>
      <c r="E246" s="19" t="inlineStr">
        <is>
          <t>Warranty extension needs another user with approval right</t>
        </is>
      </c>
      <c r="F246" s="19" t="inlineStr">
        <is>
          <t>Negative</t>
        </is>
      </c>
      <c r="G246" s="19" t="inlineStr">
        <is>
          <t>High</t>
        </is>
      </c>
      <c r="H246" s="19" t="inlineStr">
        <is>
          <t>Extension requested by liza.quiambao.</t>
        </is>
      </c>
      <c r="I246" s="19" t="inlineStr">
        <is>
          <t>1. As liza.quiambao try to approve.
2. As teresa.villaroman approve.</t>
        </is>
      </c>
      <c r="J246" s="19" t="inlineStr">
        <is>
          <t>Reason: Corporate cheque in process</t>
        </is>
      </c>
      <c r="K246" s="19" t="inlineStr">
        <is>
          <t>Requester refused; manager approves; deadline moved within the maximum days.</t>
        </is>
      </c>
      <c r="L246" s="19" t="inlineStr">
        <is>
          <t>As expected.</t>
        </is>
      </c>
      <c r="M246" s="19" t="inlineStr">
        <is>
          <t>Pass</t>
        </is>
      </c>
      <c r="N246" s="19" t="inlineStr"/>
      <c r="O246" s="19" t="inlineStr">
        <is>
          <t>iorta TechNXT QA</t>
        </is>
      </c>
      <c r="P246" s="19" t="inlineStr">
        <is>
          <t>04 October 2026</t>
        </is>
      </c>
      <c r="Q246" s="19" t="inlineStr"/>
      <c r="R246" s="19" t="inlineStr">
        <is>
          <t>backend/test/credit-control.test.js :: extends the warranty only with the approval of another user holding approve:credit-control [passed]
UAT cycle 03-04 October 2026, phase Billing and collection (61 passed, 0 failed)</t>
        </is>
      </c>
    </row>
    <row r="247">
      <c r="A247" s="19" t="inlineStr">
        <is>
          <t>BV-COL-007</t>
        </is>
      </c>
      <c r="B247" s="19" t="inlineStr">
        <is>
          <t>Collections and credit control</t>
        </is>
      </c>
      <c r="C247" s="19" t="inlineStr">
        <is>
          <t>Warranty</t>
        </is>
      </c>
      <c r="D247" s="19" t="inlineStr">
        <is>
          <t>Accounting Officer (liza.quiambao)</t>
        </is>
      </c>
      <c r="E247" s="19" t="inlineStr">
        <is>
          <t>Cancellation request to Operations</t>
        </is>
      </c>
      <c r="F247" s="19" t="inlineStr">
        <is>
          <t>Integration</t>
        </is>
      </c>
      <c r="G247" s="19" t="inlineStr">
        <is>
          <t>High</t>
        </is>
      </c>
      <c r="H247" s="19" t="inlineStr">
        <is>
          <t>Breached policy.</t>
        </is>
      </c>
      <c r="I247" s="19" t="inlineStr">
        <is>
          <t>1. Click cancellation request.</t>
        </is>
      </c>
      <c r="J247" s="19" t="inlineStr">
        <is>
          <t>Notes: Two reminders unanswered</t>
        </is>
      </c>
      <c r="K247" s="19" t="inlineStr">
        <is>
          <t>Request raised for Operations; policy not cancelled until Operations completes it.</t>
        </is>
      </c>
      <c r="L247" s="19" t="inlineStr">
        <is>
          <t>As expected.</t>
        </is>
      </c>
      <c r="M247" s="19" t="inlineStr">
        <is>
          <t>Pass</t>
        </is>
      </c>
      <c r="N247" s="19" t="inlineStr"/>
      <c r="O247" s="19" t="inlineStr">
        <is>
          <t>iorta TechNXT QA</t>
        </is>
      </c>
      <c r="P247" s="19" t="inlineStr">
        <is>
          <t>04 October 2026</t>
        </is>
      </c>
      <c r="Q247" s="19" t="inlineStr"/>
      <c r="R247" s="19" t="inlineStr">
        <is>
          <t>backend/test/credit-control.test.js :: raises a cancellation request for Operations without cancelling the policy [passed]
UAT cycle 03-04 October 2026, phase Billing and collection (61 passed, 0 failed)</t>
        </is>
      </c>
    </row>
    <row r="248">
      <c r="A248" s="19" t="inlineStr">
        <is>
          <t>BV-COL-008</t>
        </is>
      </c>
      <c r="B248" s="19" t="inlineStr">
        <is>
          <t>Collections and credit control</t>
        </is>
      </c>
      <c r="C248" s="19" t="inlineStr">
        <is>
          <t>Credit limits</t>
        </is>
      </c>
      <c r="D248" s="19" t="inlineStr">
        <is>
          <t>Accounting Manager (teresa.villaroman)</t>
        </is>
      </c>
      <c r="E248" s="19" t="inlineStr">
        <is>
          <t>Only an approver sets a client credit limit</t>
        </is>
      </c>
      <c r="F248" s="19" t="inlineStr">
        <is>
          <t>Role access</t>
        </is>
      </c>
      <c r="G248" s="19" t="inlineStr">
        <is>
          <t>Medium</t>
        </is>
      </c>
      <c r="H248" s="19" t="inlineStr">
        <is>
          <t>Corporate clients.</t>
        </is>
      </c>
      <c r="I248" s="19" t="inlineStr">
        <is>
          <t>1. As liza.quiambao set a limit.
2. As ramon.almario set PHP 2,000,000.00.</t>
        </is>
      </c>
      <c r="J248" s="19" t="inlineStr">
        <is>
          <t>Hilaga Logistics and Warehousing Corp.</t>
        </is>
      </c>
      <c r="K248" s="19" t="inlineStr">
        <is>
          <t>Officer refused; manager saves.</t>
        </is>
      </c>
      <c r="L248" s="19" t="inlineStr">
        <is>
          <t>5 client credit limits set by the manager.</t>
        </is>
      </c>
      <c r="M248" s="19" t="inlineStr">
        <is>
          <t>Pass</t>
        </is>
      </c>
      <c r="N248" s="19" t="inlineStr"/>
      <c r="O248" s="19" t="inlineStr">
        <is>
          <t>iorta TechNXT QA</t>
        </is>
      </c>
      <c r="P248" s="19" t="inlineStr">
        <is>
          <t>04 October 2026</t>
        </is>
      </c>
      <c r="Q248" s="19" t="inlineStr"/>
      <c r="R248" s="19" t="inlineStr">
        <is>
          <t>backend/test/credit-control.test.js :: only an approver sets the limit; a broker-billed policy over it is issued with a warning [passed]
UAT cycle 03-04 October 2026, phase Billing and collection (61 passed, 0 failed)
Screen check /accounts/credit-control/limits: opened clean</t>
        </is>
      </c>
    </row>
    <row r="249">
      <c r="A249" s="19" t="inlineStr">
        <is>
          <t>BV-COL-009</t>
        </is>
      </c>
      <c r="B249" s="19" t="inlineStr">
        <is>
          <t>Collections and credit control</t>
        </is>
      </c>
      <c r="C249" s="19" t="inlineStr">
        <is>
          <t>Remittance ageing</t>
        </is>
      </c>
      <c r="D249" s="19" t="inlineStr">
        <is>
          <t>Accounting Officer (liza.quiambao)</t>
        </is>
      </c>
      <c r="E249" s="19" t="inlineStr">
        <is>
          <t>Collected premium aged on insurer remittance terms</t>
        </is>
      </c>
      <c r="F249" s="19" t="inlineStr">
        <is>
          <t>Report</t>
        </is>
      </c>
      <c r="G249" s="19" t="inlineStr">
        <is>
          <t>High</t>
        </is>
      </c>
      <c r="H249" s="19" t="inlineStr">
        <is>
          <t>Collections not yet remitted.</t>
        </is>
      </c>
      <c r="I249" s="19" t="inlineStr">
        <is>
          <t>1. Open Accounts &gt; Credit Control &gt; Remittance Ageing.</t>
        </is>
      </c>
      <c r="J249" s="19" t="inlineStr">
        <is>
          <t>As of 04 October 2026</t>
        </is>
      </c>
      <c r="K249" s="19" t="inlineStr">
        <is>
          <t>Each collection aged from its receipt date on the insurer terms until the voucher is approved.</t>
        </is>
      </c>
      <c r="L249" s="19" t="inlineStr">
        <is>
          <t>72 collections PHP 6,033,429.59 before remittance; 39 PHP 3,167,534.19 after.</t>
        </is>
      </c>
      <c r="M249" s="19" t="inlineStr">
        <is>
          <t>Pass</t>
        </is>
      </c>
      <c r="N249" s="19" t="inlineStr"/>
      <c r="O249" s="19" t="inlineStr">
        <is>
          <t>iorta TechNXT QA</t>
        </is>
      </c>
      <c r="P249" s="19" t="inlineStr">
        <is>
          <t>04 October 2026</t>
        </is>
      </c>
      <c r="Q249" s="19" t="inlineStr"/>
      <c r="R249" s="19" t="inlineStr">
        <is>
          <t>backend/test/credit-control.test.js :: ages collected premium on the insurer remittance terms until the voucher is approved [passed]
backend/test/uat-disconnects.test.js :: the remittance ageing dates a collection with its receipt, not with the day it was keyed in [passed]
UAT cycle 03-04 October 2026, phase Money: remittances, commission, petty cash (27 passed, 0 failed)
Screen check /accounts/credit-control/remittance-ageing: opened clean</t>
        </is>
      </c>
    </row>
    <row r="250">
      <c r="A250" s="19" t="inlineStr">
        <is>
          <t>BV-COL-010</t>
        </is>
      </c>
      <c r="B250" s="19" t="inlineStr">
        <is>
          <t>Collections and credit control</t>
        </is>
      </c>
      <c r="C250" s="19" t="inlineStr">
        <is>
          <t>Receivable due date</t>
        </is>
      </c>
      <c r="D250" s="19" t="inlineStr">
        <is>
          <t>Accounting Officer (liza.quiambao)</t>
        </is>
      </c>
      <c r="E250" s="19" t="inlineStr">
        <is>
          <t>Bill due date follows insurer warranty days</t>
        </is>
      </c>
      <c r="F250" s="19" t="inlineStr">
        <is>
          <t>Validation</t>
        </is>
      </c>
      <c r="G250" s="19" t="inlineStr">
        <is>
          <t>Medium</t>
        </is>
      </c>
      <c r="H250" s="19" t="inlineStr">
        <is>
          <t>Insurer Mindanao Shield 30 days.</t>
        </is>
      </c>
      <c r="I250" s="19" t="inlineStr">
        <is>
          <t>1. Issue a policy and read the bill due date.</t>
        </is>
      </c>
      <c r="J250" s="19" t="inlineStr">
        <is>
          <t>Issue 10 September 2026</t>
        </is>
      </c>
      <c r="K250" s="19" t="inlineStr">
        <is>
          <t>Due 10 October 2026; credit days run from issue or later inception.</t>
        </is>
      </c>
      <c r="L250" s="19" t="inlineStr">
        <is>
          <t>As expected.</t>
        </is>
      </c>
      <c r="M250" s="19" t="inlineStr">
        <is>
          <t>Pass</t>
        </is>
      </c>
      <c r="N250" s="19" t="inlineStr"/>
      <c r="O250" s="19" t="inlineStr">
        <is>
          <t>iorta TechNXT QA</t>
        </is>
      </c>
      <c r="P250" s="19" t="inlineStr">
        <is>
          <t>03 October 2026</t>
        </is>
      </c>
      <c r="Q250" s="19" t="inlineStr"/>
      <c r="R250" s="19" t="inlineStr">
        <is>
          <t>backend/test/numbering.test.js :: sets the receivable due date from the insurer premium warranty days [passed]
backend/test/uat-disconnects.test.js :: books a policy on its issue date; its credit days run from the issue (or later inception) [passed]</t>
        </is>
      </c>
    </row>
    <row r="251">
      <c r="A251" s="19" t="inlineStr">
        <is>
          <t>BV-DSB-001</t>
        </is>
      </c>
      <c r="B251" s="19" t="inlineStr">
        <is>
          <t>Disbursement and payment vouchers</t>
        </is>
      </c>
      <c r="C251" s="19" t="inlineStr">
        <is>
          <t>Disbursement</t>
        </is>
      </c>
      <c r="D251" s="19" t="inlineStr">
        <is>
          <t>Accounting Officer (liza.quiambao)</t>
        </is>
      </c>
      <c r="E251" s="19" t="inlineStr">
        <is>
          <t>Create a supplier payment voucher</t>
        </is>
      </c>
      <c r="F251" s="19" t="inlineStr">
        <is>
          <t>Functional</t>
        </is>
      </c>
      <c r="G251" s="19" t="inlineStr">
        <is>
          <t>High</t>
        </is>
      </c>
      <c r="H251" s="19" t="inlineStr">
        <is>
          <t>Signed in as liza.quiambao.</t>
        </is>
      </c>
      <c r="I251" s="19" t="inlineStr">
        <is>
          <t>1. Open Accounts &gt; Disbursement.
2. Click Create Disbursement.
3. Enter payee, transaction code, amount, payable lines.
4. Click Create Voucher.</t>
        </is>
      </c>
      <c r="J251" s="19" t="inlineStr">
        <is>
          <t>Payee: Metro Survey and Adjusting Corp.; PHP 12,500.00</t>
        </is>
      </c>
      <c r="K251" s="19" t="inlineStr">
        <is>
          <t>Voucher numbered and listed as pending.</t>
        </is>
      </c>
      <c r="L251" s="19" t="inlineStr">
        <is>
          <t>As expected.</t>
        </is>
      </c>
      <c r="M251" s="19" t="inlineStr">
        <is>
          <t>Pass</t>
        </is>
      </c>
      <c r="N251" s="19" t="inlineStr"/>
      <c r="O251" s="19" t="inlineStr">
        <is>
          <t>iorta TechNXT QA</t>
        </is>
      </c>
      <c r="P251" s="19" t="inlineStr">
        <is>
          <t>03 October 2026</t>
        </is>
      </c>
      <c r="Q251" s="19" t="inlineStr"/>
      <c r="R251" s="19" t="inlineStr">
        <is>
          <t>backend/test/disbursements.test.js :: creates a voucher, records a payable (invoice list) and reads them back [passed]
Screen check /accounts/paymentvoucher: opened clean</t>
        </is>
      </c>
    </row>
    <row r="252">
      <c r="A252" s="19" t="inlineStr">
        <is>
          <t>BV-DSB-002</t>
        </is>
      </c>
      <c r="B252" s="19" t="inlineStr">
        <is>
          <t>Disbursement and payment vouchers</t>
        </is>
      </c>
      <c r="C252" s="19" t="inlineStr">
        <is>
          <t>Disbursement</t>
        </is>
      </c>
      <c r="D252" s="19" t="inlineStr">
        <is>
          <t>Accounting Officer (nestor.pangilinan)</t>
        </is>
      </c>
      <c r="E252" s="19" t="inlineStr">
        <is>
          <t>Maker cannot approve own cheque; checker approval posts</t>
        </is>
      </c>
      <c r="F252" s="19" t="inlineStr">
        <is>
          <t>Negative</t>
        </is>
      </c>
      <c r="G252" s="19" t="inlineStr">
        <is>
          <t>High</t>
        </is>
      </c>
      <c r="H252" s="19" t="inlineStr">
        <is>
          <t>Cheque for a client refund prepared by liza.quiambao.</t>
        </is>
      </c>
      <c r="I252" s="19" t="inlineStr">
        <is>
          <t>1. As liza.quiambao approve.
2. As nestor.pangilinan approve and print.</t>
        </is>
      </c>
      <c r="J252" s="19" t="inlineStr">
        <is>
          <t>Refund cheque BDO-CB-2026</t>
        </is>
      </c>
      <c r="K252" s="19" t="inlineStr">
        <is>
          <t>Maker refused; approval posts Dr Refund payable / Cr Cash; printing pays the voucher.</t>
        </is>
      </c>
      <c r="L252" s="19" t="inlineStr">
        <is>
          <t>As expected.</t>
        </is>
      </c>
      <c r="M252" s="19" t="inlineStr">
        <is>
          <t>Pass</t>
        </is>
      </c>
      <c r="N252" s="19" t="inlineStr"/>
      <c r="O252" s="19" t="inlineStr">
        <is>
          <t>iorta TechNXT QA</t>
        </is>
      </c>
      <c r="P252" s="19" t="inlineStr">
        <is>
          <t>04 October 2026</t>
        </is>
      </c>
      <c r="Q252" s="19" t="inlineStr"/>
      <c r="R252" s="19" t="inlineStr">
        <is>
          <t>backend/test/disbursements.test.js :: cheque: maker cannot approve own cheque; checker approval posts Dr Refund Payable / Cr Cash; printing pays the voucher [passed]
UAT cycle 03-04 October 2026, phase Servicing: endorsements, renewals, claims (31 passed, 0 failed)</t>
        </is>
      </c>
    </row>
    <row r="253">
      <c r="A253" s="19" t="inlineStr">
        <is>
          <t>BV-DSB-003</t>
        </is>
      </c>
      <c r="B253" s="19" t="inlineStr">
        <is>
          <t>Disbursement and payment vouchers</t>
        </is>
      </c>
      <c r="C253" s="19" t="inlineStr">
        <is>
          <t>Disbursement</t>
        </is>
      </c>
      <c r="D253" s="19" t="inlineStr">
        <is>
          <t>Accounting Officer (liza.quiambao)</t>
        </is>
      </c>
      <c r="E253" s="19" t="inlineStr">
        <is>
          <t>Insurer remittance voucher net of commission</t>
        </is>
      </c>
      <c r="F253" s="19" t="inlineStr">
        <is>
          <t>Accounting</t>
        </is>
      </c>
      <c r="G253" s="19" t="inlineStr">
        <is>
          <t>High</t>
        </is>
      </c>
      <c r="H253" s="19" t="inlineStr">
        <is>
          <t>Approved settlement.</t>
        </is>
      </c>
      <c r="I253" s="19" t="inlineStr">
        <is>
          <t>1. Open the voucher raised by the settlement.</t>
        </is>
      </c>
      <c r="J253" s="19" t="inlineStr">
        <is>
          <t>Luzon Bay September 2026</t>
        </is>
      </c>
      <c r="K253" s="19" t="inlineStr">
        <is>
          <t>Premium net of commission and VAT plus EWT; clears premium due to the insurer.</t>
        </is>
      </c>
      <c r="L253" s="19" t="inlineStr">
        <is>
          <t>As expected.</t>
        </is>
      </c>
      <c r="M253" s="19" t="inlineStr">
        <is>
          <t>Pass</t>
        </is>
      </c>
      <c r="N253" s="19" t="inlineStr"/>
      <c r="O253" s="19" t="inlineStr">
        <is>
          <t>iorta TechNXT QA</t>
        </is>
      </c>
      <c r="P253" s="19" t="inlineStr">
        <is>
          <t>04 October 2026</t>
        </is>
      </c>
      <c r="Q253" s="19" t="inlineStr"/>
      <c r="R253" s="19" t="inlineStr">
        <is>
          <t>backend/test/disbursements.test.js :: insurer remittance voucher from collected premium (net of commission) [passed]
backend/test/commission-taxes.test.js :: the insurer voucher pays the premium net of commission and VAT plus the EWT, which clears the premium due to the insurer [passed]
UAT cycle 03-04 October 2026, phase Money: remittances, commission, petty cash (27 passed, 0 failed)</t>
        </is>
      </c>
    </row>
    <row r="254">
      <c r="A254" s="19" t="inlineStr">
        <is>
          <t>BV-DSB-004</t>
        </is>
      </c>
      <c r="B254" s="19" t="inlineStr">
        <is>
          <t>Disbursement and payment vouchers</t>
        </is>
      </c>
      <c r="C254" s="19" t="inlineStr">
        <is>
          <t>Disbursement</t>
        </is>
      </c>
      <c r="D254" s="19" t="inlineStr">
        <is>
          <t>Accounting Officer (liza.quiambao)</t>
        </is>
      </c>
      <c r="E254" s="19" t="inlineStr">
        <is>
          <t>Filters, print and bulk upload</t>
        </is>
      </c>
      <c r="F254" s="19" t="inlineStr">
        <is>
          <t>Functional</t>
        </is>
      </c>
      <c r="G254" s="19" t="inlineStr">
        <is>
          <t>Low</t>
        </is>
      </c>
      <c r="H254" s="19" t="inlineStr">
        <is>
          <t>Vouchers exist.</t>
        </is>
      </c>
      <c r="I254" s="19" t="inlineStr">
        <is>
          <t>1. Filter by status and payee type.
2. Print a voucher.
3. Upload a voucher file.</t>
        </is>
      </c>
      <c r="J254" s="19" t="inlineStr">
        <is>
          <t>Payee type Insurer</t>
        </is>
      </c>
      <c r="K254" s="19" t="inlineStr">
        <is>
          <t>List filtered; PDF prints; upload creates vouchers.</t>
        </is>
      </c>
      <c r="L254" s="19" t="inlineStr">
        <is>
          <t>As expected.</t>
        </is>
      </c>
      <c r="M254" s="19" t="inlineStr">
        <is>
          <t>Pass</t>
        </is>
      </c>
      <c r="N254" s="19" t="inlineStr"/>
      <c r="O254" s="19" t="inlineStr">
        <is>
          <t>iorta TechNXT QA</t>
        </is>
      </c>
      <c r="P254" s="19" t="inlineStr">
        <is>
          <t>03 October 2026</t>
        </is>
      </c>
      <c r="Q254" s="19" t="inlineStr"/>
      <c r="R254" s="19" t="inlineStr">
        <is>
          <t>backend/test/disbursements.test.js :: lists seeded vouchers with filters [passed]
backend/test/disbursements.test.js :: print and bulk upload [passed]</t>
        </is>
      </c>
    </row>
    <row r="255">
      <c r="A255" s="19" t="inlineStr">
        <is>
          <t>BV-DSB-005</t>
        </is>
      </c>
      <c r="B255" s="19" t="inlineStr">
        <is>
          <t>Disbursement and payment vouchers</t>
        </is>
      </c>
      <c r="C255" s="19" t="inlineStr">
        <is>
          <t>Disbursement</t>
        </is>
      </c>
      <c r="D255" s="19" t="inlineStr">
        <is>
          <t>Sales / Account Executive (maria.rivera)</t>
        </is>
      </c>
      <c r="E255" s="19" t="inlineStr">
        <is>
          <t>Disbursement validation and permissions</t>
        </is>
      </c>
      <c r="F255" s="19" t="inlineStr">
        <is>
          <t>Role access</t>
        </is>
      </c>
      <c r="G255" s="19" t="inlineStr">
        <is>
          <t>Medium</t>
        </is>
      </c>
      <c r="H255" s="19" t="inlineStr">
        <is>
          <t>Signed in as maria.rivera.</t>
        </is>
      </c>
      <c r="I255" s="19" t="inlineStr">
        <is>
          <t>1. Open /accounts/paymentvoucher by address.</t>
        </is>
      </c>
      <c r="J255" s="19" t="inlineStr">
        <is>
          <t>None</t>
        </is>
      </c>
      <c r="K255" s="19" t="inlineStr">
        <is>
          <t>Not available.</t>
        </is>
      </c>
      <c r="L255" s="19" t="inlineStr">
        <is>
          <t>As expected.</t>
        </is>
      </c>
      <c r="M255" s="19" t="inlineStr">
        <is>
          <t>Pass</t>
        </is>
      </c>
      <c r="N255" s="19" t="inlineStr"/>
      <c r="O255" s="19" t="inlineStr">
        <is>
          <t>iorta TechNXT QA</t>
        </is>
      </c>
      <c r="P255" s="19" t="inlineStr">
        <is>
          <t>03 October 2026</t>
        </is>
      </c>
      <c r="Q255" s="19" t="inlineStr"/>
      <c r="R255" s="19" t="inlineStr">
        <is>
          <t>backend/test/disbursements.test.js :: validation and permissions [passed]</t>
        </is>
      </c>
    </row>
    <row r="256">
      <c r="A256" s="19" t="inlineStr">
        <is>
          <t>BV-DSB-006</t>
        </is>
      </c>
      <c r="B256" s="19" t="inlineStr">
        <is>
          <t>Disbursement and payment vouchers</t>
        </is>
      </c>
      <c r="C256" s="19" t="inlineStr">
        <is>
          <t>Refund</t>
        </is>
      </c>
      <c r="D256" s="19" t="inlineStr">
        <is>
          <t>Accounting Officer (liza.quiambao)</t>
        </is>
      </c>
      <c r="E256" s="19" t="inlineStr">
        <is>
          <t>Refund netted against the next remittance</t>
        </is>
      </c>
      <c r="F256" s="19" t="inlineStr">
        <is>
          <t>Accounting</t>
        </is>
      </c>
      <c r="G256" s="19" t="inlineStr">
        <is>
          <t>Medium</t>
        </is>
      </c>
      <c r="H256" s="19" t="inlineStr">
        <is>
          <t>Return on premium already remitted.</t>
        </is>
      </c>
      <c r="I256" s="19" t="inlineStr">
        <is>
          <t>1. Raise the refund receivable from the insurer.
2. Prepare the next remittance voucher.</t>
        </is>
      </c>
      <c r="J256" s="19" t="inlineStr">
        <is>
          <t>Remitted share of return</t>
        </is>
      </c>
      <c r="K256" s="19" t="inlineStr">
        <is>
          <t>Refund receivable raised and netted on the next voucher.</t>
        </is>
      </c>
      <c r="L256" s="19" t="inlineStr">
        <is>
          <t>As expected.</t>
        </is>
      </c>
      <c r="M256" s="19" t="inlineStr">
        <is>
          <t>Pass</t>
        </is>
      </c>
      <c r="N256" s="19" t="inlineStr"/>
      <c r="O256" s="19" t="inlineStr">
        <is>
          <t>iorta TechNXT QA</t>
        </is>
      </c>
      <c r="P256" s="19" t="inlineStr">
        <is>
          <t>03 October 2026</t>
        </is>
      </c>
      <c r="Q256" s="19" t="inlineStr"/>
      <c r="R256" s="19" t="inlineStr">
        <is>
          <t>backend/test/accounting-followups.test.js :: raises a refund receivable for the remitted share of a return on paid premium [passed]
backend/test/accounting-followups.test.js :: nets the refund against the next remittance voucher to the insurer [passed]</t>
        </is>
      </c>
    </row>
    <row r="257">
      <c r="A257" s="19" t="inlineStr">
        <is>
          <t>BV-REM-001</t>
        </is>
      </c>
      <c r="B257" s="19" t="inlineStr">
        <is>
          <t>Remittance to insurers</t>
        </is>
      </c>
      <c r="C257" s="19" t="inlineStr">
        <is>
          <t>Remittance</t>
        </is>
      </c>
      <c r="D257" s="19" t="inlineStr">
        <is>
          <t>Accounting Officer (liza.quiambao)</t>
        </is>
      </c>
      <c r="E257" s="19" t="inlineStr">
        <is>
          <t>Create and process a monthly remittance to an insurer</t>
        </is>
      </c>
      <c r="F257" s="19" t="inlineStr">
        <is>
          <t>Functional</t>
        </is>
      </c>
      <c r="G257" s="19" t="inlineStr">
        <is>
          <t>High</t>
        </is>
      </c>
      <c r="H257" s="19" t="inlineStr">
        <is>
          <t>Collections of August 2026 for Pacific Crest.</t>
        </is>
      </c>
      <c r="I257" s="19" t="inlineStr">
        <is>
          <t>1. Open Accounts &gt; Remittance &gt; Tracking.
2. Create remittance for PCIC, period 2026-08, policies.
3. Process it.</t>
        </is>
      </c>
      <c r="J257" s="19" t="inlineStr">
        <is>
          <t>PCIC; 2026-08; remittance date 10 September 2026</t>
        </is>
      </c>
      <c r="K257" s="19" t="inlineStr">
        <is>
          <t>Remittance created and sent for approval.</t>
        </is>
      </c>
      <c r="L257" s="19" t="inlineStr">
        <is>
          <t>As expected.</t>
        </is>
      </c>
      <c r="M257" s="19" t="inlineStr">
        <is>
          <t>Pass</t>
        </is>
      </c>
      <c r="N257" s="19" t="inlineStr"/>
      <c r="O257" s="19" t="inlineStr">
        <is>
          <t>iorta TechNXT QA</t>
        </is>
      </c>
      <c r="P257" s="19" t="inlineStr">
        <is>
          <t>04 October 2026</t>
        </is>
      </c>
      <c r="Q257" s="19" t="inlineStr"/>
      <c r="R257" s="19" t="inlineStr">
        <is>
          <t>backend/test/remittance.test.js :: creates a remittance, validates and processes it, and enforces maker-checker [passed]
UAT cycle 03-04 October 2026, phase Money: remittances, commission, petty cash (27 passed, 0 failed)
Screen check /finance/remittance/tracking/status: opened clean</t>
        </is>
      </c>
    </row>
    <row r="258">
      <c r="A258" s="19" t="inlineStr">
        <is>
          <t>BV-REM-002</t>
        </is>
      </c>
      <c r="B258" s="19" t="inlineStr">
        <is>
          <t>Remittance to insurers</t>
        </is>
      </c>
      <c r="C258" s="19" t="inlineStr">
        <is>
          <t>Approval Workflow</t>
        </is>
      </c>
      <c r="D258" s="19" t="inlineStr">
        <is>
          <t>Accounting Officer (nestor.pangilinan)</t>
        </is>
      </c>
      <c r="E258" s="19" t="inlineStr">
        <is>
          <t>Approval levels by amount, each by a different user</t>
        </is>
      </c>
      <c r="F258" s="19" t="inlineStr">
        <is>
          <t>Negative</t>
        </is>
      </c>
      <c r="G258" s="19" t="inlineStr">
        <is>
          <t>High</t>
        </is>
      </c>
      <c r="H258" s="19" t="inlineStr">
        <is>
          <t>Remittance pending.</t>
        </is>
      </c>
      <c r="I258" s="19" t="inlineStr">
        <is>
          <t>1. As liza.quiambao approve.
2. As nestor.pangilinan, teresa.villaroman and ramon.almario approve in turn.</t>
        </is>
      </c>
      <c r="J258" s="19" t="inlineStr">
        <is>
          <t>remittance.approval_levels</t>
        </is>
      </c>
      <c r="K258" s="19" t="inlineStr">
        <is>
          <t>Maker refused; each level approved by a different user; nothing left pending.</t>
        </is>
      </c>
      <c r="L258" s="19" t="inlineStr">
        <is>
          <t>68 approvals across levels.</t>
        </is>
      </c>
      <c r="M258" s="19" t="inlineStr">
        <is>
          <t>Pass</t>
        </is>
      </c>
      <c r="N258" s="19" t="inlineStr"/>
      <c r="O258" s="19" t="inlineStr">
        <is>
          <t>iorta TechNXT QA</t>
        </is>
      </c>
      <c r="P258" s="19" t="inlineStr">
        <is>
          <t>04 October 2026</t>
        </is>
      </c>
      <c r="Q258" s="19" t="inlineStr"/>
      <c r="R258" s="19" t="inlineStr">
        <is>
          <t>backend/test/remittance.test.js :: creates a remittance, validates and processes it, and enforces maker-checker [passed]
backend/test/role-access.test.js :: GET /remittance/approvals/approvers lists the other users who may approve remittances [passed]
UAT cycle 03-04 October 2026, phase Money: remittances, commission, petty cash (27 passed, 0 failed)
Screen check /finance/remittance/approval: opened clean</t>
        </is>
      </c>
    </row>
    <row r="259">
      <c r="A259" s="19" t="inlineStr">
        <is>
          <t>BV-REM-003</t>
        </is>
      </c>
      <c r="B259" s="19" t="inlineStr">
        <is>
          <t>Remittance to insurers</t>
        </is>
      </c>
      <c r="C259" s="19" t="inlineStr">
        <is>
          <t>Settlement</t>
        </is>
      </c>
      <c r="D259" s="19" t="inlineStr">
        <is>
          <t>Accounting Officer (liza.quiambao)</t>
        </is>
      </c>
      <c r="E259" s="19" t="inlineStr">
        <is>
          <t>Settlement approved by a second user raises the voucher</t>
        </is>
      </c>
      <c r="F259" s="19" t="inlineStr">
        <is>
          <t>Accounting</t>
        </is>
      </c>
      <c r="G259" s="19" t="inlineStr">
        <is>
          <t>High</t>
        </is>
      </c>
      <c r="H259" s="19" t="inlineStr">
        <is>
          <t>Approved remittance.</t>
        </is>
      </c>
      <c r="I259" s="19" t="inlineStr">
        <is>
          <t>1. Open Settlement; select available lines; submit with cheque from BDO-OPS.
2. Second user approves.</t>
        </is>
      </c>
      <c r="J259" s="19" t="inlineStr">
        <is>
          <t>Settlement period 01 to 31 August 2026</t>
        </is>
      </c>
      <c r="K259" s="19" t="inlineStr">
        <is>
          <t>Payment voucher raised for collected premium only up to period end; cheque pays the payables.</t>
        </is>
      </c>
      <c r="L259" s="19" t="inlineStr">
        <is>
          <t>16 settled and paid by cheque; 6 approved with cheque not yet released.</t>
        </is>
      </c>
      <c r="M259" s="19" t="inlineStr">
        <is>
          <t>Pass</t>
        </is>
      </c>
      <c r="N259" s="19" t="inlineStr"/>
      <c r="O259" s="19" t="inlineStr">
        <is>
          <t>iorta TechNXT QA</t>
        </is>
      </c>
      <c r="P259" s="19" t="inlineStr">
        <is>
          <t>04 October 2026</t>
        </is>
      </c>
      <c r="Q259" s="19" t="inlineStr"/>
      <c r="R259" s="19" t="inlineStr">
        <is>
          <t>backend/test/remittance.test.js :: settles through a settlement approved by a second user [passed]
backend/test/remittance.test.js :: an approved settlement raises the insurer payment voucher for the collected premium [passed]
backend/test/uat-disconnects.test.js :: a settlement voucher pays only what was collected up to the end of the settlement period; its cheque pays the voucher's payables [passed]
UAT cycle 03-04 October 2026, phase Money: remittances, commission, petty cash (27 passed, 0 failed)
Screen check /finance/remittance/settlement/process: opened clean</t>
        </is>
      </c>
    </row>
    <row r="260">
      <c r="A260" s="19" t="inlineStr">
        <is>
          <t>BV-REM-004</t>
        </is>
      </c>
      <c r="B260" s="19" t="inlineStr">
        <is>
          <t>Remittance to insurers</t>
        </is>
      </c>
      <c r="C260" s="19" t="inlineStr">
        <is>
          <t>Settlement</t>
        </is>
      </c>
      <c r="D260" s="19" t="inlineStr">
        <is>
          <t>Accounting Officer (liza.quiambao)</t>
        </is>
      </c>
      <c r="E260" s="19" t="inlineStr">
        <is>
          <t>Settlement below minimum amount held</t>
        </is>
      </c>
      <c r="F260" s="19" t="inlineStr">
        <is>
          <t>Negative</t>
        </is>
      </c>
      <c r="G260" s="19" t="inlineStr">
        <is>
          <t>Medium</t>
        </is>
      </c>
      <c r="H260" s="19" t="inlineStr">
        <is>
          <t>Small collection.</t>
        </is>
      </c>
      <c r="I260" s="19" t="inlineStr">
        <is>
          <t>1. Create a settlement below the minimum.</t>
        </is>
      </c>
      <c r="J260" s="19" t="inlineStr">
        <is>
          <t>PHP 850.00</t>
        </is>
      </c>
      <c r="K260" s="19" t="inlineStr">
        <is>
          <t>Refused: below the minimum settlement amount; waits for the next settlement.</t>
        </is>
      </c>
      <c r="L260" s="19" t="inlineStr"/>
      <c r="M260" s="19" t="inlineStr">
        <is>
          <t>Not Run</t>
        </is>
      </c>
      <c r="N260" s="19" t="inlineStr"/>
      <c r="O260" s="19" t="inlineStr">
        <is>
          <t>iorta TechNXT QA</t>
        </is>
      </c>
      <c r="P260" s="19" t="inlineStr"/>
      <c r="Q260" s="19" t="inlineStr">
        <is>
          <t>No collection fell below the minimum in the cycle; run by hand with a small collection.</t>
        </is>
      </c>
      <c r="R260" s="19" t="inlineStr"/>
    </row>
    <row r="261">
      <c r="A261" s="19" t="inlineStr">
        <is>
          <t>BV-REM-005</t>
        </is>
      </c>
      <c r="B261" s="19" t="inlineStr">
        <is>
          <t>Remittance to insurers</t>
        </is>
      </c>
      <c r="C261" s="19" t="inlineStr">
        <is>
          <t>Direct-bill exclusion</t>
        </is>
      </c>
      <c r="D261" s="19" t="inlineStr">
        <is>
          <t>Accounting Officer (liza.quiambao)</t>
        </is>
      </c>
      <c r="E261" s="19" t="inlineStr">
        <is>
          <t>Direct-bill policies never remitted</t>
        </is>
      </c>
      <c r="F261" s="19" t="inlineStr">
        <is>
          <t>Negative</t>
        </is>
      </c>
      <c r="G261" s="19" t="inlineStr">
        <is>
          <t>High</t>
        </is>
      </c>
      <c r="H261" s="19" t="inlineStr">
        <is>
          <t>Direct-bill policy.</t>
        </is>
      </c>
      <c r="I261" s="19" t="inlineStr">
        <is>
          <t>1. Look for the policy in remittance candidates.</t>
        </is>
      </c>
      <c r="J261" s="19" t="inlineStr">
        <is>
          <t>Direct-bill motor policy</t>
        </is>
      </c>
      <c r="K261" s="19" t="inlineStr">
        <is>
          <t>Not offered; broker-billed policies not offered for commission debit notes.</t>
        </is>
      </c>
      <c r="L261" s="19" t="inlineStr">
        <is>
          <t>As expected.</t>
        </is>
      </c>
      <c r="M261" s="19" t="inlineStr">
        <is>
          <t>Pass</t>
        </is>
      </c>
      <c r="N261" s="19" t="inlineStr"/>
      <c r="O261" s="19" t="inlineStr">
        <is>
          <t>iorta TechNXT QA</t>
        </is>
      </c>
      <c r="P261" s="19" t="inlineStr">
        <is>
          <t>03 October 2026</t>
        </is>
      </c>
      <c r="Q261" s="19" t="inlineStr"/>
      <c r="R261" s="19" t="inlineStr">
        <is>
          <t>backend/test/remittance.test.js :: direct-bill policies are never remitted to the insurer (the client paid the insurer) [passed]
backend/test/remittance.test.js :: broker-billed policies are not offered for direct-bill commission debit notes [passed]
backend/test/direct-bill.test.js :: shows no premium to collect, refuses premium capture and is never remitted to the insurer [passed]</t>
        </is>
      </c>
    </row>
    <row r="262">
      <c r="A262" s="19" t="inlineStr">
        <is>
          <t>BV-REM-006</t>
        </is>
      </c>
      <c r="B262" s="19" t="inlineStr">
        <is>
          <t>Remittance to insurers</t>
        </is>
      </c>
      <c r="C262" s="19" t="inlineStr">
        <is>
          <t>Co-insurance</t>
        </is>
      </c>
      <c r="D262" s="19" t="inlineStr">
        <is>
          <t>Accounting Officer (liza.quiambao)</t>
        </is>
      </c>
      <c r="E262" s="19" t="inlineStr">
        <is>
          <t>Remit each co-insurer its share less its commission</t>
        </is>
      </c>
      <c r="F262" s="19" t="inlineStr">
        <is>
          <t>Accounting</t>
        </is>
      </c>
      <c r="G262" s="19" t="inlineStr">
        <is>
          <t>High</t>
        </is>
      </c>
      <c r="H262" s="19" t="inlineStr">
        <is>
          <t>Co-insured policy collected.</t>
        </is>
      </c>
      <c r="I262" s="19" t="inlineStr">
        <is>
          <t>1. Remit.</t>
        </is>
      </c>
      <c r="J262" s="19" t="inlineStr">
        <is>
          <t>Shares 60 / 40</t>
        </is>
      </c>
      <c r="K262" s="19" t="inlineStr">
        <is>
          <t>Each co-insurer gets its own share net of its commission.</t>
        </is>
      </c>
      <c r="L262" s="19" t="inlineStr">
        <is>
          <t>As expected.</t>
        </is>
      </c>
      <c r="M262" s="19" t="inlineStr">
        <is>
          <t>Pass</t>
        </is>
      </c>
      <c r="N262" s="19" t="inlineStr"/>
      <c r="O262" s="19" t="inlineStr">
        <is>
          <t>iorta TechNXT QA</t>
        </is>
      </c>
      <c r="P262" s="19" t="inlineStr">
        <is>
          <t>03 October 2026</t>
        </is>
      </c>
      <c r="Q262" s="19" t="inlineStr"/>
      <c r="R262" s="19" t="inlineStr">
        <is>
          <t>backend/test/posting-rules.test.js :: remits to each co-insurer its share of the premium less its own commission [passed]</t>
        </is>
      </c>
    </row>
    <row r="263">
      <c r="A263" s="19" t="inlineStr">
        <is>
          <t>BV-REM-007</t>
        </is>
      </c>
      <c r="B263" s="19" t="inlineStr">
        <is>
          <t>Remittance to insurers</t>
        </is>
      </c>
      <c r="C263" s="19" t="inlineStr">
        <is>
          <t>Adjustments</t>
        </is>
      </c>
      <c r="D263" s="19" t="inlineStr">
        <is>
          <t>Accounting Officer (liza.quiambao)</t>
        </is>
      </c>
      <c r="E263" s="19" t="inlineStr">
        <is>
          <t>Remittance adjustment follows type master and approval</t>
        </is>
      </c>
      <c r="F263" s="19" t="inlineStr">
        <is>
          <t>Functional</t>
        </is>
      </c>
      <c r="G263" s="19" t="inlineStr">
        <is>
          <t>Medium</t>
        </is>
      </c>
      <c r="H263" s="19" t="inlineStr">
        <is>
          <t>Remittance open.</t>
        </is>
      </c>
      <c r="I263" s="19" t="inlineStr">
        <is>
          <t>1. Open Adjustments and Add adjustment.
2. Approve as a second user.</t>
        </is>
      </c>
      <c r="J263" s="19" t="inlineStr">
        <is>
          <t>Short remittance PHP 120.00</t>
        </is>
      </c>
      <c r="K263" s="19" t="inlineStr">
        <is>
          <t>Adjustment saved per master and approved.</t>
        </is>
      </c>
      <c r="L263" s="19" t="inlineStr">
        <is>
          <t>As expected.</t>
        </is>
      </c>
      <c r="M263" s="19" t="inlineStr">
        <is>
          <t>Pass</t>
        </is>
      </c>
      <c r="N263" s="19" t="inlineStr"/>
      <c r="O263" s="19" t="inlineStr">
        <is>
          <t>iorta TechNXT QA</t>
        </is>
      </c>
      <c r="P263" s="19" t="inlineStr">
        <is>
          <t>03 October 2026</t>
        </is>
      </c>
      <c r="Q263" s="19" t="inlineStr"/>
      <c r="R263" s="19" t="inlineStr">
        <is>
          <t>backend/test/remittance.test.js :: adjustments follow the adjustment-type master and approval [passed]
Screen check /finance/remittance/adjustments: opened clean</t>
        </is>
      </c>
    </row>
    <row r="264">
      <c r="A264" s="19" t="inlineStr">
        <is>
          <t>BV-REM-008</t>
        </is>
      </c>
      <c r="B264" s="19" t="inlineStr">
        <is>
          <t>Remittance to insurers</t>
        </is>
      </c>
      <c r="C264" s="19" t="inlineStr">
        <is>
          <t>Electronic Transfer</t>
        </is>
      </c>
      <c r="D264" s="19" t="inlineStr">
        <is>
          <t>Accounting Officer (liza.quiambao)</t>
        </is>
      </c>
      <c r="E264" s="19" t="inlineStr">
        <is>
          <t>Electronic transfer limits and approval</t>
        </is>
      </c>
      <c r="F264" s="19" t="inlineStr">
        <is>
          <t>Negative</t>
        </is>
      </c>
      <c r="G264" s="19" t="inlineStr">
        <is>
          <t>Medium</t>
        </is>
      </c>
      <c r="H264" s="19" t="inlineStr">
        <is>
          <t>Transfer method limits.</t>
        </is>
      </c>
      <c r="I264" s="19" t="inlineStr">
        <is>
          <t>1. Create transfer above the method limit.
2. Execute before approval.</t>
        </is>
      </c>
      <c r="J264" s="19" t="inlineStr">
        <is>
          <t>InstaPay PHP 60,000.00</t>
        </is>
      </c>
      <c r="K264" s="19" t="inlineStr">
        <is>
          <t>Above limit refused; execution blocked until approved.</t>
        </is>
      </c>
      <c r="L264" s="19" t="inlineStr">
        <is>
          <t>As expected.</t>
        </is>
      </c>
      <c r="M264" s="19" t="inlineStr">
        <is>
          <t>Pass</t>
        </is>
      </c>
      <c r="N264" s="19" t="inlineStr"/>
      <c r="O264" s="19" t="inlineStr">
        <is>
          <t>iorta TechNXT QA</t>
        </is>
      </c>
      <c r="P264" s="19" t="inlineStr">
        <is>
          <t>03 October 2026</t>
        </is>
      </c>
      <c r="Q264" s="19" t="inlineStr"/>
      <c r="R264" s="19" t="inlineStr">
        <is>
          <t>backend/test/remittance.test.js :: electronic transfers check method limits and need approval before execution [passed]
Screen check /finance/remittance/electronictransfer: opened clean</t>
        </is>
      </c>
    </row>
    <row r="265">
      <c r="A265" s="19" t="inlineStr">
        <is>
          <t>BV-REM-009</t>
        </is>
      </c>
      <c r="B265" s="19" t="inlineStr">
        <is>
          <t>Remittance to insurers</t>
        </is>
      </c>
      <c r="C265" s="19" t="inlineStr">
        <is>
          <t>Agency Bill</t>
        </is>
      </c>
      <c r="D265" s="19" t="inlineStr">
        <is>
          <t>Accounting Officer (liza.quiambao)</t>
        </is>
      </c>
      <c r="E265" s="19" t="inlineStr">
        <is>
          <t>Agency bills per agent with previous balance</t>
        </is>
      </c>
      <c r="F265" s="19" t="inlineStr">
        <is>
          <t>Functional</t>
        </is>
      </c>
      <c r="G265" s="19" t="inlineStr">
        <is>
          <t>Low</t>
        </is>
      </c>
      <c r="H265" s="19" t="inlineStr">
        <is>
          <t>Agents with collections.</t>
        </is>
      </c>
      <c r="I265" s="19" t="inlineStr">
        <is>
          <t>1. Open Agency Bill Processing and Generate bills.</t>
        </is>
      </c>
      <c r="J265" s="19" t="inlineStr">
        <is>
          <t>September 2026</t>
        </is>
      </c>
      <c r="K265" s="19" t="inlineStr">
        <is>
          <t>Bill per agent with previous balance.</t>
        </is>
      </c>
      <c r="L265" s="19" t="inlineStr">
        <is>
          <t>As expected.</t>
        </is>
      </c>
      <c r="M265" s="19" t="inlineStr">
        <is>
          <t>Pass</t>
        </is>
      </c>
      <c r="N265" s="19" t="inlineStr"/>
      <c r="O265" s="19" t="inlineStr">
        <is>
          <t>iorta TechNXT QA</t>
        </is>
      </c>
      <c r="P265" s="19" t="inlineStr">
        <is>
          <t>03 October 2026</t>
        </is>
      </c>
      <c r="Q265" s="19" t="inlineStr"/>
      <c r="R265" s="19" t="inlineStr">
        <is>
          <t>backend/test/remittance.test.js :: agency bills per agent with previous balance [passed]
Screen check /finance/remittance/agencybill: opened clean</t>
        </is>
      </c>
    </row>
    <row r="266">
      <c r="A266" s="19" t="inlineStr">
        <is>
          <t>BV-REM-010</t>
        </is>
      </c>
      <c r="B266" s="19" t="inlineStr">
        <is>
          <t>Remittance to insurers</t>
        </is>
      </c>
      <c r="C266" s="19" t="inlineStr">
        <is>
          <t>Bulk Processing</t>
        </is>
      </c>
      <c r="D266" s="19" t="inlineStr">
        <is>
          <t>Accounting Officer (liza.quiambao)</t>
        </is>
      </c>
      <c r="E266" s="19" t="inlineStr">
        <is>
          <t>Bulk upload validates rows</t>
        </is>
      </c>
      <c r="F266" s="19" t="inlineStr">
        <is>
          <t>Validation</t>
        </is>
      </c>
      <c r="G266" s="19" t="inlineStr">
        <is>
          <t>Medium</t>
        </is>
      </c>
      <c r="H266" s="19" t="inlineStr">
        <is>
          <t>Template.</t>
        </is>
      </c>
      <c r="I266" s="19" t="inlineStr">
        <is>
          <t>1. Upload a file with one valid and one invalid row.</t>
        </is>
      </c>
      <c r="J266" s="19" t="inlineStr">
        <is>
          <t>2 rows</t>
        </is>
      </c>
      <c r="K266" s="19" t="inlineStr">
        <is>
          <t>Valid processed; invalid reported.</t>
        </is>
      </c>
      <c r="L266" s="19" t="inlineStr">
        <is>
          <t>As expected.</t>
        </is>
      </c>
      <c r="M266" s="19" t="inlineStr">
        <is>
          <t>Pass</t>
        </is>
      </c>
      <c r="N266" s="19" t="inlineStr"/>
      <c r="O266" s="19" t="inlineStr">
        <is>
          <t>iorta TechNXT QA</t>
        </is>
      </c>
      <c r="P266" s="19" t="inlineStr">
        <is>
          <t>03 October 2026</t>
        </is>
      </c>
      <c r="Q266" s="19" t="inlineStr"/>
      <c r="R266" s="19" t="inlineStr">
        <is>
          <t>backend/test/remittance.test.js :: bulk upload validates rows against the configuration and processes valid ones [passed]
Screen check /finance/remittance/bulkprocessing: opened clean</t>
        </is>
      </c>
    </row>
    <row r="267">
      <c r="A267" s="19" t="inlineStr">
        <is>
          <t>BV-REM-011</t>
        </is>
      </c>
      <c r="B267" s="19" t="inlineStr">
        <is>
          <t>Remittance to insurers</t>
        </is>
      </c>
      <c r="C267" s="19" t="inlineStr">
        <is>
          <t>Statements and history</t>
        </is>
      </c>
      <c r="D267" s="19" t="inlineStr">
        <is>
          <t>Accounting Officer (liza.quiambao)</t>
        </is>
      </c>
      <c r="E267" s="19" t="inlineStr">
        <is>
          <t>Statements, reports, exceptions, history, analytics</t>
        </is>
      </c>
      <c r="F267" s="19" t="inlineStr">
        <is>
          <t>Report</t>
        </is>
      </c>
      <c r="G267" s="19" t="inlineStr">
        <is>
          <t>Medium</t>
        </is>
      </c>
      <c r="H267" s="19" t="inlineStr">
        <is>
          <t>Remittances exist.</t>
        </is>
      </c>
      <c r="I267" s="19" t="inlineStr">
        <is>
          <t>1. Open Statements, Exception Management, History, Analytics.</t>
        </is>
      </c>
      <c r="J267" s="19" t="inlineStr">
        <is>
          <t>May to October 2026</t>
        </is>
      </c>
      <c r="K267" s="19" t="inlineStr">
        <is>
          <t>Each screen shows the cycle remittances; analytics KPIs present.</t>
        </is>
      </c>
      <c r="L267" s="19" t="inlineStr">
        <is>
          <t>As expected.</t>
        </is>
      </c>
      <c r="M267" s="19" t="inlineStr">
        <is>
          <t>Pass</t>
        </is>
      </c>
      <c r="N267" s="19" t="inlineStr"/>
      <c r="O267" s="19" t="inlineStr">
        <is>
          <t>iorta TechNXT QA</t>
        </is>
      </c>
      <c r="P267" s="19" t="inlineStr">
        <is>
          <t>04 October 2026</t>
        </is>
      </c>
      <c r="Q267" s="19" t="inlineStr"/>
      <c r="R267" s="19" t="inlineStr">
        <is>
          <t>backend/test/remittance.test.js :: statements, reports and exceptions [passed]
backend/test/remittance.test.js :: analytics, history, audit, logs and master overview [passed]
UAT cycle 03-04 October 2026, phase Reports and dashboards (58 passed, 0 failed)
Screen check /finance/remittance/statements/generate: opened clean
Screen check /finance/remittance/exceptions: opened clean
Screen check /finance/remittance/history: opened clean
Screen check /finance/remittance/analytics: opened clean</t>
        </is>
      </c>
    </row>
    <row r="268">
      <c r="A268" s="19" t="inlineStr">
        <is>
          <t>BV-REM-012</t>
        </is>
      </c>
      <c r="B268" s="19" t="inlineStr">
        <is>
          <t>Remittance to insurers</t>
        </is>
      </c>
      <c r="C268" s="19" t="inlineStr">
        <is>
          <t>Scheduling</t>
        </is>
      </c>
      <c r="D268" s="19" t="inlineStr">
        <is>
          <t>Accounting Officer (liza.quiambao)</t>
        </is>
      </c>
      <c r="E268" s="19" t="inlineStr">
        <is>
          <t>Notifications, schedules and delegations</t>
        </is>
      </c>
      <c r="F268" s="19" t="inlineStr">
        <is>
          <t>Functional</t>
        </is>
      </c>
      <c r="G268" s="19" t="inlineStr">
        <is>
          <t>Low</t>
        </is>
      </c>
      <c r="H268" s="19" t="inlineStr">
        <is>
          <t>Remittance module.</t>
        </is>
      </c>
      <c r="I268" s="19" t="inlineStr">
        <is>
          <t>1. Open Scheduling and click New schedule.
2. Open Notifications.</t>
        </is>
      </c>
      <c r="J268" s="19" t="inlineStr">
        <is>
          <t>Monthly on day 10</t>
        </is>
      </c>
      <c r="K268" s="19" t="inlineStr">
        <is>
          <t>Saved; notifications listed.</t>
        </is>
      </c>
      <c r="L268" s="19" t="inlineStr">
        <is>
          <t>As expected.</t>
        </is>
      </c>
      <c r="M268" s="19" t="inlineStr">
        <is>
          <t>Pass</t>
        </is>
      </c>
      <c r="N268" s="19" t="inlineStr"/>
      <c r="O268" s="19" t="inlineStr">
        <is>
          <t>iorta TechNXT QA</t>
        </is>
      </c>
      <c r="P268" s="19" t="inlineStr">
        <is>
          <t>03 October 2026</t>
        </is>
      </c>
      <c r="Q268" s="19" t="inlineStr"/>
      <c r="R268" s="19" t="inlineStr">
        <is>
          <t>backend/test/remittance.test.js :: notifications, schedules and delegations [passed]
Screen check /finance/remittance/scheduling: opened clean
Screen check /finance/remittance/notifications: opened clean</t>
        </is>
      </c>
    </row>
    <row r="269">
      <c r="A269" s="19" t="inlineStr">
        <is>
          <t>BV-REM-013</t>
        </is>
      </c>
      <c r="B269" s="19" t="inlineStr">
        <is>
          <t>Remittance to insurers</t>
        </is>
      </c>
      <c r="C269" s="19" t="inlineStr">
        <is>
          <t>Reconciliation</t>
        </is>
      </c>
      <c r="D269" s="19" t="inlineStr">
        <is>
          <t>Accounting Officer (liza.quiambao)</t>
        </is>
      </c>
      <c r="E269" s="19" t="inlineStr">
        <is>
          <t>Remittance reconciliation with partial match and exception</t>
        </is>
      </c>
      <c r="F269" s="19" t="inlineStr">
        <is>
          <t>Functional</t>
        </is>
      </c>
      <c r="G269" s="19" t="inlineStr">
        <is>
          <t>Medium</t>
        </is>
      </c>
      <c r="H269" s="19" t="inlineStr">
        <is>
          <t>Bank lines exist.</t>
        </is>
      </c>
      <c r="I269" s="19" t="inlineStr">
        <is>
          <t>1. Open Remittance &gt; Reconciliation.
2. Auto match; manual partial match with exception; unmatch.</t>
        </is>
      </c>
      <c r="J269" s="19" t="inlineStr">
        <is>
          <t>Remittance cheque lines</t>
        </is>
      </c>
      <c r="K269" s="19" t="inlineStr">
        <is>
          <t>Matches recorded; exception noted.</t>
        </is>
      </c>
      <c r="L269" s="19" t="inlineStr">
        <is>
          <t>As expected.</t>
        </is>
      </c>
      <c r="M269" s="19" t="inlineStr">
        <is>
          <t>Pass</t>
        </is>
      </c>
      <c r="N269" s="19" t="inlineStr"/>
      <c r="O269" s="19" t="inlineStr">
        <is>
          <t>iorta TechNXT QA</t>
        </is>
      </c>
      <c r="P269" s="19" t="inlineStr">
        <is>
          <t>03 October 2026</t>
        </is>
      </c>
      <c r="Q269" s="19" t="inlineStr"/>
      <c r="R269" s="19" t="inlineStr">
        <is>
          <t>backend/test/remittance.test.js :: bank reconciliation: auto-match, manual partial match with exception, unmatch [passed]
backend/test/bank-reconciliation.test.js :: the remittance reconciliation reads the bank statement line table and keeps its API [passed]
Screen check /finance/remittance/reconciliation: opened clean</t>
        </is>
      </c>
    </row>
    <row r="270">
      <c r="A270" s="19" t="inlineStr">
        <is>
          <t>BV-REM-014</t>
        </is>
      </c>
      <c r="B270" s="19" t="inlineStr">
        <is>
          <t>Remittance to insurers</t>
        </is>
      </c>
      <c r="C270" s="19" t="inlineStr">
        <is>
          <t>Permissions</t>
        </is>
      </c>
      <c r="D270" s="19" t="inlineStr">
        <is>
          <t>Claims Officer (carlo.estrada)</t>
        </is>
      </c>
      <c r="E270" s="19" t="inlineStr">
        <is>
          <t>Users without remittance permission refused</t>
        </is>
      </c>
      <c r="F270" s="19" t="inlineStr">
        <is>
          <t>Role access</t>
        </is>
      </c>
      <c r="G270" s="19" t="inlineStr">
        <is>
          <t>Medium</t>
        </is>
      </c>
      <c r="H270" s="19" t="inlineStr">
        <is>
          <t>Signed in as carlo.estrada.</t>
        </is>
      </c>
      <c r="I270" s="19" t="inlineStr">
        <is>
          <t>1. Open a remittance screen by address.</t>
        </is>
      </c>
      <c r="J270" s="19" t="inlineStr">
        <is>
          <t>None</t>
        </is>
      </c>
      <c r="K270" s="19" t="inlineStr">
        <is>
          <t>Refused.</t>
        </is>
      </c>
      <c r="L270" s="19" t="inlineStr">
        <is>
          <t>As expected.</t>
        </is>
      </c>
      <c r="M270" s="19" t="inlineStr">
        <is>
          <t>Pass</t>
        </is>
      </c>
      <c r="N270" s="19" t="inlineStr"/>
      <c r="O270" s="19" t="inlineStr">
        <is>
          <t>iorta TechNXT QA</t>
        </is>
      </c>
      <c r="P270" s="19" t="inlineStr">
        <is>
          <t>03 October 2026</t>
        </is>
      </c>
      <c r="Q270" s="19" t="inlineStr"/>
      <c r="R270" s="19" t="inlineStr">
        <is>
          <t>backend/test/remittance.test.js :: denies users without remittance permission [passed]</t>
        </is>
      </c>
    </row>
    <row r="271">
      <c r="A271" s="19" t="inlineStr">
        <is>
          <t>BV-REM-015</t>
        </is>
      </c>
      <c r="B271" s="19" t="inlineStr">
        <is>
          <t>Remittance to insurers</t>
        </is>
      </c>
      <c r="C271" s="19" t="inlineStr">
        <is>
          <t>Due date</t>
        </is>
      </c>
      <c r="D271" s="19" t="inlineStr">
        <is>
          <t>Accounting Officer (liza.quiambao)</t>
        </is>
      </c>
      <c r="E271" s="19" t="inlineStr">
        <is>
          <t>New remittance dated on insurer terms</t>
        </is>
      </c>
      <c r="F271" s="19" t="inlineStr">
        <is>
          <t>Validation</t>
        </is>
      </c>
      <c r="G271" s="19" t="inlineStr">
        <is>
          <t>Low</t>
        </is>
      </c>
      <c r="H271" s="19" t="inlineStr">
        <is>
          <t>Insurer without terms.</t>
        </is>
      </c>
      <c r="I271" s="19" t="inlineStr">
        <is>
          <t>1. Create a remittance.</t>
        </is>
      </c>
      <c r="J271" s="19" t="inlineStr">
        <is>
          <t>remittance.default_due_days</t>
        </is>
      </c>
      <c r="K271" s="19" t="inlineStr">
        <is>
          <t>Due date from insurer terms else the default.</t>
        </is>
      </c>
      <c r="L271" s="19" t="inlineStr">
        <is>
          <t>As expected.</t>
        </is>
      </c>
      <c r="M271" s="19" t="inlineStr">
        <is>
          <t>Pass</t>
        </is>
      </c>
      <c r="N271" s="19" t="inlineStr"/>
      <c r="O271" s="19" t="inlineStr">
        <is>
          <t>iorta TechNXT QA</t>
        </is>
      </c>
      <c r="P271" s="19" t="inlineStr">
        <is>
          <t>03 October 2026</t>
        </is>
      </c>
      <c r="Q271" s="19" t="inlineStr"/>
      <c r="R271" s="19" t="inlineStr">
        <is>
          <t>backend/test/credit-control.test.js :: dates a new remittance on the insurer remittance terms, else remittance.default_due_days [passed]</t>
        </is>
      </c>
    </row>
    <row r="272">
      <c r="A272" s="19" t="inlineStr">
        <is>
          <t>BV-DBL-001</t>
        </is>
      </c>
      <c r="B272" s="19" t="inlineStr">
        <is>
          <t>Direct bill</t>
        </is>
      </c>
      <c r="C272" s="19" t="inlineStr">
        <is>
          <t>Direct bill booking</t>
        </is>
      </c>
      <c r="D272" s="19" t="inlineStr">
        <is>
          <t>Accounting Officer (liza.quiambao)</t>
        </is>
      </c>
      <c r="E272" s="19" t="inlineStr">
        <is>
          <t>Direct-bill policy books commission receivable only</t>
        </is>
      </c>
      <c r="F272" s="19" t="inlineStr">
        <is>
          <t>Accounting</t>
        </is>
      </c>
      <c r="G272" s="19" t="inlineStr">
        <is>
          <t>High</t>
        </is>
      </c>
      <c r="H272" s="19" t="inlineStr">
        <is>
          <t>Direct-bill policy issued.</t>
        </is>
      </c>
      <c r="I272" s="19" t="inlineStr">
        <is>
          <t>1. Open the policy journal.</t>
        </is>
      </c>
      <c r="J272" s="19" t="inlineStr">
        <is>
          <t>Pacific Crest motor, commission 20%</t>
        </is>
      </c>
      <c r="K272" s="19" t="inlineStr">
        <is>
          <t>Dr Commission receivable / Cr Commission income and output VAT; no premium receivable or payable; dated on issue.</t>
        </is>
      </c>
      <c r="L272" s="19" t="inlineStr">
        <is>
          <t>As expected.</t>
        </is>
      </c>
      <c r="M272" s="19" t="inlineStr">
        <is>
          <t>Pass</t>
        </is>
      </c>
      <c r="N272" s="19" t="inlineStr"/>
      <c r="O272" s="19" t="inlineStr">
        <is>
          <t>iorta TechNXT QA</t>
        </is>
      </c>
      <c r="P272" s="19" t="inlineStr">
        <is>
          <t>04 October 2026</t>
        </is>
      </c>
      <c r="Q272" s="19" t="inlineStr"/>
      <c r="R272" s="19" t="inlineStr">
        <is>
          <t>backend/test/direct-bill.test.js :: books commission receivable / commission income / output VAT and no premium receivable or payable [passed]
backend/test/uat-disconnects.test.js :: books the commission of a direct-bill policy on its issue date [passed]
UAT cycle 03-04 October 2026, phase Billing and collection (61 passed, 0 failed)</t>
        </is>
      </c>
    </row>
    <row r="273">
      <c r="A273" s="19" t="inlineStr">
        <is>
          <t>BV-DBL-002</t>
        </is>
      </c>
      <c r="B273" s="19" t="inlineStr">
        <is>
          <t>Direct bill</t>
        </is>
      </c>
      <c r="C273" s="19" t="inlineStr">
        <is>
          <t>Client payment</t>
        </is>
      </c>
      <c r="D273" s="19" t="inlineStr">
        <is>
          <t>Accounting Officer (liza.quiambao)</t>
        </is>
      </c>
      <c r="E273" s="19" t="inlineStr">
        <is>
          <t>Record the client payment to the insurer</t>
        </is>
      </c>
      <c r="F273" s="19" t="inlineStr">
        <is>
          <t>Functional</t>
        </is>
      </c>
      <c r="G273" s="19" t="inlineStr">
        <is>
          <t>High</t>
        </is>
      </c>
      <c r="H273" s="19" t="inlineStr">
        <is>
          <t>Direct-bill policy.</t>
        </is>
      </c>
      <c r="I273" s="19" t="inlineStr">
        <is>
          <t>1. Open Accounts &gt; Remittance &gt; Direct Bill Processing.
2. Record client payment with insurer OR and proof.</t>
        </is>
      </c>
      <c r="J273" s="19" t="inlineStr">
        <is>
          <t>PCIC-OR-xxxxxxx; bank transfer; insurer-official-receipt.pdf</t>
        </is>
      </c>
      <c r="K273" s="19" t="inlineStr">
        <is>
          <t>Payment recorded without posting; payment status shown.</t>
        </is>
      </c>
      <c r="L273" s="19" t="inlineStr">
        <is>
          <t>6 client payments recorded.</t>
        </is>
      </c>
      <c r="M273" s="19" t="inlineStr">
        <is>
          <t>Pass</t>
        </is>
      </c>
      <c r="N273" s="19" t="inlineStr"/>
      <c r="O273" s="19" t="inlineStr">
        <is>
          <t>iorta TechNXT QA</t>
        </is>
      </c>
      <c r="P273" s="19" t="inlineStr">
        <is>
          <t>04 October 2026</t>
        </is>
      </c>
      <c r="Q273" s="19" t="inlineStr"/>
      <c r="R273" s="19" t="inlineStr">
        <is>
          <t>backend/test/direct-bill-client-payments.test.js :: records a payment with the insurer reference and proof, without posting anything, and shows the payment status [passed]
backend/test/direct-bill-client-payments.test.js :: validates the entry [passed]
UAT cycle 03-04 October 2026, phase Billing and collection (61 passed, 0 failed)
Screen check /finance/remittance/directbill: opened clean</t>
        </is>
      </c>
    </row>
    <row r="274">
      <c r="A274" s="19" t="inlineStr">
        <is>
          <t>BV-DBL-003</t>
        </is>
      </c>
      <c r="B274" s="19" t="inlineStr">
        <is>
          <t>Direct bill</t>
        </is>
      </c>
      <c r="C274" s="19" t="inlineStr">
        <is>
          <t>Client payment</t>
        </is>
      </c>
      <c r="D274" s="19" t="inlineStr">
        <is>
          <t>Accounting Officer (liza.quiambao)</t>
        </is>
      </c>
      <c r="E274" s="19" t="inlineStr">
        <is>
          <t>Debit note waits for full client payment when set to full</t>
        </is>
      </c>
      <c r="F274" s="19" t="inlineStr">
        <is>
          <t>Validation</t>
        </is>
      </c>
      <c r="G274" s="19" t="inlineStr">
        <is>
          <t>Medium</t>
        </is>
      </c>
      <c r="H274" s="19" t="inlineStr">
        <is>
          <t>client_payment_required = full.</t>
        </is>
      </c>
      <c r="I274" s="19" t="inlineStr">
        <is>
          <t>1. Raise a debit note for a partly paid policy.
2. Void a recorded payment under "any".</t>
        </is>
      </c>
      <c r="J274" s="19" t="inlineStr">
        <is>
          <t>Partial client payment</t>
        </is>
      </c>
      <c r="K274" s="19" t="inlineStr">
        <is>
          <t>Note waits until paid in full; voided payment no longer counts.</t>
        </is>
      </c>
      <c r="L274" s="19" t="inlineStr">
        <is>
          <t>As expected.</t>
        </is>
      </c>
      <c r="M274" s="19" t="inlineStr">
        <is>
          <t>Pass</t>
        </is>
      </c>
      <c r="N274" s="19" t="inlineStr"/>
      <c r="O274" s="19" t="inlineStr">
        <is>
          <t>iorta TechNXT QA</t>
        </is>
      </c>
      <c r="P274" s="19" t="inlineStr">
        <is>
          <t>03 October 2026</t>
        </is>
      </c>
      <c r="Q274" s="19" t="inlineStr"/>
      <c r="R274" s="19" t="inlineStr">
        <is>
          <t>backend/test/direct-bill-client-payments.test.js :: with client_payment_required = full a debit note waits until its policies are paid in full [passed]
backend/test/direct-bill-client-payments.test.js :: with any, one recorded payment is enough; a voided payment no longer counts [passed]</t>
        </is>
      </c>
    </row>
    <row r="275">
      <c r="A275" s="19" t="inlineStr">
        <is>
          <t>BV-DBL-004</t>
        </is>
      </c>
      <c r="B275" s="19" t="inlineStr">
        <is>
          <t>Direct bill</t>
        </is>
      </c>
      <c r="C275" s="19" t="inlineStr">
        <is>
          <t>Debit note</t>
        </is>
      </c>
      <c r="D275" s="19" t="inlineStr">
        <is>
          <t>Accounting Officer (nestor.pangilinan)</t>
        </is>
      </c>
      <c r="E275" s="19" t="inlineStr">
        <is>
          <t>Commission debit note with maker-checker</t>
        </is>
      </c>
      <c r="F275" s="19" t="inlineStr">
        <is>
          <t>Negative</t>
        </is>
      </c>
      <c r="G275" s="19" t="inlineStr">
        <is>
          <t>High</t>
        </is>
      </c>
      <c r="H275" s="19" t="inlineStr">
        <is>
          <t>Unbilled direct-bill commission.</t>
        </is>
      </c>
      <c r="I275" s="19" t="inlineStr">
        <is>
          <t>1. List unbilled items for the insurer.
2. Raise and submit the debit note.
3. As maker approve; as nestor.pangilinan approve; then reject another.</t>
        </is>
      </c>
      <c r="J275" s="19" t="inlineStr">
        <is>
          <t>Insurer PCIC</t>
        </is>
      </c>
      <c r="K275" s="19" t="inlineStr">
        <is>
          <t>Items listed with product, commission, VAT, total due and EWT; maker refused; approve without a second posting; rejected note releases items.</t>
        </is>
      </c>
      <c r="L275" s="19" t="inlineStr">
        <is>
          <t>4 debit notes approved.</t>
        </is>
      </c>
      <c r="M275" s="19" t="inlineStr">
        <is>
          <t>Pass</t>
        </is>
      </c>
      <c r="N275" s="19" t="inlineStr"/>
      <c r="O275" s="19" t="inlineStr">
        <is>
          <t>iorta TechNXT QA</t>
        </is>
      </c>
      <c r="P275" s="19" t="inlineStr">
        <is>
          <t>04 October 2026</t>
        </is>
      </c>
      <c r="Q275" s="19" t="inlineStr"/>
      <c r="R275" s="19" t="inlineStr">
        <is>
          <t>backend/test/direct-bill.test.js :: lists unbilled commission insurer-wise with product, commission, VAT, total due and EWT [passed]
backend/test/direct-bill.test.js :: raise, maker-checker, reject (items released) and approve without a second posting [passed]
UAT cycle 03-04 October 2026, phase Billing and collection (61 passed, 0 failed)</t>
        </is>
      </c>
    </row>
    <row r="276">
      <c r="A276" s="19" t="inlineStr">
        <is>
          <t>BV-DBL-005</t>
        </is>
      </c>
      <c r="B276" s="19" t="inlineStr">
        <is>
          <t>Direct bill</t>
        </is>
      </c>
      <c r="C276" s="19" t="inlineStr">
        <is>
          <t>Debit note</t>
        </is>
      </c>
      <c r="D276" s="19" t="inlineStr">
        <is>
          <t>Accounting Officer (liza.quiambao)</t>
        </is>
      </c>
      <c r="E276" s="19" t="inlineStr">
        <is>
          <t>Print and send the debit note</t>
        </is>
      </c>
      <c r="F276" s="19" t="inlineStr">
        <is>
          <t>Functional</t>
        </is>
      </c>
      <c r="G276" s="19" t="inlineStr">
        <is>
          <t>Medium</t>
        </is>
      </c>
      <c r="H276" s="19" t="inlineStr">
        <is>
          <t>Approved note.</t>
        </is>
      </c>
      <c r="I276" s="19" t="inlineStr">
        <is>
          <t>1. Print and send.</t>
        </is>
      </c>
      <c r="J276" s="19" t="inlineStr">
        <is>
          <t>Debit note PCIC</t>
        </is>
      </c>
      <c r="K276" s="19" t="inlineStr">
        <is>
          <t>PDF prints; e-mail queued.</t>
        </is>
      </c>
      <c r="L276" s="19" t="inlineStr">
        <is>
          <t>As expected.</t>
        </is>
      </c>
      <c r="M276" s="19" t="inlineStr">
        <is>
          <t>Pass</t>
        </is>
      </c>
      <c r="N276" s="19" t="inlineStr"/>
      <c r="O276" s="19" t="inlineStr">
        <is>
          <t>iorta TechNXT QA</t>
        </is>
      </c>
      <c r="P276" s="19" t="inlineStr">
        <is>
          <t>03 October 2026</t>
        </is>
      </c>
      <c r="Q276" s="19" t="inlineStr"/>
      <c r="R276" s="19" t="inlineStr">
        <is>
          <t>backend/test/direct-bill.test.js :: prints and sends the debit note [passed]</t>
        </is>
      </c>
    </row>
    <row r="277">
      <c r="A277" s="19" t="inlineStr">
        <is>
          <t>BV-DBL-006</t>
        </is>
      </c>
      <c r="B277" s="19" t="inlineStr">
        <is>
          <t>Direct bill</t>
        </is>
      </c>
      <c r="C277" s="19" t="inlineStr">
        <is>
          <t>Collection</t>
        </is>
      </c>
      <c r="D277" s="19" t="inlineStr">
        <is>
          <t>Accounting Officer (liza.quiambao)</t>
        </is>
      </c>
      <c r="E277" s="19" t="inlineStr">
        <is>
          <t>Collect partial and full commission with CWT</t>
        </is>
      </c>
      <c r="F277" s="19" t="inlineStr">
        <is>
          <t>Accounting</t>
        </is>
      </c>
      <c r="G277" s="19" t="inlineStr">
        <is>
          <t>High</t>
        </is>
      </c>
      <c r="H277" s="19" t="inlineStr">
        <is>
          <t>Approved note.</t>
        </is>
      </c>
      <c r="I277" s="19" t="inlineStr">
        <is>
          <t>1. Record a partial then the rest, with Form 2307 number.</t>
        </is>
      </c>
      <c r="J277" s="19" t="inlineStr">
        <is>
          <t>Cash = net payable; EWT = expected EWT; 2307-xxxxxx</t>
        </is>
      </c>
      <c r="K277" s="19" t="inlineStr">
        <is>
          <t>Note collected; CWT recorded.</t>
        </is>
      </c>
      <c r="L277" s="19" t="inlineStr">
        <is>
          <t>2 debit notes collected.</t>
        </is>
      </c>
      <c r="M277" s="19" t="inlineStr">
        <is>
          <t>Pass</t>
        </is>
      </c>
      <c r="N277" s="19" t="inlineStr"/>
      <c r="O277" s="19" t="inlineStr">
        <is>
          <t>iorta TechNXT QA</t>
        </is>
      </c>
      <c r="P277" s="19" t="inlineStr">
        <is>
          <t>04 October 2026</t>
        </is>
      </c>
      <c r="Q277" s="19" t="inlineStr"/>
      <c r="R277" s="19" t="inlineStr">
        <is>
          <t>backend/test/direct-bill.test.js :: partial and full collection from the insurer with creditable withholding tax [passed]
UAT cycle 03-04 October 2026, phase Billing and collection (61 passed, 0 failed)</t>
        </is>
      </c>
    </row>
    <row r="278">
      <c r="A278" s="19" t="inlineStr">
        <is>
          <t>BV-DBL-007</t>
        </is>
      </c>
      <c r="B278" s="19" t="inlineStr">
        <is>
          <t>Direct bill</t>
        </is>
      </c>
      <c r="C278" s="19" t="inlineStr">
        <is>
          <t>Collection</t>
        </is>
      </c>
      <c r="D278" s="19" t="inlineStr">
        <is>
          <t>Accounting Officer (liza.quiambao)</t>
        </is>
      </c>
      <c r="E278" s="19" t="inlineStr">
        <is>
          <t>Reverse a collection entered in error</t>
        </is>
      </c>
      <c r="F278" s="19" t="inlineStr">
        <is>
          <t>Accounting</t>
        </is>
      </c>
      <c r="G278" s="19" t="inlineStr">
        <is>
          <t>Medium</t>
        </is>
      </c>
      <c r="H278" s="19" t="inlineStr">
        <is>
          <t>Collected note.</t>
        </is>
      </c>
      <c r="I278" s="19" t="inlineStr">
        <is>
          <t>1. Reverse the collection.</t>
        </is>
      </c>
      <c r="J278" s="19" t="inlineStr">
        <is>
          <t>Wrong amount</t>
        </is>
      </c>
      <c r="K278" s="19" t="inlineStr">
        <is>
          <t>Collection reversed; note reopens.</t>
        </is>
      </c>
      <c r="L278" s="19" t="inlineStr">
        <is>
          <t>As expected.</t>
        </is>
      </c>
      <c r="M278" s="19" t="inlineStr">
        <is>
          <t>Pass</t>
        </is>
      </c>
      <c r="N278" s="19" t="inlineStr"/>
      <c r="O278" s="19" t="inlineStr">
        <is>
          <t>iorta TechNXT QA</t>
        </is>
      </c>
      <c r="P278" s="19" t="inlineStr">
        <is>
          <t>03 October 2026</t>
        </is>
      </c>
      <c r="Q278" s="19" t="inlineStr"/>
      <c r="R278" s="19" t="inlineStr">
        <is>
          <t>backend/test/direct-bill.test.js :: a collection entered in error is reversed and the note reopens [passed]</t>
        </is>
      </c>
    </row>
    <row r="279">
      <c r="A279" s="19" t="inlineStr">
        <is>
          <t>BV-DBL-008</t>
        </is>
      </c>
      <c r="B279" s="19" t="inlineStr">
        <is>
          <t>Direct bill</t>
        </is>
      </c>
      <c r="C279" s="19" t="inlineStr">
        <is>
          <t>VAT settings</t>
        </is>
      </c>
      <c r="D279" s="19" t="inlineStr">
        <is>
          <t>Accounting Officer (liza.quiambao)</t>
        </is>
      </c>
      <c r="E279" s="19" t="inlineStr">
        <is>
          <t>VAT inclusive commission and non-VAT broker</t>
        </is>
      </c>
      <c r="F279" s="19" t="inlineStr">
        <is>
          <t>Validation</t>
        </is>
      </c>
      <c r="G279" s="19" t="inlineStr">
        <is>
          <t>Medium</t>
        </is>
      </c>
      <c r="H279" s="19" t="inlineStr">
        <is>
          <t>Settings changed for test.</t>
        </is>
      </c>
      <c r="I279" s="19" t="inlineStr">
        <is>
          <t>1. Switch to VAT-inclusive commission.
2. Switch to broker not VAT-registered.</t>
        </is>
      </c>
      <c r="J279" s="19" t="inlineStr">
        <is>
          <t>Settings</t>
        </is>
      </c>
      <c r="K279" s="19" t="inlineStr">
        <is>
          <t>Booking follows settings.</t>
        </is>
      </c>
      <c r="L279" s="19" t="inlineStr">
        <is>
          <t>As expected.</t>
        </is>
      </c>
      <c r="M279" s="19" t="inlineStr">
        <is>
          <t>Pass</t>
        </is>
      </c>
      <c r="N279" s="19" t="inlineStr"/>
      <c r="O279" s="19" t="inlineStr">
        <is>
          <t>iorta TechNXT QA</t>
        </is>
      </c>
      <c r="P279" s="19" t="inlineStr">
        <is>
          <t>03 October 2026</t>
        </is>
      </c>
      <c r="Q279" s="19" t="inlineStr"/>
      <c r="R279" s="19" t="inlineStr">
        <is>
          <t>backend/test/direct-bill.test.js :: VAT follows the settings: inclusive commission, broker not VAT-registered [passed]</t>
        </is>
      </c>
    </row>
    <row r="280">
      <c r="A280" s="19" t="inlineStr">
        <is>
          <t>BV-DBL-009</t>
        </is>
      </c>
      <c r="B280" s="19" t="inlineStr">
        <is>
          <t>Direct bill</t>
        </is>
      </c>
      <c r="C280" s="19" t="inlineStr">
        <is>
          <t>Reports</t>
        </is>
      </c>
      <c r="D280" s="19" t="inlineStr">
        <is>
          <t>Accounting Officer (liza.quiambao)</t>
        </is>
      </c>
      <c r="E280" s="19" t="inlineStr">
        <is>
          <t>Commission receivable report and trial balance</t>
        </is>
      </c>
      <c r="F280" s="19" t="inlineStr">
        <is>
          <t>Report</t>
        </is>
      </c>
      <c r="G280" s="19" t="inlineStr">
        <is>
          <t>Medium</t>
        </is>
      </c>
      <c r="H280" s="19" t="inlineStr">
        <is>
          <t>Direct-bill notes open.</t>
        </is>
      </c>
      <c r="I280" s="19" t="inlineStr">
        <is>
          <t>1. Run Commission Receivable - Direct Bill.
2. Run Trial Balance.</t>
        </is>
      </c>
      <c r="J280" s="19" t="inlineStr">
        <is>
          <t>May to October 2026</t>
        </is>
      </c>
      <c r="K280" s="19" t="inlineStr">
        <is>
          <t>Due from insurer shown; dashboards count commission receivable, not premium receivable.</t>
        </is>
      </c>
      <c r="L280" s="19" t="inlineStr">
        <is>
          <t>As expected.</t>
        </is>
      </c>
      <c r="M280" s="19" t="inlineStr">
        <is>
          <t>Pass</t>
        </is>
      </c>
      <c r="N280" s="19" t="inlineStr"/>
      <c r="O280" s="19" t="inlineStr">
        <is>
          <t>iorta TechNXT QA</t>
        </is>
      </c>
      <c r="P280" s="19" t="inlineStr">
        <is>
          <t>04 October 2026</t>
        </is>
      </c>
      <c r="Q280" s="19" t="inlineStr"/>
      <c r="R280" s="19" t="inlineStr">
        <is>
          <t>backend/test/direct-bill.test.js :: commission receivable report and trial balance show it as due from the insurer [passed]
backend/test/direct-bill.test.js :: dashboards count it as commission receivable from the insurer, not premium receivable from the client [passed]
UAT cycle 03-04 October 2026, phase Reports and dashboards (58 passed, 0 failed)</t>
        </is>
      </c>
    </row>
    <row r="281">
      <c r="A281" s="19" t="inlineStr">
        <is>
          <t>BV-DBL-010</t>
        </is>
      </c>
      <c r="B281" s="19" t="inlineStr">
        <is>
          <t>Direct bill</t>
        </is>
      </c>
      <c r="C281" s="19" t="inlineStr">
        <is>
          <t>Co-insurance</t>
        </is>
      </c>
      <c r="D281" s="19" t="inlineStr">
        <is>
          <t>Accounting Officer (liza.quiambao)</t>
        </is>
      </c>
      <c r="E281" s="19" t="inlineStr">
        <is>
          <t>Direct-bill commission per co-insurer</t>
        </is>
      </c>
      <c r="F281" s="19" t="inlineStr">
        <is>
          <t>Accounting</t>
        </is>
      </c>
      <c r="G281" s="19" t="inlineStr">
        <is>
          <t>Low</t>
        </is>
      </c>
      <c r="H281" s="19" t="inlineStr">
        <is>
          <t>Co-insured direct-bill policy.</t>
        </is>
      </c>
      <c r="I281" s="19" t="inlineStr">
        <is>
          <t>1. Raise debit notes.</t>
        </is>
      </c>
      <c r="J281" s="19" t="inlineStr">
        <is>
          <t>Two co-insurers</t>
        </is>
      </c>
      <c r="K281" s="19" t="inlineStr">
        <is>
          <t>Each co-insurer gets its own debit note.</t>
        </is>
      </c>
      <c r="L281" s="19" t="inlineStr">
        <is>
          <t>As expected.</t>
        </is>
      </c>
      <c r="M281" s="19" t="inlineStr">
        <is>
          <t>Pass</t>
        </is>
      </c>
      <c r="N281" s="19" t="inlineStr"/>
      <c r="O281" s="19" t="inlineStr">
        <is>
          <t>iorta TechNXT QA</t>
        </is>
      </c>
      <c r="P281" s="19" t="inlineStr">
        <is>
          <t>03 October 2026</t>
        </is>
      </c>
      <c r="Q281" s="19" t="inlineStr"/>
      <c r="R281" s="19" t="inlineStr">
        <is>
          <t>backend/test/posting-rules.test.js :: books direct-bill commission per co-insurer so each gets its own debit note [passed]</t>
        </is>
      </c>
    </row>
    <row r="282">
      <c r="A282" s="19" t="inlineStr">
        <is>
          <t>BV-COM-001</t>
        </is>
      </c>
      <c r="B282" s="19" t="inlineStr">
        <is>
          <t>Commission and referrers</t>
        </is>
      </c>
      <c r="C282" s="19" t="inlineStr">
        <is>
          <t>Referrers</t>
        </is>
      </c>
      <c r="D282" s="19" t="inlineStr">
        <is>
          <t>Accounting Officer (liza.quiambao)</t>
        </is>
      </c>
      <c r="E282" s="19" t="inlineStr">
        <is>
          <t>Create a referrer account</t>
        </is>
      </c>
      <c r="F282" s="19" t="inlineStr">
        <is>
          <t>Functional</t>
        </is>
      </c>
      <c r="G282" s="19" t="inlineStr">
        <is>
          <t>High</t>
        </is>
      </c>
      <c r="H282" s="19" t="inlineStr">
        <is>
          <t>Signed in as liza.quiambao.</t>
        </is>
      </c>
      <c r="I282" s="19" t="inlineStr">
        <is>
          <t>1. Open Commission &gt; Agents/Referrer Accounts.
2. Add a referrer with type, level, bank, TIN, e-mail, phone.
3. Save.</t>
        </is>
      </c>
      <c r="J282" s="19" t="inlineStr">
        <is>
          <t>Rolando Tiu (dealer F&amp;I officer); Sub-agent; L1; BPI 3179-0412-88; TIN 214-558-902-000</t>
        </is>
      </c>
      <c r="K282" s="19" t="inlineStr">
        <is>
          <t>Referrer saved and listed; WHT rate shown.</t>
        </is>
      </c>
      <c r="L282" s="19" t="inlineStr">
        <is>
          <t>As expected.</t>
        </is>
      </c>
      <c r="M282" s="19" t="inlineStr">
        <is>
          <t>Pass</t>
        </is>
      </c>
      <c r="N282" s="19" t="inlineStr"/>
      <c r="O282" s="19" t="inlineStr">
        <is>
          <t>iorta TechNXT QA</t>
        </is>
      </c>
      <c r="P282" s="19" t="inlineStr">
        <is>
          <t>04 October 2026</t>
        </is>
      </c>
      <c r="Q282" s="19" t="inlineStr"/>
      <c r="R282" s="19" t="inlineStr">
        <is>
          <t>backend/test/commission.test.js :: creates a referrer and accrues lines from policy commission details [passed]
UAT cycle 03-04 October 2026, phase Set-up (46 passed, 0 failed)
Screen check /commission/referrer-accounts: opened clean</t>
        </is>
      </c>
    </row>
    <row r="283">
      <c r="A283" s="19" t="inlineStr">
        <is>
          <t>BV-COM-002</t>
        </is>
      </c>
      <c r="B283" s="19" t="inlineStr">
        <is>
          <t>Commission and referrers</t>
        </is>
      </c>
      <c r="C283" s="19" t="inlineStr">
        <is>
          <t>Referrers</t>
        </is>
      </c>
      <c r="D283" s="19" t="inlineStr">
        <is>
          <t>Accounting Officer (liza.quiambao)</t>
        </is>
      </c>
      <c r="E283" s="19" t="inlineStr">
        <is>
          <t>Referrer without bank account cannot be approved or paid</t>
        </is>
      </c>
      <c r="F283" s="19" t="inlineStr">
        <is>
          <t>Negative</t>
        </is>
      </c>
      <c r="G283" s="19" t="inlineStr">
        <is>
          <t>Medium</t>
        </is>
      </c>
      <c r="H283" s="19" t="inlineStr">
        <is>
          <t>Referrer with no bank account.</t>
        </is>
      </c>
      <c r="I283" s="19" t="inlineStr">
        <is>
          <t>1. Try approve and pay.</t>
        </is>
      </c>
      <c r="J283" s="19" t="inlineStr">
        <is>
          <t>Referrer without bank</t>
        </is>
      </c>
      <c r="K283" s="19" t="inlineStr">
        <is>
          <t>Refused.</t>
        </is>
      </c>
      <c r="L283" s="19" t="inlineStr">
        <is>
          <t>As expected.</t>
        </is>
      </c>
      <c r="M283" s="19" t="inlineStr">
        <is>
          <t>Pass</t>
        </is>
      </c>
      <c r="N283" s="19" t="inlineStr"/>
      <c r="O283" s="19" t="inlineStr">
        <is>
          <t>iorta TechNXT QA</t>
        </is>
      </c>
      <c r="P283" s="19" t="inlineStr">
        <is>
          <t>03 October 2026</t>
        </is>
      </c>
      <c r="Q283" s="19" t="inlineStr"/>
      <c r="R283" s="19" t="inlineStr">
        <is>
          <t>backend/test/policy-payments.test.js :: a referrer without a bank account cannot be approved or paid out; the account shows the configured WHT rate [passed]</t>
        </is>
      </c>
    </row>
    <row r="284">
      <c r="A284" s="19" t="inlineStr">
        <is>
          <t>BV-COM-003</t>
        </is>
      </c>
      <c r="B284" s="19" t="inlineStr">
        <is>
          <t>Commission and referrers</t>
        </is>
      </c>
      <c r="C284" s="19" t="inlineStr">
        <is>
          <t>Eligibility</t>
        </is>
      </c>
      <c r="D284" s="19" t="inlineStr">
        <is>
          <t>Accounting Officer (liza.quiambao)</t>
        </is>
      </c>
      <c r="E284" s="19" t="inlineStr">
        <is>
          <t>Lines eligible only after premium collected</t>
        </is>
      </c>
      <c r="F284" s="19" t="inlineStr">
        <is>
          <t>Negative</t>
        </is>
      </c>
      <c r="G284" s="19" t="inlineStr">
        <is>
          <t>High</t>
        </is>
      </c>
      <c r="H284" s="19" t="inlineStr">
        <is>
          <t>Commission line on a policy with open premium.</t>
        </is>
      </c>
      <c r="I284" s="19" t="inlineStr">
        <is>
          <t>1. Mark eligible.
2. Collect the premium in full and check again.</t>
        </is>
      </c>
      <c r="J284" s="19" t="inlineStr">
        <is>
          <t>Policy with sub-agent Rolando Tiu</t>
        </is>
      </c>
      <c r="K284" s="19" t="inlineStr">
        <is>
          <t>Mark eligible refused while premium open; lines become eligible on the last payment.</t>
        </is>
      </c>
      <c r="L284" s="19" t="inlineStr">
        <is>
          <t>As expected.</t>
        </is>
      </c>
      <c r="M284" s="19" t="inlineStr">
        <is>
          <t>Pass</t>
        </is>
      </c>
      <c r="N284" s="19" t="inlineStr"/>
      <c r="O284" s="19" t="inlineStr">
        <is>
          <t>iorta TechNXT QA</t>
        </is>
      </c>
      <c r="P284" s="19" t="inlineStr">
        <is>
          <t>04 October 2026</t>
        </is>
      </c>
      <c r="Q284" s="19" t="inlineStr"/>
      <c r="R284" s="19" t="inlineStr">
        <is>
          <t>backend/test/commission.test.js :: eligibility requires collected premium; payment makes lines eligible automatically [passed]
UAT cycle 03-04 October 2026, phase Money: remittances, commission, petty cash (27 passed, 0 failed)</t>
        </is>
      </c>
    </row>
    <row r="285">
      <c r="A285" s="19" t="inlineStr">
        <is>
          <t>BV-COM-004</t>
        </is>
      </c>
      <c r="B285" s="19" t="inlineStr">
        <is>
          <t>Commission and referrers</t>
        </is>
      </c>
      <c r="C285" s="19" t="inlineStr">
        <is>
          <t>Approval and payout</t>
        </is>
      </c>
      <c r="D285" s="19" t="inlineStr">
        <is>
          <t>Accounting Officer (nestor.pangilinan)</t>
        </is>
      </c>
      <c r="E285" s="19" t="inlineStr">
        <is>
          <t>Approve (maker-checker), bulk disburse and pay</t>
        </is>
      </c>
      <c r="F285" s="19" t="inlineStr">
        <is>
          <t>Accounting</t>
        </is>
      </c>
      <c r="G285" s="19" t="inlineStr">
        <is>
          <t>High</t>
        </is>
      </c>
      <c r="H285" s="19" t="inlineStr">
        <is>
          <t>Eligible lines.</t>
        </is>
      </c>
      <c r="I285" s="19" t="inlineStr">
        <is>
          <t>1. As nestor.pangilinan approve the lines.
2. As liza.quiambao bulk disburse (COMSUB).
3. As nestor.pangilinan approve the payout.</t>
        </is>
      </c>
      <c r="J285" s="19" t="inlineStr">
        <is>
          <t>Transaction code COMSUB</t>
        </is>
      </c>
      <c r="K285" s="19" t="inlineStr">
        <is>
          <t>Approval posts the accrual; payout voucher paid; WHT deducted.</t>
        </is>
      </c>
      <c r="L285" s="19" t="inlineStr">
        <is>
          <t>5 lines approved; 2 payouts.</t>
        </is>
      </c>
      <c r="M285" s="19" t="inlineStr">
        <is>
          <t>Pass</t>
        </is>
      </c>
      <c r="N285" s="19" t="inlineStr"/>
      <c r="O285" s="19" t="inlineStr">
        <is>
          <t>iorta TechNXT QA</t>
        </is>
      </c>
      <c r="P285" s="19" t="inlineStr">
        <is>
          <t>04 October 2026</t>
        </is>
      </c>
      <c r="Q285" s="19" t="inlineStr"/>
      <c r="R285" s="19" t="inlineStr">
        <is>
          <t>backend/test/commission.test.js :: approval is maker-checker; approved lines post the accrual and can be bulk-disbursed and paid [passed]
backend/test/accounting-followups.test.js :: prepares a paid and an approved comsub line [passed]
UAT cycle 03-04 October 2026, phase Money: remittances, commission, petty cash (27 passed, 0 failed)</t>
        </is>
      </c>
    </row>
    <row r="286">
      <c r="A286" s="19" t="inlineStr">
        <is>
          <t>BV-COM-005</t>
        </is>
      </c>
      <c r="B286" s="19" t="inlineStr">
        <is>
          <t>Commission and referrers</t>
        </is>
      </c>
      <c r="C286" s="19" t="inlineStr">
        <is>
          <t>WHT</t>
        </is>
      </c>
      <c r="D286" s="19" t="inlineStr">
        <is>
          <t>Accounting Officer (liza.quiambao)</t>
        </is>
      </c>
      <c r="E286" s="19" t="inlineStr">
        <is>
          <t>WHT toggle and clawback after payment</t>
        </is>
      </c>
      <c r="F286" s="19" t="inlineStr">
        <is>
          <t>Accounting</t>
        </is>
      </c>
      <c r="G286" s="19" t="inlineStr">
        <is>
          <t>Medium</t>
        </is>
      </c>
      <c r="H286" s="19" t="inlineStr">
        <is>
          <t>Open and paid lines.</t>
        </is>
      </c>
      <c r="I286" s="19" t="inlineStr">
        <is>
          <t>1. Toggle WHT on an open line.
2. Reverse a paid line.
3. Pay a single line.</t>
        </is>
      </c>
      <c r="J286" s="19" t="inlineStr">
        <is>
          <t>WHT 10%</t>
        </is>
      </c>
      <c r="K286" s="19" t="inlineStr">
        <is>
          <t>Open lines recomputed; reversal after payment is a clawback.</t>
        </is>
      </c>
      <c r="L286" s="19" t="inlineStr">
        <is>
          <t>As expected.</t>
        </is>
      </c>
      <c r="M286" s="19" t="inlineStr">
        <is>
          <t>Pass</t>
        </is>
      </c>
      <c r="N286" s="19" t="inlineStr"/>
      <c r="O286" s="19" t="inlineStr">
        <is>
          <t>iorta TechNXT QA</t>
        </is>
      </c>
      <c r="P286" s="19" t="inlineStr">
        <is>
          <t>03 October 2026</t>
        </is>
      </c>
      <c r="Q286" s="19" t="inlineStr"/>
      <c r="R286" s="19" t="inlineStr">
        <is>
          <t>backend/test/commission.test.js :: WHT toggle recomputes open lines; reversal after payment is a clawback; single-line pay [passed]</t>
        </is>
      </c>
    </row>
    <row r="287">
      <c r="A287" s="19" t="inlineStr">
        <is>
          <t>BV-COM-006</t>
        </is>
      </c>
      <c r="B287" s="19" t="inlineStr">
        <is>
          <t>Commission and referrers</t>
        </is>
      </c>
      <c r="C287" s="19" t="inlineStr">
        <is>
          <t>Dashboard</t>
        </is>
      </c>
      <c r="D287" s="19" t="inlineStr">
        <is>
          <t>Sales / Account Executive (maria.rivera)</t>
        </is>
      </c>
      <c r="E287" s="19" t="inlineStr">
        <is>
          <t>Commission dashboard and agents ready to pay</t>
        </is>
      </c>
      <c r="F287" s="19" t="inlineStr">
        <is>
          <t>Report</t>
        </is>
      </c>
      <c r="G287" s="19" t="inlineStr">
        <is>
          <t>Medium</t>
        </is>
      </c>
      <c r="H287" s="19" t="inlineStr">
        <is>
          <t>Lines exist.</t>
        </is>
      </c>
      <c r="I287" s="19" t="inlineStr">
        <is>
          <t>1. Open Commission &gt; Commission Dashboard.</t>
        </is>
      </c>
      <c r="J287" s="19" t="inlineStr">
        <is>
          <t>None</t>
        </is>
      </c>
      <c r="K287" s="19" t="inlineStr">
        <is>
          <t>Totals and agents ready to pay shown.</t>
        </is>
      </c>
      <c r="L287" s="19" t="inlineStr">
        <is>
          <t>As expected.</t>
        </is>
      </c>
      <c r="M287" s="19" t="inlineStr">
        <is>
          <t>Pass</t>
        </is>
      </c>
      <c r="N287" s="19" t="inlineStr"/>
      <c r="O287" s="19" t="inlineStr">
        <is>
          <t>iorta TechNXT QA</t>
        </is>
      </c>
      <c r="P287" s="19" t="inlineStr">
        <is>
          <t>04 October 2026</t>
        </is>
      </c>
      <c r="Q287" s="19" t="inlineStr"/>
      <c r="R287" s="19" t="inlineStr">
        <is>
          <t>backend/test/commission.test.js :: dashboard, referrer list and agents ready to pay (seeded data) [passed]
UAT cycle 03-04 October 2026, phase Reports and dashboards (58 passed, 0 failed)
Screen check /commission/dashboard: opened clean</t>
        </is>
      </c>
    </row>
    <row r="288">
      <c r="A288" s="19" t="inlineStr">
        <is>
          <t>BV-COM-007</t>
        </is>
      </c>
      <c r="B288" s="19" t="inlineStr">
        <is>
          <t>Commission and referrers</t>
        </is>
      </c>
      <c r="C288" s="19" t="inlineStr">
        <is>
          <t>Commission taxes</t>
        </is>
      </c>
      <c r="D288" s="19" t="inlineStr">
        <is>
          <t>Accounting Officer (liza.quiambao)</t>
        </is>
      </c>
      <c r="E288" s="19" t="inlineStr">
        <is>
          <t>Commission taxes set-up and simulation</t>
        </is>
      </c>
      <c r="F288" s="19" t="inlineStr">
        <is>
          <t>Accounting</t>
        </is>
      </c>
      <c r="G288" s="19" t="inlineStr">
        <is>
          <t>High</t>
        </is>
      </c>
      <c r="H288" s="19" t="inlineStr">
        <is>
          <t>Master &gt; Finance &gt; Account Determination.</t>
        </is>
      </c>
      <c r="I288" s="19" t="inlineStr">
        <is>
          <t>1. Open commission taxes; read VAT12-OUT and WC139.
2. Simulate a booking.</t>
        </is>
      </c>
      <c r="J288" s="19" t="inlineStr">
        <is>
          <t>VAT 12%; EWT WC139</t>
        </is>
      </c>
      <c r="K288" s="19" t="inlineStr">
        <is>
          <t>Tax lines shown; rates and GL from tax codes; change goes through approval.</t>
        </is>
      </c>
      <c r="L288" s="19" t="inlineStr">
        <is>
          <t>As expected.</t>
        </is>
      </c>
      <c r="M288" s="19" t="inlineStr">
        <is>
          <t>Pass</t>
        </is>
      </c>
      <c r="N288" s="19" t="inlineStr"/>
      <c r="O288" s="19" t="inlineStr">
        <is>
          <t>iorta TechNXT QA</t>
        </is>
      </c>
      <c r="P288" s="19" t="inlineStr">
        <is>
          <t>03 October 2026</t>
        </is>
      </c>
      <c r="Q288" s="19" t="inlineStr"/>
      <c r="R288" s="19" t="inlineStr">
        <is>
          <t>backend/test/commission-taxes.test.js :: simulate shows the tax lines; rates and GL accounts follow the tax codes master [passed]
backend/test/commission-taxes.test.js :: the set-up screen reads and changes the switches and tax codes [passed]
backend/test/configuration-controls.test.js :: maps and commission taxes too; the generic settings screens cannot bypass it [passed]</t>
        </is>
      </c>
    </row>
    <row r="289">
      <c r="A289" s="19" t="inlineStr">
        <is>
          <t>BV-COM-008</t>
        </is>
      </c>
      <c r="B289" s="19" t="inlineStr">
        <is>
          <t>Commission and referrers</t>
        </is>
      </c>
      <c r="C289" s="19" t="inlineStr">
        <is>
          <t>Commission taxes</t>
        </is>
      </c>
      <c r="D289" s="19" t="inlineStr">
        <is>
          <t>Accounting Officer (liza.quiambao)</t>
        </is>
      </c>
      <c r="E289" s="19" t="inlineStr">
        <is>
          <t>Co-insured: VAT and EWT per insurer commission</t>
        </is>
      </c>
      <c r="F289" s="19" t="inlineStr">
        <is>
          <t>Accounting</t>
        </is>
      </c>
      <c r="G289" s="19" t="inlineStr">
        <is>
          <t>Medium</t>
        </is>
      </c>
      <c r="H289" s="19" t="inlineStr">
        <is>
          <t>Co-insured policy.</t>
        </is>
      </c>
      <c r="I289" s="19" t="inlineStr">
        <is>
          <t>1. Open the booking.</t>
        </is>
      </c>
      <c r="J289" s="19" t="inlineStr">
        <is>
          <t>Shares 60 / 40</t>
        </is>
      </c>
      <c r="K289" s="19" t="inlineStr">
        <is>
          <t>Each insurer billed VAT on and withholds EWT from its own commission.</t>
        </is>
      </c>
      <c r="L289" s="19" t="inlineStr">
        <is>
          <t>As expected.</t>
        </is>
      </c>
      <c r="M289" s="19" t="inlineStr">
        <is>
          <t>Pass</t>
        </is>
      </c>
      <c r="N289" s="19" t="inlineStr"/>
      <c r="O289" s="19" t="inlineStr">
        <is>
          <t>iorta TechNXT QA</t>
        </is>
      </c>
      <c r="P289" s="19" t="inlineStr">
        <is>
          <t>03 October 2026</t>
        </is>
      </c>
      <c r="Q289" s="19" t="inlineStr"/>
      <c r="R289" s="19" t="inlineStr">
        <is>
          <t>backend/test/commission-taxes.test.js :: co-insured: each insurer is billed VAT on, and withholds EWT from, its own commission [passed]</t>
        </is>
      </c>
    </row>
    <row r="290">
      <c r="A290" s="19" t="inlineStr">
        <is>
          <t>BV-COM-009</t>
        </is>
      </c>
      <c r="B290" s="19" t="inlineStr">
        <is>
          <t>Commission and referrers</t>
        </is>
      </c>
      <c r="C290" s="19" t="inlineStr">
        <is>
          <t>Order summary</t>
        </is>
      </c>
      <c r="D290" s="19" t="inlineStr">
        <is>
          <t>Sales / Account Executive (maria.rivera)</t>
        </is>
      </c>
      <c r="E290" s="19" t="inlineStr">
        <is>
          <t>Commission split on the order summary</t>
        </is>
      </c>
      <c r="F290" s="19" t="inlineStr">
        <is>
          <t>Functional</t>
        </is>
      </c>
      <c r="G290" s="19" t="inlineStr">
        <is>
          <t>Medium</t>
        </is>
      </c>
      <c r="H290" s="19" t="inlineStr">
        <is>
          <t>Motor quotation with a referrer.</t>
        </is>
      </c>
      <c r="I290" s="19" t="inlineStr">
        <is>
          <t>1. Open the order summary.</t>
        </is>
      </c>
      <c r="J290" s="19" t="inlineStr">
        <is>
          <t>Brokerage 20%; comsub 5% to Rolando Tiu</t>
        </is>
      </c>
      <c r="K290" s="19" t="inlineStr">
        <is>
          <t>Brokerage % of the commission rule booked; referrer split shown.</t>
        </is>
      </c>
      <c r="L290" s="19" t="inlineStr">
        <is>
          <t>As expected.</t>
        </is>
      </c>
      <c r="M290" s="19" t="inlineStr">
        <is>
          <t>Pass</t>
        </is>
      </c>
      <c r="N290" s="19" t="inlineStr"/>
      <c r="O290" s="19" t="inlineStr">
        <is>
          <t>iorta TechNXT QA</t>
        </is>
      </c>
      <c r="P290" s="19" t="inlineStr">
        <is>
          <t>04 October 2026</t>
        </is>
      </c>
      <c r="Q290" s="19" t="inlineStr"/>
      <c r="R290" s="19" t="inlineStr">
        <is>
          <t>backend/test/motor-tariff.test.js :: books the brokerage % of the commission rule shown on the order summary [passed]
UAT cycle 03-04 October 2026, phase Retail package business (84 passed, 0 failed)</t>
        </is>
      </c>
    </row>
    <row r="291">
      <c r="A291" s="19" t="inlineStr">
        <is>
          <t>BV-COM-010</t>
        </is>
      </c>
      <c r="B291" s="19" t="inlineStr">
        <is>
          <t>Commission and referrers</t>
        </is>
      </c>
      <c r="C291" s="19" t="inlineStr">
        <is>
          <t>Permissions</t>
        </is>
      </c>
      <c r="D291" s="19" t="inlineStr">
        <is>
          <t>Sales / Account Executive (maria.rivera)</t>
        </is>
      </c>
      <c r="E291" s="19" t="inlineStr">
        <is>
          <t>Commission validation and permissions</t>
        </is>
      </c>
      <c r="F291" s="19" t="inlineStr">
        <is>
          <t>Role access</t>
        </is>
      </c>
      <c r="G291" s="19" t="inlineStr">
        <is>
          <t>Low</t>
        </is>
      </c>
      <c r="H291" s="19" t="inlineStr">
        <is>
          <t>Signed in as maria.rivera.</t>
        </is>
      </c>
      <c r="I291" s="19" t="inlineStr">
        <is>
          <t>1. Open Agents/Referrer Accounts by address.</t>
        </is>
      </c>
      <c r="J291" s="19" t="inlineStr">
        <is>
          <t>None</t>
        </is>
      </c>
      <c r="K291" s="19" t="inlineStr">
        <is>
          <t>Not available to Sales.</t>
        </is>
      </c>
      <c r="L291" s="19" t="inlineStr">
        <is>
          <t>As expected.</t>
        </is>
      </c>
      <c r="M291" s="19" t="inlineStr">
        <is>
          <t>Pass</t>
        </is>
      </c>
      <c r="N291" s="19" t="inlineStr"/>
      <c r="O291" s="19" t="inlineStr">
        <is>
          <t>iorta TechNXT QA</t>
        </is>
      </c>
      <c r="P291" s="19" t="inlineStr">
        <is>
          <t>03 October 2026</t>
        </is>
      </c>
      <c r="Q291" s="19" t="inlineStr"/>
      <c r="R291" s="19" t="inlineStr">
        <is>
          <t>backend/test/commission.test.js :: validation and permissions [passed]</t>
        </is>
      </c>
    </row>
    <row r="292">
      <c r="A292" s="19" t="inlineStr">
        <is>
          <t>BV-PCH-001</t>
        </is>
      </c>
      <c r="B292" s="19" t="inlineStr">
        <is>
          <t>Petty cash</t>
        </is>
      </c>
      <c r="C292" s="19" t="inlineStr">
        <is>
          <t>Initiate</t>
        </is>
      </c>
      <c r="D292" s="19" t="inlineStr">
        <is>
          <t>Accounting Officer (liza.quiambao)</t>
        </is>
      </c>
      <c r="E292" s="19" t="inlineStr">
        <is>
          <t>Set up a petty cash fund</t>
        </is>
      </c>
      <c r="F292" s="19" t="inlineStr">
        <is>
          <t>Functional</t>
        </is>
      </c>
      <c r="G292" s="19" t="inlineStr">
        <is>
          <t>High</t>
        </is>
      </c>
      <c r="H292" s="19" t="inlineStr">
        <is>
          <t>Signed in as liza.quiambao.</t>
        </is>
      </c>
      <c r="I292" s="19" t="inlineStr">
        <is>
          <t>1. Open Accounts &gt; Petty Cash &gt; Initiate.
2. Click Add Petty Cash.
3. Enter code, description, fund size, max limit, minimum cashbox, bank account.
4. Save.</t>
        </is>
      </c>
      <c r="J292" s="19" t="inlineStr">
        <is>
          <t>PCF-MKT; Makati head office petty cash; PHP 20,000.00; max PHP 5,000.00; minimum PHP 3,000.00; BDO-OPS</t>
        </is>
      </c>
      <c r="K292" s="19" t="inlineStr">
        <is>
          <t>Fund created.</t>
        </is>
      </c>
      <c r="L292" s="19" t="inlineStr">
        <is>
          <t>1 fund created.</t>
        </is>
      </c>
      <c r="M292" s="19" t="inlineStr">
        <is>
          <t>Pass</t>
        </is>
      </c>
      <c r="N292" s="19" t="inlineStr"/>
      <c r="O292" s="19" t="inlineStr">
        <is>
          <t>iorta TechNXT QA</t>
        </is>
      </c>
      <c r="P292" s="19" t="inlineStr">
        <is>
          <t>04 October 2026</t>
        </is>
      </c>
      <c r="Q292" s="19" t="inlineStr"/>
      <c r="R292" s="19" t="inlineStr">
        <is>
          <t>UAT cycle 03-04 October 2026, phase Money: remittances, commission, petty cash (27 passed, 0 failed)
Screen check /accounts/pettycash/pettycashcodeinitiate: opened clean</t>
        </is>
      </c>
    </row>
    <row r="293">
      <c r="A293" s="19" t="inlineStr">
        <is>
          <t>BV-PCH-002</t>
        </is>
      </c>
      <c r="B293" s="19" t="inlineStr">
        <is>
          <t>Petty cash</t>
        </is>
      </c>
      <c r="C293" s="19" t="inlineStr">
        <is>
          <t>Request</t>
        </is>
      </c>
      <c r="D293" s="19" t="inlineStr">
        <is>
          <t>Accounting Officer (nestor.pangilinan)</t>
        </is>
      </c>
      <c r="E293" s="19" t="inlineStr">
        <is>
          <t>Petty cash request approved by a second user</t>
        </is>
      </c>
      <c r="F293" s="19" t="inlineStr">
        <is>
          <t>Functional</t>
        </is>
      </c>
      <c r="G293" s="19" t="inlineStr">
        <is>
          <t>High</t>
        </is>
      </c>
      <c r="H293" s="19" t="inlineStr">
        <is>
          <t>Fund PCF-MKT.</t>
        </is>
      </c>
      <c r="I293" s="19" t="inlineStr">
        <is>
          <t>1. Open Request; Add Request with two lines; Submit.
2. As nestor.pangilinan Approve.</t>
        </is>
      </c>
      <c r="J293" s="19" t="inlineStr">
        <is>
          <t>LBC courier PHP 850.00; notarial fees PHP 600.00; account 4401001</t>
        </is>
      </c>
      <c r="K293" s="19" t="inlineStr">
        <is>
          <t>Request approved.</t>
        </is>
      </c>
      <c r="L293" s="19" t="inlineStr">
        <is>
          <t>3 requests approved and paid.</t>
        </is>
      </c>
      <c r="M293" s="19" t="inlineStr">
        <is>
          <t>Pass</t>
        </is>
      </c>
      <c r="N293" s="19" t="inlineStr"/>
      <c r="O293" s="19" t="inlineStr">
        <is>
          <t>iorta TechNXT QA</t>
        </is>
      </c>
      <c r="P293" s="19" t="inlineStr">
        <is>
          <t>04 October 2026</t>
        </is>
      </c>
      <c r="Q293" s="19" t="inlineStr"/>
      <c r="R293" s="19" t="inlineStr">
        <is>
          <t>UAT cycle 03-04 October 2026, phase Money: remittances, commission, petty cash (27 passed, 0 failed)
Screen check /accounts/pettycash/pettycashrequest: opened clean</t>
        </is>
      </c>
    </row>
    <row r="294">
      <c r="A294" s="19" t="inlineStr">
        <is>
          <t>BV-PCH-003</t>
        </is>
      </c>
      <c r="B294" s="19" t="inlineStr">
        <is>
          <t>Petty cash</t>
        </is>
      </c>
      <c r="C294" s="19" t="inlineStr">
        <is>
          <t>Disbursement</t>
        </is>
      </c>
      <c r="D294" s="19" t="inlineStr">
        <is>
          <t>Accounting Officer (liza.quiambao)</t>
        </is>
      </c>
      <c r="E294" s="19" t="inlineStr">
        <is>
          <t>Disburse with input VAT</t>
        </is>
      </c>
      <c r="F294" s="19" t="inlineStr">
        <is>
          <t>Accounting</t>
        </is>
      </c>
      <c r="G294" s="19" t="inlineStr">
        <is>
          <t>High</t>
        </is>
      </c>
      <c r="H294" s="19" t="inlineStr">
        <is>
          <t>Approved request.</t>
        </is>
      </c>
      <c r="I294" s="19" t="inlineStr">
        <is>
          <t>1. Open Disbursement; Add Disbursement for PHP 1,450.00 with VAT 91.07.</t>
        </is>
      </c>
      <c r="J294" s="19" t="inlineStr">
        <is>
          <t>PHP 1,450.00; VAT PHP 91.07</t>
        </is>
      </c>
      <c r="K294" s="19" t="inlineStr">
        <is>
          <t>Expense and input VAT booked; fund balance reduced.</t>
        </is>
      </c>
      <c r="L294" s="19" t="inlineStr">
        <is>
          <t>As expected.</t>
        </is>
      </c>
      <c r="M294" s="19" t="inlineStr">
        <is>
          <t>Pass</t>
        </is>
      </c>
      <c r="N294" s="19" t="inlineStr"/>
      <c r="O294" s="19" t="inlineStr">
        <is>
          <t>iorta TechNXT QA</t>
        </is>
      </c>
      <c r="P294" s="19" t="inlineStr">
        <is>
          <t>04 October 2026</t>
        </is>
      </c>
      <c r="Q294" s="19" t="inlineStr"/>
      <c r="R294" s="19" t="inlineStr">
        <is>
          <t>UAT cycle 03-04 October 2026, phase Money: remittances, commission, petty cash (27 passed, 0 failed)
Screen check /accounts/pettycash/disbursement: opened clean</t>
        </is>
      </c>
    </row>
    <row r="295">
      <c r="A295" s="19" t="inlineStr">
        <is>
          <t>BV-PCH-004</t>
        </is>
      </c>
      <c r="B295" s="19" t="inlineStr">
        <is>
          <t>Petty cash</t>
        </is>
      </c>
      <c r="C295" s="19" t="inlineStr">
        <is>
          <t>Replenish</t>
        </is>
      </c>
      <c r="D295" s="19" t="inlineStr">
        <is>
          <t>Accounting Officer (liza.quiambao)</t>
        </is>
      </c>
      <c r="E295" s="19" t="inlineStr">
        <is>
          <t>Replenish the fund</t>
        </is>
      </c>
      <c r="F295" s="19" t="inlineStr">
        <is>
          <t>Accounting</t>
        </is>
      </c>
      <c r="G295" s="19" t="inlineStr">
        <is>
          <t>Medium</t>
        </is>
      </c>
      <c r="H295" s="19" t="inlineStr">
        <is>
          <t>Fund below size.</t>
        </is>
      </c>
      <c r="I295" s="19" t="inlineStr">
        <is>
          <t>1. Open Replenish; Add Replenish.</t>
        </is>
      </c>
      <c r="J295" s="19" t="inlineStr">
        <is>
          <t>Replenishment 2026-09</t>
        </is>
      </c>
      <c r="K295" s="19" t="inlineStr">
        <is>
          <t>Fund back to PHP 20,000.00; cash journal posted.</t>
        </is>
      </c>
      <c r="L295" s="19" t="inlineStr">
        <is>
          <t>As expected.</t>
        </is>
      </c>
      <c r="M295" s="19" t="inlineStr">
        <is>
          <t>Pass</t>
        </is>
      </c>
      <c r="N295" s="19" t="inlineStr"/>
      <c r="O295" s="19" t="inlineStr">
        <is>
          <t>iorta TechNXT QA</t>
        </is>
      </c>
      <c r="P295" s="19" t="inlineStr">
        <is>
          <t>04 October 2026</t>
        </is>
      </c>
      <c r="Q295" s="19" t="inlineStr"/>
      <c r="R295" s="19" t="inlineStr">
        <is>
          <t>UAT cycle 03-04 October 2026, phase Money: remittances, commission, petty cash (27 passed, 0 failed)
Screen check /accounts/pettycash/replenish: opened clean</t>
        </is>
      </c>
    </row>
    <row r="296">
      <c r="A296" s="19" t="inlineStr">
        <is>
          <t>BV-PCH-005</t>
        </is>
      </c>
      <c r="B296" s="19" t="inlineStr">
        <is>
          <t>Petty cash</t>
        </is>
      </c>
      <c r="C296" s="19" t="inlineStr">
        <is>
          <t>Reversal</t>
        </is>
      </c>
      <c r="D296" s="19" t="inlineStr">
        <is>
          <t>Accounting Officer (liza.quiambao)</t>
        </is>
      </c>
      <c r="E296" s="19" t="inlineStr">
        <is>
          <t>Petty cash reversal keeps the ledger balanced</t>
        </is>
      </c>
      <c r="F296" s="19" t="inlineStr">
        <is>
          <t>Accounting</t>
        </is>
      </c>
      <c r="G296" s="19" t="inlineStr">
        <is>
          <t>Medium</t>
        </is>
      </c>
      <c r="H296" s="19" t="inlineStr">
        <is>
          <t>Posted disbursement.</t>
        </is>
      </c>
      <c r="I296" s="19" t="inlineStr">
        <is>
          <t>1. Reverse it.</t>
        </is>
      </c>
      <c r="J296" s="19" t="inlineStr">
        <is>
          <t>Disbursement PHP 1,450.00</t>
        </is>
      </c>
      <c r="K296" s="19" t="inlineStr">
        <is>
          <t>Reversal balanced.</t>
        </is>
      </c>
      <c r="L296" s="19" t="inlineStr">
        <is>
          <t>As expected.</t>
        </is>
      </c>
      <c r="M296" s="19" t="inlineStr">
        <is>
          <t>Pass</t>
        </is>
      </c>
      <c r="N296" s="19" t="inlineStr"/>
      <c r="O296" s="19" t="inlineStr">
        <is>
          <t>iorta TechNXT QA</t>
        </is>
      </c>
      <c r="P296" s="19" t="inlineStr">
        <is>
          <t>03 October 2026</t>
        </is>
      </c>
      <c r="Q296" s="19" t="inlineStr"/>
      <c r="R296" s="19" t="inlineStr">
        <is>
          <t>backend/test/posting-rules.test.js :: remittance adjustments, petty cash reversal and the ledger stay balanced [passed]</t>
        </is>
      </c>
    </row>
    <row r="297">
      <c r="A297" s="19" t="inlineStr">
        <is>
          <t>BV-PCH-006</t>
        </is>
      </c>
      <c r="B297" s="19" t="inlineStr">
        <is>
          <t>Petty cash</t>
        </is>
      </c>
      <c r="C297" s="19" t="inlineStr">
        <is>
          <t>Limit</t>
        </is>
      </c>
      <c r="D297" s="19" t="inlineStr">
        <is>
          <t>Accounting Officer (liza.quiambao)</t>
        </is>
      </c>
      <c r="E297" s="19" t="inlineStr">
        <is>
          <t>Request above the max limit</t>
        </is>
      </c>
      <c r="F297" s="19" t="inlineStr">
        <is>
          <t>Negative</t>
        </is>
      </c>
      <c r="G297" s="19" t="inlineStr">
        <is>
          <t>Medium</t>
        </is>
      </c>
      <c r="H297" s="19" t="inlineStr">
        <is>
          <t>Max limit PHP 5,000.00.</t>
        </is>
      </c>
      <c r="I297" s="19" t="inlineStr">
        <is>
          <t>1. Add Request for PHP 6,500.00.</t>
        </is>
      </c>
      <c r="J297" s="19" t="inlineStr">
        <is>
          <t>PHP 6,500.00</t>
        </is>
      </c>
      <c r="K297" s="19" t="inlineStr">
        <is>
          <t>Refused with the limit.</t>
        </is>
      </c>
      <c r="L297" s="19" t="inlineStr"/>
      <c r="M297" s="19" t="inlineStr">
        <is>
          <t>Not Run</t>
        </is>
      </c>
      <c r="N297" s="19" t="inlineStr"/>
      <c r="O297" s="19" t="inlineStr">
        <is>
          <t>iorta TechNXT QA</t>
        </is>
      </c>
      <c r="P297" s="19" t="inlineStr"/>
      <c r="Q297" s="19" t="inlineStr">
        <is>
          <t>Limit check not covered by the backend run or the cycle; to be run by hand.</t>
        </is>
      </c>
      <c r="R297" s="19" t="inlineStr"/>
    </row>
    <row r="298">
      <c r="A298" s="19" t="inlineStr">
        <is>
          <t>BV-PCH-007</t>
        </is>
      </c>
      <c r="B298" s="19" t="inlineStr">
        <is>
          <t>Petty cash</t>
        </is>
      </c>
      <c r="C298" s="19" t="inlineStr">
        <is>
          <t>Master</t>
        </is>
      </c>
      <c r="D298" s="19" t="inlineStr">
        <is>
          <t>Accounting Officer (liza.quiambao)</t>
        </is>
      </c>
      <c r="E298" s="19" t="inlineStr">
        <is>
          <t>Petty cash master and receipts screen open</t>
        </is>
      </c>
      <c r="F298" s="19" t="inlineStr">
        <is>
          <t>Functional</t>
        </is>
      </c>
      <c r="G298" s="19" t="inlineStr">
        <is>
          <t>Low</t>
        </is>
      </c>
      <c r="H298" s="19" t="inlineStr">
        <is>
          <t>Fund exists.</t>
        </is>
      </c>
      <c r="I298" s="19" t="inlineStr">
        <is>
          <t>1. Open Master &gt; Finance &gt; Petty Cash.
2. Open Accounts &gt; Petty Cash &gt; Receipts.</t>
        </is>
      </c>
      <c r="J298" s="19" t="inlineStr">
        <is>
          <t>PCF-MKT</t>
        </is>
      </c>
      <c r="K298" s="19" t="inlineStr">
        <is>
          <t>Both screens list the fund.</t>
        </is>
      </c>
      <c r="L298" s="19" t="inlineStr">
        <is>
          <t>As expected.</t>
        </is>
      </c>
      <c r="M298" s="19" t="inlineStr">
        <is>
          <t>Pass</t>
        </is>
      </c>
      <c r="N298" s="19" t="inlineStr"/>
      <c r="O298" s="19" t="inlineStr">
        <is>
          <t>iorta TechNXT QA</t>
        </is>
      </c>
      <c r="P298" s="19" t="inlineStr">
        <is>
          <t>03 October 2026</t>
        </is>
      </c>
      <c r="Q298" s="19" t="inlineStr"/>
      <c r="R298" s="19" t="inlineStr">
        <is>
          <t>Screen check /master/finance/pettycash: opened clean
Screen check /accounts/pettycash/receipts: opened clean</t>
        </is>
      </c>
    </row>
    <row r="299">
      <c r="A299" s="19" t="inlineStr">
        <is>
          <t>BV-JNL-001</t>
        </is>
      </c>
      <c r="B299" s="19" t="inlineStr">
        <is>
          <t>Journal vouchers and ledger</t>
        </is>
      </c>
      <c r="C299" s="19" t="inlineStr">
        <is>
          <t>Journal Voucher</t>
        </is>
      </c>
      <c r="D299" s="19" t="inlineStr">
        <is>
          <t>Accounting Officer (liza.quiambao)</t>
        </is>
      </c>
      <c r="E299" s="19" t="inlineStr">
        <is>
          <t>Manual journal voucher with maker-checker</t>
        </is>
      </c>
      <c r="F299" s="19" t="inlineStr">
        <is>
          <t>Accounting</t>
        </is>
      </c>
      <c r="G299" s="19" t="inlineStr">
        <is>
          <t>High</t>
        </is>
      </c>
      <c r="H299" s="19" t="inlineStr">
        <is>
          <t>Signed in as liza.quiambao.</t>
        </is>
      </c>
      <c r="I299" s="19" t="inlineStr">
        <is>
          <t>1. Open Accounts &gt; Journal Voucher.
2. Click Add Journal Voucher.
3. Enter lines Dr 1102001 / Cr 5101001.
4. Submit.
5. As maker approve; as teresa.villaroman approve.</t>
        </is>
      </c>
      <c r="J299" s="19" t="inlineStr">
        <is>
          <t>JV01; Go-live: balance of the BDO operating account; PHP 3,500,000.00; dated 30 April 2026</t>
        </is>
      </c>
      <c r="K299" s="19" t="inlineStr">
        <is>
          <t>Voucher pending; maker refused; checker approves and it posts; Journal register shows it; trial balance balanced.</t>
        </is>
      </c>
      <c r="L299" s="19" t="inlineStr">
        <is>
          <t>As expected.</t>
        </is>
      </c>
      <c r="M299" s="19" t="inlineStr">
        <is>
          <t>Pass</t>
        </is>
      </c>
      <c r="N299" s="19" t="inlineStr"/>
      <c r="O299" s="19" t="inlineStr">
        <is>
          <t>iorta TechNXT QA</t>
        </is>
      </c>
      <c r="P299" s="19" t="inlineStr">
        <is>
          <t>04 October 2026</t>
        </is>
      </c>
      <c r="Q299" s="19" t="inlineStr"/>
      <c r="R299" s="19" t="inlineStr">
        <is>
          <t>backend/test/journal.test.js :: maker creates a voucher for approval; maker cannot approve; checker approves and it posts [passed]
UAT cycle 03-04 October 2026, phase Reconciliation: bank and insurer statements (10 passed, 0 failed)
Screen check /accounts/journalvoucher: opened clean</t>
        </is>
      </c>
    </row>
    <row r="300">
      <c r="A300" s="19" t="inlineStr">
        <is>
          <t>BV-JNL-002</t>
        </is>
      </c>
      <c r="B300" s="19" t="inlineStr">
        <is>
          <t>Journal vouchers and ledger</t>
        </is>
      </c>
      <c r="C300" s="19" t="inlineStr">
        <is>
          <t>Journal Voucher</t>
        </is>
      </c>
      <c r="D300" s="19" t="inlineStr">
        <is>
          <t>Accounting Officer (liza.quiambao)</t>
        </is>
      </c>
      <c r="E300" s="19" t="inlineStr">
        <is>
          <t>Unbalanced or unknown account refused</t>
        </is>
      </c>
      <c r="F300" s="19" t="inlineStr">
        <is>
          <t>Negative</t>
        </is>
      </c>
      <c r="G300" s="19" t="inlineStr">
        <is>
          <t>High</t>
        </is>
      </c>
      <c r="H300" s="19" t="inlineStr">
        <is>
          <t>Add Journal Voucher.</t>
        </is>
      </c>
      <c r="I300" s="19" t="inlineStr">
        <is>
          <t>1. Enter Dr PHP 1,000.00 / Cr PHP 900.00.
2. Use account 9999999.</t>
        </is>
      </c>
      <c r="J300" s="19" t="inlineStr">
        <is>
          <t>Unbalanced by PHP 100.00</t>
        </is>
      </c>
      <c r="K300" s="19" t="inlineStr">
        <is>
          <t>Both refused.</t>
        </is>
      </c>
      <c r="L300" s="19" t="inlineStr">
        <is>
          <t>As expected.</t>
        </is>
      </c>
      <c r="M300" s="19" t="inlineStr">
        <is>
          <t>Pass</t>
        </is>
      </c>
      <c r="N300" s="19" t="inlineStr"/>
      <c r="O300" s="19" t="inlineStr">
        <is>
          <t>iorta TechNXT QA</t>
        </is>
      </c>
      <c r="P300" s="19" t="inlineStr">
        <is>
          <t>03 October 2026</t>
        </is>
      </c>
      <c r="Q300" s="19" t="inlineStr"/>
      <c r="R300" s="19" t="inlineStr">
        <is>
          <t>backend/test/journal.test.js :: foreign currency lines convert at the master rate; unbalanced or unknown accounts are rejected [passed]</t>
        </is>
      </c>
    </row>
    <row r="301">
      <c r="A301" s="19" t="inlineStr">
        <is>
          <t>BV-JNL-003</t>
        </is>
      </c>
      <c r="B301" s="19" t="inlineStr">
        <is>
          <t>Journal vouchers and ledger</t>
        </is>
      </c>
      <c r="C301" s="19" t="inlineStr">
        <is>
          <t>Journal Voucher</t>
        </is>
      </c>
      <c r="D301" s="19" t="inlineStr">
        <is>
          <t>Accounting Officer (liza.quiambao)</t>
        </is>
      </c>
      <c r="E301" s="19" t="inlineStr">
        <is>
          <t>Foreign currency line converts at master rate</t>
        </is>
      </c>
      <c r="F301" s="19" t="inlineStr">
        <is>
          <t>Accounting</t>
        </is>
      </c>
      <c r="G301" s="19" t="inlineStr">
        <is>
          <t>Medium</t>
        </is>
      </c>
      <c r="H301" s="19" t="inlineStr">
        <is>
          <t>USD rate in master.</t>
        </is>
      </c>
      <c r="I301" s="19" t="inlineStr">
        <is>
          <t>1. Enter a USD line.</t>
        </is>
      </c>
      <c r="J301" s="19" t="inlineStr">
        <is>
          <t>USD 1,000.00 at PHP 57.25</t>
        </is>
      </c>
      <c r="K301" s="19" t="inlineStr">
        <is>
          <t>PHP 57,250.00 booked.</t>
        </is>
      </c>
      <c r="L301" s="19" t="inlineStr">
        <is>
          <t>As expected.</t>
        </is>
      </c>
      <c r="M301" s="19" t="inlineStr">
        <is>
          <t>Pass</t>
        </is>
      </c>
      <c r="N301" s="19" t="inlineStr"/>
      <c r="O301" s="19" t="inlineStr">
        <is>
          <t>iorta TechNXT QA</t>
        </is>
      </c>
      <c r="P301" s="19" t="inlineStr">
        <is>
          <t>03 October 2026</t>
        </is>
      </c>
      <c r="Q301" s="19" t="inlineStr"/>
      <c r="R301" s="19" t="inlineStr">
        <is>
          <t>backend/test/journal.test.js :: foreign currency lines convert at the master rate; unbalanced or unknown accounts are rejected [passed]</t>
        </is>
      </c>
    </row>
    <row r="302">
      <c r="A302" s="19" t="inlineStr">
        <is>
          <t>BV-JNL-004</t>
        </is>
      </c>
      <c r="B302" s="19" t="inlineStr">
        <is>
          <t>Journal vouchers and ledger</t>
        </is>
      </c>
      <c r="C302" s="19" t="inlineStr">
        <is>
          <t>Journal Voucher</t>
        </is>
      </c>
      <c r="D302" s="19" t="inlineStr">
        <is>
          <t>Accounting Manager (teresa.villaroman)</t>
        </is>
      </c>
      <c r="E302" s="19" t="inlineStr">
        <is>
          <t>Checker rejects with a reason</t>
        </is>
      </c>
      <c r="F302" s="19" t="inlineStr">
        <is>
          <t>Functional</t>
        </is>
      </c>
      <c r="G302" s="19" t="inlineStr">
        <is>
          <t>Medium</t>
        </is>
      </c>
      <c r="H302" s="19" t="inlineStr">
        <is>
          <t>Pending voucher.</t>
        </is>
      </c>
      <c r="I302" s="19" t="inlineStr">
        <is>
          <t>1. Reject with reason.</t>
        </is>
      </c>
      <c r="J302" s="19" t="inlineStr">
        <is>
          <t>Reason: Wrong cost centre</t>
        </is>
      </c>
      <c r="K302" s="19" t="inlineStr">
        <is>
          <t>Status Rejected; reason recorded.</t>
        </is>
      </c>
      <c r="L302" s="19" t="inlineStr">
        <is>
          <t>As expected.</t>
        </is>
      </c>
      <c r="M302" s="19" t="inlineStr">
        <is>
          <t>Pass</t>
        </is>
      </c>
      <c r="N302" s="19" t="inlineStr"/>
      <c r="O302" s="19" t="inlineStr">
        <is>
          <t>iorta TechNXT QA</t>
        </is>
      </c>
      <c r="P302" s="19" t="inlineStr">
        <is>
          <t>03 October 2026</t>
        </is>
      </c>
      <c r="Q302" s="19" t="inlineStr"/>
      <c r="R302" s="19" t="inlineStr">
        <is>
          <t>backend/test/journal.test.js :: checker rejects with a reason [passed]</t>
        </is>
      </c>
    </row>
    <row r="303">
      <c r="A303" s="19" t="inlineStr">
        <is>
          <t>BV-JNL-005</t>
        </is>
      </c>
      <c r="B303" s="19" t="inlineStr">
        <is>
          <t>Journal vouchers and ledger</t>
        </is>
      </c>
      <c r="C303" s="19" t="inlineStr">
        <is>
          <t>Correction JV</t>
        </is>
      </c>
      <c r="D303" s="19" t="inlineStr">
        <is>
          <t>Accounting Officer (liza.quiambao)</t>
        </is>
      </c>
      <c r="E303" s="19" t="inlineStr">
        <is>
          <t>Correction JV reverses the original and posts corrected lines</t>
        </is>
      </c>
      <c r="F303" s="19" t="inlineStr">
        <is>
          <t>Accounting</t>
        </is>
      </c>
      <c r="G303" s="19" t="inlineStr">
        <is>
          <t>High</t>
        </is>
      </c>
      <c r="H303" s="19" t="inlineStr">
        <is>
          <t>Posted voucher with wrong account.</t>
        </is>
      </c>
      <c r="I303" s="19" t="inlineStr">
        <is>
          <t>1. Open Accounts &gt; Correction JV.
2. Select the voucher; enter corrected lines; submit.
3. Second user approves.</t>
        </is>
      </c>
      <c r="J303" s="19" t="inlineStr">
        <is>
          <t>Expense posted to 4401001 instead of 4402001</t>
        </is>
      </c>
      <c r="K303" s="19" t="inlineStr">
        <is>
          <t>On approval the original is reversed and corrected lines post.</t>
        </is>
      </c>
      <c r="L303" s="19" t="inlineStr">
        <is>
          <t>As expected.</t>
        </is>
      </c>
      <c r="M303" s="19" t="inlineStr">
        <is>
          <t>Pass</t>
        </is>
      </c>
      <c r="N303" s="19" t="inlineStr"/>
      <c r="O303" s="19" t="inlineStr">
        <is>
          <t>iorta TechNXT QA</t>
        </is>
      </c>
      <c r="P303" s="19" t="inlineStr">
        <is>
          <t>03 October 2026</t>
        </is>
      </c>
      <c r="Q303" s="19" t="inlineStr"/>
      <c r="R303" s="19" t="inlineStr">
        <is>
          <t>backend/test/journal.test.js :: correction JV reverses the original and posts corrected lines on approval; reversal JV of the correction [passed]
Screen check /accounts/correctionsjv/correctionsjvdetails: opened clean</t>
        </is>
      </c>
    </row>
    <row r="304">
      <c r="A304" s="19" t="inlineStr">
        <is>
          <t>BV-JNL-006</t>
        </is>
      </c>
      <c r="B304" s="19" t="inlineStr">
        <is>
          <t>Journal vouchers and ledger</t>
        </is>
      </c>
      <c r="C304" s="19" t="inlineStr">
        <is>
          <t>Reversal JV</t>
        </is>
      </c>
      <c r="D304" s="19" t="inlineStr">
        <is>
          <t>Accounting Officer (liza.quiambao)</t>
        </is>
      </c>
      <c r="E304" s="19" t="inlineStr">
        <is>
          <t>Reversal JV of a correction</t>
        </is>
      </c>
      <c r="F304" s="19" t="inlineStr">
        <is>
          <t>Accounting</t>
        </is>
      </c>
      <c r="G304" s="19" t="inlineStr">
        <is>
          <t>Medium</t>
        </is>
      </c>
      <c r="H304" s="19" t="inlineStr">
        <is>
          <t>Approved correction.</t>
        </is>
      </c>
      <c r="I304" s="19" t="inlineStr">
        <is>
          <t>1. Open Accounts &gt; Reversal JV; reverse it; approve.</t>
        </is>
      </c>
      <c r="J304" s="19" t="inlineStr">
        <is>
          <t>Correction of previous case</t>
        </is>
      </c>
      <c r="K304" s="19" t="inlineStr">
        <is>
          <t>Reversal posts; ledger balanced.</t>
        </is>
      </c>
      <c r="L304" s="19" t="inlineStr">
        <is>
          <t>As expected.</t>
        </is>
      </c>
      <c r="M304" s="19" t="inlineStr">
        <is>
          <t>Pass</t>
        </is>
      </c>
      <c r="N304" s="19" t="inlineStr"/>
      <c r="O304" s="19" t="inlineStr">
        <is>
          <t>iorta TechNXT QA</t>
        </is>
      </c>
      <c r="P304" s="19" t="inlineStr">
        <is>
          <t>03 October 2026</t>
        </is>
      </c>
      <c r="Q304" s="19" t="inlineStr"/>
      <c r="R304" s="19" t="inlineStr">
        <is>
          <t>backend/test/journal.test.js :: correction JV reverses the original and posts corrected lines on approval; reversal JV of the correction [passed]
backend/test/accounting.test.js :: transactions: post a pending journal, reverse it, cancel another [passed]
Screen check /accounts/reversaljv/reversaljvdetails: opened clean</t>
        </is>
      </c>
    </row>
    <row r="305">
      <c r="A305" s="19" t="inlineStr">
        <is>
          <t>BV-JNL-007</t>
        </is>
      </c>
      <c r="B305" s="19" t="inlineStr">
        <is>
          <t>Journal vouchers and ledger</t>
        </is>
      </c>
      <c r="C305" s="19" t="inlineStr">
        <is>
          <t>Journal Voucher</t>
        </is>
      </c>
      <c r="D305" s="19" t="inlineStr">
        <is>
          <t>Sales / Account Executive (maria.rivera)</t>
        </is>
      </c>
      <c r="E305" s="19" t="inlineStr">
        <is>
          <t>Journal permissions</t>
        </is>
      </c>
      <c r="F305" s="19" t="inlineStr">
        <is>
          <t>Role access</t>
        </is>
      </c>
      <c r="G305" s="19" t="inlineStr">
        <is>
          <t>Medium</t>
        </is>
      </c>
      <c r="H305" s="19" t="inlineStr">
        <is>
          <t>Signed in as maria.rivera.</t>
        </is>
      </c>
      <c r="I305" s="19" t="inlineStr">
        <is>
          <t>1. Open /accounts/journalvoucher by address.</t>
        </is>
      </c>
      <c r="J305" s="19" t="inlineStr">
        <is>
          <t>None</t>
        </is>
      </c>
      <c r="K305" s="19" t="inlineStr">
        <is>
          <t>Not available.</t>
        </is>
      </c>
      <c r="L305" s="19" t="inlineStr">
        <is>
          <t>As expected.</t>
        </is>
      </c>
      <c r="M305" s="19" t="inlineStr">
        <is>
          <t>Pass</t>
        </is>
      </c>
      <c r="N305" s="19" t="inlineStr"/>
      <c r="O305" s="19" t="inlineStr">
        <is>
          <t>iorta TechNXT QA</t>
        </is>
      </c>
      <c r="P305" s="19" t="inlineStr">
        <is>
          <t>03 October 2026</t>
        </is>
      </c>
      <c r="Q305" s="19" t="inlineStr"/>
      <c r="R305" s="19" t="inlineStr">
        <is>
          <t>backend/test/journal.test.js :: permissions [passed]
backend/test/accounting.test.js :: permissions [passed]</t>
        </is>
      </c>
    </row>
    <row r="306">
      <c r="A306" s="19" t="inlineStr">
        <is>
          <t>BV-JNL-008</t>
        </is>
      </c>
      <c r="B306" s="19" t="inlineStr">
        <is>
          <t>Journal vouchers and ledger</t>
        </is>
      </c>
      <c r="C306" s="19" t="inlineStr">
        <is>
          <t>Accounting Query</t>
        </is>
      </c>
      <c r="D306" s="19" t="inlineStr">
        <is>
          <t>Accounting Officer (liza.quiambao)</t>
        </is>
      </c>
      <c r="E306" s="19" t="inlineStr">
        <is>
          <t>Search entries, client ledger and export</t>
        </is>
      </c>
      <c r="F306" s="19" t="inlineStr">
        <is>
          <t>Functional</t>
        </is>
      </c>
      <c r="G306" s="19" t="inlineStr">
        <is>
          <t>Medium</t>
        </is>
      </c>
      <c r="H306" s="19" t="inlineStr">
        <is>
          <t>Postings exist.</t>
        </is>
      </c>
      <c r="I306" s="19" t="inlineStr">
        <is>
          <t>1. Open Accounts &gt; Accounting Query; search a policy.
2. Open All Clients Accounting.
3. Export.</t>
        </is>
      </c>
      <c r="J306" s="19" t="inlineStr">
        <is>
          <t>Policy MC-2026-xxxxx</t>
        </is>
      </c>
      <c r="K306" s="19" t="inlineStr">
        <is>
          <t>Entries listed; client ledger and all-clients view; export downloads.</t>
        </is>
      </c>
      <c r="L306" s="19" t="inlineStr">
        <is>
          <t>As expected.</t>
        </is>
      </c>
      <c r="M306" s="19" t="inlineStr">
        <is>
          <t>Pass</t>
        </is>
      </c>
      <c r="N306" s="19" t="inlineStr"/>
      <c r="O306" s="19" t="inlineStr">
        <is>
          <t>iorta TechNXT QA</t>
        </is>
      </c>
      <c r="P306" s="19" t="inlineStr">
        <is>
          <t>03 October 2026</t>
        </is>
      </c>
      <c r="Q306" s="19" t="inlineStr"/>
      <c r="R306" s="19" t="inlineStr">
        <is>
          <t>backend/test/accounting.test.js :: entries search, client ledger, all-clients view and export [passed]
Screen check /agent/accounting/query: opened clean
Screen check /agent/accounting/all-clients-details: opened clean</t>
        </is>
      </c>
    </row>
    <row r="307">
      <c r="A307" s="19" t="inlineStr">
        <is>
          <t>BV-JNL-009</t>
        </is>
      </c>
      <c r="B307" s="19" t="inlineStr">
        <is>
          <t>Journal vouchers and ledger</t>
        </is>
      </c>
      <c r="C307" s="19" t="inlineStr">
        <is>
          <t>Open Entry Matching</t>
        </is>
      </c>
      <c r="D307" s="19" t="inlineStr">
        <is>
          <t>Accounting Officer (liza.quiambao)</t>
        </is>
      </c>
      <c r="E307" s="19" t="inlineStr">
        <is>
          <t>Match and unmatch open entries</t>
        </is>
      </c>
      <c r="F307" s="19" t="inlineStr">
        <is>
          <t>Accounting</t>
        </is>
      </c>
      <c r="G307" s="19" t="inlineStr">
        <is>
          <t>Medium</t>
        </is>
      </c>
      <c r="H307" s="19" t="inlineStr">
        <is>
          <t>Open debit and credit entries.</t>
        </is>
      </c>
      <c r="I307" s="19" t="inlineStr">
        <is>
          <t>1. Open Open Entry Matching; match two entries.
2. Open Open Entry Unmatching; unmatch.</t>
        </is>
      </c>
      <c r="J307" s="19" t="inlineStr">
        <is>
          <t>Receivable and unapplied cash PHP 12,000.00</t>
        </is>
      </c>
      <c r="K307" s="19" t="inlineStr">
        <is>
          <t>Match recorded and reversed.</t>
        </is>
      </c>
      <c r="L307" s="19" t="inlineStr">
        <is>
          <t>As expected.</t>
        </is>
      </c>
      <c r="M307" s="19" t="inlineStr">
        <is>
          <t>Pass</t>
        </is>
      </c>
      <c r="N307" s="19" t="inlineStr"/>
      <c r="O307" s="19" t="inlineStr">
        <is>
          <t>iorta TechNXT QA</t>
        </is>
      </c>
      <c r="P307" s="19" t="inlineStr">
        <is>
          <t>03 October 2026</t>
        </is>
      </c>
      <c r="Q307" s="19" t="inlineStr"/>
      <c r="R307" s="19" t="inlineStr">
        <is>
          <t>backend/test/accounting.test.js :: open-entry matching and unmatching (POST and GET) [passed]
Screen check /accounts/open-entry-matching: opened clean
Screen check /accounts/open-entry-unmatching: opened clean</t>
        </is>
      </c>
    </row>
    <row r="308">
      <c r="A308" s="19" t="inlineStr">
        <is>
          <t>BV-JNL-010</t>
        </is>
      </c>
      <c r="B308" s="19" t="inlineStr">
        <is>
          <t>Journal vouchers and ledger</t>
        </is>
      </c>
      <c r="C308" s="19" t="inlineStr">
        <is>
          <t>Ledger integrity</t>
        </is>
      </c>
      <c r="D308" s="19" t="inlineStr">
        <is>
          <t>Accounting Officer (liza.quiambao)</t>
        </is>
      </c>
      <c r="E308" s="19" t="inlineStr">
        <is>
          <t>Seeded ledger balanced; every event balances</t>
        </is>
      </c>
      <c r="F308" s="19" t="inlineStr">
        <is>
          <t>Accounting</t>
        </is>
      </c>
      <c r="G308" s="19" t="inlineStr">
        <is>
          <t>High</t>
        </is>
      </c>
      <c r="H308" s="19" t="inlineStr">
        <is>
          <t>Fresh database and after the cycle.</t>
        </is>
      </c>
      <c r="I308" s="19" t="inlineStr">
        <is>
          <t>1. Run the trial balance.
2. Simulate every posting event.</t>
        </is>
      </c>
      <c r="J308" s="19" t="inlineStr">
        <is>
          <t>All events, single insurer and co-insured</t>
        </is>
      </c>
      <c r="K308" s="19" t="inlineStr">
        <is>
          <t>Trial balance balanced; every event balances.</t>
        </is>
      </c>
      <c r="L308" s="19" t="inlineStr">
        <is>
          <t>As expected.</t>
        </is>
      </c>
      <c r="M308" s="19" t="inlineStr">
        <is>
          <t>Pass</t>
        </is>
      </c>
      <c r="N308" s="19" t="inlineStr"/>
      <c r="O308" s="19" t="inlineStr">
        <is>
          <t>iorta TechNXT QA</t>
        </is>
      </c>
      <c r="P308" s="19" t="inlineStr">
        <is>
          <t>04 October 2026</t>
        </is>
      </c>
      <c r="Q308" s="19" t="inlineStr"/>
      <c r="R308" s="19" t="inlineStr">
        <is>
          <t>backend/test/accounting.test.js :: seeded ledger is balanced and the trial balance agrees [passed]
backend/test/posting-rules.test.js :: every event balances on its sample context, single insurer and co-insured [passed]
UAT cycle 03-04 October 2026, phase Reports and dashboards (58 passed, 0 failed)</t>
        </is>
      </c>
    </row>
    <row r="309">
      <c r="A309" s="19" t="inlineStr">
        <is>
          <t>BV-JNL-011</t>
        </is>
      </c>
      <c r="B309" s="19" t="inlineStr">
        <is>
          <t>Journal vouchers and ledger</t>
        </is>
      </c>
      <c r="C309" s="19" t="inlineStr">
        <is>
          <t>Posting Rules</t>
        </is>
      </c>
      <c r="D309" s="19" t="inlineStr">
        <is>
          <t>Accounting Manager (teresa.villaroman)</t>
        </is>
      </c>
      <c r="E309" s="19" t="inlineStr">
        <is>
          <t>New posting rule version pending until approved</t>
        </is>
      </c>
      <c r="F309" s="19" t="inlineStr">
        <is>
          <t>Accounting</t>
        </is>
      </c>
      <c r="G309" s="19" t="inlineStr">
        <is>
          <t>High</t>
        </is>
      </c>
      <c r="H309" s="19" t="inlineStr">
        <is>
          <t>Master &gt; Finance &gt; Posting Rules.</t>
        </is>
      </c>
      <c r="I309" s="19" t="inlineStr">
        <is>
          <t>1. Create a new version of the receipt rule.
2. Approve as another user; reject another version.</t>
        </is>
      </c>
      <c r="J309" s="19" t="inlineStr">
        <is>
          <t>Receipt rule v3</t>
        </is>
      </c>
      <c r="K309" s="19" t="inlineStr">
        <is>
          <t>Version pending never posts until approved; rejection leaves the version in force.</t>
        </is>
      </c>
      <c r="L309" s="19" t="inlineStr">
        <is>
          <t>As expected.</t>
        </is>
      </c>
      <c r="M309" s="19" t="inlineStr">
        <is>
          <t>Pass</t>
        </is>
      </c>
      <c r="N309" s="19" t="inlineStr"/>
      <c r="O309" s="19" t="inlineStr">
        <is>
          <t>iorta TechNXT QA</t>
        </is>
      </c>
      <c r="P309" s="19" t="inlineStr">
        <is>
          <t>03 October 2026</t>
        </is>
      </c>
      <c r="Q309" s="19" t="inlineStr"/>
      <c r="R309" s="19" t="inlineStr">
        <is>
          <t>backend/test/configuration-controls.test.js :: a new version is pending and never posts until approved; rejecting leaves the version in force [passed]
backend/test/posting-rules.test.js :: lists events and rules, simulates, and validates new versions [passed]
Screen check /master/finance/posting-rules: opened clean
Screen check /master/finance/configuration-approvals: opened clean</t>
        </is>
      </c>
    </row>
    <row r="310">
      <c r="A310" s="19" t="inlineStr">
        <is>
          <t>BV-JNL-012</t>
        </is>
      </c>
      <c r="B310" s="19" t="inlineStr">
        <is>
          <t>Journal vouchers and ledger</t>
        </is>
      </c>
      <c r="C310" s="19" t="inlineStr">
        <is>
          <t>Account Determination</t>
        </is>
      </c>
      <c r="D310" s="19" t="inlineStr">
        <is>
          <t>Accounting Manager (teresa.villaroman)</t>
        </is>
      </c>
      <c r="E310" s="19" t="inlineStr">
        <is>
          <t>Account determination edits the role map</t>
        </is>
      </c>
      <c r="F310" s="19" t="inlineStr">
        <is>
          <t>Accounting</t>
        </is>
      </c>
      <c r="G310" s="19" t="inlineStr">
        <is>
          <t>Medium</t>
        </is>
      </c>
      <c r="H310" s="19" t="inlineStr">
        <is>
          <t>Master &gt; Finance &gt; Account Determination.</t>
        </is>
      </c>
      <c r="I310" s="19" t="inlineStr">
        <is>
          <t>1. Change the GL of a role; approve.</t>
        </is>
      </c>
      <c r="J310" s="19" t="inlineStr">
        <is>
          <t>Bank charges GL</t>
        </is>
      </c>
      <c r="K310" s="19" t="inlineStr">
        <is>
          <t>Postings use the new GL after approval.</t>
        </is>
      </c>
      <c r="L310" s="19" t="inlineStr">
        <is>
          <t>As expected.</t>
        </is>
      </c>
      <c r="M310" s="19" t="inlineStr">
        <is>
          <t>Pass</t>
        </is>
      </c>
      <c r="N310" s="19" t="inlineStr"/>
      <c r="O310" s="19" t="inlineStr">
        <is>
          <t>iorta TechNXT QA</t>
        </is>
      </c>
      <c r="P310" s="19" t="inlineStr">
        <is>
          <t>03 October 2026</t>
        </is>
      </c>
      <c r="Q310" s="19" t="inlineStr"/>
      <c r="R310" s="19" t="inlineStr">
        <is>
          <t>backend/test/posting-rules.test.js :: Account Determination edits the role map posting uses [passed]
Screen check /master/finance/account-determination: opened clean</t>
        </is>
      </c>
    </row>
    <row r="311">
      <c r="A311" s="19" t="inlineStr">
        <is>
          <t>BV-JNL-013</t>
        </is>
      </c>
      <c r="B311" s="19" t="inlineStr">
        <is>
          <t>Journal vouchers and ledger</t>
        </is>
      </c>
      <c r="C311" s="19" t="inlineStr">
        <is>
          <t>Accounting Flow</t>
        </is>
      </c>
      <c r="D311" s="19" t="inlineStr">
        <is>
          <t>Accounting Officer (liza.quiambao)</t>
        </is>
      </c>
      <c r="E311" s="19" t="inlineStr">
        <is>
          <t>Accounting flow lists every event with GL lines</t>
        </is>
      </c>
      <c r="F311" s="19" t="inlineStr">
        <is>
          <t>Report</t>
        </is>
      </c>
      <c r="G311" s="19" t="inlineStr">
        <is>
          <t>Low</t>
        </is>
      </c>
      <c r="H311" s="19" t="inlineStr">
        <is>
          <t>Master &gt; Finance &gt; Accounting Flow.</t>
        </is>
      </c>
      <c r="I311" s="19" t="inlineStr">
        <is>
          <t>1. Open the screen.</t>
        </is>
      </c>
      <c r="J311" s="19" t="inlineStr">
        <is>
          <t>None</t>
        </is>
      </c>
      <c r="K311" s="19" t="inlineStr">
        <is>
          <t>Every event with trigger, approval, debit and credit lines and GL accounts; follows rule changes.</t>
        </is>
      </c>
      <c r="L311" s="19" t="inlineStr">
        <is>
          <t>As expected.</t>
        </is>
      </c>
      <c r="M311" s="19" t="inlineStr">
        <is>
          <t>Pass</t>
        </is>
      </c>
      <c r="N311" s="19" t="inlineStr"/>
      <c r="O311" s="19" t="inlineStr">
        <is>
          <t>iorta TechNXT QA</t>
        </is>
      </c>
      <c r="P311" s="19" t="inlineStr">
        <is>
          <t>03 October 2026</t>
        </is>
      </c>
      <c r="Q311" s="19" t="inlineStr"/>
      <c r="R311" s="19" t="inlineStr">
        <is>
          <t>backend/test/accounting-flow.test.js :: documents the trigger and approval of every event [passed]
backend/test/accounting-flow.test.js :: lists every event with the debit and credit lines of the rule in force and their GL accounts [passed]
backend/test/accounting-flow.test.js :: follows a rule change [passed]
Screen check /master/finance/accounting-flow: opened clean</t>
        </is>
      </c>
    </row>
    <row r="312">
      <c r="A312" s="19" t="inlineStr">
        <is>
          <t>BV-JNL-014</t>
        </is>
      </c>
      <c r="B312" s="19" t="inlineStr">
        <is>
          <t>Journal vouchers and ledger</t>
        </is>
      </c>
      <c r="C312" s="19" t="inlineStr">
        <is>
          <t>Control accounts</t>
        </is>
      </c>
      <c r="D312" s="19" t="inlineStr">
        <is>
          <t>Accounting Manager (teresa.villaroman)</t>
        </is>
      </c>
      <c r="E312" s="19" t="inlineStr">
        <is>
          <t>Sub-ledger tie-out reports a manual journal on a control account</t>
        </is>
      </c>
      <c r="F312" s="19" t="inlineStr">
        <is>
          <t>Accounting</t>
        </is>
      </c>
      <c r="G312" s="19" t="inlineStr">
        <is>
          <t>Medium</t>
        </is>
      </c>
      <c r="H312" s="19" t="inlineStr">
        <is>
          <t>Manual JV to a control account.</t>
        </is>
      </c>
      <c r="I312" s="19" t="inlineStr">
        <is>
          <t>1. Run the month-end checklist.</t>
        </is>
      </c>
      <c r="J312" s="19" t="inlineStr">
        <is>
          <t>JV to premium receivable control</t>
        </is>
      </c>
      <c r="K312" s="19" t="inlineStr">
        <is>
          <t>Tie-out flags it.</t>
        </is>
      </c>
      <c r="L312" s="19" t="inlineStr">
        <is>
          <t>As expected.</t>
        </is>
      </c>
      <c r="M312" s="19" t="inlineStr">
        <is>
          <t>Pass</t>
        </is>
      </c>
      <c r="N312" s="19" t="inlineStr"/>
      <c r="O312" s="19" t="inlineStr">
        <is>
          <t>iorta TechNXT QA</t>
        </is>
      </c>
      <c r="P312" s="19" t="inlineStr">
        <is>
          <t>04 October 2026</t>
        </is>
      </c>
      <c r="Q312" s="19" t="inlineStr"/>
      <c r="R312" s="19" t="inlineStr">
        <is>
          <t>backend/test/configuration-controls.test.js :: ties out after operations and reports a manual journal on a control account [passed]
UAT cycle 03-04 October 2026, phase Reports and dashboards (58 passed, 0 failed)</t>
        </is>
      </c>
    </row>
    <row r="313">
      <c r="A313" s="19" t="inlineStr">
        <is>
          <t>BV-JNL-015</t>
        </is>
      </c>
      <c r="B313" s="19" t="inlineStr">
        <is>
          <t>Journal vouchers and ledger</t>
        </is>
      </c>
      <c r="C313" s="19" t="inlineStr">
        <is>
          <t>Posting</t>
        </is>
      </c>
      <c r="D313" s="19" t="inlineStr">
        <is>
          <t>Accounting Officer (liza.quiambao)</t>
        </is>
      </c>
      <c r="E313" s="19" t="inlineStr">
        <is>
          <t>Receipt debits the GL of the chosen bank account</t>
        </is>
      </c>
      <c r="F313" s="19" t="inlineStr">
        <is>
          <t>Accounting</t>
        </is>
      </c>
      <c r="G313" s="19" t="inlineStr">
        <is>
          <t>Medium</t>
        </is>
      </c>
      <c r="H313" s="19" t="inlineStr">
        <is>
          <t>Two bank accounts.</t>
        </is>
      </c>
      <c r="I313" s="19" t="inlineStr">
        <is>
          <t>1. Receipt to MBT-COL.</t>
        </is>
      </c>
      <c r="J313" s="19" t="inlineStr">
        <is>
          <t>MBT-COL GL 1102003</t>
        </is>
      </c>
      <c r="K313" s="19" t="inlineStr">
        <is>
          <t>Debit to 1102003.</t>
        </is>
      </c>
      <c r="L313" s="19" t="inlineStr">
        <is>
          <t>As expected.</t>
        </is>
      </c>
      <c r="M313" s="19" t="inlineStr">
        <is>
          <t>Pass</t>
        </is>
      </c>
      <c r="N313" s="19" t="inlineStr"/>
      <c r="O313" s="19" t="inlineStr">
        <is>
          <t>iorta TechNXT QA</t>
        </is>
      </c>
      <c r="P313" s="19" t="inlineStr">
        <is>
          <t>03 October 2026</t>
        </is>
      </c>
      <c r="Q313" s="19" t="inlineStr"/>
      <c r="R313" s="19" t="inlineStr">
        <is>
          <t>backend/test/posting-rules.test.js :: debits the GL account of the chosen bank account [passed]</t>
        </is>
      </c>
    </row>
    <row r="314">
      <c r="A314" s="19" t="inlineStr">
        <is>
          <t>BV-JNL-016</t>
        </is>
      </c>
      <c r="B314" s="19" t="inlineStr">
        <is>
          <t>Journal vouchers and ledger</t>
        </is>
      </c>
      <c r="C314" s="19" t="inlineStr">
        <is>
          <t>Premium taxes split</t>
        </is>
      </c>
      <c r="D314" s="19" t="inlineStr">
        <is>
          <t>Accounting Officer (liza.quiambao)</t>
        </is>
      </c>
      <c r="E314" s="19" t="inlineStr">
        <is>
          <t>VAT, DST and LGT to own accounts</t>
        </is>
      </c>
      <c r="F314" s="19" t="inlineStr">
        <is>
          <t>Accounting</t>
        </is>
      </c>
      <c r="G314" s="19" t="inlineStr">
        <is>
          <t>Medium</t>
        </is>
      </c>
      <c r="H314" s="19" t="inlineStr">
        <is>
          <t>Bill with taxes.</t>
        </is>
      </c>
      <c r="I314" s="19" t="inlineStr">
        <is>
          <t>1. Open the journal.</t>
        </is>
      </c>
      <c r="J314" s="19" t="inlineStr">
        <is>
          <t>Fire bill</t>
        </is>
      </c>
      <c r="K314" s="19" t="inlineStr">
        <is>
          <t>Each tax to its own account.</t>
        </is>
      </c>
      <c r="L314" s="19" t="inlineStr">
        <is>
          <t>As expected.</t>
        </is>
      </c>
      <c r="M314" s="19" t="inlineStr">
        <is>
          <t>Pass</t>
        </is>
      </c>
      <c r="N314" s="19" t="inlineStr"/>
      <c r="O314" s="19" t="inlineStr">
        <is>
          <t>iorta TechNXT QA</t>
        </is>
      </c>
      <c r="P314" s="19" t="inlineStr">
        <is>
          <t>03 October 2026</t>
        </is>
      </c>
      <c r="Q314" s="19" t="inlineStr"/>
      <c r="R314" s="19" t="inlineStr">
        <is>
          <t>backend/test/posting-rules.test.js :: splits VAT, DST and LGT into their own accounts when the bill carries them [passed]</t>
        </is>
      </c>
    </row>
    <row r="315">
      <c r="A315" s="19" t="inlineStr">
        <is>
          <t>BV-PER-001</t>
        </is>
      </c>
      <c r="B315" s="19" t="inlineStr">
        <is>
          <t>Period end</t>
        </is>
      </c>
      <c r="C315" s="19" t="inlineStr">
        <is>
          <t>Period Management</t>
        </is>
      </c>
      <c r="D315" s="19" t="inlineStr">
        <is>
          <t>Accounting Officer (liza.quiambao)</t>
        </is>
      </c>
      <c r="E315" s="19" t="inlineStr">
        <is>
          <t>Fiscal years and periods with adjustment period 13</t>
        </is>
      </c>
      <c r="F315" s="19" t="inlineStr">
        <is>
          <t>Accounting</t>
        </is>
      </c>
      <c r="G315" s="19" t="inlineStr">
        <is>
          <t>High</t>
        </is>
      </c>
      <c r="H315" s="19" t="inlineStr">
        <is>
          <t>Journals exist.</t>
        </is>
      </c>
      <c r="I315" s="19" t="inlineStr">
        <is>
          <t>1. Open Accounts &gt; Period End &gt; Period Management.</t>
        </is>
      </c>
      <c r="J315" s="19" t="inlineStr">
        <is>
          <t>Fiscal year 2026</t>
        </is>
      </c>
      <c r="K315" s="19" t="inlineStr">
        <is>
          <t>12 periods plus period 13; April-March year supported and named after its end year.</t>
        </is>
      </c>
      <c r="L315" s="19" t="inlineStr">
        <is>
          <t>As expected.</t>
        </is>
      </c>
      <c r="M315" s="19" t="inlineStr">
        <is>
          <t>Pass</t>
        </is>
      </c>
      <c r="N315" s="19" t="inlineStr"/>
      <c r="O315" s="19" t="inlineStr">
        <is>
          <t>iorta TechNXT QA</t>
        </is>
      </c>
      <c r="P315" s="19" t="inlineStr">
        <is>
          <t>03 October 2026</t>
        </is>
      </c>
      <c r="Q315" s="19" t="inlineStr"/>
      <c r="R315" s="19" t="inlineStr">
        <is>
          <t>backend/test/period-end.test.js :: generates fiscal years from the first journal with 12 periods and adjustment period 13 [passed]
backend/test/period-end-calendar.test.js :: generates April-March fiscal years named after their end year [passed]
Screen check /accounts/period-end/periods: opened clean</t>
        </is>
      </c>
    </row>
    <row r="316">
      <c r="A316" s="19" t="inlineStr">
        <is>
          <t>BV-PER-002</t>
        </is>
      </c>
      <c r="B316" s="19" t="inlineStr">
        <is>
          <t>Period end</t>
        </is>
      </c>
      <c r="C316" s="19" t="inlineStr">
        <is>
          <t>Month-End Close</t>
        </is>
      </c>
      <c r="D316" s="19" t="inlineStr">
        <is>
          <t>Accounting Officer (liza.quiambao)</t>
        </is>
      </c>
      <c r="E316" s="19" t="inlineStr">
        <is>
          <t>Run the month-end close and submit</t>
        </is>
      </c>
      <c r="F316" s="19" t="inlineStr">
        <is>
          <t>Accounting</t>
        </is>
      </c>
      <c r="G316" s="19" t="inlineStr">
        <is>
          <t>High</t>
        </is>
      </c>
      <c r="H316" s="19" t="inlineStr">
        <is>
          <t>Month 2026-08.</t>
        </is>
      </c>
      <c r="I316" s="19" t="inlineStr">
        <is>
          <t>1. Open Accounts &gt; Period End &gt; Month-End Close.
2. Click New close run and Start.
3. Run checks; Sign off manual items with remarks.
4. Click Submit close (Close).</t>
        </is>
      </c>
      <c r="J316" s="19" t="inlineStr">
        <is>
          <t>Sign-off remarks: BDO operating account reconciled and approved for the month</t>
        </is>
      </c>
      <c r="K316" s="19" t="inlineStr">
        <is>
          <t>Close submitted for approval; no blocking check failed.</t>
        </is>
      </c>
      <c r="L316" s="19" t="inlineStr">
        <is>
          <t>4 months closed, 1 soft-closed.</t>
        </is>
      </c>
      <c r="M316" s="19" t="inlineStr">
        <is>
          <t>Pass</t>
        </is>
      </c>
      <c r="N316" s="19" t="inlineStr"/>
      <c r="O316" s="19" t="inlineStr">
        <is>
          <t>iorta TechNXT QA</t>
        </is>
      </c>
      <c r="P316" s="19" t="inlineStr">
        <is>
          <t>04 October 2026</t>
        </is>
      </c>
      <c r="Q316" s="19" t="inlineStr"/>
      <c r="R316" s="19" t="inlineStr">
        <is>
          <t>backend/test/period-end.test.js :: maker-checker: the preparer submits, another user with approve:period-end approves and the period closes [passed]
UAT cycle 03-04 October 2026, phase Month-end close (6 passed, 0 failed)
Screen check /accounts/period-end/close: opened clean</t>
        </is>
      </c>
    </row>
    <row r="317">
      <c r="A317" s="19" t="inlineStr">
        <is>
          <t>BV-PER-003</t>
        </is>
      </c>
      <c r="B317" s="19" t="inlineStr">
        <is>
          <t>Period end</t>
        </is>
      </c>
      <c r="C317" s="19" t="inlineStr">
        <is>
          <t>Month-End Close</t>
        </is>
      </c>
      <c r="D317" s="19" t="inlineStr">
        <is>
          <t>Accounting Manager (teresa.villaroman)</t>
        </is>
      </c>
      <c r="E317" s="19" t="inlineStr">
        <is>
          <t>Approve the close; maker cannot approve</t>
        </is>
      </c>
      <c r="F317" s="19" t="inlineStr">
        <is>
          <t>Negative</t>
        </is>
      </c>
      <c r="G317" s="19" t="inlineStr">
        <is>
          <t>High</t>
        </is>
      </c>
      <c r="H317" s="19" t="inlineStr">
        <is>
          <t>Close submitted by liza.quiambao.</t>
        </is>
      </c>
      <c r="I317" s="19" t="inlineStr">
        <is>
          <t>1. As liza.quiambao click Approve close.
2. As teresa.villaroman approve.</t>
        </is>
      </c>
      <c r="J317" s="19" t="inlineStr">
        <is>
          <t>Remarks: Reviewed: trial balance, sub-ledger tie-out and reconciliations</t>
        </is>
      </c>
      <c r="K317" s="19" t="inlineStr">
        <is>
          <t>Maker refused; period Closed.</t>
        </is>
      </c>
      <c r="L317" s="19" t="inlineStr">
        <is>
          <t>As expected.</t>
        </is>
      </c>
      <c r="M317" s="19" t="inlineStr">
        <is>
          <t>Pass</t>
        </is>
      </c>
      <c r="N317" s="19" t="inlineStr"/>
      <c r="O317" s="19" t="inlineStr">
        <is>
          <t>iorta TechNXT QA</t>
        </is>
      </c>
      <c r="P317" s="19" t="inlineStr">
        <is>
          <t>04 October 2026</t>
        </is>
      </c>
      <c r="Q317" s="19" t="inlineStr"/>
      <c r="R317" s="19" t="inlineStr">
        <is>
          <t>backend/test/period-end.test.js :: maker-checker: the preparer submits, another user with approve:period-end approves and the period closes [passed]
UAT cycle 03-04 October 2026, phase Month-end close (6 passed, 0 failed)</t>
        </is>
      </c>
    </row>
    <row r="318">
      <c r="A318" s="19" t="inlineStr">
        <is>
          <t>BV-PER-004</t>
        </is>
      </c>
      <c r="B318" s="19" t="inlineStr">
        <is>
          <t>Period end</t>
        </is>
      </c>
      <c r="C318" s="19" t="inlineStr">
        <is>
          <t>Month-End Close</t>
        </is>
      </c>
      <c r="D318" s="19" t="inlineStr">
        <is>
          <t>Accounting Officer (liza.quiambao)</t>
        </is>
      </c>
      <c r="E318" s="19" t="inlineStr">
        <is>
          <t>Closed period refuses postings; reopen allows them</t>
        </is>
      </c>
      <c r="F318" s="19" t="inlineStr">
        <is>
          <t>Negative</t>
        </is>
      </c>
      <c r="G318" s="19" t="inlineStr">
        <is>
          <t>High</t>
        </is>
      </c>
      <c r="H318" s="19" t="inlineStr">
        <is>
          <t>Period 2026-07 closed.</t>
        </is>
      </c>
      <c r="I318" s="19" t="inlineStr">
        <is>
          <t>1. Post a journal dated 15 July 2026.
2. Reopen with remarks (approver).
3. Post again.</t>
        </is>
      </c>
      <c r="J318" s="19" t="inlineStr">
        <is>
          <t>JV dated 15 July 2026</t>
        </is>
      </c>
      <c r="K318" s="19" t="inlineStr">
        <is>
          <t>Refused while closed; accepted after reopen.</t>
        </is>
      </c>
      <c r="L318" s="19" t="inlineStr">
        <is>
          <t>As expected.</t>
        </is>
      </c>
      <c r="M318" s="19" t="inlineStr">
        <is>
          <t>Pass</t>
        </is>
      </c>
      <c r="N318" s="19" t="inlineStr"/>
      <c r="O318" s="19" t="inlineStr">
        <is>
          <t>iorta TechNXT QA</t>
        </is>
      </c>
      <c r="P318" s="19" t="inlineStr">
        <is>
          <t>03 October 2026</t>
        </is>
      </c>
      <c r="Q318" s="19" t="inlineStr"/>
      <c r="R318" s="19" t="inlineStr">
        <is>
          <t>backend/test/accounting.test.js :: period close blocks postings into the period; reopen allows them again [passed]</t>
        </is>
      </c>
    </row>
    <row r="319">
      <c r="A319" s="19" t="inlineStr">
        <is>
          <t>BV-PER-005</t>
        </is>
      </c>
      <c r="B319" s="19" t="inlineStr">
        <is>
          <t>Period end</t>
        </is>
      </c>
      <c r="C319" s="19" t="inlineStr">
        <is>
          <t>Soft close</t>
        </is>
      </c>
      <c r="D319" s="19" t="inlineStr">
        <is>
          <t>Accounting Manager (teresa.villaroman)</t>
        </is>
      </c>
      <c r="E319" s="19" t="inlineStr">
        <is>
          <t>Soft-closed period accepts manager postings only</t>
        </is>
      </c>
      <c r="F319" s="19" t="inlineStr">
        <is>
          <t>Role access</t>
        </is>
      </c>
      <c r="G319" s="19" t="inlineStr">
        <is>
          <t>High</t>
        </is>
      </c>
      <c r="H319" s="19" t="inlineStr">
        <is>
          <t>Period 2026-09 soft-closed.</t>
        </is>
      </c>
      <c r="I319" s="19" t="inlineStr">
        <is>
          <t>1. As liza.quiambao post a journal in September.
2. As teresa.villaroman post one.
3. Reopen without remarks.</t>
        </is>
      </c>
      <c r="J319" s="19" t="inlineStr">
        <is>
          <t>JV dated 30 September 2026</t>
        </is>
      </c>
      <c r="K319" s="19" t="inlineStr">
        <is>
          <t>Officer refused; manager accepted; reopening needs approve:period-end and remarks.</t>
        </is>
      </c>
      <c r="L319" s="19" t="inlineStr">
        <is>
          <t>As expected.</t>
        </is>
      </c>
      <c r="M319" s="19" t="inlineStr">
        <is>
          <t>Pass</t>
        </is>
      </c>
      <c r="N319" s="19" t="inlineStr"/>
      <c r="O319" s="19" t="inlineStr">
        <is>
          <t>iorta TechNXT QA</t>
        </is>
      </c>
      <c r="P319" s="19" t="inlineStr">
        <is>
          <t>04 October 2026</t>
        </is>
      </c>
      <c r="Q319" s="19" t="inlineStr"/>
      <c r="R319" s="19" t="inlineStr">
        <is>
          <t>backend/test/period-end.test.js :: soft-closed periods accept postings only from finance managers; reopening needs approve:period-end and remarks [passed]
backend/test/role-inheritance.test.js :: holds the finance role and permissions plus the period-end approval [passed]
backend/test/role-inheritance.test.js :: a plain finance user does not get the approval [passed]
UAT cycle 03-04 October 2026, phase Month-end close (6 passed, 0 failed)</t>
        </is>
      </c>
    </row>
    <row r="320">
      <c r="A320" s="19" t="inlineStr">
        <is>
          <t>BV-PER-006</t>
        </is>
      </c>
      <c r="B320" s="19" t="inlineStr">
        <is>
          <t>Period end</t>
        </is>
      </c>
      <c r="C320" s="19" t="inlineStr">
        <is>
          <t>Blocking checks</t>
        </is>
      </c>
      <c r="D320" s="19" t="inlineStr">
        <is>
          <t>Accounting Officer (liza.quiambao)</t>
        </is>
      </c>
      <c r="E320" s="19" t="inlineStr">
        <is>
          <t>Blocking checks stop the close</t>
        </is>
      </c>
      <c r="F320" s="19" t="inlineStr">
        <is>
          <t>Negative</t>
        </is>
      </c>
      <c r="G320" s="19" t="inlineStr">
        <is>
          <t>High</t>
        </is>
      </c>
      <c r="H320" s="19" t="inlineStr">
        <is>
          <t>Unposted journal in the period.</t>
        </is>
      </c>
      <c r="I320" s="19" t="inlineStr">
        <is>
          <t>1. Run the close.</t>
        </is>
      </c>
      <c r="J320" s="19" t="inlineStr">
        <is>
          <t>Pending JV in 2026-10</t>
        </is>
      </c>
      <c r="K320" s="19" t="inlineStr">
        <is>
          <t>Close blocked naming the check.</t>
        </is>
      </c>
      <c r="L320" s="19" t="inlineStr">
        <is>
          <t>As expected.</t>
        </is>
      </c>
      <c r="M320" s="19" t="inlineStr">
        <is>
          <t>Pass</t>
        </is>
      </c>
      <c r="N320" s="19" t="inlineStr"/>
      <c r="O320" s="19" t="inlineStr">
        <is>
          <t>iorta TechNXT QA</t>
        </is>
      </c>
      <c r="P320" s="19" t="inlineStr">
        <is>
          <t>03 October 2026</t>
        </is>
      </c>
      <c r="Q320" s="19" t="inlineStr"/>
      <c r="R320" s="19" t="inlineStr">
        <is>
          <t>backend/test/period-end.test.js :: blocking checks (unposted journals, manual sign-off) block the close [passed]
backend/test/bank-reconciliation.test.js :: the unreconciled_bank check fails for accounts with activity and no approved reconciliation; blocking stops the close [passed]</t>
        </is>
      </c>
    </row>
    <row r="321">
      <c r="A321" s="19" t="inlineStr">
        <is>
          <t>BV-PER-007</t>
        </is>
      </c>
      <c r="B321" s="19" t="inlineStr">
        <is>
          <t>Period end</t>
        </is>
      </c>
      <c r="C321" s="19" t="inlineStr">
        <is>
          <t>Checklist</t>
        </is>
      </c>
      <c r="D321" s="19" t="inlineStr">
        <is>
          <t>Accounting Officer (liza.quiambao)</t>
        </is>
      </c>
      <c r="E321" s="19" t="inlineStr">
        <is>
          <t>Checklist preview for the open month</t>
        </is>
      </c>
      <c r="F321" s="19" t="inlineStr">
        <is>
          <t>Functional</t>
        </is>
      </c>
      <c r="G321" s="19" t="inlineStr">
        <is>
          <t>Medium</t>
        </is>
      </c>
      <c r="H321" s="19" t="inlineStr">
        <is>
          <t>Month 2026-10 open.</t>
        </is>
      </c>
      <c r="I321" s="19" t="inlineStr">
        <is>
          <t>1. Click Preview the checklist.</t>
        </is>
      </c>
      <c r="J321" s="19" t="inlineStr">
        <is>
          <t>2026-10</t>
        </is>
      </c>
      <c r="K321" s="19" t="inlineStr">
        <is>
          <t>12 items; none failing; sub-ledger tie-out passed.</t>
        </is>
      </c>
      <c r="L321" s="19" t="inlineStr">
        <is>
          <t>As expected.</t>
        </is>
      </c>
      <c r="M321" s="19" t="inlineStr">
        <is>
          <t>Pass</t>
        </is>
      </c>
      <c r="N321" s="19" t="inlineStr"/>
      <c r="O321" s="19" t="inlineStr">
        <is>
          <t>iorta TechNXT QA</t>
        </is>
      </c>
      <c r="P321" s="19" t="inlineStr">
        <is>
          <t>04 October 2026</t>
        </is>
      </c>
      <c r="Q321" s="19" t="inlineStr"/>
      <c r="R321" s="19" t="inlineStr">
        <is>
          <t>backend/test/period-end.test.js :: the checklist master is configurable [passed]
UAT cycle 03-04 October 2026, phase Month-end close (6 passed, 0 failed)
Screen check /master/finance/close-checklist: opened clean</t>
        </is>
      </c>
    </row>
    <row r="322">
      <c r="A322" s="19" t="inlineStr">
        <is>
          <t>BV-PER-008</t>
        </is>
      </c>
      <c r="B322" s="19" t="inlineStr">
        <is>
          <t>Period end</t>
        </is>
      </c>
      <c r="C322" s="19" t="inlineStr">
        <is>
          <t>Accruals</t>
        </is>
      </c>
      <c r="D322" s="19" t="inlineStr">
        <is>
          <t>Accounting Officer (liza.quiambao)</t>
        </is>
      </c>
      <c r="E322" s="19" t="inlineStr">
        <is>
          <t>Accrual templates post at period end and reverse on day 1</t>
        </is>
      </c>
      <c r="F322" s="19" t="inlineStr">
        <is>
          <t>Accounting</t>
        </is>
      </c>
      <c r="G322" s="19" t="inlineStr">
        <is>
          <t>Medium</t>
        </is>
      </c>
      <c r="H322" s="19" t="inlineStr">
        <is>
          <t>Accrual template.</t>
        </is>
      </c>
      <c r="I322" s="19" t="inlineStr">
        <is>
          <t>1. Run the close.
2. Read the next period.</t>
        </is>
      </c>
      <c r="J322" s="19" t="inlineStr">
        <is>
          <t>Audit fee accrual PHP 25,000.00</t>
        </is>
      </c>
      <c r="K322" s="19" t="inlineStr">
        <is>
          <t>Posted 31 August; reversed 01 September.</t>
        </is>
      </c>
      <c r="L322" s="19" t="inlineStr">
        <is>
          <t>As expected.</t>
        </is>
      </c>
      <c r="M322" s="19" t="inlineStr">
        <is>
          <t>Pass</t>
        </is>
      </c>
      <c r="N322" s="19" t="inlineStr"/>
      <c r="O322" s="19" t="inlineStr">
        <is>
          <t>iorta TechNXT QA</t>
        </is>
      </c>
      <c r="P322" s="19" t="inlineStr">
        <is>
          <t>03 October 2026</t>
        </is>
      </c>
      <c r="Q322" s="19" t="inlineStr"/>
      <c r="R322" s="19" t="inlineStr">
        <is>
          <t>backend/test/period-end.test.js :: accrual templates post at the period end and reverse on day 1 of the next period [passed]</t>
        </is>
      </c>
    </row>
    <row r="323">
      <c r="A323" s="19" t="inlineStr">
        <is>
          <t>BV-PER-009</t>
        </is>
      </c>
      <c r="B323" s="19" t="inlineStr">
        <is>
          <t>Period end</t>
        </is>
      </c>
      <c r="C323" s="19" t="inlineStr">
        <is>
          <t>Recurring Journals</t>
        </is>
      </c>
      <c r="D323" s="19" t="inlineStr">
        <is>
          <t>Accounting Officer (liza.quiambao)</t>
        </is>
      </c>
      <c r="E323" s="19" t="inlineStr">
        <is>
          <t>Recurring journals follow schedule and stop at end date</t>
        </is>
      </c>
      <c r="F323" s="19" t="inlineStr">
        <is>
          <t>Accounting</t>
        </is>
      </c>
      <c r="G323" s="19" t="inlineStr">
        <is>
          <t>Medium</t>
        </is>
      </c>
      <c r="H323" s="19" t="inlineStr">
        <is>
          <t>Recurring template.</t>
        </is>
      </c>
      <c r="I323" s="19" t="inlineStr">
        <is>
          <t>1. Open Accounts &gt; Period End &gt; Recurring Journals; New template; Post due journals now.</t>
        </is>
      </c>
      <c r="J323" s="19" t="inlineStr">
        <is>
          <t>Office rent PHP 85,000.00 monthly to 31 December 2026</t>
        </is>
      </c>
      <c r="K323" s="19" t="inlineStr">
        <is>
          <t>Month ends kept; idempotent; stops at end date.</t>
        </is>
      </c>
      <c r="L323" s="19" t="inlineStr">
        <is>
          <t>As expected.</t>
        </is>
      </c>
      <c r="M323" s="19" t="inlineStr">
        <is>
          <t>Pass</t>
        </is>
      </c>
      <c r="N323" s="19" t="inlineStr"/>
      <c r="O323" s="19" t="inlineStr">
        <is>
          <t>iorta TechNXT QA</t>
        </is>
      </c>
      <c r="P323" s="19" t="inlineStr">
        <is>
          <t>03 October 2026</t>
        </is>
      </c>
      <c r="Q323" s="19" t="inlineStr"/>
      <c r="R323" s="19" t="inlineStr">
        <is>
          <t>backend/test/period-end.test.js :: recurring journals follow their schedule (month ends stay month ends), are idempotent and stop at the end date [passed]
Screen check /accounts/period-end/recurring: opened clean</t>
        </is>
      </c>
    </row>
    <row r="324">
      <c r="A324" s="19" t="inlineStr">
        <is>
          <t>BV-PER-010</t>
        </is>
      </c>
      <c r="B324" s="19" t="inlineStr">
        <is>
          <t>Period end</t>
        </is>
      </c>
      <c r="C324" s="19" t="inlineStr">
        <is>
          <t>Commission deferral</t>
        </is>
      </c>
      <c r="D324" s="19" t="inlineStr">
        <is>
          <t>Accounting Officer (liza.quiambao)</t>
        </is>
      </c>
      <c r="E324" s="19" t="inlineStr">
        <is>
          <t>Unearned commission deferred pro rata</t>
        </is>
      </c>
      <c r="F324" s="19" t="inlineStr">
        <is>
          <t>Accounting</t>
        </is>
      </c>
      <c r="G324" s="19" t="inlineStr">
        <is>
          <t>Medium</t>
        </is>
      </c>
      <c r="H324" s="19" t="inlineStr">
        <is>
          <t>Policies with future cover.</t>
        </is>
      </c>
      <c r="I324" s="19" t="inlineStr">
        <is>
          <t>1. Run the close.</t>
        </is>
      </c>
      <c r="J324" s="19" t="inlineStr">
        <is>
          <t>GL 2209001</t>
        </is>
      </c>
      <c r="K324" s="19" t="inlineStr">
        <is>
          <t>Unearned commission moved to 2209001 by days; reversed next period.</t>
        </is>
      </c>
      <c r="L324" s="19" t="inlineStr">
        <is>
          <t>As expected.</t>
        </is>
      </c>
      <c r="M324" s="19" t="inlineStr">
        <is>
          <t>Pass</t>
        </is>
      </c>
      <c r="N324" s="19" t="inlineStr"/>
      <c r="O324" s="19" t="inlineStr">
        <is>
          <t>iorta TechNXT QA</t>
        </is>
      </c>
      <c r="P324" s="19" t="inlineStr">
        <is>
          <t>03 October 2026</t>
        </is>
      </c>
      <c r="Q324" s="19" t="inlineStr"/>
      <c r="R324" s="19" t="inlineStr">
        <is>
          <t>backend/test/period-end.test.js :: commission deferral moves unearned commission to 2209001 pro rata by days and reverses next period [passed]</t>
        </is>
      </c>
    </row>
    <row r="325">
      <c r="A325" s="19" t="inlineStr">
        <is>
          <t>BV-PER-011</t>
        </is>
      </c>
      <c r="B325" s="19" t="inlineStr">
        <is>
          <t>Period end</t>
        </is>
      </c>
      <c r="C325" s="19" t="inlineStr">
        <is>
          <t>FX revaluation</t>
        </is>
      </c>
      <c r="D325" s="19" t="inlineStr">
        <is>
          <t>Accounting Officer (liza.quiambao)</t>
        </is>
      </c>
      <c r="E325" s="19" t="inlineStr">
        <is>
          <t>FX revaluation at month-end rate</t>
        </is>
      </c>
      <c r="F325" s="19" t="inlineStr">
        <is>
          <t>Accounting</t>
        </is>
      </c>
      <c r="G325" s="19" t="inlineStr">
        <is>
          <t>Low</t>
        </is>
      </c>
      <c r="H325" s="19" t="inlineStr">
        <is>
          <t>USD balance.</t>
        </is>
      </c>
      <c r="I325" s="19" t="inlineStr">
        <is>
          <t>1. Run the close twice.</t>
        </is>
      </c>
      <c r="J325" s="19" t="inlineStr">
        <is>
          <t>USD at month-end rate</t>
        </is>
      </c>
      <c r="K325" s="19" t="inlineStr">
        <is>
          <t>Restated; rerun gives the same ledger.</t>
        </is>
      </c>
      <c r="L325" s="19" t="inlineStr">
        <is>
          <t>As expected.</t>
        </is>
      </c>
      <c r="M325" s="19" t="inlineStr">
        <is>
          <t>Pass</t>
        </is>
      </c>
      <c r="N325" s="19" t="inlineStr"/>
      <c r="O325" s="19" t="inlineStr">
        <is>
          <t>iorta TechNXT QA</t>
        </is>
      </c>
      <c r="P325" s="19" t="inlineStr">
        <is>
          <t>03 October 2026</t>
        </is>
      </c>
      <c r="Q325" s="19" t="inlineStr"/>
      <c r="R325" s="19" t="inlineStr">
        <is>
          <t>backend/test/period-end.test.js :: FX revaluation restates foreign-currency balances at the month-end rate; a rerun gives the same ledger [passed]</t>
        </is>
      </c>
    </row>
    <row r="326">
      <c r="A326" s="19" t="inlineStr">
        <is>
          <t>BV-PER-012</t>
        </is>
      </c>
      <c r="B326" s="19" t="inlineStr">
        <is>
          <t>Period end</t>
        </is>
      </c>
      <c r="C326" s="19" t="inlineStr">
        <is>
          <t>Financial Statements</t>
        </is>
      </c>
      <c r="D326" s="19" t="inlineStr">
        <is>
          <t>Accounting Officer (liza.quiambao)</t>
        </is>
      </c>
      <c r="E326" s="19" t="inlineStr">
        <is>
          <t>Income statement ties to TB; balance sheet balances</t>
        </is>
      </c>
      <c r="F326" s="19" t="inlineStr">
        <is>
          <t>Report</t>
        </is>
      </c>
      <c r="G326" s="19" t="inlineStr">
        <is>
          <t>High</t>
        </is>
      </c>
      <c r="H326" s="19" t="inlineStr">
        <is>
          <t>Closed months.</t>
        </is>
      </c>
      <c r="I326" s="19" t="inlineStr">
        <is>
          <t>1. Open Accounts &gt; Period End &gt; Financial Statements.</t>
        </is>
      </c>
      <c r="J326" s="19" t="inlineStr">
        <is>
          <t>Fiscal year 2026 to date</t>
        </is>
      </c>
      <c r="K326" s="19" t="inlineStr">
        <is>
          <t>Net income equals TB P&amp;L; balance sheet balances; YTD from fiscal year start.</t>
        </is>
      </c>
      <c r="L326" s="19" t="inlineStr">
        <is>
          <t>As expected.</t>
        </is>
      </c>
      <c r="M326" s="19" t="inlineStr">
        <is>
          <t>Pass</t>
        </is>
      </c>
      <c r="N326" s="19" t="inlineStr"/>
      <c r="O326" s="19" t="inlineStr">
        <is>
          <t>iorta TechNXT QA</t>
        </is>
      </c>
      <c r="P326" s="19" t="inlineStr">
        <is>
          <t>04 October 2026</t>
        </is>
      </c>
      <c r="Q326" s="19" t="inlineStr"/>
      <c r="R326" s="19" t="inlineStr">
        <is>
          <t>backend/test/period-end.test.js :: income statement net income = trial balance P&amp;L; the balance sheet balances [passed]
backend/test/period-end-calendar.test.js :: year to date of the income statement starts at the fiscal year start [passed]
UAT cycle 03-04 October 2026, phase Reports and dashboards (58 passed, 0 failed)
Screen check /accounts/period-end/statements: opened clean</t>
        </is>
      </c>
    </row>
    <row r="327">
      <c r="A327" s="19" t="inlineStr">
        <is>
          <t>BV-PER-013</t>
        </is>
      </c>
      <c r="B327" s="19" t="inlineStr">
        <is>
          <t>Period end</t>
        </is>
      </c>
      <c r="C327" s="19" t="inlineStr">
        <is>
          <t>Year-End Close</t>
        </is>
      </c>
      <c r="D327" s="19" t="inlineStr">
        <is>
          <t>Accounting Manager (teresa.villaroman)</t>
        </is>
      </c>
      <c r="E327" s="19" t="inlineStr">
        <is>
          <t>Year-end close needs all twelve periods closed</t>
        </is>
      </c>
      <c r="F327" s="19" t="inlineStr">
        <is>
          <t>Negative</t>
        </is>
      </c>
      <c r="G327" s="19" t="inlineStr">
        <is>
          <t>High</t>
        </is>
      </c>
      <c r="H327" s="19" t="inlineStr">
        <is>
          <t>Fiscal year with open periods.</t>
        </is>
      </c>
      <c r="I327" s="19" t="inlineStr">
        <is>
          <t>1. Open Year-End Close; Run the pre-checks.</t>
        </is>
      </c>
      <c r="J327" s="19" t="inlineStr">
        <is>
          <t>FY 2026</t>
        </is>
      </c>
      <c r="K327" s="19" t="inlineStr">
        <is>
          <t>Pre-checks fail until all 12 periods closed.</t>
        </is>
      </c>
      <c r="L327" s="19" t="inlineStr">
        <is>
          <t>As expected.</t>
        </is>
      </c>
      <c r="M327" s="19" t="inlineStr">
        <is>
          <t>Pass</t>
        </is>
      </c>
      <c r="N327" s="19" t="inlineStr"/>
      <c r="O327" s="19" t="inlineStr">
        <is>
          <t>iorta TechNXT QA</t>
        </is>
      </c>
      <c r="P327" s="19" t="inlineStr">
        <is>
          <t>03 October 2026</t>
        </is>
      </c>
      <c r="Q327" s="19" t="inlineStr"/>
      <c r="R327" s="19" t="inlineStr">
        <is>
          <t>backend/test/period-end.test.js :: pre-checks require all twelve periods closed [passed]
Screen check /accounts/period-end/year-end: opened clean</t>
        </is>
      </c>
    </row>
    <row r="328">
      <c r="A328" s="19" t="inlineStr">
        <is>
          <t>BV-PER-014</t>
        </is>
      </c>
      <c r="B328" s="19" t="inlineStr">
        <is>
          <t>Period end</t>
        </is>
      </c>
      <c r="C328" s="19" t="inlineStr">
        <is>
          <t>Year-End Close</t>
        </is>
      </c>
      <c r="D328" s="19" t="inlineStr">
        <is>
          <t>Accounting Manager (teresa.villaroman)</t>
        </is>
      </c>
      <c r="E328" s="19" t="inlineStr">
        <is>
          <t>Closing entries and opening balances of next year</t>
        </is>
      </c>
      <c r="F328" s="19" t="inlineStr">
        <is>
          <t>Accounting</t>
        </is>
      </c>
      <c r="G328" s="19" t="inlineStr">
        <is>
          <t>High</t>
        </is>
      </c>
      <c r="H328" s="19" t="inlineStr">
        <is>
          <t>All periods closed (test year).</t>
        </is>
      </c>
      <c r="I328" s="19" t="inlineStr">
        <is>
          <t>1. Click Close the year.
2. Read next year opening TB.</t>
        </is>
      </c>
      <c r="J328" s="19" t="inlineStr">
        <is>
          <t>FY 2026 into period 2026-13</t>
        </is>
      </c>
      <c r="K328" s="19" t="inlineStr">
        <is>
          <t>Income and expense zeroed to retained earnings; TB balanced; next year opening equals closing balance sheet.</t>
        </is>
      </c>
      <c r="L328" s="19" t="inlineStr">
        <is>
          <t>As expected.</t>
        </is>
      </c>
      <c r="M328" s="19" t="inlineStr">
        <is>
          <t>Pass</t>
        </is>
      </c>
      <c r="N328" s="19" t="inlineStr"/>
      <c r="O328" s="19" t="inlineStr">
        <is>
          <t>iorta TechNXT QA</t>
        </is>
      </c>
      <c r="P328" s="19" t="inlineStr">
        <is>
          <t>03 October 2026</t>
        </is>
      </c>
      <c r="Q328" s="19" t="inlineStr"/>
      <c r="R328" s="19" t="inlineStr">
        <is>
          <t>backend/test/period-end.test.js :: closing entries zero income and expense, move the result to retained earnings and keep the trial balance balanced [passed]
backend/test/period-end.test.js :: opening balances of the next year equal the closing balance-sheet balances and feed the trial balance [passed]
backend/test/period-end-calendar.test.js :: closes the April-March year into adjustment period 2026-13 [passed]</t>
        </is>
      </c>
    </row>
    <row r="329">
      <c r="A329" s="19" t="inlineStr">
        <is>
          <t>BV-PER-015</t>
        </is>
      </c>
      <c r="B329" s="19" t="inlineStr">
        <is>
          <t>Period end</t>
        </is>
      </c>
      <c r="C329" s="19" t="inlineStr">
        <is>
          <t>Year-End Close</t>
        </is>
      </c>
      <c r="D329" s="19" t="inlineStr">
        <is>
          <t>Accounting Manager (teresa.villaroman)</t>
        </is>
      </c>
      <c r="E329" s="19" t="inlineStr">
        <is>
          <t>Locked year refuses postings and reopening</t>
        </is>
      </c>
      <c r="F329" s="19" t="inlineStr">
        <is>
          <t>Negative</t>
        </is>
      </c>
      <c r="G329" s="19" t="inlineStr">
        <is>
          <t>Medium</t>
        </is>
      </c>
      <c r="H329" s="19" t="inlineStr">
        <is>
          <t>Year closed.</t>
        </is>
      </c>
      <c r="I329" s="19" t="inlineStr">
        <is>
          <t>1. Post into the year.
2. Reopen a period locked by year-end.</t>
        </is>
      </c>
      <c r="J329" s="19" t="inlineStr">
        <is>
          <t>JV dated 15 March 2027</t>
        </is>
      </c>
      <c r="K329" s="19" t="inlineStr">
        <is>
          <t>Postings refused; reopen answers 409 with a clear message; close reversible until next year's first period closes.</t>
        </is>
      </c>
      <c r="L329" s="19" t="inlineStr">
        <is>
          <t>As expected.</t>
        </is>
      </c>
      <c r="M329" s="19" t="inlineStr">
        <is>
          <t>Pass</t>
        </is>
      </c>
      <c r="N329" s="19" t="inlineStr"/>
      <c r="O329" s="19" t="inlineStr">
        <is>
          <t>iorta TechNXT QA</t>
        </is>
      </c>
      <c r="P329" s="19" t="inlineStr">
        <is>
          <t>03 October 2026</t>
        </is>
      </c>
      <c r="Q329" s="19" t="inlineStr"/>
      <c r="R329" s="19" t="inlineStr">
        <is>
          <t>backend/test/period-end.test.js :: a locked year refuses postings and reopening; the close is reversible until the next year's first period closes [passed]
backend/test/period-end.test.js :: reopening a period locked by the year-end close answers 409 with a clear message [passed]</t>
        </is>
      </c>
    </row>
    <row r="330">
      <c r="A330" s="19" t="inlineStr">
        <is>
          <t>BV-PER-016</t>
        </is>
      </c>
      <c r="B330" s="19" t="inlineStr">
        <is>
          <t>Period end</t>
        </is>
      </c>
      <c r="C330" s="19" t="inlineStr">
        <is>
          <t>Jobs</t>
        </is>
      </c>
      <c r="D330" s="19" t="inlineStr">
        <is>
          <t>Accounting Officer (liza.quiambao)</t>
        </is>
      </c>
      <c r="E330" s="19" t="inlineStr">
        <is>
          <t>Reminder, recurring, reversal and soft-close jobs</t>
        </is>
      </c>
      <c r="F330" s="19" t="inlineStr">
        <is>
          <t>Integration</t>
        </is>
      </c>
      <c r="G330" s="19" t="inlineStr">
        <is>
          <t>Low</t>
        </is>
      </c>
      <c r="H330" s="19" t="inlineStr">
        <is>
          <t>Schedules.</t>
        </is>
      </c>
      <c r="I330" s="19" t="inlineStr">
        <is>
          <t>1. Run each period-end job.</t>
        </is>
      </c>
      <c r="J330" s="19" t="inlineStr">
        <is>
          <t>None</t>
        </is>
      </c>
      <c r="K330" s="19" t="inlineStr">
        <is>
          <t>Each runs and records.</t>
        </is>
      </c>
      <c r="L330" s="19" t="inlineStr">
        <is>
          <t>As expected.</t>
        </is>
      </c>
      <c r="M330" s="19" t="inlineStr">
        <is>
          <t>Pass</t>
        </is>
      </c>
      <c r="N330" s="19" t="inlineStr"/>
      <c r="O330" s="19" t="inlineStr">
        <is>
          <t>iorta TechNXT QA</t>
        </is>
      </c>
      <c r="P330" s="19" t="inlineStr">
        <is>
          <t>03 October 2026</t>
        </is>
      </c>
      <c r="Q330" s="19" t="inlineStr"/>
      <c r="R330" s="19" t="inlineStr">
        <is>
          <t>backend/test/period-end.test.js :: run the reminder, recurring, reversal and auto soft-close jobs [passed]</t>
        </is>
      </c>
    </row>
    <row r="331">
      <c r="A331" s="19" t="inlineStr">
        <is>
          <t>BV-BNK-001</t>
        </is>
      </c>
      <c r="B331" s="19" t="inlineStr">
        <is>
          <t>Bank reconciliation</t>
        </is>
      </c>
      <c r="C331" s="19" t="inlineStr">
        <is>
          <t>Set-up</t>
        </is>
      </c>
      <c r="D331" s="19" t="inlineStr">
        <is>
          <t>Accounting Officer (liza.quiambao)</t>
        </is>
      </c>
      <c r="E331" s="19" t="inlineStr">
        <is>
          <t>Link the bank account to its GL cash account</t>
        </is>
      </c>
      <c r="F331" s="19" t="inlineStr">
        <is>
          <t>Functional</t>
        </is>
      </c>
      <c r="G331" s="19" t="inlineStr">
        <is>
          <t>High</t>
        </is>
      </c>
      <c r="H331" s="19" t="inlineStr">
        <is>
          <t>Bank account BDO-OPS.</t>
        </is>
      </c>
      <c r="I331" s="19" t="inlineStr">
        <is>
          <t>1. Open Accounts &gt; Bank Reconciliation &gt; Reconciliation Workspace.
2. Link BDO-OPS to GL 1102001, format BDO-SAMPLE, reconcile from 01 May 2026.</t>
        </is>
      </c>
      <c r="J331" s="19" t="inlineStr">
        <is>
          <t>BDO-OPS; 1102001</t>
        </is>
      </c>
      <c r="K331" s="19" t="inlineStr">
        <is>
          <t>Linked; finance reads; agents may not.</t>
        </is>
      </c>
      <c r="L331" s="19" t="inlineStr">
        <is>
          <t>As expected.</t>
        </is>
      </c>
      <c r="M331" s="19" t="inlineStr">
        <is>
          <t>Pass</t>
        </is>
      </c>
      <c r="N331" s="19" t="inlineStr"/>
      <c r="O331" s="19" t="inlineStr">
        <is>
          <t>iorta TechNXT QA</t>
        </is>
      </c>
      <c r="P331" s="19" t="inlineStr">
        <is>
          <t>04 October 2026</t>
        </is>
      </c>
      <c r="Q331" s="19" t="inlineStr"/>
      <c r="R331" s="19" t="inlineStr">
        <is>
          <t>backend/test/bank-reconciliation.test.js :: links the bank account to its GL cash account; finance reads, agents may not [passed]
UAT cycle 03-04 October 2026, phase Set-up (46 passed, 0 failed)
Screen check /accounts/bank-reconciliation: opened clean</t>
        </is>
      </c>
    </row>
    <row r="332">
      <c r="A332" s="19" t="inlineStr">
        <is>
          <t>BV-BNK-002</t>
        </is>
      </c>
      <c r="B332" s="19" t="inlineStr">
        <is>
          <t>Bank reconciliation</t>
        </is>
      </c>
      <c r="C332" s="19" t="inlineStr">
        <is>
          <t>Import</t>
        </is>
      </c>
      <c r="D332" s="19" t="inlineStr">
        <is>
          <t>Accounting Officer (liza.quiambao)</t>
        </is>
      </c>
      <c r="E332" s="19" t="inlineStr">
        <is>
          <t>Preview and import a BDO statement</t>
        </is>
      </c>
      <c r="F332" s="19" t="inlineStr">
        <is>
          <t>Functional</t>
        </is>
      </c>
      <c r="G332" s="19" t="inlineStr">
        <is>
          <t>High</t>
        </is>
      </c>
      <c r="H332" s="19" t="inlineStr">
        <is>
          <t>BDO export CSV for 2026-08.</t>
        </is>
      </c>
      <c r="I332" s="19" t="inlineStr">
        <is>
          <t>1. Click Import statement; choose BDO-SAMPLE; Preview.
2. Import with opening and closing balances.</t>
        </is>
      </c>
      <c r="J332" s="19" t="inlineStr">
        <is>
          <t>bdo-2026-08.csv; Philippine date and amount formats</t>
        </is>
      </c>
      <c r="K332" s="19" t="inlineStr">
        <is>
          <t>Preview shows lines, totals, balance check, suggested types; import auto-matches.</t>
        </is>
      </c>
      <c r="L332" s="19" t="inlineStr">
        <is>
          <t>6 statements, 78 lines; 56 matched by rules.</t>
        </is>
      </c>
      <c r="M332" s="19" t="inlineStr">
        <is>
          <t>Pass</t>
        </is>
      </c>
      <c r="N332" s="19" t="inlineStr"/>
      <c r="O332" s="19" t="inlineStr">
        <is>
          <t>iorta TechNXT QA</t>
        </is>
      </c>
      <c r="P332" s="19" t="inlineStr">
        <is>
          <t>04 October 2026</t>
        </is>
      </c>
      <c r="Q332" s="19" t="inlineStr"/>
      <c r="R332" s="19" t="inlineStr">
        <is>
          <t>backend/test/bank-reconciliation.test.js :: reads Philippine bank date and amount formats [passed]
backend/test/bank-reconciliation.test.js :: previews a file: lines, totals, balance check and suggested transaction types [passed]
backend/test/bank-reconciliation.test.js :: imports the statement and auto-matches: reference, amount + date window, 1:many, many:1 and book contra [passed]
UAT cycle 03-04 October 2026, phase Reconciliation: bank and insurer statements (10 passed, 0 failed)</t>
        </is>
      </c>
    </row>
    <row r="333">
      <c r="A333" s="19" t="inlineStr">
        <is>
          <t>BV-BNK-003</t>
        </is>
      </c>
      <c r="B333" s="19" t="inlineStr">
        <is>
          <t>Bank reconciliation</t>
        </is>
      </c>
      <c r="C333" s="19" t="inlineStr">
        <is>
          <t>Import</t>
        </is>
      </c>
      <c r="D333" s="19" t="inlineStr">
        <is>
          <t>Accounting Officer (liza.quiambao)</t>
        </is>
      </c>
      <c r="E333" s="19" t="inlineStr">
        <is>
          <t>Unbalanced statement refused</t>
        </is>
      </c>
      <c r="F333" s="19" t="inlineStr">
        <is>
          <t>Negative</t>
        </is>
      </c>
      <c r="G333" s="19" t="inlineStr">
        <is>
          <t>High</t>
        </is>
      </c>
      <c r="H333" s="19" t="inlineStr">
        <is>
          <t>Statement whose running balance does not tie.</t>
        </is>
      </c>
      <c r="I333" s="19" t="inlineStr">
        <is>
          <t>1. Preview.</t>
        </is>
      </c>
      <c r="J333" s="19" t="inlineStr">
        <is>
          <t>Closing off by PHP 150.00</t>
        </is>
      </c>
      <c r="K333" s="19" t="inlineStr">
        <is>
          <t>Refused.</t>
        </is>
      </c>
      <c r="L333" s="19" t="inlineStr">
        <is>
          <t>As expected.</t>
        </is>
      </c>
      <c r="M333" s="19" t="inlineStr">
        <is>
          <t>Pass</t>
        </is>
      </c>
      <c r="N333" s="19" t="inlineStr"/>
      <c r="O333" s="19" t="inlineStr">
        <is>
          <t>iorta TechNXT QA</t>
        </is>
      </c>
      <c r="P333" s="19" t="inlineStr">
        <is>
          <t>03 October 2026</t>
        </is>
      </c>
      <c r="Q333" s="19" t="inlineStr"/>
      <c r="R333" s="19" t="inlineStr">
        <is>
          <t>backend/test/bank-reconciliation.test.js :: refuses a statement that does not balance [passed]</t>
        </is>
      </c>
    </row>
    <row r="334">
      <c r="A334" s="19" t="inlineStr">
        <is>
          <t>BV-BNK-004</t>
        </is>
      </c>
      <c r="B334" s="19" t="inlineStr">
        <is>
          <t>Bank reconciliation</t>
        </is>
      </c>
      <c r="C334" s="19" t="inlineStr">
        <is>
          <t>Import</t>
        </is>
      </c>
      <c r="D334" s="19" t="inlineStr">
        <is>
          <t>Accounting Officer (liza.quiambao)</t>
        </is>
      </c>
      <c r="E334" s="19" t="inlineStr">
        <is>
          <t>Duplicate file and overlapping lines detected</t>
        </is>
      </c>
      <c r="F334" s="19" t="inlineStr">
        <is>
          <t>Negative</t>
        </is>
      </c>
      <c r="G334" s="19" t="inlineStr">
        <is>
          <t>High</t>
        </is>
      </c>
      <c r="H334" s="19" t="inlineStr">
        <is>
          <t>Statement already imported.</t>
        </is>
      </c>
      <c r="I334" s="19" t="inlineStr">
        <is>
          <t>1. Import the same file again.
2. Import an overlapping statement.</t>
        </is>
      </c>
      <c r="J334" s="19" t="inlineStr">
        <is>
          <t>bdo-2026-08.csv</t>
        </is>
      </c>
      <c r="K334" s="19" t="inlineStr">
        <is>
          <t>File imported twice detected; duplicate lines flagged.</t>
        </is>
      </c>
      <c r="L334" s="19" t="inlineStr">
        <is>
          <t>As expected.</t>
        </is>
      </c>
      <c r="M334" s="19" t="inlineStr">
        <is>
          <t>Pass</t>
        </is>
      </c>
      <c r="N334" s="19" t="inlineStr"/>
      <c r="O334" s="19" t="inlineStr">
        <is>
          <t>iorta TechNXT QA</t>
        </is>
      </c>
      <c r="P334" s="19" t="inlineStr">
        <is>
          <t>03 October 2026</t>
        </is>
      </c>
      <c r="Q334" s="19" t="inlineStr"/>
      <c r="R334" s="19" t="inlineStr">
        <is>
          <t>backend/test/bank-reconciliation.test.js :: detects a file imported twice and duplicate lines of an overlapping statement (custom format with title rows) [passed]</t>
        </is>
      </c>
    </row>
    <row r="335">
      <c r="A335" s="19" t="inlineStr">
        <is>
          <t>BV-BNK-005</t>
        </is>
      </c>
      <c r="B335" s="19" t="inlineStr">
        <is>
          <t>Bank reconciliation</t>
        </is>
      </c>
      <c r="C335" s="19" t="inlineStr">
        <is>
          <t>Matching</t>
        </is>
      </c>
      <c r="D335" s="19" t="inlineStr">
        <is>
          <t>Accounting Officer (liza.quiambao)</t>
        </is>
      </c>
      <c r="E335" s="19" t="inlineStr">
        <is>
          <t>Manual match and unmatch audited</t>
        </is>
      </c>
      <c r="F335" s="19" t="inlineStr">
        <is>
          <t>Functional</t>
        </is>
      </c>
      <c r="G335" s="19" t="inlineStr">
        <is>
          <t>High</t>
        </is>
      </c>
      <c r="H335" s="19" t="inlineStr">
        <is>
          <t>Late deposit without reference.</t>
        </is>
      </c>
      <c r="I335" s="19" t="inlineStr">
        <is>
          <t>1. Select bank line and book entry; Match selected with remarks.
2. Unmatch.</t>
        </is>
      </c>
      <c r="J335" s="19" t="inlineStr">
        <is>
          <t>Remarks: Matched to the deposit slip / cheque register</t>
        </is>
      </c>
      <c r="K335" s="19" t="inlineStr">
        <is>
          <t>Recorded and audited.</t>
        </is>
      </c>
      <c r="L335" s="19" t="inlineStr">
        <is>
          <t>5 lines matched by hand.</t>
        </is>
      </c>
      <c r="M335" s="19" t="inlineStr">
        <is>
          <t>Pass</t>
        </is>
      </c>
      <c r="N335" s="19" t="inlineStr"/>
      <c r="O335" s="19" t="inlineStr">
        <is>
          <t>iorta TechNXT QA</t>
        </is>
      </c>
      <c r="P335" s="19" t="inlineStr">
        <is>
          <t>04 October 2026</t>
        </is>
      </c>
      <c r="Q335" s="19" t="inlineStr"/>
      <c r="R335" s="19" t="inlineStr">
        <is>
          <t>backend/test/bank-reconciliation.test.js :: manual match and unmatch are recorded and audited [passed]
UAT cycle 03-04 October 2026, phase Reconciliation: bank and insurer statements (10 passed, 0 failed)</t>
        </is>
      </c>
    </row>
    <row r="336">
      <c r="A336" s="19" t="inlineStr">
        <is>
          <t>BV-BNK-006</t>
        </is>
      </c>
      <c r="B336" s="19" t="inlineStr">
        <is>
          <t>Bank reconciliation</t>
        </is>
      </c>
      <c r="C336" s="19" t="inlineStr">
        <is>
          <t>Adjustments</t>
        </is>
      </c>
      <c r="D336" s="19" t="inlineStr">
        <is>
          <t>Accounting Officer (liza.quiambao)</t>
        </is>
      </c>
      <c r="E336" s="19" t="inlineStr">
        <is>
          <t>Bank charge, interest and final tax adjustments</t>
        </is>
      </c>
      <c r="F336" s="19" t="inlineStr">
        <is>
          <t>Accounting</t>
        </is>
      </c>
      <c r="G336" s="19" t="inlineStr">
        <is>
          <t>High</t>
        </is>
      </c>
      <c r="H336" s="19" t="inlineStr">
        <is>
          <t>Bank-only lines.</t>
        </is>
      </c>
      <c r="I336" s="19" t="inlineStr">
        <is>
          <t>1. Click Create adjustment on SERVICE CHARGE (BCHG), INTEREST CREDIT (INT), W/TAX ON INTEREST (FTAX).</t>
        </is>
      </c>
      <c r="J336" s="19" t="inlineStr">
        <is>
          <t>BCHG PHP 150.00</t>
        </is>
      </c>
      <c r="K336" s="19" t="inlineStr">
        <is>
          <t>Balanced journals posted and matched; direction must fit the type.</t>
        </is>
      </c>
      <c r="L336" s="19" t="inlineStr">
        <is>
          <t>15 adjustments booked.</t>
        </is>
      </c>
      <c r="M336" s="19" t="inlineStr">
        <is>
          <t>Pass</t>
        </is>
      </c>
      <c r="N336" s="19" t="inlineStr"/>
      <c r="O336" s="19" t="inlineStr">
        <is>
          <t>iorta TechNXT QA</t>
        </is>
      </c>
      <c r="P336" s="19" t="inlineStr">
        <is>
          <t>04 October 2026</t>
        </is>
      </c>
      <c r="Q336" s="19" t="inlineStr"/>
      <c r="R336" s="19" t="inlineStr">
        <is>
          <t>backend/test/bank-reconciliation.test.js :: posts a balanced bank charge journal from the bank line and matches it; the direction must fit the type [passed]
backend/test/bank-reconciliation.test.js :: a difference is explained by an adjustment journal of a bank transaction type [passed]
UAT cycle 03-04 October 2026, phase Reconciliation: bank and insurer statements (10 passed, 0 failed)</t>
        </is>
      </c>
    </row>
    <row r="337">
      <c r="A337" s="19" t="inlineStr">
        <is>
          <t>BV-BNK-007</t>
        </is>
      </c>
      <c r="B337" s="19" t="inlineStr">
        <is>
          <t>Bank reconciliation</t>
        </is>
      </c>
      <c r="C337" s="19" t="inlineStr">
        <is>
          <t>Adjustments</t>
        </is>
      </c>
      <c r="D337" s="19" t="inlineStr">
        <is>
          <t>Accounting Manager (teresa.villaroman)</t>
        </is>
      </c>
      <c r="E337" s="19" t="inlineStr">
        <is>
          <t>Adjustment type needing approval</t>
        </is>
      </c>
      <c r="F337" s="19" t="inlineStr">
        <is>
          <t>Negative</t>
        </is>
      </c>
      <c r="G337" s="19" t="inlineStr">
        <is>
          <t>Medium</t>
        </is>
      </c>
      <c r="H337" s="19" t="inlineStr">
        <is>
          <t>Type requires approval.</t>
        </is>
      </c>
      <c r="I337" s="19" t="inlineStr">
        <is>
          <t>1. Create adjustment; second user posts it.</t>
        </is>
      </c>
      <c r="J337" s="19" t="inlineStr">
        <is>
          <t>Type with approval</t>
        </is>
      </c>
      <c r="K337" s="19" t="inlineStr">
        <is>
          <t>Journal for approval; second user posts; matched.</t>
        </is>
      </c>
      <c r="L337" s="19" t="inlineStr">
        <is>
          <t>As expected.</t>
        </is>
      </c>
      <c r="M337" s="19" t="inlineStr">
        <is>
          <t>Pass</t>
        </is>
      </c>
      <c r="N337" s="19" t="inlineStr"/>
      <c r="O337" s="19" t="inlineStr">
        <is>
          <t>iorta TechNXT QA</t>
        </is>
      </c>
      <c r="P337" s="19" t="inlineStr">
        <is>
          <t>03 October 2026</t>
        </is>
      </c>
      <c r="Q337" s="19" t="inlineStr"/>
      <c r="R337" s="19" t="inlineStr">
        <is>
          <t>backend/test/bank-reconciliation.test.js :: a type that requires approval creates the journal for approval; a second user posts it and it is matched [passed]</t>
        </is>
      </c>
    </row>
    <row r="338">
      <c r="A338" s="19" t="inlineStr">
        <is>
          <t>BV-BNK-008</t>
        </is>
      </c>
      <c r="B338" s="19" t="inlineStr">
        <is>
          <t>Bank reconciliation</t>
        </is>
      </c>
      <c r="C338" s="19" t="inlineStr">
        <is>
          <t>Statement</t>
        </is>
      </c>
      <c r="D338" s="19" t="inlineStr">
        <is>
          <t>Accounting Officer (liza.quiambao)</t>
        </is>
      </c>
      <c r="E338" s="19" t="inlineStr">
        <is>
          <t>Bank reconciliation statement agrees</t>
        </is>
      </c>
      <c r="F338" s="19" t="inlineStr">
        <is>
          <t>Accounting</t>
        </is>
      </c>
      <c r="G338" s="19" t="inlineStr">
        <is>
          <t>High</t>
        </is>
      </c>
      <c r="H338" s="19" t="inlineStr">
        <is>
          <t>Month matched.</t>
        </is>
      </c>
      <c r="I338" s="19" t="inlineStr">
        <is>
          <t>1. Click New reconciliation for 2026-08.</t>
        </is>
      </c>
      <c r="J338" s="19" t="inlineStr">
        <is>
          <t>Deposits in transit; outstanding cheques</t>
        </is>
      </c>
      <c r="K338" s="19" t="inlineStr">
        <is>
          <t>Balances agree; difference zero required to prepare.</t>
        </is>
      </c>
      <c r="L338" s="19" t="inlineStr">
        <is>
          <t>As expected.</t>
        </is>
      </c>
      <c r="M338" s="19" t="inlineStr">
        <is>
          <t>Pass</t>
        </is>
      </c>
      <c r="N338" s="19" t="inlineStr"/>
      <c r="O338" s="19" t="inlineStr">
        <is>
          <t>iorta TechNXT QA</t>
        </is>
      </c>
      <c r="P338" s="19" t="inlineStr">
        <is>
          <t>04 October 2026</t>
        </is>
      </c>
      <c r="Q338" s="19" t="inlineStr"/>
      <c r="R338" s="19" t="inlineStr">
        <is>
          <t>backend/test/bank-reconciliation.test.js :: computes the Bank Reconciliation Statement: deposits in transit, outstanding cheques, balances agree [passed]
backend/test/bank-reconciliation.test.js :: bank errors and unbooked items are reconciling items; the difference must be zero to prepare [passed]
UAT cycle 03-04 October 2026, phase Reconciliation: bank and insurer statements (10 passed, 0 failed)</t>
        </is>
      </c>
    </row>
    <row r="339">
      <c r="A339" s="19" t="inlineStr">
        <is>
          <t>BV-BNK-009</t>
        </is>
      </c>
      <c r="B339" s="19" t="inlineStr">
        <is>
          <t>Bank reconciliation</t>
        </is>
      </c>
      <c r="C339" s="19" t="inlineStr">
        <is>
          <t>Approval</t>
        </is>
      </c>
      <c r="D339" s="19" t="inlineStr">
        <is>
          <t>Accounting Manager (teresa.villaroman)</t>
        </is>
      </c>
      <c r="E339" s="19" t="inlineStr">
        <is>
          <t>Prepare and approve with maker-checker; approval locks</t>
        </is>
      </c>
      <c r="F339" s="19" t="inlineStr">
        <is>
          <t>Negative</t>
        </is>
      </c>
      <c r="G339" s="19" t="inlineStr">
        <is>
          <t>High</t>
        </is>
      </c>
      <c r="H339" s="19" t="inlineStr">
        <is>
          <t>Reconciliation prepared by liza.quiambao.</t>
        </is>
      </c>
      <c r="I339" s="19" t="inlineStr">
        <is>
          <t>1. As maker approve.
2. As teresa.villaroman approve.
3. Reopen without remarks.</t>
        </is>
      </c>
      <c r="J339" s="19" t="inlineStr">
        <is>
          <t>Remarks: Reviewed with the bank statement</t>
        </is>
      </c>
      <c r="K339" s="19" t="inlineStr">
        <is>
          <t>Maker refused; approved and locked; reopen needs approver and remarks.</t>
        </is>
      </c>
      <c r="L339" s="19" t="inlineStr">
        <is>
          <t>5 reconciliations approved.</t>
        </is>
      </c>
      <c r="M339" s="19" t="inlineStr">
        <is>
          <t>Pass</t>
        </is>
      </c>
      <c r="N339" s="19" t="inlineStr"/>
      <c r="O339" s="19" t="inlineStr">
        <is>
          <t>iorta TechNXT QA</t>
        </is>
      </c>
      <c r="P339" s="19" t="inlineStr">
        <is>
          <t>04 October 2026</t>
        </is>
      </c>
      <c r="Q339" s="19" t="inlineStr"/>
      <c r="R339" s="19" t="inlineStr">
        <is>
          <t>backend/test/bank-reconciliation.test.js :: prepare -&gt; approve with maker-checker; approval locks the matches; reopen needs an approver and remarks [passed]
UAT cycle 03-04 October 2026, phase Reconciliation: bank and insurer statements (10 passed, 0 failed)
Screen check /accounts/bank-reconciliation/reconciliations: opened clean</t>
        </is>
      </c>
    </row>
    <row r="340">
      <c r="A340" s="19" t="inlineStr">
        <is>
          <t>BV-BNK-010</t>
        </is>
      </c>
      <c r="B340" s="19" t="inlineStr">
        <is>
          <t>Bank reconciliation</t>
        </is>
      </c>
      <c r="C340" s="19" t="inlineStr">
        <is>
          <t>Print</t>
        </is>
      </c>
      <c r="D340" s="19" t="inlineStr">
        <is>
          <t>Accounting Officer (liza.quiambao)</t>
        </is>
      </c>
      <c r="E340" s="19" t="inlineStr">
        <is>
          <t>Print the statement as PDF</t>
        </is>
      </c>
      <c r="F340" s="19" t="inlineStr">
        <is>
          <t>Report</t>
        </is>
      </c>
      <c r="G340" s="19" t="inlineStr">
        <is>
          <t>Medium</t>
        </is>
      </c>
      <c r="H340" s="19" t="inlineStr">
        <is>
          <t>Approved reconciliation.</t>
        </is>
      </c>
      <c r="I340" s="19" t="inlineStr">
        <is>
          <t>1. Print.</t>
        </is>
      </c>
      <c r="J340" s="19" t="inlineStr">
        <is>
          <t>2026-08</t>
        </is>
      </c>
      <c r="K340" s="19" t="inlineStr">
        <is>
          <t>PDF downloads.</t>
        </is>
      </c>
      <c r="L340" s="19" t="inlineStr">
        <is>
          <t>As expected.</t>
        </is>
      </c>
      <c r="M340" s="19" t="inlineStr">
        <is>
          <t>Pass</t>
        </is>
      </c>
      <c r="N340" s="19" t="inlineStr"/>
      <c r="O340" s="19" t="inlineStr">
        <is>
          <t>iorta TechNXT QA</t>
        </is>
      </c>
      <c r="P340" s="19" t="inlineStr">
        <is>
          <t>03 October 2026</t>
        </is>
      </c>
      <c r="Q340" s="19" t="inlineStr"/>
      <c r="R340" s="19" t="inlineStr">
        <is>
          <t>backend/test/bank-reconciliation.test.js :: prints the statement as PDF [passed]</t>
        </is>
      </c>
    </row>
    <row r="341">
      <c r="A341" s="19" t="inlineStr">
        <is>
          <t>BV-BNK-011</t>
        </is>
      </c>
      <c r="B341" s="19" t="inlineStr">
        <is>
          <t>Bank reconciliation</t>
        </is>
      </c>
      <c r="C341" s="19" t="inlineStr">
        <is>
          <t>Stale cheques</t>
        </is>
      </c>
      <c r="D341" s="19" t="inlineStr">
        <is>
          <t>Accounting Officer (liza.quiambao)</t>
        </is>
      </c>
      <c r="E341" s="19" t="inlineStr">
        <is>
          <t>Stale cheques flagged and cancelled</t>
        </is>
      </c>
      <c r="F341" s="19" t="inlineStr">
        <is>
          <t>Accounting</t>
        </is>
      </c>
      <c r="G341" s="19" t="inlineStr">
        <is>
          <t>Medium</t>
        </is>
      </c>
      <c r="H341" s="19" t="inlineStr">
        <is>
          <t>Cheque outstanding beyond stale period.</t>
        </is>
      </c>
      <c r="I341" s="19" t="inlineStr">
        <is>
          <t>1. Cancel it.</t>
        </is>
      </c>
      <c r="J341" s="19" t="inlineStr">
        <is>
          <t>Cheque older than 180 days</t>
        </is>
      </c>
      <c r="K341" s="19" t="inlineStr">
        <is>
          <t>Reversal posted and contra matched.</t>
        </is>
      </c>
      <c r="L341" s="19" t="inlineStr">
        <is>
          <t>As expected.</t>
        </is>
      </c>
      <c r="M341" s="19" t="inlineStr">
        <is>
          <t>Pass</t>
        </is>
      </c>
      <c r="N341" s="19" t="inlineStr"/>
      <c r="O341" s="19" t="inlineStr">
        <is>
          <t>iorta TechNXT QA</t>
        </is>
      </c>
      <c r="P341" s="19" t="inlineStr">
        <is>
          <t>03 October 2026</t>
        </is>
      </c>
      <c r="Q341" s="19" t="inlineStr"/>
      <c r="R341" s="19" t="inlineStr">
        <is>
          <t>backend/test/bank-reconciliation.test.js :: flags cheques outstanding beyond the stale period and cancels them (reversal, contra match) [passed]</t>
        </is>
      </c>
    </row>
    <row r="342">
      <c r="A342" s="19" t="inlineStr">
        <is>
          <t>BV-BNK-012</t>
        </is>
      </c>
      <c r="B342" s="19" t="inlineStr">
        <is>
          <t>Bank reconciliation</t>
        </is>
      </c>
      <c r="C342" s="19" t="inlineStr">
        <is>
          <t>Reports</t>
        </is>
      </c>
      <c r="D342" s="19" t="inlineStr">
        <is>
          <t>Accounting Officer (liza.quiambao)</t>
        </is>
      </c>
      <c r="E342" s="19" t="inlineStr">
        <is>
          <t>Bank reconciliation reports</t>
        </is>
      </c>
      <c r="F342" s="19" t="inlineStr">
        <is>
          <t>Report</t>
        </is>
      </c>
      <c r="G342" s="19" t="inlineStr">
        <is>
          <t>Medium</t>
        </is>
      </c>
      <c r="H342" s="19" t="inlineStr">
        <is>
          <t>Data from the cycle.</t>
        </is>
      </c>
      <c r="I342" s="19" t="inlineStr">
        <is>
          <t>1. Open Reconciliation Statement Report, Outstanding Cheques, Deposits in Transit, Unmatched Bank Lines, Bank Book.</t>
        </is>
      </c>
      <c r="J342" s="19" t="inlineStr">
        <is>
          <t>BDO-OPS; May to October 2026</t>
        </is>
      </c>
      <c r="K342" s="19" t="inlineStr">
        <is>
          <t>Rows: statement 5, outstanding cheques 7, deposits in transit 4, unmatched 2, bank book 88.</t>
        </is>
      </c>
      <c r="L342" s="19" t="inlineStr">
        <is>
          <t>As expected.</t>
        </is>
      </c>
      <c r="M342" s="19" t="inlineStr">
        <is>
          <t>Pass</t>
        </is>
      </c>
      <c r="N342" s="19" t="inlineStr"/>
      <c r="O342" s="19" t="inlineStr">
        <is>
          <t>iorta TechNXT QA</t>
        </is>
      </c>
      <c r="P342" s="19" t="inlineStr">
        <is>
          <t>04 October 2026</t>
        </is>
      </c>
      <c r="Q342" s="19" t="inlineStr"/>
      <c r="R342" s="19" t="inlineStr">
        <is>
          <t>backend/test/bank-reconciliation.test.js :: runs the bank reconciliation reports [passed]
UAT cycle 03-04 October 2026, phase Reports and dashboards (58 passed, 0 failed)
Screen check /accounts/bank-reconciliation/reports/bank-reconciliation-statement: opened clean
Screen check /accounts/bank-reconciliation/reports/bank-outstanding-cheques: opened clean
Screen check /accounts/bank-reconciliation/reports/bank-deposits-in-transit: opened clean
Screen check /accounts/bank-reconciliation/reports/bank-unmatched-lines: opened clean
Screen check /accounts/bank-reconciliation/reports/bank-book: opened clean</t>
        </is>
      </c>
    </row>
    <row r="343">
      <c r="A343" s="19" t="inlineStr">
        <is>
          <t>BV-BNK-013</t>
        </is>
      </c>
      <c r="B343" s="19" t="inlineStr">
        <is>
          <t>Bank reconciliation</t>
        </is>
      </c>
      <c r="C343" s="19" t="inlineStr">
        <is>
          <t>Close check</t>
        </is>
      </c>
      <c r="D343" s="19" t="inlineStr">
        <is>
          <t>Accounting Manager (teresa.villaroman)</t>
        </is>
      </c>
      <c r="E343" s="19" t="inlineStr">
        <is>
          <t>Unreconciled bank blocks the close</t>
        </is>
      </c>
      <c r="F343" s="19" t="inlineStr">
        <is>
          <t>Integration</t>
        </is>
      </c>
      <c r="G343" s="19" t="inlineStr">
        <is>
          <t>High</t>
        </is>
      </c>
      <c r="H343" s="19" t="inlineStr">
        <is>
          <t>Account with activity and no approved reconciliation.</t>
        </is>
      </c>
      <c r="I343" s="19" t="inlineStr">
        <is>
          <t>1. Run the month-end close.</t>
        </is>
      </c>
      <c r="J343" s="19" t="inlineStr">
        <is>
          <t>MBT-COL</t>
        </is>
      </c>
      <c r="K343" s="19" t="inlineStr">
        <is>
          <t>Check unreconciled_bank fails; blocking stops the close.</t>
        </is>
      </c>
      <c r="L343" s="19" t="inlineStr">
        <is>
          <t>As expected.</t>
        </is>
      </c>
      <c r="M343" s="19" t="inlineStr">
        <is>
          <t>Pass</t>
        </is>
      </c>
      <c r="N343" s="19" t="inlineStr"/>
      <c r="O343" s="19" t="inlineStr">
        <is>
          <t>iorta TechNXT QA</t>
        </is>
      </c>
      <c r="P343" s="19" t="inlineStr">
        <is>
          <t>03 October 2026</t>
        </is>
      </c>
      <c r="Q343" s="19" t="inlineStr"/>
      <c r="R343" s="19" t="inlineStr">
        <is>
          <t>backend/test/bank-reconciliation.test.js :: the unreconciled_bank check fails for accounts with activity and no approved reconciliation; blocking stops the close [passed]</t>
        </is>
      </c>
    </row>
    <row r="344">
      <c r="A344" s="19" t="inlineStr">
        <is>
          <t>BV-BNK-014</t>
        </is>
      </c>
      <c r="B344" s="19" t="inlineStr">
        <is>
          <t>Bank reconciliation</t>
        </is>
      </c>
      <c r="C344" s="19" t="inlineStr">
        <is>
          <t>Scheduled match</t>
        </is>
      </c>
      <c r="D344" s="19" t="inlineStr">
        <is>
          <t>Accounting Officer (liza.quiambao)</t>
        </is>
      </c>
      <c r="E344" s="19" t="inlineStr">
        <is>
          <t>Scheduled auto-match job</t>
        </is>
      </c>
      <c r="F344" s="19" t="inlineStr">
        <is>
          <t>Integration</t>
        </is>
      </c>
      <c r="G344" s="19" t="inlineStr">
        <is>
          <t>Low</t>
        </is>
      </c>
      <c r="H344" s="19" t="inlineStr">
        <is>
          <t>Linked accounts.</t>
        </is>
      </c>
      <c r="I344" s="19" t="inlineStr">
        <is>
          <t>1. Run the job.</t>
        </is>
      </c>
      <c r="J344" s="19" t="inlineStr">
        <is>
          <t>BDO-OPS, MBT-COL</t>
        </is>
      </c>
      <c r="K344" s="19" t="inlineStr">
        <is>
          <t>Runs over linked accounts.</t>
        </is>
      </c>
      <c r="L344" s="19" t="inlineStr">
        <is>
          <t>As expected.</t>
        </is>
      </c>
      <c r="M344" s="19" t="inlineStr">
        <is>
          <t>Pass</t>
        </is>
      </c>
      <c r="N344" s="19" t="inlineStr"/>
      <c r="O344" s="19" t="inlineStr">
        <is>
          <t>iorta TechNXT QA</t>
        </is>
      </c>
      <c r="P344" s="19" t="inlineStr">
        <is>
          <t>03 October 2026</t>
        </is>
      </c>
      <c r="Q344" s="19" t="inlineStr"/>
      <c r="R344" s="19" t="inlineStr">
        <is>
          <t>backend/test/bank-reconciliation.test.js :: the scheduled auto-match job runs over the linked accounts [passed]</t>
        </is>
      </c>
    </row>
    <row r="345">
      <c r="A345" s="19" t="inlineStr">
        <is>
          <t>BV-BNK-015</t>
        </is>
      </c>
      <c r="B345" s="19" t="inlineStr">
        <is>
          <t>Bank reconciliation</t>
        </is>
      </c>
      <c r="C345" s="19" t="inlineStr">
        <is>
          <t>Masters</t>
        </is>
      </c>
      <c r="D345" s="19" t="inlineStr">
        <is>
          <t>Accounting Officer (liza.quiambao)</t>
        </is>
      </c>
      <c r="E345" s="19" t="inlineStr">
        <is>
          <t>Bank statement formats and transaction types</t>
        </is>
      </c>
      <c r="F345" s="19" t="inlineStr">
        <is>
          <t>Functional</t>
        </is>
      </c>
      <c r="G345" s="19" t="inlineStr">
        <is>
          <t>Low</t>
        </is>
      </c>
      <c r="H345" s="19" t="inlineStr">
        <is>
          <t>Masters.</t>
        </is>
      </c>
      <c r="I345" s="19" t="inlineStr">
        <is>
          <t>1. Open Master &gt; Finance &gt; Bank Statement Formats; add a custom format with title rows.
2. Open Bank Transaction Types.</t>
        </is>
      </c>
      <c r="J345" s="19" t="inlineStr">
        <is>
          <t>Custom format</t>
        </is>
      </c>
      <c r="K345" s="19" t="inlineStr">
        <is>
          <t>Saved and used by import.</t>
        </is>
      </c>
      <c r="L345" s="19" t="inlineStr">
        <is>
          <t>As expected.</t>
        </is>
      </c>
      <c r="M345" s="19" t="inlineStr">
        <is>
          <t>Pass</t>
        </is>
      </c>
      <c r="N345" s="19" t="inlineStr"/>
      <c r="O345" s="19" t="inlineStr">
        <is>
          <t>iorta TechNXT QA</t>
        </is>
      </c>
      <c r="P345" s="19" t="inlineStr">
        <is>
          <t>03 October 2026</t>
        </is>
      </c>
      <c r="Q345" s="19" t="inlineStr"/>
      <c r="R345" s="19" t="inlineStr">
        <is>
          <t>backend/test/bank-reconciliation.test.js :: detects a file imported twice and duplicate lines of an overlapping statement (custom format with title rows) [passed]
Screen check /master/finance/bank-statement-formats: opened clean
Screen check /master/finance/bank-transaction-types: opened clean</t>
        </is>
      </c>
    </row>
    <row r="346">
      <c r="A346" s="19" t="inlineStr">
        <is>
          <t>BV-INR-001</t>
        </is>
      </c>
      <c r="B346" s="19" t="inlineStr">
        <is>
          <t>Insurer reconciliation</t>
        </is>
      </c>
      <c r="C346" s="19" t="inlineStr">
        <is>
          <t>Formats</t>
        </is>
      </c>
      <c r="D346" s="19" t="inlineStr">
        <is>
          <t>Accounting Officer (liza.quiambao)</t>
        </is>
      </c>
      <c r="E346" s="19" t="inlineStr">
        <is>
          <t>Column mapping per insurer</t>
        </is>
      </c>
      <c r="F346" s="19" t="inlineStr">
        <is>
          <t>Functional</t>
        </is>
      </c>
      <c r="G346" s="19" t="inlineStr">
        <is>
          <t>High</t>
        </is>
      </c>
      <c r="H346" s="19" t="inlineStr">
        <is>
          <t>Master &gt; Finance &gt; Insurer Statement Formats.</t>
        </is>
      </c>
      <c r="I346" s="19" t="inlineStr">
        <is>
          <t>1. Add PCIC-SOA with column names and date format MM/DD/YYYY.
2. Add LUZ-SOA with DD/MM/YYYY.</t>
        </is>
      </c>
      <c r="J346" s="19" t="inlineStr">
        <is>
          <t>PCIC-SOA; LUZ-SOA</t>
        </is>
      </c>
      <c r="K346" s="19" t="inlineStr">
        <is>
          <t>Formats saved per insurer.</t>
        </is>
      </c>
      <c r="L346" s="19" t="inlineStr">
        <is>
          <t>As expected.</t>
        </is>
      </c>
      <c r="M346" s="19" t="inlineStr">
        <is>
          <t>Pass</t>
        </is>
      </c>
      <c r="N346" s="19" t="inlineStr"/>
      <c r="O346" s="19" t="inlineStr">
        <is>
          <t>iorta TechNXT QA</t>
        </is>
      </c>
      <c r="P346" s="19" t="inlineStr">
        <is>
          <t>04 October 2026</t>
        </is>
      </c>
      <c r="Q346" s="19" t="inlineStr"/>
      <c r="R346" s="19" t="inlineStr">
        <is>
          <t>backend/test/insurer-reconciliation.test.js :: keeps a column mapping per insurer [passed]
UAT cycle 03-04 October 2026, phase Set-up (46 passed, 0 failed)
Screen check /master/finance/insurer-statement-formats: opened clean</t>
        </is>
      </c>
    </row>
    <row r="347">
      <c r="A347" s="19" t="inlineStr">
        <is>
          <t>BV-INR-002</t>
        </is>
      </c>
      <c r="B347" s="19" t="inlineStr">
        <is>
          <t>Insurer reconciliation</t>
        </is>
      </c>
      <c r="C347" s="19" t="inlineStr">
        <is>
          <t>Import</t>
        </is>
      </c>
      <c r="D347" s="19" t="inlineStr">
        <is>
          <t>Accounting Officer (liza.quiambao)</t>
        </is>
      </c>
      <c r="E347" s="19" t="inlineStr">
        <is>
          <t>Import insurer SOA; auto-match by policy number</t>
        </is>
      </c>
      <c r="F347" s="19" t="inlineStr">
        <is>
          <t>Functional</t>
        </is>
      </c>
      <c r="G347" s="19" t="inlineStr">
        <is>
          <t>High</t>
        </is>
      </c>
      <c r="H347" s="19" t="inlineStr">
        <is>
          <t>Insurer statement file.</t>
        </is>
      </c>
      <c r="I347" s="19" t="inlineStr">
        <is>
          <t>1. Open Accounts &gt; Insurer Reconciliation &gt; Insurer Statements.
2. Import with format.</t>
        </is>
      </c>
      <c r="J347" s="19" t="inlineStr">
        <is>
          <t>Pacific Crest SOA</t>
        </is>
      </c>
      <c r="K347" s="19" t="inlineStr">
        <is>
          <t>Unreadable rows flagged; matched by policy number; differences reported.</t>
        </is>
      </c>
      <c r="L347" s="19" t="inlineStr">
        <is>
          <t>3 statements; 17 lines; 11 matched.</t>
        </is>
      </c>
      <c r="M347" s="19" t="inlineStr">
        <is>
          <t>Pass</t>
        </is>
      </c>
      <c r="N347" s="19" t="inlineStr"/>
      <c r="O347" s="19" t="inlineStr">
        <is>
          <t>iorta TechNXT QA</t>
        </is>
      </c>
      <c r="P347" s="19" t="inlineStr">
        <is>
          <t>04 October 2026</t>
        </is>
      </c>
      <c r="Q347" s="19" t="inlineStr"/>
      <c r="R347" s="19" t="inlineStr">
        <is>
          <t>backend/test/insurer-reconciliation.test.js :: reads a file with a format and flags rows it cannot read [passed]
backend/test/insurer-reconciliation.test.js :: imports a statement, auto-matches by policy number and reports the differences [passed]
UAT cycle 03-04 October 2026, phase Reconciliation: bank and insurer statements (10 passed, 0 failed)
Screen check /accounts/insurer-reconciliation/statements: opened clean</t>
        </is>
      </c>
    </row>
    <row r="348">
      <c r="A348" s="19" t="inlineStr">
        <is>
          <t>BV-INR-003</t>
        </is>
      </c>
      <c r="B348" s="19" t="inlineStr">
        <is>
          <t>Insurer reconciliation</t>
        </is>
      </c>
      <c r="C348" s="19" t="inlineStr">
        <is>
          <t>Resolve</t>
        </is>
      </c>
      <c r="D348" s="19" t="inlineStr">
        <is>
          <t>Accounting Officer (liza.quiambao)</t>
        </is>
      </c>
      <c r="E348" s="19" t="inlineStr">
        <is>
          <t>Every difference resolved before submitting</t>
        </is>
      </c>
      <c r="F348" s="19" t="inlineStr">
        <is>
          <t>Negative</t>
        </is>
      </c>
      <c r="G348" s="19" t="inlineStr">
        <is>
          <t>High</t>
        </is>
      </c>
      <c r="H348" s="19" t="inlineStr">
        <is>
          <t>Differences open.</t>
        </is>
      </c>
      <c r="I348" s="19" t="inlineStr">
        <is>
          <t>1. Submit with differences open.
2. Resolve with notes and one adjustment; submit.</t>
        </is>
      </c>
      <c r="J348" s="19" t="inlineStr">
        <is>
          <t>6 notes; 1 adjustment</t>
        </is>
      </c>
      <c r="K348" s="19" t="inlineStr">
        <is>
          <t>Refused until resolved; then submitted.</t>
        </is>
      </c>
      <c r="L348" s="19" t="inlineStr">
        <is>
          <t>As expected.</t>
        </is>
      </c>
      <c r="M348" s="19" t="inlineStr">
        <is>
          <t>Pass</t>
        </is>
      </c>
      <c r="N348" s="19" t="inlineStr"/>
      <c r="O348" s="19" t="inlineStr">
        <is>
          <t>iorta TechNXT QA</t>
        </is>
      </c>
      <c r="P348" s="19" t="inlineStr">
        <is>
          <t>04 October 2026</t>
        </is>
      </c>
      <c r="Q348" s="19" t="inlineStr"/>
      <c r="R348" s="19" t="inlineStr">
        <is>
          <t>backend/test/insurer-reconciliation.test.js :: matches by hand, and needs every difference resolved before submitting [passed]
UAT cycle 03-04 October 2026, phase Reconciliation: bank and insurer statements (10 passed, 0 failed)</t>
        </is>
      </c>
    </row>
    <row r="349">
      <c r="A349" s="19" t="inlineStr">
        <is>
          <t>BV-INR-004</t>
        </is>
      </c>
      <c r="B349" s="19" t="inlineStr">
        <is>
          <t>Insurer reconciliation</t>
        </is>
      </c>
      <c r="C349" s="19" t="inlineStr">
        <is>
          <t>Approve</t>
        </is>
      </c>
      <c r="D349" s="19" t="inlineStr">
        <is>
          <t>Accounting Manager (teresa.villaroman)</t>
        </is>
      </c>
      <c r="E349" s="19" t="inlineStr">
        <is>
          <t>Approval by a different user posts the adjustment</t>
        </is>
      </c>
      <c r="F349" s="19" t="inlineStr">
        <is>
          <t>Negative</t>
        </is>
      </c>
      <c r="G349" s="19" t="inlineStr">
        <is>
          <t>High</t>
        </is>
      </c>
      <c r="H349" s="19" t="inlineStr">
        <is>
          <t>Submitted reconciliation.</t>
        </is>
      </c>
      <c r="I349" s="19" t="inlineStr">
        <is>
          <t>1. As maker approve.
2. As teresa.villaroman approve.</t>
        </is>
      </c>
      <c r="J349" s="19" t="inlineStr">
        <is>
          <t>Adjustment PHP 312.50</t>
        </is>
      </c>
      <c r="K349" s="19" t="inlineStr">
        <is>
          <t>Maker refused; approval posts through the posting rule.</t>
        </is>
      </c>
      <c r="L349" s="19" t="inlineStr">
        <is>
          <t>3 insurer reconciliations approved.</t>
        </is>
      </c>
      <c r="M349" s="19" t="inlineStr">
        <is>
          <t>Pass</t>
        </is>
      </c>
      <c r="N349" s="19" t="inlineStr"/>
      <c r="O349" s="19" t="inlineStr">
        <is>
          <t>iorta TechNXT QA</t>
        </is>
      </c>
      <c r="P349" s="19" t="inlineStr">
        <is>
          <t>04 October 2026</t>
        </is>
      </c>
      <c r="Q349" s="19" t="inlineStr"/>
      <c r="R349" s="19" t="inlineStr">
        <is>
          <t>backend/test/insurer-reconciliation.test.js :: only a different user with approve:insurer-reconciliation approves; approval posts the adjustment through the posting rule [passed]
UAT cycle 03-04 October 2026, phase Reconciliation: bank and insurer statements (10 passed, 0 failed)</t>
        </is>
      </c>
    </row>
    <row r="350">
      <c r="A350" s="19" t="inlineStr">
        <is>
          <t>BV-INR-005</t>
        </is>
      </c>
      <c r="B350" s="19" t="inlineStr">
        <is>
          <t>Insurer reconciliation</t>
        </is>
      </c>
      <c r="C350" s="19" t="inlineStr">
        <is>
          <t>Export</t>
        </is>
      </c>
      <c r="D350" s="19" t="inlineStr">
        <is>
          <t>Accounting Officer (liza.quiambao)</t>
        </is>
      </c>
      <c r="E350" s="19" t="inlineStr">
        <is>
          <t>Differences report as Excel, CSV and PDF</t>
        </is>
      </c>
      <c r="F350" s="19" t="inlineStr">
        <is>
          <t>Report</t>
        </is>
      </c>
      <c r="G350" s="19" t="inlineStr">
        <is>
          <t>Medium</t>
        </is>
      </c>
      <c r="H350" s="19" t="inlineStr">
        <is>
          <t>Reconciliation with differences.</t>
        </is>
      </c>
      <c r="I350" s="19" t="inlineStr">
        <is>
          <t>1. Export each format.</t>
        </is>
      </c>
      <c r="J350" s="19" t="inlineStr">
        <is>
          <t>Pacific Crest</t>
        </is>
      </c>
      <c r="K350" s="19" t="inlineStr">
        <is>
          <t>Files download.</t>
        </is>
      </c>
      <c r="L350" s="19" t="inlineStr">
        <is>
          <t>As expected.</t>
        </is>
      </c>
      <c r="M350" s="19" t="inlineStr">
        <is>
          <t>Pass</t>
        </is>
      </c>
      <c r="N350" s="19" t="inlineStr"/>
      <c r="O350" s="19" t="inlineStr">
        <is>
          <t>iorta TechNXT QA</t>
        </is>
      </c>
      <c r="P350" s="19" t="inlineStr">
        <is>
          <t>03 October 2026</t>
        </is>
      </c>
      <c r="Q350" s="19" t="inlineStr"/>
      <c r="R350" s="19" t="inlineStr">
        <is>
          <t>backend/test/insurer-reconciliation.test.js :: exports the differences report as Excel, CSV and PDF [passed]</t>
        </is>
      </c>
    </row>
    <row r="351">
      <c r="A351" s="19" t="inlineStr">
        <is>
          <t>BV-INR-006</t>
        </is>
      </c>
      <c r="B351" s="19" t="inlineStr">
        <is>
          <t>Insurer reconciliation</t>
        </is>
      </c>
      <c r="C351" s="19" t="inlineStr">
        <is>
          <t>Reinsurance reconciliation</t>
        </is>
      </c>
      <c r="D351" s="19" t="inlineStr">
        <is>
          <t>Accounting Officer (liza.quiambao)</t>
        </is>
      </c>
      <c r="E351" s="19" t="inlineStr">
        <is>
          <t>Finance works reinsurance reconciliation; treaties stay with reinsurance users</t>
        </is>
      </c>
      <c r="F351" s="19" t="inlineStr">
        <is>
          <t>Role access</t>
        </is>
      </c>
      <c r="G351" s="19" t="inlineStr">
        <is>
          <t>Medium</t>
        </is>
      </c>
      <c r="H351" s="19" t="inlineStr">
        <is>
          <t>Signed in as liza.quiambao.</t>
        </is>
      </c>
      <c r="I351" s="19" t="inlineStr">
        <is>
          <t>1. Open Reinsurance &gt; Reconciliation.
2. Open Treaty Dashboard by address.</t>
        </is>
      </c>
      <c r="J351" s="19" t="inlineStr">
        <is>
          <t>None</t>
        </is>
      </c>
      <c r="K351" s="19" t="inlineStr">
        <is>
          <t>Reconciliation available; treaties refused.</t>
        </is>
      </c>
      <c r="L351" s="19" t="inlineStr">
        <is>
          <t>As expected.</t>
        </is>
      </c>
      <c r="M351" s="19" t="inlineStr">
        <is>
          <t>Pass</t>
        </is>
      </c>
      <c r="N351" s="19" t="inlineStr"/>
      <c r="O351" s="19" t="inlineStr">
        <is>
          <t>iorta TechNXT QA</t>
        </is>
      </c>
      <c r="P351" s="19" t="inlineStr">
        <is>
          <t>03 October 2026</t>
        </is>
      </c>
      <c r="Q351" s="19" t="inlineStr"/>
      <c r="R351" s="19" t="inlineStr">
        <is>
          <t>backend/test/role-access.test.js :: finance reads and works reconciliations; treaties and cessions stay with reinsurance users [passed]
Screen check /reinsurance/reconciliation: opened clean</t>
        </is>
      </c>
    </row>
    <row r="352">
      <c r="A352" s="19" t="inlineStr">
        <is>
          <t>BV-TAX-001</t>
        </is>
      </c>
      <c r="B352" s="19" t="inlineStr">
        <is>
          <t>Tax (BIR)</t>
        </is>
      </c>
      <c r="C352" s="19" t="inlineStr">
        <is>
          <t>BIR Form 2307</t>
        </is>
      </c>
      <c r="D352" s="19" t="inlineStr">
        <is>
          <t>Accounting Officer (liza.quiambao)</t>
        </is>
      </c>
      <c r="E352" s="19" t="inlineStr">
        <is>
          <t>2307 per payee per quarter by month and ATC</t>
        </is>
      </c>
      <c r="F352" s="19" t="inlineStr">
        <is>
          <t>Report</t>
        </is>
      </c>
      <c r="G352" s="19" t="inlineStr">
        <is>
          <t>High</t>
        </is>
      </c>
      <c r="H352" s="19" t="inlineStr">
        <is>
          <t>Commission collected with EWT.</t>
        </is>
      </c>
      <c r="I352" s="19" t="inlineStr">
        <is>
          <t>1. Open Accounts &gt; Tax &gt; BIR Form 2307.
2. Choose payor, quarter; Issue certificate; Print.</t>
        </is>
      </c>
      <c r="J352" s="19" t="inlineStr">
        <is>
          <t>Q3 2026; Pacific Crest; WC139</t>
        </is>
      </c>
      <c r="K352" s="19" t="inlineStr">
        <is>
          <t>Certificate sums withholding by month and ATC; prints with signatures.</t>
        </is>
      </c>
      <c r="L352" s="19" t="inlineStr">
        <is>
          <t>As expected.</t>
        </is>
      </c>
      <c r="M352" s="19" t="inlineStr">
        <is>
          <t>Pass</t>
        </is>
      </c>
      <c r="N352" s="19" t="inlineStr"/>
      <c r="O352" s="19" t="inlineStr">
        <is>
          <t>iorta TechNXT QA</t>
        </is>
      </c>
      <c r="P352" s="19" t="inlineStr">
        <is>
          <t>03 October 2026</t>
        </is>
      </c>
      <c r="Q352" s="19" t="inlineStr"/>
      <c r="R352" s="19" t="inlineStr">
        <is>
          <t>backend/test/period-end.test.js :: BIR Form 2307 per payee per quarter sums the withholding of the quarter by month and ATC [passed]
Screen check /accounts/tax/2307: opened clean</t>
        </is>
      </c>
    </row>
    <row r="353">
      <c r="A353" s="19" t="inlineStr">
        <is>
          <t>BV-TAX-002</t>
        </is>
      </c>
      <c r="B353" s="19" t="inlineStr">
        <is>
          <t>Tax (BIR)</t>
        </is>
      </c>
      <c r="C353" s="19" t="inlineStr">
        <is>
          <t>VAT Summary</t>
        </is>
      </c>
      <c r="D353" s="19" t="inlineStr">
        <is>
          <t>Accounting Officer (liza.quiambao)</t>
        </is>
      </c>
      <c r="E353" s="19" t="inlineStr">
        <is>
          <t>VAT summary monthly and quarterly</t>
        </is>
      </c>
      <c r="F353" s="19" t="inlineStr">
        <is>
          <t>Report</t>
        </is>
      </c>
      <c r="G353" s="19" t="inlineStr">
        <is>
          <t>High</t>
        </is>
      </c>
      <c r="H353" s="19" t="inlineStr">
        <is>
          <t>Commission VAT booked.</t>
        </is>
      </c>
      <c r="I353" s="19" t="inlineStr">
        <is>
          <t>1. Open Accounts &gt; Tax &gt; VAT Summary.</t>
        </is>
      </c>
      <c r="J353" s="19" t="inlineStr">
        <is>
          <t>May to October 2026</t>
        </is>
      </c>
      <c r="K353" s="19" t="inlineStr">
        <is>
          <t>6 monthly rows, 3 quarterly rows; output VAT on commission matches bookings.</t>
        </is>
      </c>
      <c r="L353" s="19" t="inlineStr">
        <is>
          <t>As expected.</t>
        </is>
      </c>
      <c r="M353" s="19" t="inlineStr">
        <is>
          <t>Pass</t>
        </is>
      </c>
      <c r="N353" s="19" t="inlineStr"/>
      <c r="O353" s="19" t="inlineStr">
        <is>
          <t>iorta TechNXT QA</t>
        </is>
      </c>
      <c r="P353" s="19" t="inlineStr">
        <is>
          <t>04 October 2026</t>
        </is>
      </c>
      <c r="Q353" s="19" t="inlineStr"/>
      <c r="R353" s="19" t="inlineStr">
        <is>
          <t>backend/test/commission-taxes.test.js :: the booking journal books output VAT on the commission and the EWT the insurer withholds (rule version 2) [passed]
UAT cycle 03-04 October 2026, phase Reports and dashboards (58 passed, 0 failed)
Screen check /accounts/tax/reports/bir-vat-summary: opened clean</t>
        </is>
      </c>
    </row>
    <row r="354">
      <c r="A354" s="19" t="inlineStr">
        <is>
          <t>BV-TAX-003</t>
        </is>
      </c>
      <c r="B354" s="19" t="inlineStr">
        <is>
          <t>Tax (BIR)</t>
        </is>
      </c>
      <c r="C354" s="19" t="inlineStr">
        <is>
          <t>SAWT</t>
        </is>
      </c>
      <c r="D354" s="19" t="inlineStr">
        <is>
          <t>Accounting Officer (liza.quiambao)</t>
        </is>
      </c>
      <c r="E354" s="19" t="inlineStr">
        <is>
          <t>SAWT summary</t>
        </is>
      </c>
      <c r="F354" s="19" t="inlineStr">
        <is>
          <t>Report</t>
        </is>
      </c>
      <c r="G354" s="19" t="inlineStr">
        <is>
          <t>Medium</t>
        </is>
      </c>
      <c r="H354" s="19" t="inlineStr">
        <is>
          <t>CWT received.</t>
        </is>
      </c>
      <c r="I354" s="19" t="inlineStr">
        <is>
          <t>1. Open Accounts &gt; Tax &gt; SAWT.</t>
        </is>
      </c>
      <c r="J354" s="19" t="inlineStr">
        <is>
          <t>Q3 2026</t>
        </is>
      </c>
      <c r="K354" s="19" t="inlineStr">
        <is>
          <t>2 summary rows.</t>
        </is>
      </c>
      <c r="L354" s="19" t="inlineStr">
        <is>
          <t>As expected.</t>
        </is>
      </c>
      <c r="M354" s="19" t="inlineStr">
        <is>
          <t>Pass</t>
        </is>
      </c>
      <c r="N354" s="19" t="inlineStr"/>
      <c r="O354" s="19" t="inlineStr">
        <is>
          <t>iorta TechNXT QA</t>
        </is>
      </c>
      <c r="P354" s="19" t="inlineStr">
        <is>
          <t>04 October 2026</t>
        </is>
      </c>
      <c r="Q354" s="19" t="inlineStr"/>
      <c r="R354" s="19" t="inlineStr">
        <is>
          <t>UAT cycle 03-04 October 2026, phase Reports and dashboards (58 passed, 0 failed)
Screen check /accounts/tax/reports/bir-sawt: opened clean</t>
        </is>
      </c>
    </row>
    <row r="355">
      <c r="A355" s="19" t="inlineStr">
        <is>
          <t>BV-TAX-004</t>
        </is>
      </c>
      <c r="B355" s="19" t="inlineStr">
        <is>
          <t>Tax (BIR)</t>
        </is>
      </c>
      <c r="C355" s="19" t="inlineStr">
        <is>
          <t>QAP</t>
        </is>
      </c>
      <c r="D355" s="19" t="inlineStr">
        <is>
          <t>Accounting Officer (liza.quiambao)</t>
        </is>
      </c>
      <c r="E355" s="19" t="inlineStr">
        <is>
          <t>QAP summary</t>
        </is>
      </c>
      <c r="F355" s="19" t="inlineStr">
        <is>
          <t>Report</t>
        </is>
      </c>
      <c r="G355" s="19" t="inlineStr">
        <is>
          <t>Medium</t>
        </is>
      </c>
      <c r="H355" s="19" t="inlineStr">
        <is>
          <t>EWT withheld from referrers.</t>
        </is>
      </c>
      <c r="I355" s="19" t="inlineStr">
        <is>
          <t>1. Open Accounts &gt; Tax &gt; QAP.</t>
        </is>
      </c>
      <c r="J355" s="19" t="inlineStr">
        <is>
          <t>Q3 2026</t>
        </is>
      </c>
      <c r="K355" s="19" t="inlineStr">
        <is>
          <t>2 summary rows.</t>
        </is>
      </c>
      <c r="L355" s="19" t="inlineStr">
        <is>
          <t>As expected.</t>
        </is>
      </c>
      <c r="M355" s="19" t="inlineStr">
        <is>
          <t>Pass</t>
        </is>
      </c>
      <c r="N355" s="19" t="inlineStr"/>
      <c r="O355" s="19" t="inlineStr">
        <is>
          <t>iorta TechNXT QA</t>
        </is>
      </c>
      <c r="P355" s="19" t="inlineStr">
        <is>
          <t>04 October 2026</t>
        </is>
      </c>
      <c r="Q355" s="19" t="inlineStr"/>
      <c r="R355" s="19" t="inlineStr">
        <is>
          <t>UAT cycle 03-04 October 2026, phase Reports and dashboards (58 passed, 0 failed)
Screen check /accounts/tax/reports/bir-qap: opened clean</t>
        </is>
      </c>
    </row>
    <row r="356">
      <c r="A356" s="19" t="inlineStr">
        <is>
          <t>BV-TAX-005</t>
        </is>
      </c>
      <c r="B356" s="19" t="inlineStr">
        <is>
          <t>Tax (BIR)</t>
        </is>
      </c>
      <c r="C356" s="19" t="inlineStr">
        <is>
          <t>SLSP</t>
        </is>
      </c>
      <c r="D356" s="19" t="inlineStr">
        <is>
          <t>Accounting Officer (liza.quiambao)</t>
        </is>
      </c>
      <c r="E356" s="19" t="inlineStr">
        <is>
          <t>SLSP sales and purchases</t>
        </is>
      </c>
      <c r="F356" s="19" t="inlineStr">
        <is>
          <t>Report</t>
        </is>
      </c>
      <c r="G356" s="19" t="inlineStr">
        <is>
          <t>Medium</t>
        </is>
      </c>
      <c r="H356" s="19" t="inlineStr">
        <is>
          <t>Sales and purchases.</t>
        </is>
      </c>
      <c r="I356" s="19" t="inlineStr">
        <is>
          <t>1. Open SLSP Sales and SLSP Purchases.</t>
        </is>
      </c>
      <c r="J356" s="19" t="inlineStr">
        <is>
          <t>Q3 2026</t>
        </is>
      </c>
      <c r="K356" s="19" t="inlineStr">
        <is>
          <t>Sales 32 rows; purchases 1 row (input VAT on petty cash).</t>
        </is>
      </c>
      <c r="L356" s="19" t="inlineStr">
        <is>
          <t>As expected.</t>
        </is>
      </c>
      <c r="M356" s="19" t="inlineStr">
        <is>
          <t>Pass</t>
        </is>
      </c>
      <c r="N356" s="19" t="inlineStr"/>
      <c r="O356" s="19" t="inlineStr">
        <is>
          <t>iorta TechNXT QA</t>
        </is>
      </c>
      <c r="P356" s="19" t="inlineStr">
        <is>
          <t>04 October 2026</t>
        </is>
      </c>
      <c r="Q356" s="19" t="inlineStr"/>
      <c r="R356" s="19" t="inlineStr">
        <is>
          <t>UAT cycle 03-04 October 2026, phase Reports and dashboards (58 passed, 0 failed)
Screen check /accounts/tax/reports/bir-slsp-sales: opened clean
Screen check /accounts/tax/reports/bir-slsp-purchases: opened clean</t>
        </is>
      </c>
    </row>
    <row r="357">
      <c r="A357" s="19" t="inlineStr">
        <is>
          <t>BV-TAX-006</t>
        </is>
      </c>
      <c r="B357" s="19" t="inlineStr">
        <is>
          <t>Tax (BIR)</t>
        </is>
      </c>
      <c r="C357" s="19" t="inlineStr">
        <is>
          <t>Tax codes</t>
        </is>
      </c>
      <c r="D357" s="19" t="inlineStr">
        <is>
          <t>Accounting Officer (liza.quiambao)</t>
        </is>
      </c>
      <c r="E357" s="19" t="inlineStr">
        <is>
          <t>Tax codes editable and used by commission taxes</t>
        </is>
      </c>
      <c r="F357" s="19" t="inlineStr">
        <is>
          <t>Accounting</t>
        </is>
      </c>
      <c r="G357" s="19" t="inlineStr">
        <is>
          <t>Medium</t>
        </is>
      </c>
      <c r="H357" s="19" t="inlineStr">
        <is>
          <t>Taxation master.</t>
        </is>
      </c>
      <c r="I357" s="19" t="inlineStr">
        <is>
          <t>1. Check VAT12-OUT and WC139 active.</t>
        </is>
      </c>
      <c r="J357" s="19" t="inlineStr">
        <is>
          <t>VAT12-OUT; WC139</t>
        </is>
      </c>
      <c r="K357" s="19" t="inlineStr">
        <is>
          <t>Active; used by commission taxes.</t>
        </is>
      </c>
      <c r="L357" s="19" t="inlineStr">
        <is>
          <t>As expected.</t>
        </is>
      </c>
      <c r="M357" s="19" t="inlineStr">
        <is>
          <t>Pass</t>
        </is>
      </c>
      <c r="N357" s="19" t="inlineStr"/>
      <c r="O357" s="19" t="inlineStr">
        <is>
          <t>iorta TechNXT QA</t>
        </is>
      </c>
      <c r="P357" s="19" t="inlineStr">
        <is>
          <t>04 October 2026</t>
        </is>
      </c>
      <c r="Q357" s="19" t="inlineStr"/>
      <c r="R357" s="19" t="inlineStr">
        <is>
          <t>backend/test/commission-taxes.test.js :: simulate shows the tax lines; rates and GL accounts follow the tax codes master [passed]
UAT cycle 03-04 October 2026, phase Set-up (46 passed, 0 failed)</t>
        </is>
      </c>
    </row>
    <row r="358">
      <c r="A358" s="19" t="inlineStr">
        <is>
          <t>BV-TAX-007</t>
        </is>
      </c>
      <c r="B358" s="19" t="inlineStr">
        <is>
          <t>Tax (BIR)</t>
        </is>
      </c>
      <c r="C358" s="19" t="inlineStr">
        <is>
          <t>Premium-tax products</t>
        </is>
      </c>
      <c r="D358" s="19" t="inlineStr">
        <is>
          <t>Accounting Officer (liza.quiambao)</t>
        </is>
      </c>
      <c r="E358" s="19" t="inlineStr">
        <is>
          <t>Premium tax instead of VAT; exempt products</t>
        </is>
      </c>
      <c r="F358" s="19" t="inlineStr">
        <is>
          <t>Validation</t>
        </is>
      </c>
      <c r="G358" s="19" t="inlineStr">
        <is>
          <t>Medium</t>
        </is>
      </c>
      <c r="H358" s="19" t="inlineStr">
        <is>
          <t>Products flagged premium tax or exempt.</t>
        </is>
      </c>
      <c r="I358" s="19" t="inlineStr">
        <is>
          <t>1. Quote each.</t>
        </is>
      </c>
      <c r="J358" s="19" t="inlineStr">
        <is>
          <t>Life-type premium tax product; exempt product</t>
        </is>
      </c>
      <c r="K358" s="19" t="inlineStr">
        <is>
          <t>Premium tax used instead of VAT; neither for exempt.</t>
        </is>
      </c>
      <c r="L358" s="19" t="inlineStr">
        <is>
          <t>As expected.</t>
        </is>
      </c>
      <c r="M358" s="19" t="inlineStr">
        <is>
          <t>Pass</t>
        </is>
      </c>
      <c r="N358" s="19" t="inlineStr"/>
      <c r="O358" s="19" t="inlineStr">
        <is>
          <t>iorta TechNXT QA</t>
        </is>
      </c>
      <c r="P358" s="19" t="inlineStr">
        <is>
          <t>03 October 2026</t>
        </is>
      </c>
      <c r="Q358" s="19" t="inlineStr"/>
      <c r="R358" s="19" t="inlineStr">
        <is>
          <t>backend/test/premium-charges.test.js :: uses the premium tax instead of VAT for premium-tax products and neither for exempt ones [passed]</t>
        </is>
      </c>
    </row>
    <row r="359">
      <c r="A359" s="19" t="inlineStr">
        <is>
          <t>BV-TAX-008</t>
        </is>
      </c>
      <c r="B359" s="19" t="inlineStr">
        <is>
          <t>Tax (BIR)</t>
        </is>
      </c>
      <c r="C359" s="19" t="inlineStr">
        <is>
          <t>Return premium taxes</t>
        </is>
      </c>
      <c r="D359" s="19" t="inlineStr">
        <is>
          <t>Accounting Officer (liza.quiambao)</t>
        </is>
      </c>
      <c r="E359" s="19" t="inlineStr">
        <is>
          <t>Negative charges on a return premium</t>
        </is>
      </c>
      <c r="F359" s="19" t="inlineStr">
        <is>
          <t>Accounting</t>
        </is>
      </c>
      <c r="G359" s="19" t="inlineStr">
        <is>
          <t>Low</t>
        </is>
      </c>
      <c r="H359" s="19" t="inlineStr">
        <is>
          <t>Return premium endorsement.</t>
        </is>
      </c>
      <c r="I359" s="19" t="inlineStr">
        <is>
          <t>1. Read the charges.</t>
        </is>
      </c>
      <c r="J359" s="19" t="inlineStr">
        <is>
          <t>Return PHP 3,000.00</t>
        </is>
      </c>
      <c r="K359" s="19" t="inlineStr">
        <is>
          <t>Negative charges; rules outside dates skipped.</t>
        </is>
      </c>
      <c r="L359" s="19" t="inlineStr">
        <is>
          <t>As expected.</t>
        </is>
      </c>
      <c r="M359" s="19" t="inlineStr">
        <is>
          <t>Pass</t>
        </is>
      </c>
      <c r="N359" s="19" t="inlineStr"/>
      <c r="O359" s="19" t="inlineStr">
        <is>
          <t>iorta TechNXT QA</t>
        </is>
      </c>
      <c r="P359" s="19" t="inlineStr">
        <is>
          <t>03 October 2026</t>
        </is>
      </c>
      <c r="Q359" s="19" t="inlineStr"/>
      <c r="R359" s="19" t="inlineStr">
        <is>
          <t>backend/test/premium-charges.test.js :: skips rules outside their effective dates and gives negative charges on a return premium [passed]</t>
        </is>
      </c>
    </row>
    <row r="360">
      <c r="A360" s="19" t="inlineStr">
        <is>
          <t>BV-TAX-009</t>
        </is>
      </c>
      <c r="B360" s="19" t="inlineStr">
        <is>
          <t>Tax (BIR)</t>
        </is>
      </c>
      <c r="C360" s="19" t="inlineStr">
        <is>
          <t>Withholding</t>
        </is>
      </c>
      <c r="D360" s="19" t="inlineStr">
        <is>
          <t>Accounting Officer (liza.quiambao)</t>
        </is>
      </c>
      <c r="E360" s="19" t="inlineStr">
        <is>
          <t>EWT withheld by insurer clears premium due</t>
        </is>
      </c>
      <c r="F360" s="19" t="inlineStr">
        <is>
          <t>Accounting</t>
        </is>
      </c>
      <c r="G360" s="19" t="inlineStr">
        <is>
          <t>Medium</t>
        </is>
      </c>
      <c r="H360" s="19" t="inlineStr">
        <is>
          <t>Insurer voucher.</t>
        </is>
      </c>
      <c r="I360" s="19" t="inlineStr">
        <is>
          <t>1. Open the voucher.</t>
        </is>
      </c>
      <c r="J360" s="19" t="inlineStr">
        <is>
          <t>EWT WC139</t>
        </is>
      </c>
      <c r="K360" s="19" t="inlineStr">
        <is>
          <t>EWT included so premium due clears.</t>
        </is>
      </c>
      <c r="L360" s="19" t="inlineStr">
        <is>
          <t>As expected.</t>
        </is>
      </c>
      <c r="M360" s="19" t="inlineStr">
        <is>
          <t>Pass</t>
        </is>
      </c>
      <c r="N360" s="19" t="inlineStr"/>
      <c r="O360" s="19" t="inlineStr">
        <is>
          <t>iorta TechNXT QA</t>
        </is>
      </c>
      <c r="P360" s="19" t="inlineStr">
        <is>
          <t>03 October 2026</t>
        </is>
      </c>
      <c r="Q360" s="19" t="inlineStr"/>
      <c r="R360" s="19" t="inlineStr">
        <is>
          <t>backend/test/commission-taxes.test.js :: the insurer voucher pays the premium net of commission and VAT plus the EWT, which clears the premium due to the insurer [passed]</t>
        </is>
      </c>
    </row>
    <row r="361">
      <c r="A361" s="19" t="inlineStr">
        <is>
          <t>BV-RIN-001</t>
        </is>
      </c>
      <c r="B361" s="19" t="inlineStr">
        <is>
          <t>Reinsurance</t>
        </is>
      </c>
      <c r="C361" s="19" t="inlineStr">
        <is>
          <t>Reinsurers</t>
        </is>
      </c>
      <c r="D361" s="19" t="inlineStr">
        <is>
          <t>Processing Team (jose.bernardo)</t>
        </is>
      </c>
      <c r="E361" s="19" t="inlineStr">
        <is>
          <t>Reinsurer with rating</t>
        </is>
      </c>
      <c r="F361" s="19" t="inlineStr">
        <is>
          <t>Functional</t>
        </is>
      </c>
      <c r="G361" s="19" t="inlineStr">
        <is>
          <t>Medium</t>
        </is>
      </c>
      <c r="H361" s="19" t="inlineStr">
        <is>
          <t>Signed in as jose.bernardo.</t>
        </is>
      </c>
      <c r="I361" s="19" t="inlineStr">
        <is>
          <t>1. Create reinsurer with rating A.
2. Create one with rating XYZ.</t>
        </is>
      </c>
      <c r="J361" s="19" t="inlineStr">
        <is>
          <t>Maharlika Reinsurance Corp.; Local; A</t>
        </is>
      </c>
      <c r="K361" s="19" t="inlineStr">
        <is>
          <t>Saved; unknown rating refused; list against minimum rating.</t>
        </is>
      </c>
      <c r="L361" s="19" t="inlineStr">
        <is>
          <t>As expected.</t>
        </is>
      </c>
      <c r="M361" s="19" t="inlineStr">
        <is>
          <t>Pass</t>
        </is>
      </c>
      <c r="N361" s="19" t="inlineStr"/>
      <c r="O361" s="19" t="inlineStr">
        <is>
          <t>iorta TechNXT QA</t>
        </is>
      </c>
      <c r="P361" s="19" t="inlineStr">
        <is>
          <t>04 October 2026</t>
        </is>
      </c>
      <c r="Q361" s="19" t="inlineStr"/>
      <c r="R361" s="19" t="inlineStr">
        <is>
          <t>backend/test/reinsurance.test.js :: creates and updates a reinsurer; rejects unknown ratings [passed]
backend/test/reinsurance.test.js :: lists reinsurers against the configured minimum rating [passed]
UAT cycle 03-04 October 2026, phase Reinsurance and incentives (2 passed, 0 failed)</t>
        </is>
      </c>
    </row>
    <row r="362">
      <c r="A362" s="19" t="inlineStr">
        <is>
          <t>BV-RIN-002</t>
        </is>
      </c>
      <c r="B362" s="19" t="inlineStr">
        <is>
          <t>Reinsurance</t>
        </is>
      </c>
      <c r="C362" s="19" t="inlineStr">
        <is>
          <t>Treaty</t>
        </is>
      </c>
      <c r="D362" s="19" t="inlineStr">
        <is>
          <t>Processing Team (rica.fernandez)</t>
        </is>
      </c>
      <c r="E362" s="19" t="inlineStr">
        <is>
          <t>Quota share treaty with maker-checker</t>
        </is>
      </c>
      <c r="F362" s="19" t="inlineStr">
        <is>
          <t>Negative</t>
        </is>
      </c>
      <c r="G362" s="19" t="inlineStr">
        <is>
          <t>High</t>
        </is>
      </c>
      <c r="H362" s="19" t="inlineStr">
        <is>
          <t>Reinsurer exists.</t>
        </is>
      </c>
      <c r="I362" s="19" t="inlineStr">
        <is>
          <t>1. Open Master &gt; Reinsurance Treaty; Add Treaty.
2. As maker approve; as rica.fernandez approve.</t>
        </is>
      </c>
      <c r="J362" s="19" t="inlineStr">
        <is>
          <t>QS-PROP-2026; Fire; 30% cession; capacity PHP 3,000,000,000.00; commission 25%</t>
        </is>
      </c>
      <c r="K362" s="19" t="inlineStr">
        <is>
          <t>Pending approval; maker refused; checker approves.</t>
        </is>
      </c>
      <c r="L362" s="19" t="inlineStr">
        <is>
          <t>1 treaty approved.</t>
        </is>
      </c>
      <c r="M362" s="19" t="inlineStr">
        <is>
          <t>Pass</t>
        </is>
      </c>
      <c r="N362" s="19" t="inlineStr"/>
      <c r="O362" s="19" t="inlineStr">
        <is>
          <t>iorta TechNXT QA</t>
        </is>
      </c>
      <c r="P362" s="19" t="inlineStr">
        <is>
          <t>04 October 2026</t>
        </is>
      </c>
      <c r="Q362" s="19" t="inlineStr"/>
      <c r="R362" s="19" t="inlineStr">
        <is>
          <t>backend/test/reinsurance.test.js :: creates a treaty pending approval; maker cannot approve; checker approves [passed]
UAT cycle 03-04 October 2026, phase Reinsurance and incentives (2 passed, 0 failed)
Screen check /master/reinsurance/treaty: opened clean
Screen check /reinsurance/treaties: opened clean</t>
        </is>
      </c>
    </row>
    <row r="363">
      <c r="A363" s="19" t="inlineStr">
        <is>
          <t>BV-RIN-003</t>
        </is>
      </c>
      <c r="B363" s="19" t="inlineStr">
        <is>
          <t>Reinsurance</t>
        </is>
      </c>
      <c r="C363" s="19" t="inlineStr">
        <is>
          <t>Treaty</t>
        </is>
      </c>
      <c r="D363" s="19" t="inlineStr">
        <is>
          <t>Processing Team (jose.bernardo)</t>
        </is>
      </c>
      <c r="E363" s="19" t="inlineStr">
        <is>
          <t>Treaty with reinsurer below minimum rating blocked</t>
        </is>
      </c>
      <c r="F363" s="19" t="inlineStr">
        <is>
          <t>Negative</t>
        </is>
      </c>
      <c r="G363" s="19" t="inlineStr">
        <is>
          <t>Medium</t>
        </is>
      </c>
      <c r="H363" s="19" t="inlineStr">
        <is>
          <t>Reinsurer rated below minimum.</t>
        </is>
      </c>
      <c r="I363" s="19" t="inlineStr">
        <is>
          <t>1. Add treaty.</t>
        </is>
      </c>
      <c r="J363" s="19" t="inlineStr">
        <is>
          <t>Rating B</t>
        </is>
      </c>
      <c r="K363" s="19" t="inlineStr">
        <is>
          <t>Blocked.</t>
        </is>
      </c>
      <c r="L363" s="19" t="inlineStr">
        <is>
          <t>As expected.</t>
        </is>
      </c>
      <c r="M363" s="19" t="inlineStr">
        <is>
          <t>Pass</t>
        </is>
      </c>
      <c r="N363" s="19" t="inlineStr"/>
      <c r="O363" s="19" t="inlineStr">
        <is>
          <t>iorta TechNXT QA</t>
        </is>
      </c>
      <c r="P363" s="19" t="inlineStr">
        <is>
          <t>03 October 2026</t>
        </is>
      </c>
      <c r="Q363" s="19" t="inlineStr"/>
      <c r="R363" s="19" t="inlineStr">
        <is>
          <t>backend/test/reinsurance.test.js :: blocks treaties with reinsurers below the minimum rating [passed]</t>
        </is>
      </c>
    </row>
    <row r="364">
      <c r="A364" s="19" t="inlineStr">
        <is>
          <t>BV-RIN-004</t>
        </is>
      </c>
      <c r="B364" s="19" t="inlineStr">
        <is>
          <t>Reinsurance</t>
        </is>
      </c>
      <c r="C364" s="19" t="inlineStr">
        <is>
          <t>Cessions</t>
        </is>
      </c>
      <c r="D364" s="19" t="inlineStr">
        <is>
          <t>Processing Team (rica.fernandez)</t>
        </is>
      </c>
      <c r="E364" s="19" t="inlineStr">
        <is>
          <t>Treaty and facultative cessions with confirmation</t>
        </is>
      </c>
      <c r="F364" s="19" t="inlineStr">
        <is>
          <t>Functional</t>
        </is>
      </c>
      <c r="G364" s="19" t="inlineStr">
        <is>
          <t>High</t>
        </is>
      </c>
      <c r="H364" s="19" t="inlineStr">
        <is>
          <t>Large fire / IAR policies.</t>
        </is>
      </c>
      <c r="I364" s="19" t="inlineStr">
        <is>
          <t>1. Open Reinsurance &gt; Cession Tracking; cede two policies to the treaty and one facultative at 20%.
2. Second user confirms.</t>
        </is>
      </c>
      <c r="J364" s="19" t="inlineStr">
        <is>
          <t>Largest corporate fire and IAR risks</t>
        </is>
      </c>
      <c r="K364" s="19" t="inlineStr">
        <is>
          <t>Share and capacity checked; facultative gate; confirmed.</t>
        </is>
      </c>
      <c r="L364" s="19" t="inlineStr">
        <is>
          <t>3 cessions confirmed.</t>
        </is>
      </c>
      <c r="M364" s="19" t="inlineStr">
        <is>
          <t>Pass</t>
        </is>
      </c>
      <c r="N364" s="19" t="inlineStr"/>
      <c r="O364" s="19" t="inlineStr">
        <is>
          <t>iorta TechNXT QA</t>
        </is>
      </c>
      <c r="P364" s="19" t="inlineStr">
        <is>
          <t>04 October 2026</t>
        </is>
      </c>
      <c r="Q364" s="19" t="inlineStr"/>
      <c r="R364" s="19" t="inlineStr">
        <is>
          <t>backend/test/reinsurance.test.js :: cessions: share, capacity check, maker-checker confirmation, facultative gate [passed]
UAT cycle 03-04 October 2026, phase Reinsurance and incentives (2 passed, 0 failed)
Screen check /reinsurance/cessions: opened clean</t>
        </is>
      </c>
    </row>
    <row r="365">
      <c r="A365" s="19" t="inlineStr">
        <is>
          <t>BV-RIN-005</t>
        </is>
      </c>
      <c r="B365" s="19" t="inlineStr">
        <is>
          <t>Reinsurance</t>
        </is>
      </c>
      <c r="C365" s="19" t="inlineStr">
        <is>
          <t>Claims Recovery</t>
        </is>
      </c>
      <c r="D365" s="19" t="inlineStr">
        <is>
          <t>Claims Officer (carlo.estrada)</t>
        </is>
      </c>
      <c r="E365" s="19" t="inlineStr">
        <is>
          <t>Recovery: register, submit, settle</t>
        </is>
      </c>
      <c r="F365" s="19" t="inlineStr">
        <is>
          <t>Functional</t>
        </is>
      </c>
      <c r="G365" s="19" t="inlineStr">
        <is>
          <t>Medium</t>
        </is>
      </c>
      <c r="H365" s="19" t="inlineStr">
        <is>
          <t>Ceded policy with claim.</t>
        </is>
      </c>
      <c r="I365" s="19" t="inlineStr">
        <is>
          <t>1. Open Reinsurance &gt; Claims Recovery; register; Submit to reinsurers; settle.</t>
        </is>
      </c>
      <c r="J365" s="19" t="inlineStr">
        <is>
          <t>Fire claim PHP 980,000.00; 30%</t>
        </is>
      </c>
      <c r="K365" s="19" t="inlineStr">
        <is>
          <t>Recovery settled.</t>
        </is>
      </c>
      <c r="L365" s="19" t="inlineStr">
        <is>
          <t>As expected.</t>
        </is>
      </c>
      <c r="M365" s="19" t="inlineStr">
        <is>
          <t>Pass</t>
        </is>
      </c>
      <c r="N365" s="19" t="inlineStr"/>
      <c r="O365" s="19" t="inlineStr">
        <is>
          <t>iorta TechNXT QA</t>
        </is>
      </c>
      <c r="P365" s="19" t="inlineStr">
        <is>
          <t>03 October 2026</t>
        </is>
      </c>
      <c r="Q365" s="19" t="inlineStr"/>
      <c r="R365" s="19" t="inlineStr">
        <is>
          <t>backend/test/reinsurance.test.js :: recoveries: register, submit, settle [passed]
Screen check /reinsurance/claims: opened clean</t>
        </is>
      </c>
    </row>
    <row r="366">
      <c r="A366" s="19" t="inlineStr">
        <is>
          <t>BV-RIN-006</t>
        </is>
      </c>
      <c r="B366" s="19" t="inlineStr">
        <is>
          <t>Reinsurance</t>
        </is>
      </c>
      <c r="C366" s="19" t="inlineStr">
        <is>
          <t>Reports</t>
        </is>
      </c>
      <c r="D366" s="19" t="inlineStr">
        <is>
          <t>Processing Team (jose.bernardo)</t>
        </is>
      </c>
      <c r="E366" s="19" t="inlineStr">
        <is>
          <t>Bordereaux, analytics and reports</t>
        </is>
      </c>
      <c r="F366" s="19" t="inlineStr">
        <is>
          <t>Report</t>
        </is>
      </c>
      <c r="G366" s="19" t="inlineStr">
        <is>
          <t>Medium</t>
        </is>
      </c>
      <c r="H366" s="19" t="inlineStr">
        <is>
          <t>Cessions exist.</t>
        </is>
      </c>
      <c r="I366" s="19" t="inlineStr">
        <is>
          <t>1. Generate Bordereau.
2. Open Analytics.</t>
        </is>
      </c>
      <c r="J366" s="19" t="inlineStr">
        <is>
          <t>Q3 2026</t>
        </is>
      </c>
      <c r="K366" s="19" t="inlineStr">
        <is>
          <t>Bordereau and analytics produced; Cession Register 2 rows.</t>
        </is>
      </c>
      <c r="L366" s="19" t="inlineStr">
        <is>
          <t>As expected.</t>
        </is>
      </c>
      <c r="M366" s="19" t="inlineStr">
        <is>
          <t>Pass</t>
        </is>
      </c>
      <c r="N366" s="19" t="inlineStr"/>
      <c r="O366" s="19" t="inlineStr">
        <is>
          <t>iorta TechNXT QA</t>
        </is>
      </c>
      <c r="P366" s="19" t="inlineStr">
        <is>
          <t>04 October 2026</t>
        </is>
      </c>
      <c r="Q366" s="19" t="inlineStr"/>
      <c r="R366" s="19" t="inlineStr">
        <is>
          <t>backend/test/reinsurance.test.js :: bordereaux, reconciliation, analytics and reports [passed]
backend/test/reinsurance.test.js :: seeded treaties report premium ceded, claims recovered and utilization [passed]
UAT cycle 03-04 October 2026, phase Reports and dashboards (58 passed, 0 failed)
Screen check /reinsurance/analytics: opened clean</t>
        </is>
      </c>
    </row>
    <row r="367">
      <c r="A367" s="19" t="inlineStr">
        <is>
          <t>BV-RIN-007</t>
        </is>
      </c>
      <c r="B367" s="19" t="inlineStr">
        <is>
          <t>Reinsurance</t>
        </is>
      </c>
      <c r="C367" s="19" t="inlineStr">
        <is>
          <t>Permissions</t>
        </is>
      </c>
      <c r="D367" s="19" t="inlineStr">
        <is>
          <t>Sales / Account Executive (maria.rivera)</t>
        </is>
      </c>
      <c r="E367" s="19" t="inlineStr">
        <is>
          <t>Users without reinsurance permission denied</t>
        </is>
      </c>
      <c r="F367" s="19" t="inlineStr">
        <is>
          <t>Role access</t>
        </is>
      </c>
      <c r="G367" s="19" t="inlineStr">
        <is>
          <t>Medium</t>
        </is>
      </c>
      <c r="H367" s="19" t="inlineStr">
        <is>
          <t>Signed in as maria.rivera.</t>
        </is>
      </c>
      <c r="I367" s="19" t="inlineStr">
        <is>
          <t>1. Open /reinsurance/treaties.</t>
        </is>
      </c>
      <c r="J367" s="19" t="inlineStr">
        <is>
          <t>None</t>
        </is>
      </c>
      <c r="K367" s="19" t="inlineStr">
        <is>
          <t>Refused.</t>
        </is>
      </c>
      <c r="L367" s="19" t="inlineStr">
        <is>
          <t>As expected.</t>
        </is>
      </c>
      <c r="M367" s="19" t="inlineStr">
        <is>
          <t>Pass</t>
        </is>
      </c>
      <c r="N367" s="19" t="inlineStr"/>
      <c r="O367" s="19" t="inlineStr">
        <is>
          <t>iorta TechNXT QA</t>
        </is>
      </c>
      <c r="P367" s="19" t="inlineStr">
        <is>
          <t>03 October 2026</t>
        </is>
      </c>
      <c r="Q367" s="19" t="inlineStr"/>
      <c r="R367" s="19" t="inlineStr">
        <is>
          <t>backend/test/reinsurance.test.js :: denies users without reinsurance permission [passed]</t>
        </is>
      </c>
    </row>
    <row r="368">
      <c r="A368" s="19" t="inlineStr">
        <is>
          <t>BV-INC-001</t>
        </is>
      </c>
      <c r="B368" s="19" t="inlineStr">
        <is>
          <t>Incentives</t>
        </is>
      </c>
      <c r="C368" s="19" t="inlineStr">
        <is>
          <t>Programs</t>
        </is>
      </c>
      <c r="D368" s="19" t="inlineStr">
        <is>
          <t>System Administrator (beatriz.lacson)</t>
        </is>
      </c>
      <c r="E368" s="19" t="inlineStr">
        <is>
          <t>Create an incentive program</t>
        </is>
      </c>
      <c r="F368" s="19" t="inlineStr">
        <is>
          <t>Functional</t>
        </is>
      </c>
      <c r="G368" s="19" t="inlineStr">
        <is>
          <t>High</t>
        </is>
      </c>
      <c r="H368" s="19" t="inlineStr">
        <is>
          <t>Signed in as beatriz.lacson.</t>
        </is>
      </c>
      <c r="I368" s="19" t="inlineStr">
        <is>
          <t>1. Open Master &gt; Incentive Programs; Add Program.
2. Enter type, target metric, frequency, base target, tiers.
3. Save.</t>
        </is>
      </c>
      <c r="J368" s="19" t="inlineStr">
        <is>
          <t>INC-NB; New Business Premium (Account Executives); target PHP 150,000.00; 1% above 100%, max PHP 15,000.00</t>
        </is>
      </c>
      <c r="K368" s="19" t="inlineStr">
        <is>
          <t>Program saved; validation on required fields; update and delete work.</t>
        </is>
      </c>
      <c r="L368" s="19" t="inlineStr">
        <is>
          <t>As expected.</t>
        </is>
      </c>
      <c r="M368" s="19" t="inlineStr">
        <is>
          <t>Pass</t>
        </is>
      </c>
      <c r="N368" s="19" t="inlineStr"/>
      <c r="O368" s="19" t="inlineStr">
        <is>
          <t>iorta TechNXT QA</t>
        </is>
      </c>
      <c r="P368" s="19" t="inlineStr">
        <is>
          <t>04 October 2026</t>
        </is>
      </c>
      <c r="Q368" s="19" t="inlineStr"/>
      <c r="R368" s="19" t="inlineStr">
        <is>
          <t>backend/test/incentive.test.js :: creates, validates, updates and deletes a program [passed]
UAT cycle 03-04 October 2026, phase Reinsurance and incentives (2 passed, 0 failed)
Screen check /master/incentive/programs/view: opened clean</t>
        </is>
      </c>
    </row>
    <row r="369">
      <c r="A369" s="19" t="inlineStr">
        <is>
          <t>BV-INC-002</t>
        </is>
      </c>
      <c r="B369" s="19" t="inlineStr">
        <is>
          <t>Incentives</t>
        </is>
      </c>
      <c r="C369" s="19" t="inlineStr">
        <is>
          <t>Calculations</t>
        </is>
      </c>
      <c r="D369" s="19" t="inlineStr">
        <is>
          <t>Accounting Officer (liza.quiambao)</t>
        </is>
      </c>
      <c r="E369" s="19" t="inlineStr">
        <is>
          <t>Calculate achievement and payout</t>
        </is>
      </c>
      <c r="F369" s="19" t="inlineStr">
        <is>
          <t>Accounting</t>
        </is>
      </c>
      <c r="G369" s="19" t="inlineStr">
        <is>
          <t>High</t>
        </is>
      </c>
      <c r="H369" s="19" t="inlineStr">
        <is>
          <t>Program active; policies in the month.</t>
        </is>
      </c>
      <c r="I369" s="19" t="inlineStr">
        <is>
          <t>1. Open Accounts &gt; Incentive &gt; Calculations; New Calculation for 2026-10.</t>
        </is>
      </c>
      <c r="J369" s="19" t="inlineStr">
        <is>
          <t>Period 2026-10; program INC-NB</t>
        </is>
      </c>
      <c r="K369" s="19" t="inlineStr">
        <is>
          <t>Achievement from policies; payout from tiers.</t>
        </is>
      </c>
      <c r="L369" s="19" t="inlineStr">
        <is>
          <t>As expected.</t>
        </is>
      </c>
      <c r="M369" s="19" t="inlineStr">
        <is>
          <t>Pass</t>
        </is>
      </c>
      <c r="N369" s="19" t="inlineStr"/>
      <c r="O369" s="19" t="inlineStr">
        <is>
          <t>iorta TechNXT QA</t>
        </is>
      </c>
      <c r="P369" s="19" t="inlineStr">
        <is>
          <t>04 October 2026</t>
        </is>
      </c>
      <c r="Q369" s="19" t="inlineStr"/>
      <c r="R369" s="19" t="inlineStr">
        <is>
          <t>backend/test/incentive.test.js :: calculates achievement from policies and payout from tiers [passed]
backend/test/role-access.test.js :: finance runs a calculation and a second finance user approves it (maker-checker) [passed]
UAT cycle 03-04 October 2026, phase Reinsurance and incentives (2 passed, 0 failed)
Screen check /incentive/calculations: opened clean</t>
        </is>
      </c>
    </row>
    <row r="370">
      <c r="A370" s="19" t="inlineStr">
        <is>
          <t>BV-INC-003</t>
        </is>
      </c>
      <c r="B370" s="19" t="inlineStr">
        <is>
          <t>Incentives</t>
        </is>
      </c>
      <c r="C370" s="19" t="inlineStr">
        <is>
          <t>Approvals</t>
        </is>
      </c>
      <c r="D370" s="19" t="inlineStr">
        <is>
          <t>Accounting Officer (nestor.pangilinan)</t>
        </is>
      </c>
      <c r="E370" s="19" t="inlineStr">
        <is>
          <t>Approve, reject and pay with maker-checker</t>
        </is>
      </c>
      <c r="F370" s="19" t="inlineStr">
        <is>
          <t>Negative</t>
        </is>
      </c>
      <c r="G370" s="19" t="inlineStr">
        <is>
          <t>High</t>
        </is>
      </c>
      <c r="H370" s="19" t="inlineStr">
        <is>
          <t>Batch submitted by liza.quiambao.</t>
        </is>
      </c>
      <c r="I370" s="19" t="inlineStr">
        <is>
          <t>1. As maker approve.
2. As nestor.pangilinan approve.
3. Pay with reference.</t>
        </is>
      </c>
      <c r="J370" s="19" t="inlineStr">
        <is>
          <t>PAYROLL-2026-10</t>
        </is>
      </c>
      <c r="K370" s="19" t="inlineStr">
        <is>
          <t>Maker refused; approved; paid.</t>
        </is>
      </c>
      <c r="L370" s="19" t="inlineStr">
        <is>
          <t>1 batch paid.</t>
        </is>
      </c>
      <c r="M370" s="19" t="inlineStr">
        <is>
          <t>Pass</t>
        </is>
      </c>
      <c r="N370" s="19" t="inlineStr"/>
      <c r="O370" s="19" t="inlineStr">
        <is>
          <t>iorta TechNXT QA</t>
        </is>
      </c>
      <c r="P370" s="19" t="inlineStr">
        <is>
          <t>04 October 2026</t>
        </is>
      </c>
      <c r="Q370" s="19" t="inlineStr"/>
      <c r="R370" s="19" t="inlineStr">
        <is>
          <t>backend/test/incentive.test.js :: maker-checker approval, rejection and payment [passed]
UAT cycle 03-04 October 2026, phase Reinsurance and incentives (2 passed, 0 failed)
Screen check /incentive/approvals: opened clean</t>
        </is>
      </c>
    </row>
    <row r="371">
      <c r="A371" s="19" t="inlineStr">
        <is>
          <t>BV-INC-004</t>
        </is>
      </c>
      <c r="B371" s="19" t="inlineStr">
        <is>
          <t>Incentives</t>
        </is>
      </c>
      <c r="C371" s="19" t="inlineStr">
        <is>
          <t>Statement</t>
        </is>
      </c>
      <c r="D371" s="19" t="inlineStr">
        <is>
          <t>Sales / Account Executive (maria.rivera)</t>
        </is>
      </c>
      <c r="E371" s="19" t="inlineStr">
        <is>
          <t>Agent sees own programs and statement only</t>
        </is>
      </c>
      <c r="F371" s="19" t="inlineStr">
        <is>
          <t>Role access</t>
        </is>
      </c>
      <c r="G371" s="19" t="inlineStr">
        <is>
          <t>Medium</t>
        </is>
      </c>
      <c r="H371" s="19" t="inlineStr">
        <is>
          <t>Signed in as maria.rivera.</t>
        </is>
      </c>
      <c r="I371" s="19" t="inlineStr">
        <is>
          <t>1. Open My Programs and Statement.
2. Request paolo.dizon's statement.</t>
        </is>
      </c>
      <c r="J371" s="19" t="inlineStr">
        <is>
          <t>None</t>
        </is>
      </c>
      <c r="K371" s="19" t="inlineStr">
        <is>
          <t>Own only.</t>
        </is>
      </c>
      <c r="L371" s="19" t="inlineStr">
        <is>
          <t>As expected.</t>
        </is>
      </c>
      <c r="M371" s="19" t="inlineStr">
        <is>
          <t>Pass</t>
        </is>
      </c>
      <c r="N371" s="19" t="inlineStr"/>
      <c r="O371" s="19" t="inlineStr">
        <is>
          <t>iorta TechNXT QA</t>
        </is>
      </c>
      <c r="P371" s="19" t="inlineStr">
        <is>
          <t>03 October 2026</t>
        </is>
      </c>
      <c r="Q371" s="19" t="inlineStr">
        <is>
          <t>Screen check: /incentive/my-programs (1 clipped element(s)).</t>
        </is>
      </c>
      <c r="R371" s="19" t="inlineStr">
        <is>
          <t>backend/test/incentive.test.js :: agents see their own programs and statement, not other agents [passed]
Screen check /incentive/my-programs: 1 clipped element(s)
Screen check /incentive/statement: opened clean</t>
        </is>
      </c>
    </row>
    <row r="372">
      <c r="A372" s="19" t="inlineStr">
        <is>
          <t>BV-INC-005</t>
        </is>
      </c>
      <c r="B372" s="19" t="inlineStr">
        <is>
          <t>Incentives</t>
        </is>
      </c>
      <c r="C372" s="19" t="inlineStr">
        <is>
          <t>Statement</t>
        </is>
      </c>
      <c r="D372" s="19" t="inlineStr">
        <is>
          <t>Accounting Manager (teresa.villaroman)</t>
        </is>
      </c>
      <c r="E372" s="19" t="inlineStr">
        <is>
          <t>Manager reads statement of a chosen agent</t>
        </is>
      </c>
      <c r="F372" s="19" t="inlineStr">
        <is>
          <t>Functional</t>
        </is>
      </c>
      <c r="G372" s="19" t="inlineStr">
        <is>
          <t>Low</t>
        </is>
      </c>
      <c r="H372" s="19" t="inlineStr">
        <is>
          <t>Signed in as teresa.villaroman.</t>
        </is>
      </c>
      <c r="I372" s="19" t="inlineStr">
        <is>
          <t>1. Open Statement; pick maria.rivera.</t>
        </is>
      </c>
      <c r="J372" s="19" t="inlineStr">
        <is>
          <t>Agent maria.rivera</t>
        </is>
      </c>
      <c r="K372" s="19" t="inlineStr">
        <is>
          <t>Statement shown; manager not eligible.</t>
        </is>
      </c>
      <c r="L372" s="19" t="inlineStr">
        <is>
          <t>As expected.</t>
        </is>
      </c>
      <c r="M372" s="19" t="inlineStr">
        <is>
          <t>Pass</t>
        </is>
      </c>
      <c r="N372" s="19" t="inlineStr"/>
      <c r="O372" s="19" t="inlineStr">
        <is>
          <t>iorta TechNXT QA</t>
        </is>
      </c>
      <c r="P372" s="19" t="inlineStr">
        <is>
          <t>03 October 2026</t>
        </is>
      </c>
      <c r="Q372" s="19" t="inlineStr"/>
      <c r="R372" s="19" t="inlineStr">
        <is>
          <t>backend/test/role-access.test.js :: GET /incentive/statement answers 200 for a manager who is not an agent (eligible: false) and the chosen agent's statement [passed]</t>
        </is>
      </c>
    </row>
    <row r="373">
      <c r="A373" s="19" t="inlineStr">
        <is>
          <t>BV-INC-006</t>
        </is>
      </c>
      <c r="B373" s="19" t="inlineStr">
        <is>
          <t>Incentives</t>
        </is>
      </c>
      <c r="C373" s="19" t="inlineStr">
        <is>
          <t>Reports</t>
        </is>
      </c>
      <c r="D373" s="19" t="inlineStr">
        <is>
          <t>Accounting Officer (liza.quiambao)</t>
        </is>
      </c>
      <c r="E373" s="19" t="inlineStr">
        <is>
          <t>Incentive Results report</t>
        </is>
      </c>
      <c r="F373" s="19" t="inlineStr">
        <is>
          <t>Report</t>
        </is>
      </c>
      <c r="G373" s="19" t="inlineStr">
        <is>
          <t>Low</t>
        </is>
      </c>
      <c r="H373" s="19" t="inlineStr">
        <is>
          <t>Paid batch.</t>
        </is>
      </c>
      <c r="I373" s="19" t="inlineStr">
        <is>
          <t>1. Run Incentive Results.</t>
        </is>
      </c>
      <c r="J373" s="19" t="inlineStr">
        <is>
          <t>May to October 2026</t>
        </is>
      </c>
      <c r="K373" s="19" t="inlineStr">
        <is>
          <t>2 rows overall.</t>
        </is>
      </c>
      <c r="L373" s="19" t="inlineStr">
        <is>
          <t>As expected.</t>
        </is>
      </c>
      <c r="M373" s="19" t="inlineStr">
        <is>
          <t>Pass</t>
        </is>
      </c>
      <c r="N373" s="19" t="inlineStr"/>
      <c r="O373" s="19" t="inlineStr">
        <is>
          <t>iorta TechNXT QA</t>
        </is>
      </c>
      <c r="P373" s="19" t="inlineStr">
        <is>
          <t>04 October 2026</t>
        </is>
      </c>
      <c r="Q373" s="19" t="inlineStr"/>
      <c r="R373" s="19" t="inlineStr">
        <is>
          <t>backend/test/incentive.test.js :: agent lists, report templates and report generation [passed]
UAT cycle 03-04 October 2026, phase Reports and dashboards (58 passed, 0 failed)</t>
        </is>
      </c>
    </row>
    <row r="374">
      <c r="A374" s="19" t="inlineStr">
        <is>
          <t>BV-RPT-001</t>
        </is>
      </c>
      <c r="B374" s="19" t="inlineStr">
        <is>
          <t>Reports</t>
        </is>
      </c>
      <c r="C374" s="19" t="inlineStr">
        <is>
          <t>Report catalogue</t>
        </is>
      </c>
      <c r="D374" s="19" t="inlineStr">
        <is>
          <t>System Administrator (BrokerVerse)</t>
        </is>
      </c>
      <c r="E374" s="19" t="inlineStr">
        <is>
          <t>Catalogue lists every report; personas see their own</t>
        </is>
      </c>
      <c r="F374" s="19" t="inlineStr">
        <is>
          <t>Role access</t>
        </is>
      </c>
      <c r="G374" s="19" t="inlineStr">
        <is>
          <t>High</t>
        </is>
      </c>
      <c r="H374" s="19" t="inlineStr">
        <is>
          <t>Users per role.</t>
        </is>
      </c>
      <c r="I374" s="19" t="inlineStr">
        <is>
          <t>1. As BrokerVerse open Reports &gt; All Reports and count the entries.
2. As maria.rivera open the same screen.
3. As liza.quiambao open it.</t>
        </is>
      </c>
      <c r="J374" s="19" t="inlineStr">
        <is>
          <t>Administrator, sales, accounting</t>
        </is>
      </c>
      <c r="K374" s="19" t="inlineStr">
        <is>
          <t>Administrator sees all 39; sales sees operational; accounting sees financial plus remittance and broker commission; production register not offered to accounting.</t>
        </is>
      </c>
      <c r="L374" s="19" t="inlineStr">
        <is>
          <t>As expected.</t>
        </is>
      </c>
      <c r="M374" s="19" t="inlineStr">
        <is>
          <t>Pass</t>
        </is>
      </c>
      <c r="N374" s="19" t="inlineStr"/>
      <c r="O374" s="19" t="inlineStr">
        <is>
          <t>iorta TechNXT QA</t>
        </is>
      </c>
      <c r="P374" s="19" t="inlineStr">
        <is>
          <t>03 October 2026</t>
        </is>
      </c>
      <c r="Q374" s="19" t="inlineStr"/>
      <c r="R374" s="19" t="inlineStr">
        <is>
          <t>backend/test/reports.test.js :: every catalogue entry has its query and every query has a catalogue entry [passed]
backend/test/reports.test.js :: lists every report for admins and filters by role for personas [passed]
brokerverse/src/utils/menuPermissions.test.js :: accounting gets the financial reports and the catalogue, not the production register [passed]
Screen check /reports/catalogue: opened clean</t>
        </is>
      </c>
    </row>
    <row r="375">
      <c r="A375" s="19" t="inlineStr">
        <is>
          <t>BV-RPT-002</t>
        </is>
      </c>
      <c r="B375" s="19" t="inlineStr">
        <is>
          <t>Reports</t>
        </is>
      </c>
      <c r="C375" s="19" t="inlineStr">
        <is>
          <t>Report parameters</t>
        </is>
      </c>
      <c r="D375" s="19" t="inlineStr">
        <is>
          <t>Accounting Officer (liza.quiambao)</t>
        </is>
      </c>
      <c r="E375" s="19" t="inlineStr">
        <is>
          <t>Invalid parameters refused</t>
        </is>
      </c>
      <c r="F375" s="19" t="inlineStr">
        <is>
          <t>Negative</t>
        </is>
      </c>
      <c r="G375" s="19" t="inlineStr">
        <is>
          <t>Medium</t>
        </is>
      </c>
      <c r="H375" s="19" t="inlineStr">
        <is>
          <t>Report screen open.</t>
        </is>
      </c>
      <c r="I375" s="19" t="inlineStr">
        <is>
          <t>1. Set To Date before From Date.
2. Run.</t>
        </is>
      </c>
      <c r="J375" s="19" t="inlineStr">
        <is>
          <t>From 04 October 2026, To 01 May 2026</t>
        </is>
      </c>
      <c r="K375" s="19" t="inlineStr">
        <is>
          <t>Refused with a parameter message; no file.</t>
        </is>
      </c>
      <c r="L375" s="19" t="inlineStr">
        <is>
          <t>As expected.</t>
        </is>
      </c>
      <c r="M375" s="19" t="inlineStr">
        <is>
          <t>Pass</t>
        </is>
      </c>
      <c r="N375" s="19" t="inlineStr"/>
      <c r="O375" s="19" t="inlineStr">
        <is>
          <t>iorta TechNXT QA</t>
        </is>
      </c>
      <c r="P375" s="19" t="inlineStr">
        <is>
          <t>03 October 2026</t>
        </is>
      </c>
      <c r="Q375" s="19" t="inlineStr"/>
      <c r="R375" s="19" t="inlineStr">
        <is>
          <t>backend/test/reports.test.js :: validates parameters and access [passed]
backend/test/reports.test.js :: returns a definition with the screen filter schema [passed]</t>
        </is>
      </c>
    </row>
    <row r="376">
      <c r="A376" s="19" t="inlineStr">
        <is>
          <t>BV-RPT-003</t>
        </is>
      </c>
      <c r="B376" s="19" t="inlineStr">
        <is>
          <t>Reports</t>
        </is>
      </c>
      <c r="C376" s="19" t="inlineStr">
        <is>
          <t>Report outputs</t>
        </is>
      </c>
      <c r="D376" s="19" t="inlineStr">
        <is>
          <t>Accounting Officer (liza.quiambao)</t>
        </is>
      </c>
      <c r="E376" s="19" t="inlineStr">
        <is>
          <t>CSV, XLSX and PDF outputs with history</t>
        </is>
      </c>
      <c r="F376" s="19" t="inlineStr">
        <is>
          <t>Report</t>
        </is>
      </c>
      <c r="G376" s="19" t="inlineStr">
        <is>
          <t>High</t>
        </is>
      </c>
      <c r="H376" s="19" t="inlineStr">
        <is>
          <t>Any report.</t>
        </is>
      </c>
      <c r="I376" s="19" t="inlineStr">
        <is>
          <t>1. Generate the Collection Report as CSV, XLSX and PDF.
2. Open report history and download again.</t>
        </is>
      </c>
      <c r="J376" s="19" t="inlineStr">
        <is>
          <t>Collection Report May to October 2026</t>
        </is>
      </c>
      <c r="K376" s="19" t="inlineStr">
        <is>
          <t>Three files produced; history lists them; downloads work; PDF prints every number in full and widens to A3 when needed.</t>
        </is>
      </c>
      <c r="L376" s="19" t="inlineStr">
        <is>
          <t>As expected.</t>
        </is>
      </c>
      <c r="M376" s="19" t="inlineStr">
        <is>
          <t>Pass</t>
        </is>
      </c>
      <c r="N376" s="19" t="inlineStr"/>
      <c r="O376" s="19" t="inlineStr">
        <is>
          <t>iorta TechNXT QA</t>
        </is>
      </c>
      <c r="P376" s="19" t="inlineStr">
        <is>
          <t>03 October 2026</t>
        </is>
      </c>
      <c r="Q376" s="19" t="inlineStr"/>
      <c r="R376" s="19" t="inlineStr">
        <is>
          <t>backend/test/reports.test.js :: writes CSV, XLSX and PDF files, records history and serves downloads [passed]
backend/test/printing.test.js :: prints every number, date and policy number in full in a report PDF (totals too) [passed]
backend/test/printing.test.js :: reports a table that does not fit, and the report layout shrinks the font then moves to A3 [passed]</t>
        </is>
      </c>
    </row>
    <row r="377">
      <c r="A377" s="19" t="inlineStr">
        <is>
          <t>BV-RPT-004</t>
        </is>
      </c>
      <c r="B377" s="19" t="inlineStr">
        <is>
          <t>Reports</t>
        </is>
      </c>
      <c r="C377" s="19" t="inlineStr">
        <is>
          <t>Report schedules</t>
        </is>
      </c>
      <c r="D377" s="19" t="inlineStr">
        <is>
          <t>Accounting Officer (liza.quiambao)</t>
        </is>
      </c>
      <c r="E377" s="19" t="inlineStr">
        <is>
          <t>Schedule a report for e-mail delivery</t>
        </is>
      </c>
      <c r="F377" s="19" t="inlineStr">
        <is>
          <t>Functional</t>
        </is>
      </c>
      <c r="G377" s="19" t="inlineStr">
        <is>
          <t>Medium</t>
        </is>
      </c>
      <c r="H377" s="19" t="inlineStr">
        <is>
          <t>Report screen.</t>
        </is>
      </c>
      <c r="I377" s="19" t="inlineStr">
        <is>
          <t>1. Create a schedule for the Receipts Register daily at 07:00.
2. Edit it.
3. Click run now.
4. Delete it.</t>
        </is>
      </c>
      <c r="J377" s="19" t="inlineStr">
        <is>
          <t>Receipts Register; daily 07:00 Manila; recipient finance@example.ph</t>
        </is>
      </c>
      <c r="K377" s="19" t="inlineStr">
        <is>
          <t>Schedule backed by a job; run now produces the file and queues the e-mail; delete removes the job.</t>
        </is>
      </c>
      <c r="L377" s="19" t="inlineStr">
        <is>
          <t>As expected.</t>
        </is>
      </c>
      <c r="M377" s="19" t="inlineStr">
        <is>
          <t>Pass</t>
        </is>
      </c>
      <c r="N377" s="19" t="inlineStr"/>
      <c r="O377" s="19" t="inlineStr">
        <is>
          <t>iorta TechNXT QA</t>
        </is>
      </c>
      <c r="P377" s="19" t="inlineStr">
        <is>
          <t>03 October 2026</t>
        </is>
      </c>
      <c r="Q377" s="19" t="inlineStr"/>
      <c r="R377" s="19" t="inlineStr">
        <is>
          <t>backend/test/reports.test.js :: creates a schedule backed by a scheduledReport job [passed]
backend/test/reports.test.js :: updates the schedule and its job [passed]
backend/test/reports.test.js :: runs now: generates the file and queues the e-mail [passed]
backend/test/reports.test.js :: deletes the schedule and its job [passed]</t>
        </is>
      </c>
    </row>
    <row r="378">
      <c r="A378" s="19" t="inlineStr">
        <is>
          <t>BV-RPT-005</t>
        </is>
      </c>
      <c r="B378" s="19" t="inlineStr">
        <is>
          <t>Reports</t>
        </is>
      </c>
      <c r="C378" s="19" t="inlineStr">
        <is>
          <t>Report filters</t>
        </is>
      </c>
      <c r="D378" s="19" t="inlineStr">
        <is>
          <t>Sales / Account Executive (maria.rivera)</t>
        </is>
      </c>
      <c r="E378" s="19" t="inlineStr">
        <is>
          <t>Agent filter offered to every report reader</t>
        </is>
      </c>
      <c r="F378" s="19" t="inlineStr">
        <is>
          <t>Functional</t>
        </is>
      </c>
      <c r="G378" s="19" t="inlineStr">
        <is>
          <t>Low</t>
        </is>
      </c>
      <c r="H378" s="19" t="inlineStr">
        <is>
          <t>Report screen.</t>
        </is>
      </c>
      <c r="I378" s="19" t="inlineStr">
        <is>
          <t>1. Open the Agent filter.</t>
        </is>
      </c>
      <c r="J378" s="19" t="inlineStr">
        <is>
          <t>None</t>
        </is>
      </c>
      <c r="K378" s="19" t="inlineStr">
        <is>
          <t>List of agents shown.</t>
        </is>
      </c>
      <c r="L378" s="19" t="inlineStr">
        <is>
          <t>As expected.</t>
        </is>
      </c>
      <c r="M378" s="19" t="inlineStr">
        <is>
          <t>Pass</t>
        </is>
      </c>
      <c r="N378" s="19" t="inlineStr"/>
      <c r="O378" s="19" t="inlineStr">
        <is>
          <t>iorta TechNXT QA</t>
        </is>
      </c>
      <c r="P378" s="19" t="inlineStr">
        <is>
          <t>03 October 2026</t>
        </is>
      </c>
      <c r="Q378" s="19" t="inlineStr"/>
      <c r="R378" s="19" t="inlineStr">
        <is>
          <t>backend/test/role-access.test.js :: GET /reports/filters/agents serves the report Agent filter to every report reader [passed]</t>
        </is>
      </c>
    </row>
    <row r="379">
      <c r="A379" s="19" t="inlineStr">
        <is>
          <t>BV-RPT-006</t>
        </is>
      </c>
      <c r="B379" s="19" t="inlineStr">
        <is>
          <t>Reports</t>
        </is>
      </c>
      <c r="C379" s="19" t="inlineStr">
        <is>
          <t>Report scope</t>
        </is>
      </c>
      <c r="D379" s="19" t="inlineStr">
        <is>
          <t>Sales / Account Executive (maria.rivera)</t>
        </is>
      </c>
      <c r="E379" s="19" t="inlineStr">
        <is>
          <t>Own production only for a scoped agent</t>
        </is>
      </c>
      <c r="F379" s="19" t="inlineStr">
        <is>
          <t>Role access</t>
        </is>
      </c>
      <c r="G379" s="19" t="inlineStr">
        <is>
          <t>Medium</t>
        </is>
      </c>
      <c r="H379" s="19" t="inlineStr">
        <is>
          <t>security.scoped_roles includes sales.</t>
        </is>
      </c>
      <c r="I379" s="19" t="inlineStr">
        <is>
          <t>1. Run Production for this month as XLSX.</t>
        </is>
      </c>
      <c r="J379" s="19" t="inlineStr">
        <is>
          <t>maria.rivera</t>
        </is>
      </c>
      <c r="K379" s="19" t="inlineStr">
        <is>
          <t>Only maria.rivera's policies.</t>
        </is>
      </c>
      <c r="L379" s="19" t="inlineStr"/>
      <c r="M379" s="19" t="inlineStr">
        <is>
          <t>Not Run</t>
        </is>
      </c>
      <c r="N379" s="19" t="inlineStr"/>
      <c r="O379" s="19" t="inlineStr">
        <is>
          <t>iorta TechNXT QA</t>
        </is>
      </c>
      <c r="P379" s="19" t="inlineStr"/>
      <c r="Q379" s="19" t="inlineStr">
        <is>
          <t>Scope confirmed for dashboards and lists; report-level scope to be checked by hand.</t>
        </is>
      </c>
      <c r="R379" s="19" t="inlineStr">
        <is>
          <t>backend/test/scope.test.js :: dashboards use the agent's own book [passed]</t>
        </is>
      </c>
    </row>
    <row r="380">
      <c r="A380" s="19" t="inlineStr">
        <is>
          <t>BV-DSH-001</t>
        </is>
      </c>
      <c r="B380" s="19" t="inlineStr">
        <is>
          <t>Dashboards</t>
        </is>
      </c>
      <c r="C380" s="19" t="inlineStr">
        <is>
          <t>Executive Dashboard</t>
        </is>
      </c>
      <c r="D380" s="19" t="inlineStr">
        <is>
          <t>Accounting Manager (teresa.villaroman)</t>
        </is>
      </c>
      <c r="E380" s="19" t="inlineStr">
        <is>
          <t>Executive KPIs computed from the books</t>
        </is>
      </c>
      <c r="F380" s="19" t="inlineStr">
        <is>
          <t>Report</t>
        </is>
      </c>
      <c r="G380" s="19" t="inlineStr">
        <is>
          <t>High</t>
        </is>
      </c>
      <c r="H380" s="19" t="inlineStr">
        <is>
          <t>UAT data set.</t>
        </is>
      </c>
      <c r="I380" s="19" t="inlineStr">
        <is>
          <t>1. Open Dashboard &gt; Executive Dashboard.
2. Read KPIs for This Month and Year to date.</t>
        </is>
      </c>
      <c r="J380" s="19" t="inlineStr">
        <is>
          <t>October 2026; YTD 2026</t>
        </is>
      </c>
      <c r="K380" s="19" t="inlineStr">
        <is>
          <t>Premium, policies, collections and trend computed from the tables; month boundary in Manila time.</t>
        </is>
      </c>
      <c r="L380" s="19" t="inlineStr">
        <is>
          <t>As expected.</t>
        </is>
      </c>
      <c r="M380" s="19" t="inlineStr">
        <is>
          <t>Pass</t>
        </is>
      </c>
      <c r="N380" s="19" t="inlineStr"/>
      <c r="O380" s="19" t="inlineStr">
        <is>
          <t>iorta TechNXT QA</t>
        </is>
      </c>
      <c r="P380" s="19" t="inlineStr">
        <is>
          <t>04 October 2026</t>
        </is>
      </c>
      <c r="Q380" s="19" t="inlineStr"/>
      <c r="R380" s="19" t="inlineStr">
        <is>
          <t>backend/test/dashboard.test.js :: executive KPIs are computed from the tables [passed]
backend/test/dashboard.test.js :: calendar periods at month, quarter and year boundaries (Manila vs UTC midnight) [passed]
UAT cycle 03-04 October 2026, phase Reports and dashboards (58 passed, 0 failed)
Screen check /executive/dashboard: opened clean</t>
        </is>
      </c>
    </row>
    <row r="381">
      <c r="A381" s="19" t="inlineStr">
        <is>
          <t>BV-DSH-002</t>
        </is>
      </c>
      <c r="B381" s="19" t="inlineStr">
        <is>
          <t>Dashboards</t>
        </is>
      </c>
      <c r="C381" s="19" t="inlineStr">
        <is>
          <t>Sales Dashboard</t>
        </is>
      </c>
      <c r="D381" s="19" t="inlineStr">
        <is>
          <t>Sales / Account Executive (maria.rivera)</t>
        </is>
      </c>
      <c r="E381" s="19" t="inlineStr">
        <is>
          <t>Sales funnel shows the cycle prospects and quotations</t>
        </is>
      </c>
      <c r="F381" s="19" t="inlineStr">
        <is>
          <t>Report</t>
        </is>
      </c>
      <c r="G381" s="19" t="inlineStr">
        <is>
          <t>High</t>
        </is>
      </c>
      <c r="H381" s="19" t="inlineStr">
        <is>
          <t>UAT data set.</t>
        </is>
      </c>
      <c r="I381" s="19" t="inlineStr">
        <is>
          <t>1. Open Dashboard &gt; Sales Dashboard.</t>
        </is>
      </c>
      <c r="J381" s="19" t="inlineStr">
        <is>
          <t>maria.rivera</t>
        </is>
      </c>
      <c r="K381" s="19" t="inlineStr">
        <is>
          <t>Funnel counts for prospects, quotations and policies.</t>
        </is>
      </c>
      <c r="L381" s="19" t="inlineStr">
        <is>
          <t>As expected.</t>
        </is>
      </c>
      <c r="M381" s="19" t="inlineStr">
        <is>
          <t>Pass</t>
        </is>
      </c>
      <c r="N381" s="19" t="inlineStr"/>
      <c r="O381" s="19" t="inlineStr">
        <is>
          <t>iorta TechNXT QA</t>
        </is>
      </c>
      <c r="P381" s="19" t="inlineStr">
        <is>
          <t>04 October 2026</t>
        </is>
      </c>
      <c r="Q381" s="19" t="inlineStr"/>
      <c r="R381" s="19" t="inlineStr">
        <is>
          <t>backend/test/dashboard.test.js :: sales funnel, processing workbench and claims summary [passed]
UAT cycle 03-04 October 2026, phase Reports and dashboards (58 passed, 0 failed)
Screen check /sales/dashboard: opened clean</t>
        </is>
      </c>
    </row>
    <row r="382">
      <c r="A382" s="19" t="inlineStr">
        <is>
          <t>BV-DSH-003</t>
        </is>
      </c>
      <c r="B382" s="19" t="inlineStr">
        <is>
          <t>Dashboards</t>
        </is>
      </c>
      <c r="C382" s="19" t="inlineStr">
        <is>
          <t>Home</t>
        </is>
      </c>
      <c r="D382" s="19" t="inlineStr">
        <is>
          <t>Sales / Account Executive (maria.rivera)</t>
        </is>
      </c>
      <c r="E382" s="19" t="inlineStr">
        <is>
          <t>Account Executive home shows own figures</t>
        </is>
      </c>
      <c r="F382" s="19" t="inlineStr">
        <is>
          <t>Report</t>
        </is>
      </c>
      <c r="G382" s="19" t="inlineStr">
        <is>
          <t>High</t>
        </is>
      </c>
      <c r="H382" s="19" t="inlineStr">
        <is>
          <t>Signed in as maria.rivera.</t>
        </is>
      </c>
      <c r="I382" s="19" t="inlineStr">
        <is>
          <t>1. Open Operations &gt; Home.</t>
        </is>
      </c>
      <c r="J382" s="19" t="inlineStr">
        <is>
          <t>maria.rivera</t>
        </is>
      </c>
      <c r="K382" s="19" t="inlineStr">
        <is>
          <t>Own collected and receivable premium from own book; direct-bill bills show DIRECT BILL not PAID.</t>
        </is>
      </c>
      <c r="L382" s="19" t="inlineStr">
        <is>
          <t>As expected.</t>
        </is>
      </c>
      <c r="M382" s="19" t="inlineStr">
        <is>
          <t>Pass</t>
        </is>
      </c>
      <c r="N382" s="19" t="inlineStr"/>
      <c r="O382" s="19" t="inlineStr">
        <is>
          <t>iorta TechNXT QA</t>
        </is>
      </c>
      <c r="P382" s="19" t="inlineStr">
        <is>
          <t>04 October 2026</t>
        </is>
      </c>
      <c r="Q382" s="19" t="inlineStr"/>
      <c r="R382" s="19" t="inlineStr">
        <is>
          <t>backend/test/dashboard.test.js :: agent home shows the signed-in user's own figures [passed]
backend/test/role-access.test.js :: collected and receivable premium come from the premium bills of the agent's book [passed]
backend/test/role-access.test.js :: a premium bill cancelled because the policy is direct bill shows DIRECT BILL under Paid, not PAID [passed]
UAT cycle 03-04 October 2026, phase Reports and dashboards (58 passed, 0 failed)
Screen check /agent/home: opened clean</t>
        </is>
      </c>
    </row>
    <row r="383">
      <c r="A383" s="19" t="inlineStr">
        <is>
          <t>BV-DSH-004</t>
        </is>
      </c>
      <c r="B383" s="19" t="inlineStr">
        <is>
          <t>Dashboards</t>
        </is>
      </c>
      <c r="C383" s="19" t="inlineStr">
        <is>
          <t>Processing Dashboard</t>
        </is>
      </c>
      <c r="D383" s="19" t="inlineStr">
        <is>
          <t>Processing Team (jose.bernardo)</t>
        </is>
      </c>
      <c r="E383" s="19" t="inlineStr">
        <is>
          <t>Processing workbench</t>
        </is>
      </c>
      <c r="F383" s="19" t="inlineStr">
        <is>
          <t>Report</t>
        </is>
      </c>
      <c r="G383" s="19" t="inlineStr">
        <is>
          <t>Medium</t>
        </is>
      </c>
      <c r="H383" s="19" t="inlineStr">
        <is>
          <t>UAT data set.</t>
        </is>
      </c>
      <c r="I383" s="19" t="inlineStr">
        <is>
          <t>1. Open Dashboard &gt; Processing Dashboard.</t>
        </is>
      </c>
      <c r="J383" s="19" t="inlineStr">
        <is>
          <t>jose.bernardo</t>
        </is>
      </c>
      <c r="K383" s="19" t="inlineStr">
        <is>
          <t>Work queues for slips, placements, policies and renewals.</t>
        </is>
      </c>
      <c r="L383" s="19" t="inlineStr">
        <is>
          <t>As expected.</t>
        </is>
      </c>
      <c r="M383" s="19" t="inlineStr">
        <is>
          <t>Pass</t>
        </is>
      </c>
      <c r="N383" s="19" t="inlineStr"/>
      <c r="O383" s="19" t="inlineStr">
        <is>
          <t>iorta TechNXT QA</t>
        </is>
      </c>
      <c r="P383" s="19" t="inlineStr">
        <is>
          <t>04 October 2026</t>
        </is>
      </c>
      <c r="Q383" s="19" t="inlineStr"/>
      <c r="R383" s="19" t="inlineStr">
        <is>
          <t>backend/test/dashboard.test.js :: sales funnel, processing workbench and claims summary [passed]
UAT cycle 03-04 October 2026, phase Reports and dashboards (58 passed, 0 failed)
Screen check /processing/dashboard: opened clean</t>
        </is>
      </c>
    </row>
    <row r="384">
      <c r="A384" s="19" t="inlineStr">
        <is>
          <t>BV-DSH-005</t>
        </is>
      </c>
      <c r="B384" s="19" t="inlineStr">
        <is>
          <t>Dashboards</t>
        </is>
      </c>
      <c r="C384" s="19" t="inlineStr">
        <is>
          <t>Claims Dashboard</t>
        </is>
      </c>
      <c r="D384" s="19" t="inlineStr">
        <is>
          <t>Claims Officer (carlo.estrada)</t>
        </is>
      </c>
      <c r="E384" s="19" t="inlineStr">
        <is>
          <t>Claims summary by status</t>
        </is>
      </c>
      <c r="F384" s="19" t="inlineStr">
        <is>
          <t>Report</t>
        </is>
      </c>
      <c r="G384" s="19" t="inlineStr">
        <is>
          <t>Medium</t>
        </is>
      </c>
      <c r="H384" s="19" t="inlineStr">
        <is>
          <t>UAT data set.</t>
        </is>
      </c>
      <c r="I384" s="19" t="inlineStr">
        <is>
          <t>1. Open Dashboard &gt; Claims Dashboard.</t>
        </is>
      </c>
      <c r="J384" s="19" t="inlineStr">
        <is>
          <t>carlo.estrada</t>
        </is>
      </c>
      <c r="K384" s="19" t="inlineStr">
        <is>
          <t>Open 2, settled 6 (including closed), rejected 0 in Claims Position; dashboard counts agree.</t>
        </is>
      </c>
      <c r="L384" s="19" t="inlineStr">
        <is>
          <t>As expected.</t>
        </is>
      </c>
      <c r="M384" s="19" t="inlineStr">
        <is>
          <t>Pass</t>
        </is>
      </c>
      <c r="N384" s="19" t="inlineStr"/>
      <c r="O384" s="19" t="inlineStr">
        <is>
          <t>iorta TechNXT QA</t>
        </is>
      </c>
      <c r="P384" s="19" t="inlineStr">
        <is>
          <t>04 October 2026</t>
        </is>
      </c>
      <c r="Q384" s="19" t="inlineStr"/>
      <c r="R384" s="19" t="inlineStr">
        <is>
          <t>backend/test/dashboard.test.js :: sales funnel, processing workbench and claims summary [passed]
UAT cycle 03-04 October 2026, phase Reports and dashboards (58 passed, 0 failed)
Screen check /claims/dashboard: opened clean</t>
        </is>
      </c>
    </row>
    <row r="385">
      <c r="A385" s="19" t="inlineStr">
        <is>
          <t>BV-DSH-006</t>
        </is>
      </c>
      <c r="B385" s="19" t="inlineStr">
        <is>
          <t>Dashboards</t>
        </is>
      </c>
      <c r="C385" s="19" t="inlineStr">
        <is>
          <t>Permissions</t>
        </is>
      </c>
      <c r="D385" s="19" t="inlineStr">
        <is>
          <t>Claims Officer (carlo.estrada)</t>
        </is>
      </c>
      <c r="E385" s="19" t="inlineStr">
        <is>
          <t>Dashboards enforce permissions</t>
        </is>
      </c>
      <c r="F385" s="19" t="inlineStr">
        <is>
          <t>Role access</t>
        </is>
      </c>
      <c r="G385" s="19" t="inlineStr">
        <is>
          <t>Medium</t>
        </is>
      </c>
      <c r="H385" s="19" t="inlineStr">
        <is>
          <t>Signed in as carlo.estrada.</t>
        </is>
      </c>
      <c r="I385" s="19" t="inlineStr">
        <is>
          <t>1. Open /executive/dashboard by address.</t>
        </is>
      </c>
      <c r="J385" s="19" t="inlineStr">
        <is>
          <t>None</t>
        </is>
      </c>
      <c r="K385" s="19" t="inlineStr">
        <is>
          <t>Not available to Claims.</t>
        </is>
      </c>
      <c r="L385" s="19" t="inlineStr">
        <is>
          <t>As expected.</t>
        </is>
      </c>
      <c r="M385" s="19" t="inlineStr">
        <is>
          <t>Pass</t>
        </is>
      </c>
      <c r="N385" s="19" t="inlineStr"/>
      <c r="O385" s="19" t="inlineStr">
        <is>
          <t>iorta TechNXT QA</t>
        </is>
      </c>
      <c r="P385" s="19" t="inlineStr">
        <is>
          <t>03 October 2026</t>
        </is>
      </c>
      <c r="Q385" s="19" t="inlineStr"/>
      <c r="R385" s="19" t="inlineStr">
        <is>
          <t>backend/test/dashboard.test.js :: enforces permissions [passed]</t>
        </is>
      </c>
    </row>
    <row r="386">
      <c r="A386" s="19" t="inlineStr">
        <is>
          <t>BV-DSH-007</t>
        </is>
      </c>
      <c r="B386" s="19" t="inlineStr">
        <is>
          <t>Dashboards</t>
        </is>
      </c>
      <c r="C386" s="19" t="inlineStr">
        <is>
          <t>Notifications</t>
        </is>
      </c>
      <c r="D386" s="19" t="inlineStr">
        <is>
          <t>Accounting Officer (liza.quiambao)</t>
        </is>
      </c>
      <c r="E386" s="19" t="inlineStr">
        <is>
          <t>Approval notifications go to the right audience</t>
        </is>
      </c>
      <c r="F386" s="19" t="inlineStr">
        <is>
          <t>Functional</t>
        </is>
      </c>
      <c r="G386" s="19" t="inlineStr">
        <is>
          <t>Medium</t>
        </is>
      </c>
      <c r="H386" s="19" t="inlineStr">
        <is>
          <t>Pending finance approval.</t>
        </is>
      </c>
      <c r="I386" s="19" t="inlineStr">
        <is>
          <t>1. Check the bell as liza.quiambao, ana.buenaventura and maria.rivera.</t>
        </is>
      </c>
      <c r="J386" s="19" t="inlineStr">
        <is>
          <t>Remittance approval</t>
        </is>
      </c>
      <c r="K386" s="19" t="inlineStr">
        <is>
          <t>Only finance sees it; each module names its audience.</t>
        </is>
      </c>
      <c r="L386" s="19" t="inlineStr">
        <is>
          <t>As expected.</t>
        </is>
      </c>
      <c r="M386" s="19" t="inlineStr">
        <is>
          <t>Pass</t>
        </is>
      </c>
      <c r="N386" s="19" t="inlineStr"/>
      <c r="O386" s="19" t="inlineStr">
        <is>
          <t>iorta TechNXT QA</t>
        </is>
      </c>
      <c r="P386" s="19" t="inlineStr">
        <is>
          <t>03 October 2026</t>
        </is>
      </c>
      <c r="Q386" s="19" t="inlineStr"/>
      <c r="R386" s="19" t="inlineStr">
        <is>
          <t>backend/test/role-access.test.js :: a finance approval notification is shown to finance, not to customer services or sales [passed]
backend/test/role-access.test.js :: the approval notifications of the modules name their audience [passed]</t>
        </is>
      </c>
    </row>
    <row r="387">
      <c r="A387" s="19" t="inlineStr">
        <is>
          <t>BV-DSH-008</t>
        </is>
      </c>
      <c r="B387" s="19" t="inlineStr">
        <is>
          <t>Dashboards</t>
        </is>
      </c>
      <c r="C387" s="19" t="inlineStr">
        <is>
          <t>Trial balance check</t>
        </is>
      </c>
      <c r="D387" s="19" t="inlineStr">
        <is>
          <t>Accounting Officer (liza.quiambao)</t>
        </is>
      </c>
      <c r="E387" s="19" t="inlineStr">
        <is>
          <t>Dashboard trial balance balanced after the cycle</t>
        </is>
      </c>
      <c r="F387" s="19" t="inlineStr">
        <is>
          <t>Accounting</t>
        </is>
      </c>
      <c r="G387" s="19" t="inlineStr">
        <is>
          <t>High</t>
        </is>
      </c>
      <c r="H387" s="19" t="inlineStr">
        <is>
          <t>Cycle complete.</t>
        </is>
      </c>
      <c r="I387" s="19" t="inlineStr">
        <is>
          <t>1. Open the trial balance.</t>
        </is>
      </c>
      <c r="J387" s="19" t="inlineStr">
        <is>
          <t>As of 04 October 2026</t>
        </is>
      </c>
      <c r="K387" s="19" t="inlineStr">
        <is>
          <t>Balanced.</t>
        </is>
      </c>
      <c r="L387" s="19" t="inlineStr">
        <is>
          <t>As expected.</t>
        </is>
      </c>
      <c r="M387" s="19" t="inlineStr">
        <is>
          <t>Pass</t>
        </is>
      </c>
      <c r="N387" s="19" t="inlineStr"/>
      <c r="O387" s="19" t="inlineStr">
        <is>
          <t>iorta TechNXT QA</t>
        </is>
      </c>
      <c r="P387" s="19" t="inlineStr">
        <is>
          <t>04 October 2026</t>
        </is>
      </c>
      <c r="Q387" s="19" t="inlineStr"/>
      <c r="R387" s="19" t="inlineStr">
        <is>
          <t>backend/test/reports.test.js :: journal register and a balanced trial balance from approved/posted vouchers only [passed]
UAT cycle 03-04 October 2026, phase Reports and dashboards (58 passed, 0 failed)</t>
        </is>
      </c>
    </row>
    <row r="388">
      <c r="A388" s="19" t="inlineStr">
        <is>
          <t>BV-EML-001</t>
        </is>
      </c>
      <c r="B388" s="19" t="inlineStr">
        <is>
          <t>E-mail outbox and notifications</t>
        </is>
      </c>
      <c r="C388" s="19" t="inlineStr">
        <is>
          <t>E-mail Outbox</t>
        </is>
      </c>
      <c r="D388" s="19" t="inlineStr">
        <is>
          <t>System Administrator (BrokerVerse)</t>
        </is>
      </c>
      <c r="E388" s="19" t="inlineStr">
        <is>
          <t>Outbox lists messages and sending status</t>
        </is>
      </c>
      <c r="F388" s="19" t="inlineStr">
        <is>
          <t>Functional</t>
        </is>
      </c>
      <c r="G388" s="19" t="inlineStr">
        <is>
          <t>Medium</t>
        </is>
      </c>
      <c r="H388" s="19" t="inlineStr">
        <is>
          <t>Messages queued.</t>
        </is>
      </c>
      <c r="I388" s="19" t="inlineStr">
        <is>
          <t>1. Open Master &gt; E-mail Outbox.
2. Filter All statuses; search a subject.</t>
        </is>
      </c>
      <c r="J388" s="19" t="inlineStr">
        <is>
          <t>Subject: Claim notification</t>
        </is>
      </c>
      <c r="K388" s="19" t="inlineStr">
        <is>
          <t>Status, To, Subject, Record, Attempts, Last error, Created, Sent; banner explains when sending is off.</t>
        </is>
      </c>
      <c r="L388" s="19" t="inlineStr">
        <is>
          <t>As expected.</t>
        </is>
      </c>
      <c r="M388" s="19" t="inlineStr">
        <is>
          <t>Pass</t>
        </is>
      </c>
      <c r="N388" s="19" t="inlineStr"/>
      <c r="O388" s="19" t="inlineStr">
        <is>
          <t>iorta TechNXT QA</t>
        </is>
      </c>
      <c r="P388" s="19" t="inlineStr">
        <is>
          <t>03 October 2026</t>
        </is>
      </c>
      <c r="Q388" s="19" t="inlineStr"/>
      <c r="R388" s="19" t="inlineStr">
        <is>
          <t>backend/test/email-outbox.test.js :: lists messages with their status, counts and whether sending is enabled (administrators only) [passed]
Screen check /master/configuration/email-outbox: opened clean</t>
        </is>
      </c>
    </row>
    <row r="389">
      <c r="A389" s="19" t="inlineStr">
        <is>
          <t>BV-EML-002</t>
        </is>
      </c>
      <c r="B389" s="19" t="inlineStr">
        <is>
          <t>E-mail outbox and notifications</t>
        </is>
      </c>
      <c r="C389" s="19" t="inlineStr">
        <is>
          <t>E-mail Outbox</t>
        </is>
      </c>
      <c r="D389" s="19" t="inlineStr">
        <is>
          <t>System Administrator (BrokerVerse)</t>
        </is>
      </c>
      <c r="E389" s="19" t="inlineStr">
        <is>
          <t>Retry while sending is off queues again</t>
        </is>
      </c>
      <c r="F389" s="19" t="inlineStr">
        <is>
          <t>Functional</t>
        </is>
      </c>
      <c r="G389" s="19" t="inlineStr">
        <is>
          <t>Low</t>
        </is>
      </c>
      <c r="H389" s="19" t="inlineStr">
        <is>
          <t>Sending off.</t>
        </is>
      </c>
      <c r="I389" s="19" t="inlineStr">
        <is>
          <t>1. Click Retry on a queued message.</t>
        </is>
      </c>
      <c r="J389" s="19" t="inlineStr">
        <is>
          <t>Queued message</t>
        </is>
      </c>
      <c r="K389" s="19" t="inlineStr">
        <is>
          <t>"Queued - e-mail sending is not configured".</t>
        </is>
      </c>
      <c r="L389" s="19" t="inlineStr">
        <is>
          <t>As expected.</t>
        </is>
      </c>
      <c r="M389" s="19" t="inlineStr">
        <is>
          <t>Pass</t>
        </is>
      </c>
      <c r="N389" s="19" t="inlineStr"/>
      <c r="O389" s="19" t="inlineStr">
        <is>
          <t>iorta TechNXT QA</t>
        </is>
      </c>
      <c r="P389" s="19" t="inlineStr">
        <is>
          <t>03 October 2026</t>
        </is>
      </c>
      <c r="Q389" s="19" t="inlineStr"/>
      <c r="R389" s="19" t="inlineStr">
        <is>
          <t>backend/test/email-outbox.test.js :: retry while sending is off queues the message again and says so [passed]</t>
        </is>
      </c>
    </row>
    <row r="390">
      <c r="A390" s="19" t="inlineStr">
        <is>
          <t>BV-EML-003</t>
        </is>
      </c>
      <c r="B390" s="19" t="inlineStr">
        <is>
          <t>E-mail outbox and notifications</t>
        </is>
      </c>
      <c r="C390" s="19" t="inlineStr">
        <is>
          <t>E-mail Outbox</t>
        </is>
      </c>
      <c r="D390" s="19" t="inlineStr">
        <is>
          <t>System Administrator (BrokerVerse)</t>
        </is>
      </c>
      <c r="E390" s="19" t="inlineStr">
        <is>
          <t>Retry while sending is on</t>
        </is>
      </c>
      <c r="F390" s="19" t="inlineStr">
        <is>
          <t>Functional</t>
        </is>
      </c>
      <c r="G390" s="19" t="inlineStr">
        <is>
          <t>Medium</t>
        </is>
      </c>
      <c r="H390" s="19" t="inlineStr">
        <is>
          <t>Sending on; SMTP configured.</t>
        </is>
      </c>
      <c r="I390" s="19" t="inlineStr">
        <is>
          <t>1. Click Retry on a failed message.</t>
        </is>
      </c>
      <c r="J390" s="19" t="inlineStr">
        <is>
          <t>Failed message</t>
        </is>
      </c>
      <c r="K390" s="19" t="inlineStr">
        <is>
          <t>Sent at once or failure error kept.</t>
        </is>
      </c>
      <c r="L390" s="19" t="inlineStr">
        <is>
          <t>Behaviour confirmed in the backend run with a stream transport; no SMTP server in the test environment.</t>
        </is>
      </c>
      <c r="M390" s="19" t="inlineStr">
        <is>
          <t>Blocked</t>
        </is>
      </c>
      <c r="N390" s="19" t="inlineStr"/>
      <c r="O390" s="19" t="inlineStr">
        <is>
          <t>iorta TechNXT QA</t>
        </is>
      </c>
      <c r="P390" s="19" t="inlineStr">
        <is>
          <t>03 October 2026</t>
        </is>
      </c>
      <c r="Q390" s="19" t="inlineStr"/>
      <c r="R390" s="19" t="inlineStr">
        <is>
          <t>backend/test/email-outbox.test.js :: retry while sending is on tries the message at once and keeps the error of a failed attempt [passed]</t>
        </is>
      </c>
    </row>
    <row r="391">
      <c r="A391" s="19" t="inlineStr">
        <is>
          <t>BV-EML-004</t>
        </is>
      </c>
      <c r="B391" s="19" t="inlineStr">
        <is>
          <t>E-mail outbox and notifications</t>
        </is>
      </c>
      <c r="C391" s="19" t="inlineStr">
        <is>
          <t>E-mail Outbox</t>
        </is>
      </c>
      <c r="D391" s="19" t="inlineStr">
        <is>
          <t>System Administrator (BrokerVerse)</t>
        </is>
      </c>
      <c r="E391" s="19" t="inlineStr">
        <is>
          <t>Retry of a sent or unknown message refused</t>
        </is>
      </c>
      <c r="F391" s="19" t="inlineStr">
        <is>
          <t>Negative</t>
        </is>
      </c>
      <c r="G391" s="19" t="inlineStr">
        <is>
          <t>Low</t>
        </is>
      </c>
      <c r="H391" s="19" t="inlineStr">
        <is>
          <t>Sent message.</t>
        </is>
      </c>
      <c r="I391" s="19" t="inlineStr">
        <is>
          <t>1. Retry it.</t>
        </is>
      </c>
      <c r="J391" s="19" t="inlineStr">
        <is>
          <t>Sent message</t>
        </is>
      </c>
      <c r="K391" s="19" t="inlineStr">
        <is>
          <t>Refused.</t>
        </is>
      </c>
      <c r="L391" s="19" t="inlineStr">
        <is>
          <t>As expected.</t>
        </is>
      </c>
      <c r="M391" s="19" t="inlineStr">
        <is>
          <t>Pass</t>
        </is>
      </c>
      <c r="N391" s="19" t="inlineStr"/>
      <c r="O391" s="19" t="inlineStr">
        <is>
          <t>iorta TechNXT QA</t>
        </is>
      </c>
      <c r="P391" s="19" t="inlineStr">
        <is>
          <t>03 October 2026</t>
        </is>
      </c>
      <c r="Q391" s="19" t="inlineStr"/>
      <c r="R391" s="19" t="inlineStr">
        <is>
          <t>backend/test/email-outbox.test.js :: refuses to retry a sent message or an unknown one [passed]</t>
        </is>
      </c>
    </row>
    <row r="392">
      <c r="A392" s="19" t="inlineStr">
        <is>
          <t>BV-EML-005</t>
        </is>
      </c>
      <c r="B392" s="19" t="inlineStr">
        <is>
          <t>E-mail outbox and notifications</t>
        </is>
      </c>
      <c r="C392" s="19" t="inlineStr">
        <is>
          <t>E-mail content</t>
        </is>
      </c>
      <c r="D392" s="19" t="inlineStr">
        <is>
          <t>System Administrator (BrokerVerse)</t>
        </is>
      </c>
      <c r="E392" s="19" t="inlineStr">
        <is>
          <t>Subjects plain text, bodies escaped</t>
        </is>
      </c>
      <c r="F392" s="19" t="inlineStr">
        <is>
          <t>Negative</t>
        </is>
      </c>
      <c r="G392" s="19" t="inlineStr">
        <is>
          <t>Medium</t>
        </is>
      </c>
      <c r="H392" s="19" t="inlineStr">
        <is>
          <t>Client name with HTML.</t>
        </is>
      </c>
      <c r="I392" s="19" t="inlineStr">
        <is>
          <t>1. Create a client named &lt;b&gt;Test&lt;/b&gt; and send a notice.</t>
        </is>
      </c>
      <c r="J392" s="19" t="inlineStr">
        <is>
          <t>Name &lt;b&gt;Test&lt;/b&gt;</t>
        </is>
      </c>
      <c r="K392" s="19" t="inlineStr">
        <is>
          <t>Subject plain text; body escaped.</t>
        </is>
      </c>
      <c r="L392" s="19" t="inlineStr">
        <is>
          <t>As expected.</t>
        </is>
      </c>
      <c r="M392" s="19" t="inlineStr">
        <is>
          <t>Pass</t>
        </is>
      </c>
      <c r="N392" s="19" t="inlineStr"/>
      <c r="O392" s="19" t="inlineStr">
        <is>
          <t>iorta TechNXT QA</t>
        </is>
      </c>
      <c r="P392" s="19" t="inlineStr">
        <is>
          <t>03 October 2026</t>
        </is>
      </c>
      <c r="Q392" s="19" t="inlineStr"/>
      <c r="R392" s="19" t="inlineStr">
        <is>
          <t>backend/test/configuration.test.js :: e-mail subjects are rendered as plain text, bodies HTML-escaped [passed]</t>
        </is>
      </c>
    </row>
    <row r="393">
      <c r="A393" s="19" t="inlineStr">
        <is>
          <t>BV-EML-006</t>
        </is>
      </c>
      <c r="B393" s="19" t="inlineStr">
        <is>
          <t>E-mail outbox and notifications</t>
        </is>
      </c>
      <c r="C393" s="19" t="inlineStr">
        <is>
          <t>Mail transport</t>
        </is>
      </c>
      <c r="D393" s="19" t="inlineStr">
        <is>
          <t>System Administrator (BrokerVerse)</t>
        </is>
      </c>
      <c r="E393" s="19" t="inlineStr">
        <is>
          <t>Mail transport from SMTP URL</t>
        </is>
      </c>
      <c r="F393" s="19" t="inlineStr">
        <is>
          <t>Integration</t>
        </is>
      </c>
      <c r="G393" s="19" t="inlineStr">
        <is>
          <t>Low</t>
        </is>
      </c>
      <c r="H393" s="19" t="inlineStr">
        <is>
          <t>SMTP_URL set.</t>
        </is>
      </c>
      <c r="I393" s="19" t="inlineStr">
        <is>
          <t>1. Send a test message.</t>
        </is>
      </c>
      <c r="J393" s="19" t="inlineStr">
        <is>
          <t>smtp://user:pass@host:587</t>
        </is>
      </c>
      <c r="K393" s="19" t="inlineStr">
        <is>
          <t>Transport built and message sent.</t>
        </is>
      </c>
      <c r="L393" s="19" t="inlineStr">
        <is>
          <t>As expected.</t>
        </is>
      </c>
      <c r="M393" s="19" t="inlineStr">
        <is>
          <t>Pass</t>
        </is>
      </c>
      <c r="N393" s="19" t="inlineStr"/>
      <c r="O393" s="19" t="inlineStr">
        <is>
          <t>iorta TechNXT QA</t>
        </is>
      </c>
      <c r="P393" s="19" t="inlineStr">
        <is>
          <t>03 October 2026</t>
        </is>
      </c>
      <c r="Q393" s="19" t="inlineStr"/>
      <c r="R393" s="19" t="inlineStr">
        <is>
          <t>backend/test/dependencies.test.js :: nodemailer 10 builds a transport from a URL and sends through a stream transport [passed]</t>
        </is>
      </c>
    </row>
    <row r="394">
      <c r="A394" s="19" t="inlineStr">
        <is>
          <t>BV-AUD-001</t>
        </is>
      </c>
      <c r="B394" s="19" t="inlineStr">
        <is>
          <t>Audit trail</t>
        </is>
      </c>
      <c r="C394" s="19" t="inlineStr">
        <is>
          <t>Audit Trail</t>
        </is>
      </c>
      <c r="D394" s="19" t="inlineStr">
        <is>
          <t>System Administrator (BrokerVerse)</t>
        </is>
      </c>
      <c r="E394" s="19" t="inlineStr">
        <is>
          <t>Changes listed with before and after values</t>
        </is>
      </c>
      <c r="F394" s="19" t="inlineStr">
        <is>
          <t>Functional</t>
        </is>
      </c>
      <c r="G394" s="19" t="inlineStr">
        <is>
          <t>High</t>
        </is>
      </c>
      <c r="H394" s="19" t="inlineStr">
        <is>
          <t>Changes made today.</t>
        </is>
      </c>
      <c r="I394" s="19" t="inlineStr">
        <is>
          <t>1. Open Master &gt; Audit Trail.
2. Filter on user BrokerVerse and today.</t>
        </is>
      </c>
      <c r="J394" s="19" t="inlineStr">
        <is>
          <t>Today</t>
        </is>
      </c>
      <c r="K394" s="19" t="inlineStr">
        <is>
          <t>Each change listed with user, time, record, before and after.</t>
        </is>
      </c>
      <c r="L394" s="19" t="inlineStr">
        <is>
          <t>As expected.</t>
        </is>
      </c>
      <c r="M394" s="19" t="inlineStr">
        <is>
          <t>Pass</t>
        </is>
      </c>
      <c r="N394" s="19" t="inlineStr"/>
      <c r="O394" s="19" t="inlineStr">
        <is>
          <t>iorta TechNXT QA</t>
        </is>
      </c>
      <c r="P394" s="19" t="inlineStr">
        <is>
          <t>03 October 2026</t>
        </is>
      </c>
      <c r="Q394" s="19" t="inlineStr"/>
      <c r="R394" s="19" t="inlineStr">
        <is>
          <t>backend/test/core.test.js :: writes an audit trail [passed]
backend/test/user-access.test.js :: lists, creates and locks users, and reads the audit trail [passed]
Screen check /master/configuration/audit-trail: opened clean</t>
        </is>
      </c>
    </row>
    <row r="395">
      <c r="A395" s="19" t="inlineStr">
        <is>
          <t>BV-AUD-002</t>
        </is>
      </c>
      <c r="B395" s="19" t="inlineStr">
        <is>
          <t>Audit trail</t>
        </is>
      </c>
      <c r="C395" s="19" t="inlineStr">
        <is>
          <t>Audit Trail</t>
        </is>
      </c>
      <c r="D395" s="19" t="inlineStr">
        <is>
          <t>System Administrator (BrokerVerse)</t>
        </is>
      </c>
      <c r="E395" s="19" t="inlineStr">
        <is>
          <t>Policy life cycle traced in the audit trail</t>
        </is>
      </c>
      <c r="F395" s="19" t="inlineStr">
        <is>
          <t>Functional</t>
        </is>
      </c>
      <c r="G395" s="19" t="inlineStr">
        <is>
          <t>High</t>
        </is>
      </c>
      <c r="H395" s="19" t="inlineStr">
        <is>
          <t>Policy issued, paid, endorsed, claimed.</t>
        </is>
      </c>
      <c r="I395" s="19" t="inlineStr">
        <is>
          <t>1. Filter the Audit Trail by the policy number.</t>
        </is>
      </c>
      <c r="J395" s="19" t="inlineStr">
        <is>
          <t>Motor policy of the E2E case</t>
        </is>
      </c>
      <c r="K395" s="19" t="inlineStr">
        <is>
          <t>Create, approvals, payment, endorsement and claim listed with user and time.</t>
        </is>
      </c>
      <c r="L395" s="19" t="inlineStr">
        <is>
          <t>As expected.</t>
        </is>
      </c>
      <c r="M395" s="19" t="inlineStr">
        <is>
          <t>Pass</t>
        </is>
      </c>
      <c r="N395" s="19" t="inlineStr"/>
      <c r="O395" s="19" t="inlineStr">
        <is>
          <t>iorta TechNXT QA</t>
        </is>
      </c>
      <c r="P395" s="19" t="inlineStr">
        <is>
          <t>03 October 2026</t>
        </is>
      </c>
      <c r="Q395" s="19" t="inlineStr"/>
      <c r="R395" s="19" t="inlineStr">
        <is>
          <t>backend/test/claims.test.js :: rejects a claim and returns the field-level audit trail [passed]
backend/test/customer-response.test.js :: accepted: CustomerAccepted with the evidence stored, audited and listed [passed]</t>
        </is>
      </c>
    </row>
    <row r="396">
      <c r="A396" s="19" t="inlineStr">
        <is>
          <t>BV-AUD-003</t>
        </is>
      </c>
      <c r="B396" s="19" t="inlineStr">
        <is>
          <t>Audit trail</t>
        </is>
      </c>
      <c r="C396" s="19" t="inlineStr">
        <is>
          <t>Audit Trail</t>
        </is>
      </c>
      <c r="D396" s="19" t="inlineStr">
        <is>
          <t>Sales / Account Executive (maria.rivera)</t>
        </is>
      </c>
      <c r="E396" s="19" t="inlineStr">
        <is>
          <t>Audit trail not available to business users</t>
        </is>
      </c>
      <c r="F396" s="19" t="inlineStr">
        <is>
          <t>Role access</t>
        </is>
      </c>
      <c r="G396" s="19" t="inlineStr">
        <is>
          <t>Medium</t>
        </is>
      </c>
      <c r="H396" s="19" t="inlineStr">
        <is>
          <t>Signed in as maria.rivera.</t>
        </is>
      </c>
      <c r="I396" s="19" t="inlineStr">
        <is>
          <t>1. Open /master/configuration/audit-trail by address.</t>
        </is>
      </c>
      <c r="J396" s="19" t="inlineStr">
        <is>
          <t>None</t>
        </is>
      </c>
      <c r="K396" s="19" t="inlineStr">
        <is>
          <t>Not available.</t>
        </is>
      </c>
      <c r="L396" s="19" t="inlineStr">
        <is>
          <t>As expected.</t>
        </is>
      </c>
      <c r="M396" s="19" t="inlineStr">
        <is>
          <t>Pass</t>
        </is>
      </c>
      <c r="N396" s="19" t="inlineStr"/>
      <c r="O396" s="19" t="inlineStr">
        <is>
          <t>iorta TechNXT QA</t>
        </is>
      </c>
      <c r="P396" s="19" t="inlineStr">
        <is>
          <t>03 October 2026</t>
        </is>
      </c>
      <c r="Q396" s="19" t="inlineStr"/>
      <c r="R396" s="19" t="inlineStr">
        <is>
          <t>backend/test/user-access.test.js :: has no business access [passed]</t>
        </is>
      </c>
    </row>
    <row r="397">
      <c r="A397" s="19" t="inlineStr">
        <is>
          <t>BV-AUD-004</t>
        </is>
      </c>
      <c r="B397" s="19" t="inlineStr">
        <is>
          <t>Audit trail</t>
        </is>
      </c>
      <c r="C397" s="19" t="inlineStr">
        <is>
          <t>Retention</t>
        </is>
      </c>
      <c r="D397" s="19" t="inlineStr">
        <is>
          <t>System Administrator (BrokerVerse)</t>
        </is>
      </c>
      <c r="E397" s="19" t="inlineStr">
        <is>
          <t>Audit rows never purged below 7 years</t>
        </is>
      </c>
      <c r="F397" s="19" t="inlineStr">
        <is>
          <t>Validation</t>
        </is>
      </c>
      <c r="G397" s="19" t="inlineStr">
        <is>
          <t>Medium</t>
        </is>
      </c>
      <c r="H397" s="19" t="inlineStr">
        <is>
          <t>Retention job.</t>
        </is>
      </c>
      <c r="I397" s="19" t="inlineStr">
        <is>
          <t>1. Set audit retention to 365 days and run.</t>
        </is>
      </c>
      <c r="J397" s="19" t="inlineStr">
        <is>
          <t>365 days</t>
        </is>
      </c>
      <c r="K397" s="19" t="inlineStr">
        <is>
          <t>Audit rows kept for at least 7 years.</t>
        </is>
      </c>
      <c r="L397" s="19" t="inlineStr">
        <is>
          <t>As expected.</t>
        </is>
      </c>
      <c r="M397" s="19" t="inlineStr">
        <is>
          <t>Pass</t>
        </is>
      </c>
      <c r="N397" s="19" t="inlineStr"/>
      <c r="O397" s="19" t="inlineStr">
        <is>
          <t>iorta TechNXT QA</t>
        </is>
      </c>
      <c r="P397" s="19" t="inlineStr">
        <is>
          <t>03 October 2026</t>
        </is>
      </c>
      <c r="Q397" s="19" t="inlineStr"/>
      <c r="R397" s="19" t="inlineStr">
        <is>
          <t>backend/test/operations.test.js :: keeps a table forever at 0 days and never purges the audit trail below 7 years [passed]</t>
        </is>
      </c>
    </row>
    <row r="398">
      <c r="A398" s="19" t="inlineStr">
        <is>
          <t>BV-E2E-001</t>
        </is>
      </c>
      <c r="B398" s="19" t="inlineStr">
        <is>
          <t>End-to-end life cycle</t>
        </is>
      </c>
      <c r="C398" s="19" t="inlineStr">
        <is>
          <t>Step 1: Sign-in and lockout</t>
        </is>
      </c>
      <c r="D398" s="19" t="inlineStr">
        <is>
          <t>System Administrator (BrokerVerse)</t>
        </is>
      </c>
      <c r="E398" s="19" t="inlineStr">
        <is>
          <t>Life cycle step 1: sign-in and lockout</t>
        </is>
      </c>
      <c r="F398" s="19" t="inlineStr">
        <is>
          <t>Integration</t>
        </is>
      </c>
      <c r="G398" s="19" t="inlineStr">
        <is>
          <t>High</t>
        </is>
      </c>
      <c r="H398" s="19" t="inlineStr">
        <is>
          <t>Fresh database.</t>
        </is>
      </c>
      <c r="I398" s="19" t="inlineStr">
        <is>
          <t>1. Open the Login page and sign in as BrokerVerse with a wrong password.
2. Sign in with the correct password.</t>
        </is>
      </c>
      <c r="J398" s="19" t="inlineStr">
        <is>
          <t>Motor policy of Kristine Villanueva; personas of the UAT data set</t>
        </is>
      </c>
      <c r="K398" s="19" t="inlineStr">
        <is>
          <t>Error "Invalid username or password"; then the Executive Dashboard opens.</t>
        </is>
      </c>
      <c r="L398" s="19" t="inlineStr">
        <is>
          <t>As expected.</t>
        </is>
      </c>
      <c r="M398" s="19" t="inlineStr">
        <is>
          <t>Pass</t>
        </is>
      </c>
      <c r="N398" s="19" t="inlineStr"/>
      <c r="O398" s="19" t="inlineStr">
        <is>
          <t>iorta TechNXT QA</t>
        </is>
      </c>
      <c r="P398" s="19" t="inlineStr">
        <is>
          <t>04 October 2026</t>
        </is>
      </c>
      <c r="Q398" s="19" t="inlineStr"/>
      <c r="R398" s="19" t="inlineStr">
        <is>
          <t>backend/test/core.test.js :: rejects a wrong password and accepts the admin [passed]
UAT cycle 03-04 October 2026, phase Set-up (46 passed, 0 failed)</t>
        </is>
      </c>
    </row>
    <row r="399">
      <c r="A399" s="19" t="inlineStr">
        <is>
          <t>BV-E2E-002</t>
        </is>
      </c>
      <c r="B399" s="19" t="inlineStr">
        <is>
          <t>End-to-end life cycle</t>
        </is>
      </c>
      <c r="C399" s="19" t="inlineStr">
        <is>
          <t>Step 2: Personas created</t>
        </is>
      </c>
      <c r="D399" s="19" t="inlineStr">
        <is>
          <t>System Administrator (BrokerVerse)</t>
        </is>
      </c>
      <c r="E399" s="19" t="inlineStr">
        <is>
          <t>Life cycle step 2: personas created</t>
        </is>
      </c>
      <c r="F399" s="19" t="inlineStr">
        <is>
          <t>Integration</t>
        </is>
      </c>
      <c r="G399" s="19" t="inlineStr">
        <is>
          <t>High</t>
        </is>
      </c>
      <c r="H399" s="19" t="inlineStr">
        <is>
          <t>Previous life cycle steps passed. Fresh database with the UAT data set.</t>
        </is>
      </c>
      <c r="I399" s="19" t="inlineStr">
        <is>
          <t>1. Open Master &gt; Generals &gt; User Management &gt; User.
2. Click Add User for each persona with one role.
3. Sign in as each persona and change the temporary password.</t>
        </is>
      </c>
      <c r="J399" s="19" t="inlineStr">
        <is>
          <t>Motor policy of Kristine Villanueva; personas of the UAT data set</t>
        </is>
      </c>
      <c r="K399" s="19" t="inlineStr">
        <is>
          <t>Each persona signs in and sees only its menus.</t>
        </is>
      </c>
      <c r="L399" s="19" t="inlineStr">
        <is>
          <t>As expected.</t>
        </is>
      </c>
      <c r="M399" s="19" t="inlineStr">
        <is>
          <t>Pass</t>
        </is>
      </c>
      <c r="N399" s="19" t="inlineStr"/>
      <c r="O399" s="19" t="inlineStr">
        <is>
          <t>iorta TechNXT QA</t>
        </is>
      </c>
      <c r="P399" s="19" t="inlineStr">
        <is>
          <t>04 October 2026</t>
        </is>
      </c>
      <c r="Q399" s="19" t="inlineStr"/>
      <c r="R399" s="19" t="inlineStr">
        <is>
          <t>backend/test/core.test.js :: admin creates a persona user who can then sign in with that role [passed]
UAT cycle 03-04 October 2026, phase Set-up (46 passed, 0 failed)</t>
        </is>
      </c>
    </row>
    <row r="400">
      <c r="A400" s="19" t="inlineStr">
        <is>
          <t>BV-E2E-003</t>
        </is>
      </c>
      <c r="B400" s="19" t="inlineStr">
        <is>
          <t>End-to-end life cycle</t>
        </is>
      </c>
      <c r="C400" s="19" t="inlineStr">
        <is>
          <t>Step 3: Configuration read</t>
        </is>
      </c>
      <c r="D400" s="19" t="inlineStr">
        <is>
          <t>System Administrator (BrokerVerse)</t>
        </is>
      </c>
      <c r="E400" s="19" t="inlineStr">
        <is>
          <t>Life cycle step 3: configuration read</t>
        </is>
      </c>
      <c r="F400" s="19" t="inlineStr">
        <is>
          <t>Integration</t>
        </is>
      </c>
      <c r="G400" s="19" t="inlineStr">
        <is>
          <t>High</t>
        </is>
      </c>
      <c r="H400" s="19" t="inlineStr">
        <is>
          <t>Previous life cycle steps passed. Fresh database with the UAT data set.</t>
        </is>
      </c>
      <c r="I400" s="19" t="inlineStr">
        <is>
          <t>1. Open Master &gt; Configuration.
2. Read VAT, DST, numbering and limits.
3. Change limits.session_idle_minutes and save.</t>
        </is>
      </c>
      <c r="J400" s="19" t="inlineStr">
        <is>
          <t>Motor policy of Kristine Villanueva; personas of the UAT data set</t>
        </is>
      </c>
      <c r="K400" s="19" t="inlineStr">
        <is>
          <t>Values match the seeded defaults; change saved and in the Audit Trail.</t>
        </is>
      </c>
      <c r="L400" s="19" t="inlineStr">
        <is>
          <t>As expected.</t>
        </is>
      </c>
      <c r="M400" s="19" t="inlineStr">
        <is>
          <t>Pass</t>
        </is>
      </c>
      <c r="N400" s="19" t="inlineStr"/>
      <c r="O400" s="19" t="inlineStr">
        <is>
          <t>iorta TechNXT QA</t>
        </is>
      </c>
      <c r="P400" s="19" t="inlineStr">
        <is>
          <t>04 October 2026</t>
        </is>
      </c>
      <c r="Q400" s="19" t="inlineStr"/>
      <c r="R400" s="19" t="inlineStr">
        <is>
          <t>backend/test/core.test.js :: settings are read from the database and editable by admins [passed]
UAT cycle 03-04 October 2026, phase Set-up (46 passed, 0 failed)</t>
        </is>
      </c>
    </row>
    <row r="401">
      <c r="A401" s="19" t="inlineStr">
        <is>
          <t>BV-E2E-004</t>
        </is>
      </c>
      <c r="B401" s="19" t="inlineStr">
        <is>
          <t>End-to-end life cycle</t>
        </is>
      </c>
      <c r="C401" s="19" t="inlineStr">
        <is>
          <t>Step 4: Insurer master</t>
        </is>
      </c>
      <c r="D401" s="19" t="inlineStr">
        <is>
          <t>System Administrator (beatriz.lacson)</t>
        </is>
      </c>
      <c r="E401" s="19" t="inlineStr">
        <is>
          <t>Life cycle step 4: insurer master</t>
        </is>
      </c>
      <c r="F401" s="19" t="inlineStr">
        <is>
          <t>Integration</t>
        </is>
      </c>
      <c r="G401" s="19" t="inlineStr">
        <is>
          <t>High</t>
        </is>
      </c>
      <c r="H401" s="19" t="inlineStr">
        <is>
          <t>Previous life cycle steps passed. Fresh database with the UAT data set.</t>
        </is>
      </c>
      <c r="I401" s="19" t="inlineStr">
        <is>
          <t>1. Open Master &gt; Generals &gt; Insurance Management &gt; Insurance Company.
2. Add Pacific Crest Insurance Corp. with warranty 60 days and remittance 30 days.
3. Open a quotation insurer drop-down.</t>
        </is>
      </c>
      <c r="J401" s="19" t="inlineStr">
        <is>
          <t>Motor policy of Kristine Villanueva; personas of the UAT data set</t>
        </is>
      </c>
      <c r="K401" s="19" t="inlineStr">
        <is>
          <t>Insurer saved and offered in the drop-down.</t>
        </is>
      </c>
      <c r="L401" s="19" t="inlineStr">
        <is>
          <t>As expected.</t>
        </is>
      </c>
      <c r="M401" s="19" t="inlineStr">
        <is>
          <t>Pass</t>
        </is>
      </c>
      <c r="N401" s="19" t="inlineStr"/>
      <c r="O401" s="19" t="inlineStr">
        <is>
          <t>iorta TechNXT QA</t>
        </is>
      </c>
      <c r="P401" s="19" t="inlineStr">
        <is>
          <t>04 October 2026</t>
        </is>
      </c>
      <c r="Q401" s="19" t="inlineStr"/>
      <c r="R401" s="19" t="inlineStr">
        <is>
          <t>backend/test/masters.test.js :: creates, reads, searches, updates and deactivates [passed]
UAT cycle 03-04 October 2026, phase Set-up (46 passed, 0 failed)</t>
        </is>
      </c>
    </row>
    <row r="402">
      <c r="A402" s="19" t="inlineStr">
        <is>
          <t>BV-E2E-005</t>
        </is>
      </c>
      <c r="B402" s="19" t="inlineStr">
        <is>
          <t>End-to-end life cycle</t>
        </is>
      </c>
      <c r="C402" s="19" t="inlineStr">
        <is>
          <t>Step 5: Prospect</t>
        </is>
      </c>
      <c r="D402" s="19" t="inlineStr">
        <is>
          <t>Sales / Account Executive (maria.rivera)</t>
        </is>
      </c>
      <c r="E402" s="19" t="inlineStr">
        <is>
          <t>Life cycle step 5: prospect</t>
        </is>
      </c>
      <c r="F402" s="19" t="inlineStr">
        <is>
          <t>Integration</t>
        </is>
      </c>
      <c r="G402" s="19" t="inlineStr">
        <is>
          <t>High</t>
        </is>
      </c>
      <c r="H402" s="19" t="inlineStr">
        <is>
          <t>Previous life cycle steps passed. Fresh database with the UAT data set.</t>
        </is>
      </c>
      <c r="I402" s="19" t="inlineStr">
        <is>
          <t>1. Open Operations &gt; Sales &amp; Marketing &gt; Prospects.
2. Click Create Prospect for Kristine Villanueva, Motor.
3. Click Save Prospect.</t>
        </is>
      </c>
      <c r="J402" s="19" t="inlineStr">
        <is>
          <t>Motor policy of Kristine Villanueva; personas of the UAT data set</t>
        </is>
      </c>
      <c r="K402" s="19" t="inlineStr">
        <is>
          <t>Prospect listed under Motor; Sales Dashboard prospect count +1.</t>
        </is>
      </c>
      <c r="L402" s="19" t="inlineStr">
        <is>
          <t>As expected.</t>
        </is>
      </c>
      <c r="M402" s="19" t="inlineStr">
        <is>
          <t>Pass</t>
        </is>
      </c>
      <c r="N402" s="19" t="inlineStr"/>
      <c r="O402" s="19" t="inlineStr">
        <is>
          <t>iorta TechNXT QA</t>
        </is>
      </c>
      <c r="P402" s="19" t="inlineStr">
        <is>
          <t>04 October 2026</t>
        </is>
      </c>
      <c r="Q402" s="19" t="inlineStr"/>
      <c r="R402" s="19" t="inlineStr">
        <is>
          <t>backend/test/leads.test.js :: creates a lead and returns it at the top level and in data [passed]
UAT cycle 03-04 October 2026, phase Retail package business (84 passed, 0 failed)</t>
        </is>
      </c>
    </row>
    <row r="403">
      <c r="A403" s="19" t="inlineStr">
        <is>
          <t>BV-E2E-006</t>
        </is>
      </c>
      <c r="B403" s="19" t="inlineStr">
        <is>
          <t>End-to-end life cycle</t>
        </is>
      </c>
      <c r="C403" s="19" t="inlineStr">
        <is>
          <t>Step 6: Quotation</t>
        </is>
      </c>
      <c r="D403" s="19" t="inlineStr">
        <is>
          <t>Sales / Account Executive (maria.rivera)</t>
        </is>
      </c>
      <c r="E403" s="19" t="inlineStr">
        <is>
          <t>Life cycle step 6: quotation</t>
        </is>
      </c>
      <c r="F403" s="19" t="inlineStr">
        <is>
          <t>Integration</t>
        </is>
      </c>
      <c r="G403" s="19" t="inlineStr">
        <is>
          <t>High</t>
        </is>
      </c>
      <c r="H403" s="19" t="inlineStr">
        <is>
          <t>Previous life cycle steps passed. Fresh database with the UAT data set.</t>
        </is>
      </c>
      <c r="I403" s="19" t="inlineStr">
        <is>
          <t>1. Open the prospect and click Create Quote.
2. Enter Toyota Vios 1.3 XLE CVT 2024, FMV PHP 850,000.00, BI, PD, APPA, Pacific Crest, CTPL included.
3. Save.</t>
        </is>
      </c>
      <c r="J403" s="19" t="inlineStr">
        <is>
          <t>Motor policy of Kristine Villanueva; personas of the UAT data set</t>
        </is>
      </c>
      <c r="K403" s="19" t="inlineStr">
        <is>
          <t>Premium = net + VAT + DST + LGT + CTPL PHP 610.40; quotation number from the series.</t>
        </is>
      </c>
      <c r="L403" s="19" t="inlineStr">
        <is>
          <t>As expected.</t>
        </is>
      </c>
      <c r="M403" s="19" t="inlineStr">
        <is>
          <t>Pass</t>
        </is>
      </c>
      <c r="N403" s="19" t="inlineStr"/>
      <c r="O403" s="19" t="inlineStr">
        <is>
          <t>iorta TechNXT QA</t>
        </is>
      </c>
      <c r="P403" s="19" t="inlineStr">
        <is>
          <t>04 October 2026</t>
        </is>
      </c>
      <c r="Q403" s="19" t="inlineStr"/>
      <c r="R403" s="19" t="inlineStr">
        <is>
          <t>backend/test/quotations.test.js :: creates a quotation with a server-side premium breakdown from settings [passed]
UAT cycle 03-04 October 2026, phase Retail package business (84 passed, 0 failed)</t>
        </is>
      </c>
    </row>
    <row r="404">
      <c r="A404" s="19" t="inlineStr">
        <is>
          <t>BV-E2E-007</t>
        </is>
      </c>
      <c r="B404" s="19" t="inlineStr">
        <is>
          <t>End-to-end life cycle</t>
        </is>
      </c>
      <c r="C404" s="19" t="inlineStr">
        <is>
          <t>Step 7: Quotation downstream</t>
        </is>
      </c>
      <c r="D404" s="19" t="inlineStr">
        <is>
          <t>Sales / Account Executive (maria.rivera)</t>
        </is>
      </c>
      <c r="E404" s="19" t="inlineStr">
        <is>
          <t>Life cycle step 7: quotation downstream</t>
        </is>
      </c>
      <c r="F404" s="19" t="inlineStr">
        <is>
          <t>Integration</t>
        </is>
      </c>
      <c r="G404" s="19" t="inlineStr">
        <is>
          <t>High</t>
        </is>
      </c>
      <c r="H404" s="19" t="inlineStr">
        <is>
          <t>Previous life cycle steps passed. Fresh database with the UAT data set.</t>
        </is>
      </c>
      <c r="I404" s="19" t="inlineStr">
        <is>
          <t>1. Open Quotations.
2. Open Dashboard &gt; Sales Dashboard.
3. Run the Lead Conversion Funnel report.</t>
        </is>
      </c>
      <c r="J404" s="19" t="inlineStr">
        <is>
          <t>Motor policy of Kristine Villanueva; personas of the UAT data set</t>
        </is>
      </c>
      <c r="K404" s="19" t="inlineStr">
        <is>
          <t>Quotation listed as Draft and counted in the dashboard and the funnel.</t>
        </is>
      </c>
      <c r="L404" s="19" t="inlineStr">
        <is>
          <t>As expected.</t>
        </is>
      </c>
      <c r="M404" s="19" t="inlineStr">
        <is>
          <t>Pass</t>
        </is>
      </c>
      <c r="N404" s="19" t="inlineStr"/>
      <c r="O404" s="19" t="inlineStr">
        <is>
          <t>iorta TechNXT QA</t>
        </is>
      </c>
      <c r="P404" s="19" t="inlineStr">
        <is>
          <t>04 October 2026</t>
        </is>
      </c>
      <c r="Q404" s="19" t="inlineStr"/>
      <c r="R404" s="19" t="inlineStr">
        <is>
          <t>backend/test/dashboard.test.js :: sales funnel, processing workbench and claims summary [passed]
UAT cycle 03-04 October 2026, phase Reports and dashboards (58 passed, 0 failed)</t>
        </is>
      </c>
    </row>
    <row r="405">
      <c r="A405" s="19" t="inlineStr">
        <is>
          <t>BV-E2E-008</t>
        </is>
      </c>
      <c r="B405" s="19" t="inlineStr">
        <is>
          <t>End-to-end life cycle</t>
        </is>
      </c>
      <c r="C405" s="19" t="inlineStr">
        <is>
          <t>Step 8: Send for approval</t>
        </is>
      </c>
      <c r="D405" s="19" t="inlineStr">
        <is>
          <t>Sales / Account Executive (maria.rivera)</t>
        </is>
      </c>
      <c r="E405" s="19" t="inlineStr">
        <is>
          <t>Life cycle step 8: send for approval</t>
        </is>
      </c>
      <c r="F405" s="19" t="inlineStr">
        <is>
          <t>Integration</t>
        </is>
      </c>
      <c r="G405" s="19" t="inlineStr">
        <is>
          <t>High</t>
        </is>
      </c>
      <c r="H405" s="19" t="inlineStr">
        <is>
          <t>Previous life cycle steps passed. Fresh database with the UAT data set.</t>
        </is>
      </c>
      <c r="I405" s="19" t="inlineStr">
        <is>
          <t>1. Open the quotation.
2. Click Send for Customer Approval.</t>
        </is>
      </c>
      <c r="J405" s="19" t="inlineStr">
        <is>
          <t>Motor policy of Kristine Villanueva; personas of the UAT data set</t>
        </is>
      </c>
      <c r="K405" s="19" t="inlineStr">
        <is>
          <t>Status Pending customer; Processing Team notified.</t>
        </is>
      </c>
      <c r="L405" s="19" t="inlineStr">
        <is>
          <t>As expected.</t>
        </is>
      </c>
      <c r="M405" s="19" t="inlineStr">
        <is>
          <t>Pass</t>
        </is>
      </c>
      <c r="N405" s="19" t="inlineStr"/>
      <c r="O405" s="19" t="inlineStr">
        <is>
          <t>iorta TechNXT QA</t>
        </is>
      </c>
      <c r="P405" s="19" t="inlineStr">
        <is>
          <t>04 October 2026</t>
        </is>
      </c>
      <c r="Q405" s="19" t="inlineStr"/>
      <c r="R405" s="19" t="inlineStr">
        <is>
          <t>backend/test/customer-response.test.js :: moves to PendingCustomer and says plainly that e-mail is not configured [passed]
UAT cycle 03-04 October 2026, phase Retail package business (84 passed, 0 failed)</t>
        </is>
      </c>
    </row>
    <row r="406">
      <c r="A406" s="19" t="inlineStr">
        <is>
          <t>BV-E2E-009</t>
        </is>
      </c>
      <c r="B406" s="19" t="inlineStr">
        <is>
          <t>End-to-end life cycle</t>
        </is>
      </c>
      <c r="C406" s="19" t="inlineStr">
        <is>
          <t>Step 9: Customer acceptance</t>
        </is>
      </c>
      <c r="D406" s="19" t="inlineStr">
        <is>
          <t>Sales / Account Executive (maria.rivera)</t>
        </is>
      </c>
      <c r="E406" s="19" t="inlineStr">
        <is>
          <t>Life cycle step 9: customer acceptance</t>
        </is>
      </c>
      <c r="F406" s="19" t="inlineStr">
        <is>
          <t>Integration</t>
        </is>
      </c>
      <c r="G406" s="19" t="inlineStr">
        <is>
          <t>High</t>
        </is>
      </c>
      <c r="H406" s="19" t="inlineStr">
        <is>
          <t>Previous life cycle steps passed. Fresh database with the UAT data set.</t>
        </is>
      </c>
      <c r="I406" s="19" t="inlineStr">
        <is>
          <t>1. Click Record customer response.
2. Accepted, Received by Phone, date and reference.
3. Click Record response.</t>
        </is>
      </c>
      <c r="J406" s="19" t="inlineStr">
        <is>
          <t>Motor policy of Kristine Villanueva; personas of the UAT data set</t>
        </is>
      </c>
      <c r="K406" s="19" t="inlineStr">
        <is>
          <t>Status CustomerAccepted with the evidence.</t>
        </is>
      </c>
      <c r="L406" s="19" t="inlineStr">
        <is>
          <t>As expected.</t>
        </is>
      </c>
      <c r="M406" s="19" t="inlineStr">
        <is>
          <t>Pass</t>
        </is>
      </c>
      <c r="N406" s="19" t="inlineStr"/>
      <c r="O406" s="19" t="inlineStr">
        <is>
          <t>iorta TechNXT QA</t>
        </is>
      </c>
      <c r="P406" s="19" t="inlineStr">
        <is>
          <t>04 October 2026</t>
        </is>
      </c>
      <c r="Q406" s="19" t="inlineStr"/>
      <c r="R406" s="19" t="inlineStr">
        <is>
          <t>backend/test/customer-response.test.js :: accepted: CustomerAccepted with the evidence stored, audited and listed [passed]
UAT cycle 03-04 October 2026, phase Retail package business (84 passed, 0 failed)</t>
        </is>
      </c>
    </row>
    <row r="407">
      <c r="A407" s="19" t="inlineStr">
        <is>
          <t>BV-E2E-010</t>
        </is>
      </c>
      <c r="B407" s="19" t="inlineStr">
        <is>
          <t>End-to-end life cycle</t>
        </is>
      </c>
      <c r="C407" s="19" t="inlineStr">
        <is>
          <t>Step 10: Convert to policy</t>
        </is>
      </c>
      <c r="D407" s="19" t="inlineStr">
        <is>
          <t>Processing Team (jose.bernardo)</t>
        </is>
      </c>
      <c r="E407" s="19" t="inlineStr">
        <is>
          <t>Life cycle step 10: convert to policy</t>
        </is>
      </c>
      <c r="F407" s="19" t="inlineStr">
        <is>
          <t>Integration</t>
        </is>
      </c>
      <c r="G407" s="19" t="inlineStr">
        <is>
          <t>High</t>
        </is>
      </c>
      <c r="H407" s="19" t="inlineStr">
        <is>
          <t>Previous life cycle steps passed. Fresh database with the UAT data set.</t>
        </is>
      </c>
      <c r="I407" s="19" t="inlineStr">
        <is>
          <t>1. Sign in as jose.bernardo and open the quotation.
2. Click Convert to Policy; enter KYC and vehicle identifiers.
3. Issue.</t>
        </is>
      </c>
      <c r="J407" s="19" t="inlineStr">
        <is>
          <t>Motor policy of Kristine Villanueva; personas of the UAT data set</t>
        </is>
      </c>
      <c r="K407" s="19" t="inlineStr">
        <is>
          <t>Policy number issued; client created from the prospect; policy Active.</t>
        </is>
      </c>
      <c r="L407" s="19" t="inlineStr">
        <is>
          <t>As expected.</t>
        </is>
      </c>
      <c r="M407" s="19" t="inlineStr">
        <is>
          <t>Pass</t>
        </is>
      </c>
      <c r="N407" s="19" t="inlineStr"/>
      <c r="O407" s="19" t="inlineStr">
        <is>
          <t>iorta TechNXT QA</t>
        </is>
      </c>
      <c r="P407" s="19" t="inlineStr">
        <is>
          <t>04 October 2026</t>
        </is>
      </c>
      <c r="Q407" s="19" t="inlineStr"/>
      <c r="R407" s="19" t="inlineStr">
        <is>
          <t>backend/test/quotations.test.js :: converts to policy: client, policy, receivable with bill number, commission accrual, owner notified [passed]
UAT cycle 03-04 October 2026, phase Retail package business (84 passed, 0 failed)</t>
        </is>
      </c>
    </row>
    <row r="408">
      <c r="A408" s="19" t="inlineStr">
        <is>
          <t>BV-E2E-011</t>
        </is>
      </c>
      <c r="B408" s="19" t="inlineStr">
        <is>
          <t>End-to-end life cycle</t>
        </is>
      </c>
      <c r="C408" s="19" t="inlineStr">
        <is>
          <t>Step 11: Downstream of issuance</t>
        </is>
      </c>
      <c r="D408" s="19" t="inlineStr">
        <is>
          <t>Accounting Officer (liza.quiambao)</t>
        </is>
      </c>
      <c r="E408" s="19" t="inlineStr">
        <is>
          <t>Life cycle step 11: downstream of issuance</t>
        </is>
      </c>
      <c r="F408" s="19" t="inlineStr">
        <is>
          <t>Integration</t>
        </is>
      </c>
      <c r="G408" s="19" t="inlineStr">
        <is>
          <t>High</t>
        </is>
      </c>
      <c r="H408" s="19" t="inlineStr">
        <is>
          <t>Previous life cycle steps passed. Fresh database with the UAT data set.</t>
        </is>
      </c>
      <c r="I408" s="19" t="inlineStr">
        <is>
          <t>1. Open Executive Dashboard.
2. Run Production Register.
3. Open Accounting Query for the policy.
4. Open Collections, Commission Dashboard and Remittance candidates.</t>
        </is>
      </c>
      <c r="J408" s="19" t="inlineStr">
        <is>
          <t>Motor policy of Kristine Villanueva; personas of the UAT data set</t>
        </is>
      </c>
      <c r="K408" s="19" t="inlineStr">
        <is>
          <t>Policy in each place; journal Dr Premium receivable / Cr Premium payable and commission income, balanced; collection item Current; commission line Accrued.</t>
        </is>
      </c>
      <c r="L408" s="19" t="inlineStr">
        <is>
          <t>As expected.</t>
        </is>
      </c>
      <c r="M408" s="19" t="inlineStr">
        <is>
          <t>Pass</t>
        </is>
      </c>
      <c r="N408" s="19" t="inlineStr"/>
      <c r="O408" s="19" t="inlineStr">
        <is>
          <t>iorta TechNXT QA</t>
        </is>
      </c>
      <c r="P408" s="19" t="inlineStr">
        <is>
          <t>04 October 2026</t>
        </is>
      </c>
      <c r="Q408" s="19" t="inlineStr"/>
      <c r="R408" s="19" t="inlineStr">
        <is>
          <t>backend/test/posting-rules.test.js :: policy booking and receipt: same accounts, amounts, memos and order (premium taxes not split) [passed]
UAT cycle 03-04 October 2026, phase Reports and dashboards (58 passed, 0 failed)</t>
        </is>
      </c>
    </row>
    <row r="409">
      <c r="A409" s="19" t="inlineStr">
        <is>
          <t>BV-E2E-012</t>
        </is>
      </c>
      <c r="B409" s="19" t="inlineStr">
        <is>
          <t>End-to-end life cycle</t>
        </is>
      </c>
      <c r="C409" s="19" t="inlineStr">
        <is>
          <t>Step 12: Receipts</t>
        </is>
      </c>
      <c r="D409" s="19" t="inlineStr">
        <is>
          <t>Accounting Officer (liza.quiambao)</t>
        </is>
      </c>
      <c r="E409" s="19" t="inlineStr">
        <is>
          <t>Life cycle step 12: receipts</t>
        </is>
      </c>
      <c r="F409" s="19" t="inlineStr">
        <is>
          <t>Integration</t>
        </is>
      </c>
      <c r="G409" s="19" t="inlineStr">
        <is>
          <t>High</t>
        </is>
      </c>
      <c r="H409" s="19" t="inlineStr">
        <is>
          <t>Previous life cycle steps passed. Fresh database with the UAT data set.</t>
        </is>
      </c>
      <c r="I409" s="19" t="inlineStr">
        <is>
          <t>1. Open Accounts &gt; Receipts and click Add Receipt.
2. Receipt half the bill; then the balance.
3. Try one more peso.</t>
        </is>
      </c>
      <c r="J409" s="19" t="inlineStr">
        <is>
          <t>Motor policy of Kristine Villanueva; personas of the UAT data set</t>
        </is>
      </c>
      <c r="K409" s="19" t="inlineStr">
        <is>
          <t>Bill Partial then Paid; OR numbers issued; overpayment refused; trial balance balanced.</t>
        </is>
      </c>
      <c r="L409" s="19" t="inlineStr">
        <is>
          <t>As expected.</t>
        </is>
      </c>
      <c r="M409" s="19" t="inlineStr">
        <is>
          <t>Pass</t>
        </is>
      </c>
      <c r="N409" s="19" t="inlineStr"/>
      <c r="O409" s="19" t="inlineStr">
        <is>
          <t>iorta TechNXT QA</t>
        </is>
      </c>
      <c r="P409" s="19" t="inlineStr">
        <is>
          <t>04 October 2026</t>
        </is>
      </c>
      <c r="Q409" s="19" t="inlineStr"/>
      <c r="R409" s="19" t="inlineStr">
        <is>
          <t>backend/test/receipts.test.js :: official receipt against a receivable: partial then full payment, overpayment rejected [passed]
UAT cycle 03-04 October 2026, phase Billing and collection (61 passed, 0 failed)</t>
        </is>
      </c>
    </row>
    <row r="410">
      <c r="A410" s="19" t="inlineStr">
        <is>
          <t>BV-E2E-013</t>
        </is>
      </c>
      <c r="B410" s="19" t="inlineStr">
        <is>
          <t>End-to-end life cycle</t>
        </is>
      </c>
      <c r="C410" s="19" t="inlineStr">
        <is>
          <t>Step 13: Commission payout</t>
        </is>
      </c>
      <c r="D410" s="19" t="inlineStr">
        <is>
          <t>Accounting Officer (liza.quiambao)</t>
        </is>
      </c>
      <c r="E410" s="19" t="inlineStr">
        <is>
          <t>Life cycle step 13: commission payout</t>
        </is>
      </c>
      <c r="F410" s="19" t="inlineStr">
        <is>
          <t>Integration</t>
        </is>
      </c>
      <c r="G410" s="19" t="inlineStr">
        <is>
          <t>High</t>
        </is>
      </c>
      <c r="H410" s="19" t="inlineStr">
        <is>
          <t>Previous life cycle steps passed. Fresh database with the UAT data set.</t>
        </is>
      </c>
      <c r="I410" s="19" t="inlineStr">
        <is>
          <t>1. Open Commission &gt; Agents/Referrer Accounts.
2. Mark eligible; approve as nestor.pangilinan; pay.</t>
        </is>
      </c>
      <c r="J410" s="19" t="inlineStr">
        <is>
          <t>Motor policy of Kristine Villanueva; personas of the UAT data set</t>
        </is>
      </c>
      <c r="K410" s="19" t="inlineStr">
        <is>
          <t>Not eligible before full collection; maker refused; WHT deducted; payable journal posted.</t>
        </is>
      </c>
      <c r="L410" s="19" t="inlineStr">
        <is>
          <t>As expected.</t>
        </is>
      </c>
      <c r="M410" s="19" t="inlineStr">
        <is>
          <t>Pass</t>
        </is>
      </c>
      <c r="N410" s="19" t="inlineStr"/>
      <c r="O410" s="19" t="inlineStr">
        <is>
          <t>iorta TechNXT QA</t>
        </is>
      </c>
      <c r="P410" s="19" t="inlineStr">
        <is>
          <t>04 October 2026</t>
        </is>
      </c>
      <c r="Q410" s="19" t="inlineStr"/>
      <c r="R410" s="19" t="inlineStr">
        <is>
          <t>backend/test/commission.test.js :: approval is maker-checker; approved lines post the accrual and can be bulk-disbursed and paid [passed]
UAT cycle 03-04 October 2026, phase Money: remittances, commission, petty cash (27 passed, 0 failed)</t>
        </is>
      </c>
    </row>
    <row r="411">
      <c r="A411" s="19" t="inlineStr">
        <is>
          <t>BV-E2E-014</t>
        </is>
      </c>
      <c r="B411" s="19" t="inlineStr">
        <is>
          <t>End-to-end life cycle</t>
        </is>
      </c>
      <c r="C411" s="19" t="inlineStr">
        <is>
          <t>Step 14: Remittance</t>
        </is>
      </c>
      <c r="D411" s="19" t="inlineStr">
        <is>
          <t>Accounting Officer (liza.quiambao)</t>
        </is>
      </c>
      <c r="E411" s="19" t="inlineStr">
        <is>
          <t>Life cycle step 14: remittance</t>
        </is>
      </c>
      <c r="F411" s="19" t="inlineStr">
        <is>
          <t>Integration</t>
        </is>
      </c>
      <c r="G411" s="19" t="inlineStr">
        <is>
          <t>High</t>
        </is>
      </c>
      <c r="H411" s="19" t="inlineStr">
        <is>
          <t>Previous life cycle steps passed. Fresh database with the UAT data set.</t>
        </is>
      </c>
      <c r="I411" s="19" t="inlineStr">
        <is>
          <t>1. Open Accounts &gt; Remittance.
2. Create and process the remittance; approve per level; settle; approve.
3. Print the cheque.</t>
        </is>
      </c>
      <c r="J411" s="19" t="inlineStr">
        <is>
          <t>Motor policy of Kristine Villanueva; personas of the UAT data set</t>
        </is>
      </c>
      <c r="K411" s="19" t="inlineStr">
        <is>
          <t>Approvals by other users; insurer voucher net of commission; Disbursement register and Remittance Summary include it.</t>
        </is>
      </c>
      <c r="L411" s="19" t="inlineStr">
        <is>
          <t>As expected.</t>
        </is>
      </c>
      <c r="M411" s="19" t="inlineStr">
        <is>
          <t>Pass</t>
        </is>
      </c>
      <c r="N411" s="19" t="inlineStr"/>
      <c r="O411" s="19" t="inlineStr">
        <is>
          <t>iorta TechNXT QA</t>
        </is>
      </c>
      <c r="P411" s="19" t="inlineStr">
        <is>
          <t>04 October 2026</t>
        </is>
      </c>
      <c r="Q411" s="19" t="inlineStr"/>
      <c r="R411" s="19" t="inlineStr">
        <is>
          <t>backend/test/remittance.test.js :: an approved settlement raises the insurer payment voucher for the collected premium [passed]
UAT cycle 03-04 October 2026, phase Money: remittances, commission, petty cash (27 passed, 0 failed)</t>
        </is>
      </c>
    </row>
    <row r="412">
      <c r="A412" s="19" t="inlineStr">
        <is>
          <t>BV-E2E-015</t>
        </is>
      </c>
      <c r="B412" s="19" t="inlineStr">
        <is>
          <t>End-to-end life cycle</t>
        </is>
      </c>
      <c r="C412" s="19" t="inlineStr">
        <is>
          <t>Step 15: Endorsement</t>
        </is>
      </c>
      <c r="D412" s="19" t="inlineStr">
        <is>
          <t>Operations / Client Service (ana.buenaventura)</t>
        </is>
      </c>
      <c r="E412" s="19" t="inlineStr">
        <is>
          <t>Life cycle step 15: endorsement</t>
        </is>
      </c>
      <c r="F412" s="19" t="inlineStr">
        <is>
          <t>Integration</t>
        </is>
      </c>
      <c r="G412" s="19" t="inlineStr">
        <is>
          <t>High</t>
        </is>
      </c>
      <c r="H412" s="19" t="inlineStr">
        <is>
          <t>Previous life cycle steps passed. Fresh database with the UAT data set.</t>
        </is>
      </c>
      <c r="I412" s="19" t="inlineStr">
        <is>
          <t>1. Open the policy and endorse a change of address.
2. Endorse an additional cover.</t>
        </is>
      </c>
      <c r="J412" s="19" t="inlineStr">
        <is>
          <t>Motor policy of Kristine Villanueva; personas of the UAT data set</t>
        </is>
      </c>
      <c r="K412" s="19" t="inlineStr">
        <is>
          <t>Address change not billed; additional cover billed as a new receivable; policy updated.</t>
        </is>
      </c>
      <c r="L412" s="19" t="inlineStr">
        <is>
          <t>As expected.</t>
        </is>
      </c>
      <c r="M412" s="19" t="inlineStr">
        <is>
          <t>Pass</t>
        </is>
      </c>
      <c r="N412" s="19" t="inlineStr"/>
      <c r="O412" s="19" t="inlineStr">
        <is>
          <t>iorta TechNXT QA</t>
        </is>
      </c>
      <c r="P412" s="19" t="inlineStr">
        <is>
          <t>04 October 2026</t>
        </is>
      </c>
      <c r="Q412" s="19" t="inlineStr"/>
      <c r="R412" s="19" t="inlineStr">
        <is>
          <t>backend/test/endorsements.test.js :: bills a positive delta as a new receivable with a balanced journal and a collection item, and updates the policy premium [passed]
UAT cycle 03-04 October 2026, phase Servicing: endorsements, renewals, claims (31 passed, 0 failed)</t>
        </is>
      </c>
    </row>
    <row r="413">
      <c r="A413" s="19" t="inlineStr">
        <is>
          <t>BV-E2E-016</t>
        </is>
      </c>
      <c r="B413" s="19" t="inlineStr">
        <is>
          <t>End-to-end life cycle</t>
        </is>
      </c>
      <c r="C413" s="19" t="inlineStr">
        <is>
          <t>Step 16: Claim registration</t>
        </is>
      </c>
      <c r="D413" s="19" t="inlineStr">
        <is>
          <t>Claims Officer (carlo.estrada)</t>
        </is>
      </c>
      <c r="E413" s="19" t="inlineStr">
        <is>
          <t>Life cycle step 16: claim registration</t>
        </is>
      </c>
      <c r="F413" s="19" t="inlineStr">
        <is>
          <t>Integration</t>
        </is>
      </c>
      <c r="G413" s="19" t="inlineStr">
        <is>
          <t>High</t>
        </is>
      </c>
      <c r="H413" s="19" t="inlineStr">
        <is>
          <t>Previous life cycle steps passed. Fresh database with the UAT data set.</t>
        </is>
      </c>
      <c r="I413" s="19" t="inlineStr">
        <is>
          <t>1. Open Operations &gt; Claims; register with a loss date before inception.
2. Register with a valid loss date.</t>
        </is>
      </c>
      <c r="J413" s="19" t="inlineStr">
        <is>
          <t>Motor policy of Kristine Villanueva; personas of the UAT data set</t>
        </is>
      </c>
      <c r="K413" s="19" t="inlineStr">
        <is>
          <t>First refused; second registered; Claims Dashboard +1.</t>
        </is>
      </c>
      <c r="L413" s="19" t="inlineStr">
        <is>
          <t>As expected.</t>
        </is>
      </c>
      <c r="M413" s="19" t="inlineStr">
        <is>
          <t>Pass</t>
        </is>
      </c>
      <c r="N413" s="19" t="inlineStr"/>
      <c r="O413" s="19" t="inlineStr">
        <is>
          <t>iorta TechNXT QA</t>
        </is>
      </c>
      <c r="P413" s="19" t="inlineStr">
        <is>
          <t>04 October 2026</t>
        </is>
      </c>
      <c r="Q413" s="19" t="inlineStr"/>
      <c r="R413" s="19" t="inlineStr">
        <is>
          <t>backend/test/claims.test.js :: rejects invalid registrations (validation, loss date outside the period, unpaid premium) and honours the setting [passed]
UAT cycle 03-04 October 2026, phase Servicing: endorsements, renewals, claims (31 passed, 0 failed)</t>
        </is>
      </c>
    </row>
    <row r="414">
      <c r="A414" s="19" t="inlineStr">
        <is>
          <t>BV-E2E-017</t>
        </is>
      </c>
      <c r="B414" s="19" t="inlineStr">
        <is>
          <t>End-to-end life cycle</t>
        </is>
      </c>
      <c r="C414" s="19" t="inlineStr">
        <is>
          <t>Step 17: Claim settlement</t>
        </is>
      </c>
      <c r="D414" s="19" t="inlineStr">
        <is>
          <t>Claims Officer (joy.macaraeg)</t>
        </is>
      </c>
      <c r="E414" s="19" t="inlineStr">
        <is>
          <t>Life cycle step 17: claim settlement</t>
        </is>
      </c>
      <c r="F414" s="19" t="inlineStr">
        <is>
          <t>Integration</t>
        </is>
      </c>
      <c r="G414" s="19" t="inlineStr">
        <is>
          <t>High</t>
        </is>
      </c>
      <c r="H414" s="19" t="inlineStr">
        <is>
          <t>Previous life cycle steps passed. Fresh database with the UAT data set.</t>
        </is>
      </c>
      <c r="I414" s="19" t="inlineStr">
        <is>
          <t>1. Review and enter the settlement as carlo.estrada.
2. Approve as joy.macaraeg.</t>
        </is>
      </c>
      <c r="J414" s="19" t="inlineStr">
        <is>
          <t>Motor policy of Kristine Villanueva; personas of the UAT data set</t>
        </is>
      </c>
      <c r="K414" s="19" t="inlineStr">
        <is>
          <t>Maker refused; status Settled; Claims Position updated.</t>
        </is>
      </c>
      <c r="L414" s="19" t="inlineStr">
        <is>
          <t>As expected.</t>
        </is>
      </c>
      <c r="M414" s="19" t="inlineStr">
        <is>
          <t>Pass</t>
        </is>
      </c>
      <c r="N414" s="19" t="inlineStr"/>
      <c r="O414" s="19" t="inlineStr">
        <is>
          <t>iorta TechNXT QA</t>
        </is>
      </c>
      <c r="P414" s="19" t="inlineStr">
        <is>
          <t>04 October 2026</t>
        </is>
      </c>
      <c r="Q414" s="19" t="inlineStr"/>
      <c r="R414" s="19" t="inlineStr">
        <is>
          <t>backend/test/claims.test.js :: moves through review, adjuster report, settlement maker-checker to settled and closed [passed]
UAT cycle 03-04 October 2026, phase Servicing: endorsements, renewals, claims (31 passed, 0 failed)</t>
        </is>
      </c>
    </row>
    <row r="415">
      <c r="A415" s="19" t="inlineStr">
        <is>
          <t>BV-E2E-018</t>
        </is>
      </c>
      <c r="B415" s="19" t="inlineStr">
        <is>
          <t>End-to-end life cycle</t>
        </is>
      </c>
      <c r="C415" s="19" t="inlineStr">
        <is>
          <t>Step 18: Journal voucher</t>
        </is>
      </c>
      <c r="D415" s="19" t="inlineStr">
        <is>
          <t>Accounting Officer (liza.quiambao)</t>
        </is>
      </c>
      <c r="E415" s="19" t="inlineStr">
        <is>
          <t>Life cycle step 18: journal voucher</t>
        </is>
      </c>
      <c r="F415" s="19" t="inlineStr">
        <is>
          <t>Integration</t>
        </is>
      </c>
      <c r="G415" s="19" t="inlineStr">
        <is>
          <t>High</t>
        </is>
      </c>
      <c r="H415" s="19" t="inlineStr">
        <is>
          <t>Previous life cycle steps passed. Fresh database with the UAT data set.</t>
        </is>
      </c>
      <c r="I415" s="19" t="inlineStr">
        <is>
          <t>1. Open Accounts &gt; Journal Voucher and Add Journal Voucher, unbalanced; then balanced.
2. Approve as teresa.villaroman.</t>
        </is>
      </c>
      <c r="J415" s="19" t="inlineStr">
        <is>
          <t>Motor policy of Kristine Villanueva; personas of the UAT data set</t>
        </is>
      </c>
      <c r="K415" s="19" t="inlineStr">
        <is>
          <t>Unbalanced refused; posted JV in the Journal register; trial balance balanced.</t>
        </is>
      </c>
      <c r="L415" s="19" t="inlineStr">
        <is>
          <t>As expected.</t>
        </is>
      </c>
      <c r="M415" s="19" t="inlineStr">
        <is>
          <t>Pass</t>
        </is>
      </c>
      <c r="N415" s="19" t="inlineStr"/>
      <c r="O415" s="19" t="inlineStr">
        <is>
          <t>iorta TechNXT QA</t>
        </is>
      </c>
      <c r="P415" s="19" t="inlineStr">
        <is>
          <t>04 October 2026</t>
        </is>
      </c>
      <c r="Q415" s="19" t="inlineStr"/>
      <c r="R415" s="19" t="inlineStr">
        <is>
          <t>backend/test/journal.test.js :: maker creates a voucher for approval; maker cannot approve; checker approves and it posts [passed]
UAT cycle 03-04 October 2026, phase Reconciliation: bank and insurer statements (10 passed, 0 failed)</t>
        </is>
      </c>
    </row>
    <row r="416">
      <c r="A416" s="19" t="inlineStr">
        <is>
          <t>BV-E2E-019</t>
        </is>
      </c>
      <c r="B416" s="19" t="inlineStr">
        <is>
          <t>End-to-end life cycle</t>
        </is>
      </c>
      <c r="C416" s="19" t="inlineStr">
        <is>
          <t>Step 19: Scheduled jobs</t>
        </is>
      </c>
      <c r="D416" s="19" t="inlineStr">
        <is>
          <t>System Administrator (BrokerVerse)</t>
        </is>
      </c>
      <c r="E416" s="19" t="inlineStr">
        <is>
          <t>Life cycle step 19: scheduled jobs</t>
        </is>
      </c>
      <c r="F416" s="19" t="inlineStr">
        <is>
          <t>Integration</t>
        </is>
      </c>
      <c r="G416" s="19" t="inlineStr">
        <is>
          <t>High</t>
        </is>
      </c>
      <c r="H416" s="19" t="inlineStr">
        <is>
          <t>Previous life cycle steps passed. Fresh database with the UAT data set.</t>
        </is>
      </c>
      <c r="I416" s="19" t="inlineStr">
        <is>
          <t>1. Open Master &gt; Schedules.
2. Run renewal notices, receivable ageing and collection reminders.</t>
        </is>
      </c>
      <c r="J416" s="19" t="inlineStr">
        <is>
          <t>Motor policy of Kristine Villanueva; personas of the UAT data set</t>
        </is>
      </c>
      <c r="K416" s="19" t="inlineStr">
        <is>
          <t>Runs recorded; notices queued; ageing buckets updated.</t>
        </is>
      </c>
      <c r="L416" s="19" t="inlineStr">
        <is>
          <t>As expected.</t>
        </is>
      </c>
      <c r="M416" s="19" t="inlineStr">
        <is>
          <t>Pass</t>
        </is>
      </c>
      <c r="N416" s="19" t="inlineStr"/>
      <c r="O416" s="19" t="inlineStr">
        <is>
          <t>iorta TechNXT QA</t>
        </is>
      </c>
      <c r="P416" s="19" t="inlineStr">
        <is>
          <t>04 October 2026</t>
        </is>
      </c>
      <c r="Q416" s="19" t="inlineStr"/>
      <c r="R416" s="19" t="inlineStr">
        <is>
          <t>backend/test/core.test.js :: runs a scheduled job and records the run [passed]
UAT cycle 03-04 October 2026, phase Servicing: endorsements, renewals, claims (31 passed, 0 failed)</t>
        </is>
      </c>
    </row>
    <row r="417">
      <c r="A417" s="19" t="inlineStr">
        <is>
          <t>BV-E2E-020</t>
        </is>
      </c>
      <c r="B417" s="19" t="inlineStr">
        <is>
          <t>End-to-end life cycle</t>
        </is>
      </c>
      <c r="C417" s="19" t="inlineStr">
        <is>
          <t>Step 20: Renewal</t>
        </is>
      </c>
      <c r="D417" s="19" t="inlineStr">
        <is>
          <t>Processing Team (jose.bernardo)</t>
        </is>
      </c>
      <c r="E417" s="19" t="inlineStr">
        <is>
          <t>Life cycle step 20: renewal</t>
        </is>
      </c>
      <c r="F417" s="19" t="inlineStr">
        <is>
          <t>Integration</t>
        </is>
      </c>
      <c r="G417" s="19" t="inlineStr">
        <is>
          <t>High</t>
        </is>
      </c>
      <c r="H417" s="19" t="inlineStr">
        <is>
          <t>Previous life cycle steps passed. Fresh database with the UAT data set.</t>
        </is>
      </c>
      <c r="I417" s="19" t="inlineStr">
        <is>
          <t>1. Open Operations &gt; Renewals &gt; Renewal Queue.
2. Generate Quote; submit; approve as rica.fernandez; complete.</t>
        </is>
      </c>
      <c r="J417" s="19" t="inlineStr">
        <is>
          <t>Motor policy of Kristine Villanueva; personas of the UAT data set</t>
        </is>
      </c>
      <c r="K417" s="19" t="inlineStr">
        <is>
          <t>Re-rated premium and variance; new term issued; old term Renewed.</t>
        </is>
      </c>
      <c r="L417" s="19" t="inlineStr">
        <is>
          <t>As expected.</t>
        </is>
      </c>
      <c r="M417" s="19" t="inlineStr">
        <is>
          <t>Pass</t>
        </is>
      </c>
      <c r="N417" s="19" t="inlineStr"/>
      <c r="O417" s="19" t="inlineStr">
        <is>
          <t>iorta TechNXT QA</t>
        </is>
      </c>
      <c r="P417" s="19" t="inlineStr">
        <is>
          <t>04 October 2026</t>
        </is>
      </c>
      <c r="Q417" s="19" t="inlineStr"/>
      <c r="R417" s="19" t="inlineStr">
        <is>
          <t>backend/test/renewals.test.js :: requires checker approval by a different user and then renews into a new policy term [passed]
UAT cycle 03-04 October 2026, phase Servicing: endorsements, renewals, claims (31 passed, 0 failed)</t>
        </is>
      </c>
    </row>
    <row r="418">
      <c r="A418" s="19" t="inlineStr">
        <is>
          <t>BV-E2E-021</t>
        </is>
      </c>
      <c r="B418" s="19" t="inlineStr">
        <is>
          <t>End-to-end life cycle</t>
        </is>
      </c>
      <c r="C418" s="19" t="inlineStr">
        <is>
          <t>Step 21: Role access</t>
        </is>
      </c>
      <c r="D418" s="19" t="inlineStr">
        <is>
          <t>Any signed-in user</t>
        </is>
      </c>
      <c r="E418" s="19" t="inlineStr">
        <is>
          <t>Life cycle step 21: role access</t>
        </is>
      </c>
      <c r="F418" s="19" t="inlineStr">
        <is>
          <t>Integration</t>
        </is>
      </c>
      <c r="G418" s="19" t="inlineStr">
        <is>
          <t>High</t>
        </is>
      </c>
      <c r="H418" s="19" t="inlineStr">
        <is>
          <t>Previous life cycle steps passed. Fresh database with the UAT data set.</t>
        </is>
      </c>
      <c r="I418" s="19" t="inlineStr">
        <is>
          <t>1. Sign in as each persona.
2. Compare the menu with the role grants.
3. Type a forbidden address.</t>
        </is>
      </c>
      <c r="J418" s="19" t="inlineStr">
        <is>
          <t>Motor policy of Kristine Villanueva; personas of the UAT data set</t>
        </is>
      </c>
      <c r="K418" s="19" t="inlineStr">
        <is>
          <t>Only own menus; forbidden address not opened; the API refuses the same action.</t>
        </is>
      </c>
      <c r="L418" s="19" t="inlineStr">
        <is>
          <t>As expected.</t>
        </is>
      </c>
      <c r="M418" s="19" t="inlineStr">
        <is>
          <t>Pass</t>
        </is>
      </c>
      <c r="N418" s="19" t="inlineStr"/>
      <c r="O418" s="19" t="inlineStr">
        <is>
          <t>iorta TechNXT QA</t>
        </is>
      </c>
      <c r="P418" s="19" t="inlineStr">
        <is>
          <t>03 October 2026</t>
        </is>
      </c>
      <c r="Q418" s="19" t="inlineStr"/>
      <c r="R418" s="19" t="inlineStr">
        <is>
          <t>brokerverse/src/utils/menuPermissions.test.js :: allows the role's own screens and the home route [passed]
backend/test/hardening.test.js :: every non-public route answers 401 without a token [passed]</t>
        </is>
      </c>
    </row>
    <row r="419">
      <c r="A419" s="19" t="inlineStr">
        <is>
          <t>BV-E2E-022</t>
        </is>
      </c>
      <c r="B419" s="19" t="inlineStr">
        <is>
          <t>End-to-end life cycle</t>
        </is>
      </c>
      <c r="C419" s="19" t="inlineStr">
        <is>
          <t>Step 22: Reports</t>
        </is>
      </c>
      <c r="D419" s="19" t="inlineStr">
        <is>
          <t>System Administrator (BrokerVerse)</t>
        </is>
      </c>
      <c r="E419" s="19" t="inlineStr">
        <is>
          <t>Life cycle step 22: reports</t>
        </is>
      </c>
      <c r="F419" s="19" t="inlineStr">
        <is>
          <t>Integration</t>
        </is>
      </c>
      <c r="G419" s="19" t="inlineStr">
        <is>
          <t>High</t>
        </is>
      </c>
      <c r="H419" s="19" t="inlineStr">
        <is>
          <t>Previous life cycle steps passed. Fresh database with the UAT data set.</t>
        </is>
      </c>
      <c r="I419" s="19" t="inlineStr">
        <is>
          <t>1. Open Reports &gt; All Reports.
2. Run and generate each report for the test period.</t>
        </is>
      </c>
      <c r="J419" s="19" t="inlineStr">
        <is>
          <t>Motor policy of Kristine Villanueva; personas of the UAT data set</t>
        </is>
      </c>
      <c r="K419" s="19" t="inlineStr">
        <is>
          <t>Each report returns rows and the file downloads.</t>
        </is>
      </c>
      <c r="L419" s="19" t="inlineStr">
        <is>
          <t>As expected.</t>
        </is>
      </c>
      <c r="M419" s="19" t="inlineStr">
        <is>
          <t>Pass</t>
        </is>
      </c>
      <c r="N419" s="19" t="inlineStr"/>
      <c r="O419" s="19" t="inlineStr">
        <is>
          <t>iorta TechNXT QA</t>
        </is>
      </c>
      <c r="P419" s="19" t="inlineStr">
        <is>
          <t>04 October 2026</t>
        </is>
      </c>
      <c r="Q419" s="19" t="inlineStr"/>
      <c r="R419" s="19" t="inlineStr">
        <is>
          <t>backend/test/reports.test.js :: writes CSV, XLSX and PDF files, records history and serves downloads [passed]
UAT cycle 03-04 October 2026, phase Reports and dashboards (58 passed, 0 failed)</t>
        </is>
      </c>
    </row>
    <row r="420">
      <c r="A420" s="19" t="inlineStr">
        <is>
          <t>BV-E2E-023</t>
        </is>
      </c>
      <c r="B420" s="19" t="inlineStr">
        <is>
          <t>End-to-end life cycle</t>
        </is>
      </c>
      <c r="C420" s="19" t="inlineStr">
        <is>
          <t>Step 23: Audit trail</t>
        </is>
      </c>
      <c r="D420" s="19" t="inlineStr">
        <is>
          <t>System Administrator (BrokerVerse)</t>
        </is>
      </c>
      <c r="E420" s="19" t="inlineStr">
        <is>
          <t>Life cycle step 23: audit trail</t>
        </is>
      </c>
      <c r="F420" s="19" t="inlineStr">
        <is>
          <t>Integration</t>
        </is>
      </c>
      <c r="G420" s="19" t="inlineStr">
        <is>
          <t>High</t>
        </is>
      </c>
      <c r="H420" s="19" t="inlineStr">
        <is>
          <t>Previous life cycle steps passed. Fresh database with the UAT data set.</t>
        </is>
      </c>
      <c r="I420" s="19" t="inlineStr">
        <is>
          <t>1. Open Master &gt; Audit Trail.
2. Filter by the policy number.</t>
        </is>
      </c>
      <c r="J420" s="19" t="inlineStr">
        <is>
          <t>Motor policy of Kristine Villanueva; personas of the UAT data set</t>
        </is>
      </c>
      <c r="K420" s="19" t="inlineStr">
        <is>
          <t>Every create, approval and payment listed with user and time.</t>
        </is>
      </c>
      <c r="L420" s="19" t="inlineStr">
        <is>
          <t>As expected.</t>
        </is>
      </c>
      <c r="M420" s="19" t="inlineStr">
        <is>
          <t>Pass</t>
        </is>
      </c>
      <c r="N420" s="19" t="inlineStr"/>
      <c r="O420" s="19" t="inlineStr">
        <is>
          <t>iorta TechNXT QA</t>
        </is>
      </c>
      <c r="P420" s="19" t="inlineStr">
        <is>
          <t>03 October 2026</t>
        </is>
      </c>
      <c r="Q420" s="19" t="inlineStr"/>
      <c r="R420" s="19" t="inlineStr">
        <is>
          <t>backend/test/core.test.js :: writes an audit trail [passed]</t>
        </is>
      </c>
    </row>
    <row r="421">
      <c r="A421" s="19" t="inlineStr">
        <is>
          <t>BV-RPT-007</t>
        </is>
      </c>
      <c r="B421" s="19" t="inlineStr">
        <is>
          <t>Reports</t>
        </is>
      </c>
      <c r="C421" s="19" t="inlineStr">
        <is>
          <t>Production Register</t>
        </is>
      </c>
      <c r="D421" s="19" t="inlineStr">
        <is>
          <t>Sales / Account Executive (maria.rivera)</t>
        </is>
      </c>
      <c r="E421" s="19" t="inlineStr">
        <is>
          <t>Run Production Register with every criterion and export to Excel</t>
        </is>
      </c>
      <c r="F421" s="19" t="inlineStr">
        <is>
          <t>Report</t>
        </is>
      </c>
      <c r="G421" s="19" t="inlineStr">
        <is>
          <t>High</t>
        </is>
      </c>
      <c r="H421" s="19" t="inlineStr">
        <is>
          <t>UAT data set loaded (May to October 2026).</t>
        </is>
      </c>
      <c r="I421" s="19" t="inlineStr">
        <is>
          <t>1. Open Reports &gt; Operational Reports &gt; Production.
2. Set From Date 01 May 2026 and To Date 04 October 2026.
3. Run the report for each Report Criteria: Overall, Agent, Principal Insurer, Branch, Billing Mode.
4. Click Generate and choose XLSX; open the file.</t>
        </is>
      </c>
      <c r="J421" s="19" t="inlineStr">
        <is>
          <t>From 01 May 2026 to 04 October 2026; BankAccount BDO-OPS where asked</t>
        </is>
      </c>
      <c r="K421" s="19" t="inlineStr">
        <is>
          <t>Each criterion returns rows for the test period; totals shown; the XLSX file downloads and opens with the same rows.</t>
        </is>
      </c>
      <c r="L421" s="19" t="inlineStr">
        <is>
          <t>Rows returned: Overall: 61, Agent: 61, Principal Insurer: 61, Branch: 61, Billing Mode: 61. XLSX produced.</t>
        </is>
      </c>
      <c r="M421" s="19" t="inlineStr">
        <is>
          <t>Pass</t>
        </is>
      </c>
      <c r="N421" s="19" t="inlineStr"/>
      <c r="O421" s="19" t="inlineStr">
        <is>
          <t>iorta TechNXT QA</t>
        </is>
      </c>
      <c r="P421" s="19" t="inlineStr">
        <is>
          <t>04 October 2026</t>
        </is>
      </c>
      <c r="Q421" s="19" t="inlineStr"/>
      <c r="R421" s="19" t="inlineStr">
        <is>
          <t>backend/test/reports.test.js :: production register: rows, totals, summary, criteria groups and filters [passed]
backend/test/uat-disconnects.test.js :: the production register and the executive trend show a policy in the month it was issued [passed]
UAT cycle 03-04 October 2026, phase Reports and dashboards (58 passed, 0 failed)</t>
        </is>
      </c>
    </row>
    <row r="422">
      <c r="A422" s="19" t="inlineStr">
        <is>
          <t>BV-RPT-008</t>
        </is>
      </c>
      <c r="B422" s="19" t="inlineStr">
        <is>
          <t>Reports</t>
        </is>
      </c>
      <c r="C422" s="19" t="inlineStr">
        <is>
          <t>Claims Position</t>
        </is>
      </c>
      <c r="D422" s="19" t="inlineStr">
        <is>
          <t>Claims Officer (carlo.estrada)</t>
        </is>
      </c>
      <c r="E422" s="19" t="inlineStr">
        <is>
          <t>Run Claims Position with every criterion and export to Excel</t>
        </is>
      </c>
      <c r="F422" s="19" t="inlineStr">
        <is>
          <t>Report</t>
        </is>
      </c>
      <c r="G422" s="19" t="inlineStr">
        <is>
          <t>High</t>
        </is>
      </c>
      <c r="H422" s="19" t="inlineStr">
        <is>
          <t>UAT data set loaded (May to October 2026).</t>
        </is>
      </c>
      <c r="I422" s="19" t="inlineStr">
        <is>
          <t>1. Open Reports &gt; Operational Reports &gt; Claims.
2. Set From Date 01 May 2026 and To Date 04 October 2026.
3. Run the report for each Report Criteria: All, Open, Settled, Rejected, Aging.
4. Click Generate and choose XLSX; open the file.</t>
        </is>
      </c>
      <c r="J422" s="19" t="inlineStr">
        <is>
          <t>From 01 May 2026 to 04 October 2026; BankAccount BDO-OPS where asked</t>
        </is>
      </c>
      <c r="K422" s="19" t="inlineStr">
        <is>
          <t>Each criterion returns rows for the test period; totals shown; the XLSX file downloads and opens with the same rows.</t>
        </is>
      </c>
      <c r="L422" s="19" t="inlineStr">
        <is>
          <t>Rows returned: All: 8, Open: 2, Settled: 6, Rejected: 0, Aging: 2. XLSX produced.</t>
        </is>
      </c>
      <c r="M422" s="19" t="inlineStr">
        <is>
          <t>Pass</t>
        </is>
      </c>
      <c r="N422" s="19" t="inlineStr"/>
      <c r="O422" s="19" t="inlineStr">
        <is>
          <t>iorta TechNXT QA</t>
        </is>
      </c>
      <c r="P422" s="19" t="inlineStr">
        <is>
          <t>04 October 2026</t>
        </is>
      </c>
      <c r="Q422" s="19" t="inlineStr"/>
      <c r="R422" s="19" t="inlineStr">
        <is>
          <t>backend/test/reports.test.js :: claims position by criteria [passed]
UAT cycle 03-04 October 2026, phase Reports and dashboards (58 passed, 0 failed)</t>
        </is>
      </c>
    </row>
    <row r="423">
      <c r="A423" s="19" t="inlineStr">
        <is>
          <t>BV-RPT-009</t>
        </is>
      </c>
      <c r="B423" s="19" t="inlineStr">
        <is>
          <t>Reports</t>
        </is>
      </c>
      <c r="C423" s="19" t="inlineStr">
        <is>
          <t>Renewal Retention</t>
        </is>
      </c>
      <c r="D423" s="19" t="inlineStr">
        <is>
          <t>Sales / Account Executive (maria.rivera)</t>
        </is>
      </c>
      <c r="E423" s="19" t="inlineStr">
        <is>
          <t>Run Renewal Retention with every criterion and export to Excel</t>
        </is>
      </c>
      <c r="F423" s="19" t="inlineStr">
        <is>
          <t>Report</t>
        </is>
      </c>
      <c r="G423" s="19" t="inlineStr">
        <is>
          <t>Medium</t>
        </is>
      </c>
      <c r="H423" s="19" t="inlineStr">
        <is>
          <t>UAT data set loaded (May to October 2026).</t>
        </is>
      </c>
      <c r="I423" s="19" t="inlineStr">
        <is>
          <t>1. Open Reports &gt; Operational Reports &gt; Renewal.
2. Set From Date 01 May 2026 and To Date 04 October 2026.
3. Run the report for each Report Criteria: Overall, Agent, Principal Insurer, Branch.
4. Click Generate and choose XLSX; open the file.</t>
        </is>
      </c>
      <c r="J423" s="19" t="inlineStr">
        <is>
          <t>From 01 May 2026 to 04 October 2026; BankAccount BDO-OPS where asked</t>
        </is>
      </c>
      <c r="K423" s="19" t="inlineStr">
        <is>
          <t>Each criterion returns rows for the test period; totals shown; the XLSX file downloads and opens with the same rows.</t>
        </is>
      </c>
      <c r="L423" s="19" t="inlineStr">
        <is>
          <t>Rows returned: Overall: 6, Agent: 6, Principal Insurer: 6, Branch: 6. XLSX produced.</t>
        </is>
      </c>
      <c r="M423" s="19" t="inlineStr">
        <is>
          <t>Pass</t>
        </is>
      </c>
      <c r="N423" s="19" t="inlineStr"/>
      <c r="O423" s="19" t="inlineStr">
        <is>
          <t>iorta TechNXT QA</t>
        </is>
      </c>
      <c r="P423" s="19" t="inlineStr">
        <is>
          <t>04 October 2026</t>
        </is>
      </c>
      <c r="Q423" s="19" t="inlineStr"/>
      <c r="R423" s="19" t="inlineStr">
        <is>
          <t>backend/test/reports.test.js :: renewal retention, commission statement and remittance summary [passed]
UAT cycle 03-04 October 2026, phase Reports and dashboards (58 passed, 0 failed)</t>
        </is>
      </c>
    </row>
    <row r="424">
      <c r="A424" s="19" t="inlineStr">
        <is>
          <t>BV-RPT-010</t>
        </is>
      </c>
      <c r="B424" s="19" t="inlineStr">
        <is>
          <t>Reports</t>
        </is>
      </c>
      <c r="C424" s="19" t="inlineStr">
        <is>
          <t>Remittance Summary</t>
        </is>
      </c>
      <c r="D424" s="19" t="inlineStr">
        <is>
          <t>Sales / Account Executive (maria.rivera)</t>
        </is>
      </c>
      <c r="E424" s="19" t="inlineStr">
        <is>
          <t>Run Remittance Summary with every criterion and export to Excel</t>
        </is>
      </c>
      <c r="F424" s="19" t="inlineStr">
        <is>
          <t>Report</t>
        </is>
      </c>
      <c r="G424" s="19" t="inlineStr">
        <is>
          <t>Medium</t>
        </is>
      </c>
      <c r="H424" s="19" t="inlineStr">
        <is>
          <t>UAT data set loaded (May to October 2026).</t>
        </is>
      </c>
      <c r="I424" s="19" t="inlineStr">
        <is>
          <t>1. Open Reports &gt; Operational Reports &gt; Remittance.
2. Set From Date 01 May 2026 and To Date 04 October 2026.
3. Run the report for each Report Criteria: Overall, Agent, Principal Insurer, Branch.
4. Click Generate and choose XLSX; open the file.</t>
        </is>
      </c>
      <c r="J424" s="19" t="inlineStr">
        <is>
          <t>From 01 May 2026 to 04 October 2026; BankAccount BDO-OPS where asked</t>
        </is>
      </c>
      <c r="K424" s="19" t="inlineStr">
        <is>
          <t>Each criterion returns rows for the test period; totals shown; the XLSX file downloads and opens with the same rows.</t>
        </is>
      </c>
      <c r="L424" s="19" t="inlineStr">
        <is>
          <t>Rows returned: Overall: 22, Agent: 22, Principal Insurer: 22, Branch: 22. XLSX produced.</t>
        </is>
      </c>
      <c r="M424" s="19" t="inlineStr">
        <is>
          <t>Pass</t>
        </is>
      </c>
      <c r="N424" s="19" t="inlineStr"/>
      <c r="O424" s="19" t="inlineStr">
        <is>
          <t>iorta TechNXT QA</t>
        </is>
      </c>
      <c r="P424" s="19" t="inlineStr">
        <is>
          <t>04 October 2026</t>
        </is>
      </c>
      <c r="Q424" s="19" t="inlineStr"/>
      <c r="R424" s="19" t="inlineStr">
        <is>
          <t>backend/test/reports.test.js :: renewal retention, commission statement and remittance summary [passed]
UAT cycle 03-04 October 2026, phase Reports and dashboards (58 passed, 0 failed)</t>
        </is>
      </c>
    </row>
    <row r="425">
      <c r="A425" s="19" t="inlineStr">
        <is>
          <t>BV-RPT-011</t>
        </is>
      </c>
      <c r="B425" s="19" t="inlineStr">
        <is>
          <t>Reports</t>
        </is>
      </c>
      <c r="C425" s="19" t="inlineStr">
        <is>
          <t>Broker Commission Statement</t>
        </is>
      </c>
      <c r="D425" s="19" t="inlineStr">
        <is>
          <t>Sales / Account Executive (maria.rivera)</t>
        </is>
      </c>
      <c r="E425" s="19" t="inlineStr">
        <is>
          <t>Run Broker Commission Statement with every criterion and export to Excel</t>
        </is>
      </c>
      <c r="F425" s="19" t="inlineStr">
        <is>
          <t>Report</t>
        </is>
      </c>
      <c r="G425" s="19" t="inlineStr">
        <is>
          <t>Medium</t>
        </is>
      </c>
      <c r="H425" s="19" t="inlineStr">
        <is>
          <t>UAT data set loaded (May to October 2026).</t>
        </is>
      </c>
      <c r="I425" s="19" t="inlineStr">
        <is>
          <t>1. Open Reports &gt; Operational Reports &gt; Broker Commission.
2. Set From Date 01 May 2026 and To Date 04 October 2026.
3. Run the report for each Report Criteria: Overall, Agent, Principal Insurer, Branch.
4. Click Generate and choose XLSX; open the file.</t>
        </is>
      </c>
      <c r="J425" s="19" t="inlineStr">
        <is>
          <t>From 01 May 2026 to 04 October 2026; BankAccount BDO-OPS where asked</t>
        </is>
      </c>
      <c r="K425" s="19" t="inlineStr">
        <is>
          <t>Each criterion returns rows for the test period; totals shown; the XLSX file downloads and opens with the same rows.</t>
        </is>
      </c>
      <c r="L425" s="19" t="inlineStr">
        <is>
          <t>Rows returned: Overall: 33, Agent: 33, Principal Insurer: 33, Branch: 33. XLSX produced.</t>
        </is>
      </c>
      <c r="M425" s="19" t="inlineStr">
        <is>
          <t>Pass</t>
        </is>
      </c>
      <c r="N425" s="19" t="inlineStr"/>
      <c r="O425" s="19" t="inlineStr">
        <is>
          <t>iorta TechNXT QA</t>
        </is>
      </c>
      <c r="P425" s="19" t="inlineStr">
        <is>
          <t>04 October 2026</t>
        </is>
      </c>
      <c r="Q425" s="19" t="inlineStr"/>
      <c r="R425" s="19" t="inlineStr">
        <is>
          <t>backend/test/reports.test.js :: renewal retention, commission statement and remittance summary [passed]
UAT cycle 03-04 October 2026, phase Reports and dashboards (58 passed, 0 failed)</t>
        </is>
      </c>
    </row>
    <row r="426">
      <c r="A426" s="19" t="inlineStr">
        <is>
          <t>BV-RPT-012</t>
        </is>
      </c>
      <c r="B426" s="19" t="inlineStr">
        <is>
          <t>Reports</t>
        </is>
      </c>
      <c r="C426" s="19" t="inlineStr">
        <is>
          <t>Premium by Product / Month / Insurer</t>
        </is>
      </c>
      <c r="D426" s="19" t="inlineStr">
        <is>
          <t>Sales / Account Executive (maria.rivera)</t>
        </is>
      </c>
      <c r="E426" s="19" t="inlineStr">
        <is>
          <t>Run Premium by Product / Month / Insurer with every criterion and export to Excel</t>
        </is>
      </c>
      <c r="F426" s="19" t="inlineStr">
        <is>
          <t>Report</t>
        </is>
      </c>
      <c r="G426" s="19" t="inlineStr">
        <is>
          <t>Medium</t>
        </is>
      </c>
      <c r="H426" s="19" t="inlineStr">
        <is>
          <t>UAT data set loaded (May to October 2026).</t>
        </is>
      </c>
      <c r="I426" s="19" t="inlineStr">
        <is>
          <t>1. Open Reports &gt; All Reports and select "Premium by Product / Month / Insurer".
2. Set From Date 01 May 2026 and To Date 04 October 2026.
3. Run the report for each Report Criteria: Overall, Product, Month, Principal Insurer.
4. Click Generate and choose XLSX; open the file.</t>
        </is>
      </c>
      <c r="J426" s="19" t="inlineStr">
        <is>
          <t>From 01 May 2026 to 04 October 2026; BankAccount BDO-OPS where asked</t>
        </is>
      </c>
      <c r="K426" s="19" t="inlineStr">
        <is>
          <t>Each criterion returns rows for the test period; totals shown; the XLSX file downloads and opens with the same rows.</t>
        </is>
      </c>
      <c r="L426" s="19" t="inlineStr">
        <is>
          <t>Rows returned: Overall: 57, Product: 14, Month: 6, Principal Insurer: 7. XLSX produced.</t>
        </is>
      </c>
      <c r="M426" s="19" t="inlineStr">
        <is>
          <t>Pass</t>
        </is>
      </c>
      <c r="N426" s="19" t="inlineStr"/>
      <c r="O426" s="19" t="inlineStr">
        <is>
          <t>iorta TechNXT QA</t>
        </is>
      </c>
      <c r="P426" s="19" t="inlineStr">
        <is>
          <t>04 October 2026</t>
        </is>
      </c>
      <c r="Q426" s="19" t="inlineStr"/>
      <c r="R426" s="19" t="inlineStr">
        <is>
          <t>backend/test/reports.test.js :: aggregate reports: premium by product/month, new vs renewal, lead funnel, cessions, incentives [passed]
UAT cycle 03-04 October 2026, phase Reports and dashboards (58 passed, 0 failed)</t>
        </is>
      </c>
    </row>
    <row r="427">
      <c r="A427" s="19" t="inlineStr">
        <is>
          <t>BV-RPT-013</t>
        </is>
      </c>
      <c r="B427" s="19" t="inlineStr">
        <is>
          <t>Reports</t>
        </is>
      </c>
      <c r="C427" s="19" t="inlineStr">
        <is>
          <t>New Business vs Renewals</t>
        </is>
      </c>
      <c r="D427" s="19" t="inlineStr">
        <is>
          <t>Sales / Account Executive (maria.rivera)</t>
        </is>
      </c>
      <c r="E427" s="19" t="inlineStr">
        <is>
          <t>Run New Business vs Renewals with every criterion and export to Excel</t>
        </is>
      </c>
      <c r="F427" s="19" t="inlineStr">
        <is>
          <t>Report</t>
        </is>
      </c>
      <c r="G427" s="19" t="inlineStr">
        <is>
          <t>Medium</t>
        </is>
      </c>
      <c r="H427" s="19" t="inlineStr">
        <is>
          <t>UAT data set loaded (May to October 2026).</t>
        </is>
      </c>
      <c r="I427" s="19" t="inlineStr">
        <is>
          <t>1. Open Reports &gt; All Reports and select "New Business vs Renewals".
2. Set From Date 01 May 2026 and To Date 04 October 2026.
3. Run the report for each Report Criteria: Overall, Business Type, Agent.
4. Click Generate and choose XLSX; open the file.</t>
        </is>
      </c>
      <c r="J427" s="19" t="inlineStr">
        <is>
          <t>From 01 May 2026 to 04 October 2026; BankAccount BDO-OPS where asked</t>
        </is>
      </c>
      <c r="K427" s="19" t="inlineStr">
        <is>
          <t>Each criterion returns rows for the test period; totals shown; the XLSX file downloads and opens with the same rows.</t>
        </is>
      </c>
      <c r="L427" s="19" t="inlineStr">
        <is>
          <t>Rows returned: Overall: 9, Business Type: 2, Agent: 5. XLSX produced.</t>
        </is>
      </c>
      <c r="M427" s="19" t="inlineStr">
        <is>
          <t>Pass</t>
        </is>
      </c>
      <c r="N427" s="19" t="inlineStr"/>
      <c r="O427" s="19" t="inlineStr">
        <is>
          <t>iorta TechNXT QA</t>
        </is>
      </c>
      <c r="P427" s="19" t="inlineStr">
        <is>
          <t>04 October 2026</t>
        </is>
      </c>
      <c r="Q427" s="19" t="inlineStr"/>
      <c r="R427" s="19" t="inlineStr">
        <is>
          <t>backend/test/reports.test.js :: aggregate reports: premium by product/month, new vs renewal, lead funnel, cessions, incentives [passed]
UAT cycle 03-04 October 2026, phase Reports and dashboards (58 passed, 0 failed)</t>
        </is>
      </c>
    </row>
    <row r="428">
      <c r="A428" s="19" t="inlineStr">
        <is>
          <t>BV-RPT-014</t>
        </is>
      </c>
      <c r="B428" s="19" t="inlineStr">
        <is>
          <t>Reports</t>
        </is>
      </c>
      <c r="C428" s="19" t="inlineStr">
        <is>
          <t>Claims Ageing</t>
        </is>
      </c>
      <c r="D428" s="19" t="inlineStr">
        <is>
          <t>Claims Officer (carlo.estrada)</t>
        </is>
      </c>
      <c r="E428" s="19" t="inlineStr">
        <is>
          <t>Run Claims Ageing with every criterion and export to Excel</t>
        </is>
      </c>
      <c r="F428" s="19" t="inlineStr">
        <is>
          <t>Report</t>
        </is>
      </c>
      <c r="G428" s="19" t="inlineStr">
        <is>
          <t>Medium</t>
        </is>
      </c>
      <c r="H428" s="19" t="inlineStr">
        <is>
          <t>UAT data set loaded (May to October 2026).</t>
        </is>
      </c>
      <c r="I428" s="19" t="inlineStr">
        <is>
          <t>1. Open Reports &gt; All Reports and select "Claims Ageing".
2. Set From Date 01 May 2026 and To Date 04 October 2026.
3. Run the report for each Report Criteria: Overall, Principal Insurer, Agent.
4. Click Generate and choose XLSX; open the file.</t>
        </is>
      </c>
      <c r="J428" s="19" t="inlineStr">
        <is>
          <t>From 01 May 2026 to 04 October 2026; BankAccount BDO-OPS where asked</t>
        </is>
      </c>
      <c r="K428" s="19" t="inlineStr">
        <is>
          <t>Each criterion returns rows for the test period; totals shown; the XLSX file downloads and opens with the same rows.</t>
        </is>
      </c>
      <c r="L428" s="19" t="inlineStr">
        <is>
          <t>Rows returned: Overall: 2, Principal Insurer: 2, Agent: 2. XLSX produced.</t>
        </is>
      </c>
      <c r="M428" s="19" t="inlineStr">
        <is>
          <t>Pass</t>
        </is>
      </c>
      <c r="N428" s="19" t="inlineStr"/>
      <c r="O428" s="19" t="inlineStr">
        <is>
          <t>iorta TechNXT QA</t>
        </is>
      </c>
      <c r="P428" s="19" t="inlineStr">
        <is>
          <t>04 October 2026</t>
        </is>
      </c>
      <c r="Q428" s="19" t="inlineStr"/>
      <c r="R428" s="19" t="inlineStr">
        <is>
          <t>UAT cycle 03-04 October 2026, phase Reports and dashboards (58 passed, 0 failed)</t>
        </is>
      </c>
    </row>
    <row r="429">
      <c r="A429" s="19" t="inlineStr">
        <is>
          <t>BV-RPT-015</t>
        </is>
      </c>
      <c r="B429" s="19" t="inlineStr">
        <is>
          <t>Reports</t>
        </is>
      </c>
      <c r="C429" s="19" t="inlineStr">
        <is>
          <t>Lead Conversion Funnel</t>
        </is>
      </c>
      <c r="D429" s="19" t="inlineStr">
        <is>
          <t>Sales / Account Executive (maria.rivera)</t>
        </is>
      </c>
      <c r="E429" s="19" t="inlineStr">
        <is>
          <t>Run Lead Conversion Funnel with every criterion and export to Excel</t>
        </is>
      </c>
      <c r="F429" s="19" t="inlineStr">
        <is>
          <t>Report</t>
        </is>
      </c>
      <c r="G429" s="19" t="inlineStr">
        <is>
          <t>Medium</t>
        </is>
      </c>
      <c r="H429" s="19" t="inlineStr">
        <is>
          <t>UAT data set loaded (May to October 2026).</t>
        </is>
      </c>
      <c r="I429" s="19" t="inlineStr">
        <is>
          <t>1. Open Reports &gt; All Reports and select "Lead Conversion Funnel".
2. Set From Date 01 May 2026 and To Date 04 October 2026.
3. Run the report for each Report Criteria: Overall, Agent, Branch, Source.
4. Click Generate and choose XLSX; open the file.</t>
        </is>
      </c>
      <c r="J429" s="19" t="inlineStr">
        <is>
          <t>From 01 May 2026 to 04 October 2026; BankAccount BDO-OPS where asked</t>
        </is>
      </c>
      <c r="K429" s="19" t="inlineStr">
        <is>
          <t>Each criterion returns rows for the test period; totals shown; the XLSX file downloads and opens with the same rows.</t>
        </is>
      </c>
      <c r="L429" s="19" t="inlineStr">
        <is>
          <t>Rows returned: Overall: 3, Agent: 5, Branch: 3, Source: 12. XLSX produced.</t>
        </is>
      </c>
      <c r="M429" s="19" t="inlineStr">
        <is>
          <t>Pass</t>
        </is>
      </c>
      <c r="N429" s="19" t="inlineStr"/>
      <c r="O429" s="19" t="inlineStr">
        <is>
          <t>iorta TechNXT QA</t>
        </is>
      </c>
      <c r="P429" s="19" t="inlineStr">
        <is>
          <t>04 October 2026</t>
        </is>
      </c>
      <c r="Q429" s="19" t="inlineStr"/>
      <c r="R429" s="19" t="inlineStr">
        <is>
          <t>backend/test/reports.test.js :: aggregate reports: premium by product/month, new vs renewal, lead funnel, cessions, incentives [passed]
UAT cycle 03-04 October 2026, phase Reports and dashboards (58 passed, 0 failed)</t>
        </is>
      </c>
    </row>
    <row r="430">
      <c r="A430" s="19" t="inlineStr">
        <is>
          <t>BV-RPT-016</t>
        </is>
      </c>
      <c r="B430" s="19" t="inlineStr">
        <is>
          <t>Reports</t>
        </is>
      </c>
      <c r="C430" s="19" t="inlineStr">
        <is>
          <t>Placement Pipeline</t>
        </is>
      </c>
      <c r="D430" s="19" t="inlineStr">
        <is>
          <t>Processing Team (jose.bernardo)</t>
        </is>
      </c>
      <c r="E430" s="19" t="inlineStr">
        <is>
          <t>Run Placement Pipeline with every criterion and export to Excel</t>
        </is>
      </c>
      <c r="F430" s="19" t="inlineStr">
        <is>
          <t>Report</t>
        </is>
      </c>
      <c r="G430" s="19" t="inlineStr">
        <is>
          <t>Medium</t>
        </is>
      </c>
      <c r="H430" s="19" t="inlineStr">
        <is>
          <t>UAT data set loaded (May to October 2026).</t>
        </is>
      </c>
      <c r="I430" s="19" t="inlineStr">
        <is>
          <t>1. Open Reports &gt; All Reports and select "Placement Pipeline".
2. Set From Date 01 May 2026 and To Date 04 October 2026.
3. Run the report for each Report Criteria: Overall, Slip Type, Status, Open by Age, Agent.
4. Click Generate and choose XLSX; open the file.</t>
        </is>
      </c>
      <c r="J430" s="19" t="inlineStr">
        <is>
          <t>From 01 May 2026 to 04 October 2026; BankAccount BDO-OPS where asked</t>
        </is>
      </c>
      <c r="K430" s="19" t="inlineStr">
        <is>
          <t>Each criterion returns rows for the test period; totals shown; the XLSX file downloads and opens with the same rows.</t>
        </is>
      </c>
      <c r="L430" s="19" t="inlineStr">
        <is>
          <t>Rows returned: Overall: 71, Slip Type: 71, Status: 71, Open by Age: 0, Agent: 71. XLSX produced.</t>
        </is>
      </c>
      <c r="M430" s="19" t="inlineStr">
        <is>
          <t>Pass</t>
        </is>
      </c>
      <c r="N430" s="19" t="inlineStr"/>
      <c r="O430" s="19" t="inlineStr">
        <is>
          <t>iorta TechNXT QA</t>
        </is>
      </c>
      <c r="P430" s="19" t="inlineStr">
        <is>
          <t>04 October 2026</t>
        </is>
      </c>
      <c r="Q430" s="19" t="inlineStr"/>
      <c r="R430" s="19" t="inlineStr">
        <is>
          <t>backend/test/placement.test.js :: runs the Placement Pipeline and Market Response reports [passed]
UAT cycle 03-04 October 2026, phase Reports and dashboards (58 passed, 0 failed)</t>
        </is>
      </c>
    </row>
    <row r="431">
      <c r="A431" s="19" t="inlineStr">
        <is>
          <t>BV-RPT-017</t>
        </is>
      </c>
      <c r="B431" s="19" t="inlineStr">
        <is>
          <t>Reports</t>
        </is>
      </c>
      <c r="C431" s="19" t="inlineStr">
        <is>
          <t>Market Response</t>
        </is>
      </c>
      <c r="D431" s="19" t="inlineStr">
        <is>
          <t>Processing Team (jose.bernardo)</t>
        </is>
      </c>
      <c r="E431" s="19" t="inlineStr">
        <is>
          <t>Run Market Response with every criterion and export to Excel</t>
        </is>
      </c>
      <c r="F431" s="19" t="inlineStr">
        <is>
          <t>Report</t>
        </is>
      </c>
      <c r="G431" s="19" t="inlineStr">
        <is>
          <t>Medium</t>
        </is>
      </c>
      <c r="H431" s="19" t="inlineStr">
        <is>
          <t>UAT data set loaded (May to October 2026).</t>
        </is>
      </c>
      <c r="I431" s="19" t="inlineStr">
        <is>
          <t>1. Open Reports &gt; All Reports and select "Market Response".
2. Set From Date 01 May 2026 and To Date 04 October 2026.
3. Run the report for each Report Criteria: Overall, Line of Business, Agent.
4. Click Generate and choose XLSX; open the file.</t>
        </is>
      </c>
      <c r="J431" s="19" t="inlineStr">
        <is>
          <t>From 01 May 2026 to 04 October 2026; BankAccount BDO-OPS where asked</t>
        </is>
      </c>
      <c r="K431" s="19" t="inlineStr">
        <is>
          <t>Each criterion returns rows for the test period; totals shown; the XLSX file downloads and opens with the same rows.</t>
        </is>
      </c>
      <c r="L431" s="19" t="inlineStr">
        <is>
          <t>Rows returned: Overall: 7, Line of Business: 42, Agent: 24. XLSX produced.</t>
        </is>
      </c>
      <c r="M431" s="19" t="inlineStr">
        <is>
          <t>Pass</t>
        </is>
      </c>
      <c r="N431" s="19" t="inlineStr"/>
      <c r="O431" s="19" t="inlineStr">
        <is>
          <t>iorta TechNXT QA</t>
        </is>
      </c>
      <c r="P431" s="19" t="inlineStr">
        <is>
          <t>04 October 2026</t>
        </is>
      </c>
      <c r="Q431" s="19" t="inlineStr"/>
      <c r="R431" s="19" t="inlineStr">
        <is>
          <t>backend/test/placement.test.js :: runs the Placement Pipeline and Market Response reports [passed]
UAT cycle 03-04 October 2026, phase Reports and dashboards (58 passed, 0 failed)</t>
        </is>
      </c>
    </row>
    <row r="432">
      <c r="A432" s="19" t="inlineStr">
        <is>
          <t>BV-RPT-018</t>
        </is>
      </c>
      <c r="B432" s="19" t="inlineStr">
        <is>
          <t>Reports</t>
        </is>
      </c>
      <c r="C432" s="19" t="inlineStr">
        <is>
          <t>Reinsurance Cession Register</t>
        </is>
      </c>
      <c r="D432" s="19" t="inlineStr">
        <is>
          <t>Processing Team (jose.bernardo)</t>
        </is>
      </c>
      <c r="E432" s="19" t="inlineStr">
        <is>
          <t>Run Reinsurance Cession Register with every criterion and export to Excel</t>
        </is>
      </c>
      <c r="F432" s="19" t="inlineStr">
        <is>
          <t>Report</t>
        </is>
      </c>
      <c r="G432" s="19" t="inlineStr">
        <is>
          <t>Medium</t>
        </is>
      </c>
      <c r="H432" s="19" t="inlineStr">
        <is>
          <t>UAT data set loaded (May to October 2026).</t>
        </is>
      </c>
      <c r="I432" s="19" t="inlineStr">
        <is>
          <t>1. Open Reports &gt; All Reports and select "Reinsurance Cession Register".
2. Set From Date 01 May 2026 and To Date 04 October 2026.
3. Run the report for each Report Criteria: Overall, Treaty, Reinsurer, Principal Insurer.
4. Click Generate and choose XLSX; open the file.</t>
        </is>
      </c>
      <c r="J432" s="19" t="inlineStr">
        <is>
          <t>From 01 May 2026 to 04 October 2026; BankAccount BDO-OPS where asked</t>
        </is>
      </c>
      <c r="K432" s="19" t="inlineStr">
        <is>
          <t>Each criterion returns rows for the test period; totals shown; the XLSX file downloads and opens with the same rows.</t>
        </is>
      </c>
      <c r="L432" s="19" t="inlineStr">
        <is>
          <t>Rows returned: Overall: 2, Treaty: 2, Reinsurer: 2, Principal Insurer: 2. XLSX produced.</t>
        </is>
      </c>
      <c r="M432" s="19" t="inlineStr">
        <is>
          <t>Pass</t>
        </is>
      </c>
      <c r="N432" s="19" t="inlineStr"/>
      <c r="O432" s="19" t="inlineStr">
        <is>
          <t>iorta TechNXT QA</t>
        </is>
      </c>
      <c r="P432" s="19" t="inlineStr">
        <is>
          <t>04 October 2026</t>
        </is>
      </c>
      <c r="Q432" s="19" t="inlineStr"/>
      <c r="R432" s="19" t="inlineStr">
        <is>
          <t>backend/test/reports.test.js :: aggregate reports: premium by product/month, new vs renewal, lead funnel, cessions, incentives [passed]
UAT cycle 03-04 October 2026, phase Reports and dashboards (58 passed, 0 failed)</t>
        </is>
      </c>
    </row>
    <row r="433">
      <c r="A433" s="19" t="inlineStr">
        <is>
          <t>BV-RPT-019</t>
        </is>
      </c>
      <c r="B433" s="19" t="inlineStr">
        <is>
          <t>Reports</t>
        </is>
      </c>
      <c r="C433" s="19" t="inlineStr">
        <is>
          <t>Co-insurance Register</t>
        </is>
      </c>
      <c r="D433" s="19" t="inlineStr">
        <is>
          <t>Sales / Account Executive (maria.rivera)</t>
        </is>
      </c>
      <c r="E433" s="19" t="inlineStr">
        <is>
          <t>Run Co-insurance Register with every criterion and export to Excel</t>
        </is>
      </c>
      <c r="F433" s="19" t="inlineStr">
        <is>
          <t>Report</t>
        </is>
      </c>
      <c r="G433" s="19" t="inlineStr">
        <is>
          <t>Medium</t>
        </is>
      </c>
      <c r="H433" s="19" t="inlineStr">
        <is>
          <t>UAT data set loaded (May to October 2026).</t>
        </is>
      </c>
      <c r="I433" s="19" t="inlineStr">
        <is>
          <t>1. Open Reports &gt; Financial Reports &gt; Co-insurance Register.
2. Set From Date 01 May 2026 and To Date 04 October 2026.
3. Run the report for each Report Criteria: Overall, Co-insurer, Policy, Agent.
4. Click Generate and choose XLSX; open the file.</t>
        </is>
      </c>
      <c r="J433" s="19" t="inlineStr">
        <is>
          <t>From 01 May 2026 to 04 October 2026; BankAccount BDO-OPS where asked</t>
        </is>
      </c>
      <c r="K433" s="19" t="inlineStr">
        <is>
          <t>Each criterion returns rows for the test period; totals shown; the XLSX file downloads and opens with the same rows.</t>
        </is>
      </c>
      <c r="L433" s="19" t="inlineStr">
        <is>
          <t>Rows returned: Overall: 22, Co-insurer: 22, Policy: 22, Agent: 22. XLSX produced.</t>
        </is>
      </c>
      <c r="M433" s="19" t="inlineStr">
        <is>
          <t>Pass</t>
        </is>
      </c>
      <c r="N433" s="19" t="inlineStr"/>
      <c r="O433" s="19" t="inlineStr">
        <is>
          <t>iorta TechNXT QA</t>
        </is>
      </c>
      <c r="P433" s="19" t="inlineStr">
        <is>
          <t>04 October 2026</t>
        </is>
      </c>
      <c r="Q433" s="19" t="inlineStr"/>
      <c r="R433" s="19" t="inlineStr">
        <is>
          <t>backend/test/posting-rules.test.js :: reports: Co-insurance Register and Due to Insurers by Co-insurer [passed]
UAT cycle 03-04 October 2026, phase Reports and dashboards (58 passed, 0 failed)</t>
        </is>
      </c>
    </row>
    <row r="434">
      <c r="A434" s="19" t="inlineStr">
        <is>
          <t>BV-RPT-020</t>
        </is>
      </c>
      <c r="B434" s="19" t="inlineStr">
        <is>
          <t>Reports</t>
        </is>
      </c>
      <c r="C434" s="19" t="inlineStr">
        <is>
          <t>SOA / Premium Receivable</t>
        </is>
      </c>
      <c r="D434" s="19" t="inlineStr">
        <is>
          <t>Accounting Officer (liza.quiambao)</t>
        </is>
      </c>
      <c r="E434" s="19" t="inlineStr">
        <is>
          <t>Run SOA / Premium Receivable with every criterion and export to Excel</t>
        </is>
      </c>
      <c r="F434" s="19" t="inlineStr">
        <is>
          <t>Report</t>
        </is>
      </c>
      <c r="G434" s="19" t="inlineStr">
        <is>
          <t>High</t>
        </is>
      </c>
      <c r="H434" s="19" t="inlineStr">
        <is>
          <t>UAT data set loaded (May to October 2026).</t>
        </is>
      </c>
      <c r="I434" s="19" t="inlineStr">
        <is>
          <t>1. Open Reports &gt; Financial Reports &gt; SOA/Premium Receivable.
2. Set From Date 01 May 2026 and To Date 04 October 2026.
3. Run the report for each Report Criteria: Overall, Agent, Principal Insurer, Branch.
4. Click Generate and choose XLSX; open the file.</t>
        </is>
      </c>
      <c r="J434" s="19" t="inlineStr">
        <is>
          <t>From 01 May 2026 to 04 October 2026; BankAccount BDO-OPS where asked</t>
        </is>
      </c>
      <c r="K434" s="19" t="inlineStr">
        <is>
          <t>Each criterion returns rows for the test period; totals shown; the XLSX file downloads and opens with the same rows.</t>
        </is>
      </c>
      <c r="L434" s="19" t="inlineStr">
        <is>
          <t>Rows returned: Overall: 66, Agent: 66, Principal Insurer: 66, Branch: 66. XLSX produced.</t>
        </is>
      </c>
      <c r="M434" s="19" t="inlineStr">
        <is>
          <t>Pass</t>
        </is>
      </c>
      <c r="N434" s="19" t="inlineStr"/>
      <c r="O434" s="19" t="inlineStr">
        <is>
          <t>iorta TechNXT QA</t>
        </is>
      </c>
      <c r="P434" s="19" t="inlineStr">
        <is>
          <t>04 October 2026</t>
        </is>
      </c>
      <c r="Q434" s="19" t="inlineStr"/>
      <c r="R434" s="19" t="inlineStr">
        <is>
          <t>backend/test/reports.test.js :: receivables, collections, receipts and disbursements [passed]
UAT cycle 03-04 October 2026, phase Reports and dashboards (58 passed, 0 failed)</t>
        </is>
      </c>
    </row>
    <row r="435">
      <c r="A435" s="19" t="inlineStr">
        <is>
          <t>BV-RPT-021</t>
        </is>
      </c>
      <c r="B435" s="19" t="inlineStr">
        <is>
          <t>Reports</t>
        </is>
      </c>
      <c r="C435" s="19" t="inlineStr">
        <is>
          <t>Collection Report</t>
        </is>
      </c>
      <c r="D435" s="19" t="inlineStr">
        <is>
          <t>Accounting Officer (liza.quiambao)</t>
        </is>
      </c>
      <c r="E435" s="19" t="inlineStr">
        <is>
          <t>Run Collection Report with every criterion and export to Excel</t>
        </is>
      </c>
      <c r="F435" s="19" t="inlineStr">
        <is>
          <t>Report</t>
        </is>
      </c>
      <c r="G435" s="19" t="inlineStr">
        <is>
          <t>High</t>
        </is>
      </c>
      <c r="H435" s="19" t="inlineStr">
        <is>
          <t>UAT data set loaded (May to October 2026).</t>
        </is>
      </c>
      <c r="I435" s="19" t="inlineStr">
        <is>
          <t>1. Open Reports &gt; Financial Reports &gt; Collection Report.
2. Set From Date 01 May 2026 and To Date 04 October 2026.
3. Run the report for each Report Criteria: Overall, Agent, Principal Insurer, Branch.
4. Click Generate and choose XLSX; open the file.</t>
        </is>
      </c>
      <c r="J435" s="19" t="inlineStr">
        <is>
          <t>From 01 May 2026 to 04 October 2026; BankAccount BDO-OPS where asked</t>
        </is>
      </c>
      <c r="K435" s="19" t="inlineStr">
        <is>
          <t>Each criterion returns rows for the test period; totals shown; the XLSX file downloads and opens with the same rows.</t>
        </is>
      </c>
      <c r="L435" s="19" t="inlineStr">
        <is>
          <t>Rows returned: Overall: 34, Agent: 34, Principal Insurer: 34, Branch: 34. XLSX produced.</t>
        </is>
      </c>
      <c r="M435" s="19" t="inlineStr">
        <is>
          <t>Pass</t>
        </is>
      </c>
      <c r="N435" s="19" t="inlineStr"/>
      <c r="O435" s="19" t="inlineStr">
        <is>
          <t>iorta TechNXT QA</t>
        </is>
      </c>
      <c r="P435" s="19" t="inlineStr">
        <is>
          <t>04 October 2026</t>
        </is>
      </c>
      <c r="Q435" s="19" t="inlineStr"/>
      <c r="R435" s="19" t="inlineStr">
        <is>
          <t>backend/test/reports.test.js :: receivables, collections, receipts and disbursements [passed]
UAT cycle 03-04 October 2026, phase Reports and dashboards (58 passed, 0 failed)</t>
        </is>
      </c>
    </row>
    <row r="436">
      <c r="A436" s="19" t="inlineStr">
        <is>
          <t>BV-RPT-022</t>
        </is>
      </c>
      <c r="B436" s="19" t="inlineStr">
        <is>
          <t>Reports</t>
        </is>
      </c>
      <c r="C436" s="19" t="inlineStr">
        <is>
          <t>Receivables Ageing</t>
        </is>
      </c>
      <c r="D436" s="19" t="inlineStr">
        <is>
          <t>Accounting Officer (liza.quiambao)</t>
        </is>
      </c>
      <c r="E436" s="19" t="inlineStr">
        <is>
          <t>Run Receivables Ageing with every criterion and export to Excel</t>
        </is>
      </c>
      <c r="F436" s="19" t="inlineStr">
        <is>
          <t>Report</t>
        </is>
      </c>
      <c r="G436" s="19" t="inlineStr">
        <is>
          <t>High</t>
        </is>
      </c>
      <c r="H436" s="19" t="inlineStr">
        <is>
          <t>UAT data set loaded (May to October 2026).</t>
        </is>
      </c>
      <c r="I436" s="19" t="inlineStr">
        <is>
          <t>1. Open Reports &gt; All Reports and select "Receivables Ageing".
2. Set From Date 01 May 2026 and To Date 04 October 2026.
3. Run the report for each Report Criteria: Ageing Bucket, Overall, Agent, Principal Insurer, Branch, Client.
4. Click Generate and choose XLSX; open the file.</t>
        </is>
      </c>
      <c r="J436" s="19" t="inlineStr">
        <is>
          <t>From 01 May 2026 to 04 October 2026; BankAccount BDO-OPS where asked</t>
        </is>
      </c>
      <c r="K436" s="19" t="inlineStr">
        <is>
          <t>Each criterion returns rows for the test period; totals shown; the XLSX file downloads and opens with the same rows.</t>
        </is>
      </c>
      <c r="L436" s="19" t="inlineStr">
        <is>
          <t>Rows returned: Ageing Bucket: 18, Overall: 18, Agent: 18, Principal Insurer: 18, Branch: 18, Client: 18. XLSX produced.</t>
        </is>
      </c>
      <c r="M436" s="19" t="inlineStr">
        <is>
          <t>Pass</t>
        </is>
      </c>
      <c r="N436" s="19" t="inlineStr"/>
      <c r="O436" s="19" t="inlineStr">
        <is>
          <t>iorta TechNXT QA</t>
        </is>
      </c>
      <c r="P436" s="19" t="inlineStr">
        <is>
          <t>04 October 2026</t>
        </is>
      </c>
      <c r="Q436" s="19" t="inlineStr"/>
      <c r="R436" s="19" t="inlineStr">
        <is>
          <t>backend/test/reports.test.js :: receivables, collections, receipts and disbursements [passed]
UAT cycle 03-04 October 2026, phase Reports and dashboards (58 passed, 0 failed)</t>
        </is>
      </c>
    </row>
    <row r="437">
      <c r="A437" s="19" t="inlineStr">
        <is>
          <t>BV-RPT-023</t>
        </is>
      </c>
      <c r="B437" s="19" t="inlineStr">
        <is>
          <t>Reports</t>
        </is>
      </c>
      <c r="C437" s="19" t="inlineStr">
        <is>
          <t>Commission Receivable - Direct Bill</t>
        </is>
      </c>
      <c r="D437" s="19" t="inlineStr">
        <is>
          <t>Accounting Officer (liza.quiambao)</t>
        </is>
      </c>
      <c r="E437" s="19" t="inlineStr">
        <is>
          <t>Run Commission Receivable - Direct Bill with every criterion and export to Excel</t>
        </is>
      </c>
      <c r="F437" s="19" t="inlineStr">
        <is>
          <t>Report</t>
        </is>
      </c>
      <c r="G437" s="19" t="inlineStr">
        <is>
          <t>High</t>
        </is>
      </c>
      <c r="H437" s="19" t="inlineStr">
        <is>
          <t>UAT data set loaded (May to October 2026).</t>
        </is>
      </c>
      <c r="I437" s="19" t="inlineStr">
        <is>
          <t>1. Open Reports &gt; All Reports and select "Commission Receivable - Direct Bill".
2. Set From Date 01 May 2026 and To Date 04 October 2026.
3. Run the report for each Report Criteria: Ageing Bucket, Principal Insurer, Outstanding, Overall.
4. Click Generate and choose XLSX; open the file.</t>
        </is>
      </c>
      <c r="J437" s="19" t="inlineStr">
        <is>
          <t>From 01 May 2026 to 04 October 2026; BankAccount BDO-OPS where asked</t>
        </is>
      </c>
      <c r="K437" s="19" t="inlineStr">
        <is>
          <t>Each criterion returns rows for the test period; totals shown; the XLSX file downloads and opens with the same rows.</t>
        </is>
      </c>
      <c r="L437" s="19" t="inlineStr">
        <is>
          <t>Rows returned: Ageing Bucket: 3, Principal Insurer: 3, Outstanding: 3, Overall: 6. XLSX produced.</t>
        </is>
      </c>
      <c r="M437" s="19" t="inlineStr">
        <is>
          <t>Pass</t>
        </is>
      </c>
      <c r="N437" s="19" t="inlineStr"/>
      <c r="O437" s="19" t="inlineStr">
        <is>
          <t>iorta TechNXT QA</t>
        </is>
      </c>
      <c r="P437" s="19" t="inlineStr">
        <is>
          <t>04 October 2026</t>
        </is>
      </c>
      <c r="Q437" s="19" t="inlineStr"/>
      <c r="R437" s="19" t="inlineStr">
        <is>
          <t>backend/test/direct-bill.test.js :: commission receivable report and trial balance show it as due from the insurer [passed]
UAT cycle 03-04 October 2026, phase Reports and dashboards (58 passed, 0 failed)</t>
        </is>
      </c>
    </row>
    <row r="438">
      <c r="A438" s="19" t="inlineStr">
        <is>
          <t>BV-RPT-024</t>
        </is>
      </c>
      <c r="B438" s="19" t="inlineStr">
        <is>
          <t>Reports</t>
        </is>
      </c>
      <c r="C438" s="19" t="inlineStr">
        <is>
          <t>Receipts Register</t>
        </is>
      </c>
      <c r="D438" s="19" t="inlineStr">
        <is>
          <t>Accounting Officer (liza.quiambao)</t>
        </is>
      </c>
      <c r="E438" s="19" t="inlineStr">
        <is>
          <t>Run Receipts Register with every criterion and export to Excel</t>
        </is>
      </c>
      <c r="F438" s="19" t="inlineStr">
        <is>
          <t>Report</t>
        </is>
      </c>
      <c r="G438" s="19" t="inlineStr">
        <is>
          <t>High</t>
        </is>
      </c>
      <c r="H438" s="19" t="inlineStr">
        <is>
          <t>UAT data set loaded (May to October 2026).</t>
        </is>
      </c>
      <c r="I438" s="19" t="inlineStr">
        <is>
          <t>1. Open Reports &gt; All Reports and select "Receipts Register".
2. Set From Date 01 May 2026 and To Date 04 October 2026.
3. Run the report for each Report Criteria: Overall, Agent, Principal Insurer, Branch, Payment Mode.
4. Click Generate and choose XLSX; open the file.</t>
        </is>
      </c>
      <c r="J438" s="19" t="inlineStr">
        <is>
          <t>From 01 May 2026 to 04 October 2026; BankAccount BDO-OPS where asked</t>
        </is>
      </c>
      <c r="K438" s="19" t="inlineStr">
        <is>
          <t>Each criterion returns rows for the test period; totals shown; the XLSX file downloads and opens with the same rows.</t>
        </is>
      </c>
      <c r="L438" s="19" t="inlineStr">
        <is>
          <t>Rows returned: Overall: 58, Agent: 58, Principal Insurer: 58, Branch: 58, Payment Mode: 58. XLSX produced.</t>
        </is>
      </c>
      <c r="M438" s="19" t="inlineStr">
        <is>
          <t>Pass</t>
        </is>
      </c>
      <c r="N438" s="19" t="inlineStr"/>
      <c r="O438" s="19" t="inlineStr">
        <is>
          <t>iorta TechNXT QA</t>
        </is>
      </c>
      <c r="P438" s="19" t="inlineStr">
        <is>
          <t>04 October 2026</t>
        </is>
      </c>
      <c r="Q438" s="19" t="inlineStr"/>
      <c r="R438" s="19" t="inlineStr">
        <is>
          <t>backend/test/reports.test.js :: receivables, collections, receipts and disbursements [passed]
UAT cycle 03-04 October 2026, phase Reports and dashboards (58 passed, 0 failed)</t>
        </is>
      </c>
    </row>
    <row r="439">
      <c r="A439" s="19" t="inlineStr">
        <is>
          <t>BV-RPT-025</t>
        </is>
      </c>
      <c r="B439" s="19" t="inlineStr">
        <is>
          <t>Reports</t>
        </is>
      </c>
      <c r="C439" s="19" t="inlineStr">
        <is>
          <t>Payables / Disbursement Register</t>
        </is>
      </c>
      <c r="D439" s="19" t="inlineStr">
        <is>
          <t>Accounting Officer (liza.quiambao)</t>
        </is>
      </c>
      <c r="E439" s="19" t="inlineStr">
        <is>
          <t>Run Payables / Disbursement Register with every criterion and export to Excel</t>
        </is>
      </c>
      <c r="F439" s="19" t="inlineStr">
        <is>
          <t>Report</t>
        </is>
      </c>
      <c r="G439" s="19" t="inlineStr">
        <is>
          <t>High</t>
        </is>
      </c>
      <c r="H439" s="19" t="inlineStr">
        <is>
          <t>UAT data set loaded (May to October 2026).</t>
        </is>
      </c>
      <c r="I439" s="19" t="inlineStr">
        <is>
          <t>1. Open Reports &gt; Financial Reports &gt; Payables.
2. Set From Date 01 May 2026 and To Date 04 October 2026.
3. Run the report for each Report Criteria: Overall, Agent, Principal Insurer, Branch, Payee Type.
4. Click Generate and choose XLSX; open the file.</t>
        </is>
      </c>
      <c r="J439" s="19" t="inlineStr">
        <is>
          <t>From 01 May 2026 to 04 October 2026; BankAccount BDO-OPS where asked</t>
        </is>
      </c>
      <c r="K439" s="19" t="inlineStr">
        <is>
          <t>Each criterion returns rows for the test period; totals shown; the XLSX file downloads and opens with the same rows.</t>
        </is>
      </c>
      <c r="L439" s="19" t="inlineStr">
        <is>
          <t>Rows returned: Overall: 27, Agent: 27, Principal Insurer: 27, Branch: 27, Payee Type: 27. XLSX produced.</t>
        </is>
      </c>
      <c r="M439" s="19" t="inlineStr">
        <is>
          <t>Pass</t>
        </is>
      </c>
      <c r="N439" s="19" t="inlineStr"/>
      <c r="O439" s="19" t="inlineStr">
        <is>
          <t>iorta TechNXT QA</t>
        </is>
      </c>
      <c r="P439" s="19" t="inlineStr">
        <is>
          <t>04 October 2026</t>
        </is>
      </c>
      <c r="Q439" s="19" t="inlineStr"/>
      <c r="R439" s="19" t="inlineStr">
        <is>
          <t>backend/test/reports.test.js :: receivables, collections, receipts and disbursements [passed]
UAT cycle 03-04 October 2026, phase Reports and dashboards (58 passed, 0 failed)</t>
        </is>
      </c>
    </row>
    <row r="440">
      <c r="A440" s="19" t="inlineStr">
        <is>
          <t>BV-RPT-026</t>
        </is>
      </c>
      <c r="B440" s="19" t="inlineStr">
        <is>
          <t>Reports</t>
        </is>
      </c>
      <c r="C440" s="19" t="inlineStr">
        <is>
          <t>Journal Register</t>
        </is>
      </c>
      <c r="D440" s="19" t="inlineStr">
        <is>
          <t>Accounting Officer (liza.quiambao)</t>
        </is>
      </c>
      <c r="E440" s="19" t="inlineStr">
        <is>
          <t>Run Journal Register with every criterion and export to Excel</t>
        </is>
      </c>
      <c r="F440" s="19" t="inlineStr">
        <is>
          <t>Report</t>
        </is>
      </c>
      <c r="G440" s="19" t="inlineStr">
        <is>
          <t>High</t>
        </is>
      </c>
      <c r="H440" s="19" t="inlineStr">
        <is>
          <t>UAT data set loaded (May to October 2026).</t>
        </is>
      </c>
      <c r="I440" s="19" t="inlineStr">
        <is>
          <t>1. Open Reports &gt; Financial Reports &gt; Journal.
2. Set From Date 01 May 2026 and To Date 04 October 2026.
3. Run the report for each Report Criteria: Overall, Agent, Principal Insurer, Branch, Account.
4. Click Generate and choose XLSX; open the file.</t>
        </is>
      </c>
      <c r="J440" s="19" t="inlineStr">
        <is>
          <t>From 01 May 2026 to 04 October 2026; BankAccount BDO-OPS where asked</t>
        </is>
      </c>
      <c r="K440" s="19" t="inlineStr">
        <is>
          <t>Each criterion returns rows for the test period; totals shown; the XLSX file downloads and opens with the same rows.</t>
        </is>
      </c>
      <c r="L440" s="19" t="inlineStr">
        <is>
          <t>Rows returned: Overall: 500, Agent: 500, Principal Insurer: 500, Branch: 500, Account: 500. XLSX produced.</t>
        </is>
      </c>
      <c r="M440" s="19" t="inlineStr">
        <is>
          <t>Pass</t>
        </is>
      </c>
      <c r="N440" s="19" t="inlineStr"/>
      <c r="O440" s="19" t="inlineStr">
        <is>
          <t>iorta TechNXT QA</t>
        </is>
      </c>
      <c r="P440" s="19" t="inlineStr">
        <is>
          <t>04 October 2026</t>
        </is>
      </c>
      <c r="Q440" s="19" t="inlineStr"/>
      <c r="R440" s="19" t="inlineStr">
        <is>
          <t>backend/test/reports.test.js :: journal register and a balanced trial balance from approved/posted vouchers only [passed]
UAT cycle 03-04 October 2026, phase Reports and dashboards (58 passed, 0 failed)</t>
        </is>
      </c>
    </row>
    <row r="441">
      <c r="A441" s="19" t="inlineStr">
        <is>
          <t>BV-RPT-027</t>
        </is>
      </c>
      <c r="B441" s="19" t="inlineStr">
        <is>
          <t>Reports</t>
        </is>
      </c>
      <c r="C441" s="19" t="inlineStr">
        <is>
          <t>Trial Balance</t>
        </is>
      </c>
      <c r="D441" s="19" t="inlineStr">
        <is>
          <t>Accounting Officer (liza.quiambao)</t>
        </is>
      </c>
      <c r="E441" s="19" t="inlineStr">
        <is>
          <t>Run Trial Balance with every criterion and export to Excel</t>
        </is>
      </c>
      <c r="F441" s="19" t="inlineStr">
        <is>
          <t>Report</t>
        </is>
      </c>
      <c r="G441" s="19" t="inlineStr">
        <is>
          <t>High</t>
        </is>
      </c>
      <c r="H441" s="19" t="inlineStr">
        <is>
          <t>UAT data set loaded (May to October 2026).</t>
        </is>
      </c>
      <c r="I441" s="19" t="inlineStr">
        <is>
          <t>1. Open Reports &gt; Financial Reports &gt; Trial Balance.
2. Set From Date 01 May 2026 and To Date 04 October 2026.
3. Run the report for each Report Criteria: Overall, Agent, Principal Insurer, Branch.
4. Click Generate and choose XLSX; open the file.</t>
        </is>
      </c>
      <c r="J441" s="19" t="inlineStr">
        <is>
          <t>From 01 May 2026 to 04 October 2026; BankAccount BDO-OPS where asked</t>
        </is>
      </c>
      <c r="K441" s="19" t="inlineStr">
        <is>
          <t>Each criterion returns rows for the test period; totals shown; the XLSX file downloads and opens with the same rows. Debits equal credits.</t>
        </is>
      </c>
      <c r="L441" s="19" t="inlineStr">
        <is>
          <t>Rows returned: Overall: 28, Agent: 28, Principal Insurer: 28, Branch: 28. XLSX produced.</t>
        </is>
      </c>
      <c r="M441" s="19" t="inlineStr">
        <is>
          <t>Pass</t>
        </is>
      </c>
      <c r="N441" s="19" t="inlineStr"/>
      <c r="O441" s="19" t="inlineStr">
        <is>
          <t>iorta TechNXT QA</t>
        </is>
      </c>
      <c r="P441" s="19" t="inlineStr">
        <is>
          <t>04 October 2026</t>
        </is>
      </c>
      <c r="Q441" s="19" t="inlineStr"/>
      <c r="R441" s="19" t="inlineStr">
        <is>
          <t>backend/test/reports.test.js :: journal register and a balanced trial balance from approved/posted vouchers only [passed]
UAT cycle 03-04 October 2026, phase Reports and dashboards (58 passed, 0 failed)</t>
        </is>
      </c>
    </row>
    <row r="442">
      <c r="A442" s="19" t="inlineStr">
        <is>
          <t>BV-RPT-028</t>
        </is>
      </c>
      <c r="B442" s="19" t="inlineStr">
        <is>
          <t>Reports</t>
        </is>
      </c>
      <c r="C442" s="19" t="inlineStr">
        <is>
          <t>Incentive Results</t>
        </is>
      </c>
      <c r="D442" s="19" t="inlineStr">
        <is>
          <t>Accounting Officer (liza.quiambao)</t>
        </is>
      </c>
      <c r="E442" s="19" t="inlineStr">
        <is>
          <t>Run Incentive Results with every criterion and export to Excel</t>
        </is>
      </c>
      <c r="F442" s="19" t="inlineStr">
        <is>
          <t>Report</t>
        </is>
      </c>
      <c r="G442" s="19" t="inlineStr">
        <is>
          <t>High</t>
        </is>
      </c>
      <c r="H442" s="19" t="inlineStr">
        <is>
          <t>UAT data set loaded (May to October 2026).</t>
        </is>
      </c>
      <c r="I442" s="19" t="inlineStr">
        <is>
          <t>1. Open Reports &gt; All Reports and select "Incentive Results".
2. Set From Date 01 May 2026 and To Date 04 October 2026.
3. Run the report for each Report Criteria: Overall, Program, Agent, Branch.
4. Click Generate and choose XLSX; open the file.</t>
        </is>
      </c>
      <c r="J442" s="19" t="inlineStr">
        <is>
          <t>From 01 May 2026 to 04 October 2026; BankAccount BDO-OPS where asked</t>
        </is>
      </c>
      <c r="K442" s="19" t="inlineStr">
        <is>
          <t>Each criterion returns rows for the test period; totals shown; the XLSX file downloads and opens with the same rows.</t>
        </is>
      </c>
      <c r="L442" s="19" t="inlineStr">
        <is>
          <t>Rows returned: Overall: 2, Program: 2, Agent: 2, Branch: 2. XLSX produced.</t>
        </is>
      </c>
      <c r="M442" s="19" t="inlineStr">
        <is>
          <t>Pass</t>
        </is>
      </c>
      <c r="N442" s="19" t="inlineStr"/>
      <c r="O442" s="19" t="inlineStr">
        <is>
          <t>iorta TechNXT QA</t>
        </is>
      </c>
      <c r="P442" s="19" t="inlineStr">
        <is>
          <t>04 October 2026</t>
        </is>
      </c>
      <c r="Q442" s="19" t="inlineStr"/>
      <c r="R442" s="19" t="inlineStr">
        <is>
          <t>backend/test/reports.test.js :: aggregate reports: premium by product/month, new vs renewal, lead funnel, cessions, incentives [passed]
UAT cycle 03-04 October 2026, phase Reports and dashboards (58 passed, 0 failed)</t>
        </is>
      </c>
    </row>
    <row r="443">
      <c r="A443" s="19" t="inlineStr">
        <is>
          <t>BV-RPT-029</t>
        </is>
      </c>
      <c r="B443" s="19" t="inlineStr">
        <is>
          <t>Reports</t>
        </is>
      </c>
      <c r="C443" s="19" t="inlineStr">
        <is>
          <t>Due to Insurers by Co-insurer</t>
        </is>
      </c>
      <c r="D443" s="19" t="inlineStr">
        <is>
          <t>Accounting Officer (liza.quiambao)</t>
        </is>
      </c>
      <c r="E443" s="19" t="inlineStr">
        <is>
          <t>Run Due to Insurers by Co-insurer with every criterion and export to Excel</t>
        </is>
      </c>
      <c r="F443" s="19" t="inlineStr">
        <is>
          <t>Report</t>
        </is>
      </c>
      <c r="G443" s="19" t="inlineStr">
        <is>
          <t>High</t>
        </is>
      </c>
      <c r="H443" s="19" t="inlineStr">
        <is>
          <t>UAT data set loaded (May to October 2026).</t>
        </is>
      </c>
      <c r="I443" s="19" t="inlineStr">
        <is>
          <t>1. Open Reports &gt; Financial Reports &gt; Due to Insurers by Co-insurer.
2. Set From Date 01 May 2026 and To Date 04 October 2026.
3. Run the report for each Report Criteria: Co-insurer, Co-insurer and Policy, Placement.
4. Click Generate and choose XLSX; open the file.</t>
        </is>
      </c>
      <c r="J443" s="19" t="inlineStr">
        <is>
          <t>From 01 May 2026 to 04 October 2026; BankAccount BDO-OPS where asked</t>
        </is>
      </c>
      <c r="K443" s="19" t="inlineStr">
        <is>
          <t>Each criterion returns rows for the test period; totals shown; the XLSX file downloads and opens with the same rows.</t>
        </is>
      </c>
      <c r="L443" s="19" t="inlineStr">
        <is>
          <t>Rows returned: Co-insurer: 7, Co-insurer and Policy: 76, Placement: 13. XLSX produced.</t>
        </is>
      </c>
      <c r="M443" s="19" t="inlineStr">
        <is>
          <t>Pass</t>
        </is>
      </c>
      <c r="N443" s="19" t="inlineStr"/>
      <c r="O443" s="19" t="inlineStr">
        <is>
          <t>iorta TechNXT QA</t>
        </is>
      </c>
      <c r="P443" s="19" t="inlineStr">
        <is>
          <t>04 October 2026</t>
        </is>
      </c>
      <c r="Q443" s="19" t="inlineStr"/>
      <c r="R443" s="19" t="inlineStr">
        <is>
          <t>backend/test/posting-rules.test.js :: reports: Co-insurance Register and Due to Insurers by Co-insurer [passed]
UAT cycle 03-04 October 2026, phase Reports and dashboards (58 passed, 0 failed)</t>
        </is>
      </c>
    </row>
    <row r="444">
      <c r="A444" s="19" t="inlineStr">
        <is>
          <t>BV-RPT-030</t>
        </is>
      </c>
      <c r="B444" s="19" t="inlineStr">
        <is>
          <t>Reports</t>
        </is>
      </c>
      <c r="C444" s="19" t="inlineStr">
        <is>
          <t>Income Statement</t>
        </is>
      </c>
      <c r="D444" s="19" t="inlineStr">
        <is>
          <t>Accounting Officer (liza.quiambao)</t>
        </is>
      </c>
      <c r="E444" s="19" t="inlineStr">
        <is>
          <t>Run Income Statement with every criterion and export to Excel</t>
        </is>
      </c>
      <c r="F444" s="19" t="inlineStr">
        <is>
          <t>Report</t>
        </is>
      </c>
      <c r="G444" s="19" t="inlineStr">
        <is>
          <t>High</t>
        </is>
      </c>
      <c r="H444" s="19" t="inlineStr">
        <is>
          <t>UAT data set loaded (May to October 2026).</t>
        </is>
      </c>
      <c r="I444" s="19" t="inlineStr">
        <is>
          <t>1. Open Reports &gt; Financial Reports &gt; Income Statement.
2. Set From Date 01 May 2026 and To Date 04 October 2026.
3. Run the report for each Report Criteria: Detailed, Summary.
4. Click Generate and choose XLSX; open the file.</t>
        </is>
      </c>
      <c r="J444" s="19" t="inlineStr">
        <is>
          <t>From 01 May 2026 to 04 October 2026; BankAccount BDO-OPS where asked</t>
        </is>
      </c>
      <c r="K444" s="19" t="inlineStr">
        <is>
          <t>Each criterion returns rows for the test period; totals shown; the XLSX file downloads and opens with the same rows.</t>
        </is>
      </c>
      <c r="L444" s="19" t="inlineStr">
        <is>
          <t>Rows returned: Detailed: 7, Summary: 5. XLSX produced.</t>
        </is>
      </c>
      <c r="M444" s="19" t="inlineStr">
        <is>
          <t>Pass</t>
        </is>
      </c>
      <c r="N444" s="19" t="inlineStr"/>
      <c r="O444" s="19" t="inlineStr">
        <is>
          <t>iorta TechNXT QA</t>
        </is>
      </c>
      <c r="P444" s="19" t="inlineStr">
        <is>
          <t>04 October 2026</t>
        </is>
      </c>
      <c r="Q444" s="19" t="inlineStr"/>
      <c r="R444" s="19" t="inlineStr">
        <is>
          <t>backend/test/period-end.test.js :: income statement net income = trial balance P&amp;L; the balance sheet balances [passed]
UAT cycle 03-04 October 2026, phase Reports and dashboards (58 passed, 0 failed)</t>
        </is>
      </c>
    </row>
    <row r="445">
      <c r="A445" s="19" t="inlineStr">
        <is>
          <t>BV-RPT-031</t>
        </is>
      </c>
      <c r="B445" s="19" t="inlineStr">
        <is>
          <t>Reports</t>
        </is>
      </c>
      <c r="C445" s="19" t="inlineStr">
        <is>
          <t>Balance Sheet</t>
        </is>
      </c>
      <c r="D445" s="19" t="inlineStr">
        <is>
          <t>Accounting Officer (liza.quiambao)</t>
        </is>
      </c>
      <c r="E445" s="19" t="inlineStr">
        <is>
          <t>Run Balance Sheet with every criterion and export to Excel</t>
        </is>
      </c>
      <c r="F445" s="19" t="inlineStr">
        <is>
          <t>Report</t>
        </is>
      </c>
      <c r="G445" s="19" t="inlineStr">
        <is>
          <t>High</t>
        </is>
      </c>
      <c r="H445" s="19" t="inlineStr">
        <is>
          <t>UAT data set loaded (May to October 2026).</t>
        </is>
      </c>
      <c r="I445" s="19" t="inlineStr">
        <is>
          <t>1. Open Reports &gt; Financial Reports &gt; Balance Sheet.
2. Set From Date 01 May 2026 and To Date 04 October 2026.
3. Run the report for each Report Criteria: Detailed, Summary.
4. Click Generate and choose XLSX; open the file.</t>
        </is>
      </c>
      <c r="J445" s="19" t="inlineStr">
        <is>
          <t>From 01 May 2026 to 04 October 2026; BankAccount BDO-OPS where asked</t>
        </is>
      </c>
      <c r="K445" s="19" t="inlineStr">
        <is>
          <t>Each criterion returns rows for the test period; totals shown; the XLSX file downloads and opens with the same rows. Assets equal liabilities plus equity.</t>
        </is>
      </c>
      <c r="L445" s="19" t="inlineStr">
        <is>
          <t>Rows returned: Detailed: 22, Summary: 3. XLSX produced.</t>
        </is>
      </c>
      <c r="M445" s="19" t="inlineStr">
        <is>
          <t>Pass</t>
        </is>
      </c>
      <c r="N445" s="19" t="inlineStr"/>
      <c r="O445" s="19" t="inlineStr">
        <is>
          <t>iorta TechNXT QA</t>
        </is>
      </c>
      <c r="P445" s="19" t="inlineStr">
        <is>
          <t>04 October 2026</t>
        </is>
      </c>
      <c r="Q445" s="19" t="inlineStr"/>
      <c r="R445" s="19" t="inlineStr">
        <is>
          <t>backend/test/period-end.test.js :: income statement net income = trial balance P&amp;L; the balance sheet balances [passed]
UAT cycle 03-04 October 2026, phase Reports and dashboards (58 passed, 0 failed)</t>
        </is>
      </c>
    </row>
    <row r="446">
      <c r="A446" s="19" t="inlineStr">
        <is>
          <t>BV-RPT-032</t>
        </is>
      </c>
      <c r="B446" s="19" t="inlineStr">
        <is>
          <t>Reports</t>
        </is>
      </c>
      <c r="C446" s="19" t="inlineStr">
        <is>
          <t>Trial Balance (Opening / Movement / Closing)</t>
        </is>
      </c>
      <c r="D446" s="19" t="inlineStr">
        <is>
          <t>Accounting Officer (liza.quiambao)</t>
        </is>
      </c>
      <c r="E446" s="19" t="inlineStr">
        <is>
          <t>Run Trial Balance (Opening / Movement / Closing) with every criterion and export to Excel</t>
        </is>
      </c>
      <c r="F446" s="19" t="inlineStr">
        <is>
          <t>Report</t>
        </is>
      </c>
      <c r="G446" s="19" t="inlineStr">
        <is>
          <t>High</t>
        </is>
      </c>
      <c r="H446" s="19" t="inlineStr">
        <is>
          <t>UAT data set loaded (May to October 2026).</t>
        </is>
      </c>
      <c r="I446" s="19" t="inlineStr">
        <is>
          <t>1. Open Reports &gt; Financial Reports &gt; Trial Balance Movement.
2. Set From Date 01 May 2026 and To Date 04 October 2026.
3. Run the report for each Report Criteria: Overall, Account Type, Statement Group.
4. Click Generate and choose XLSX; open the file.</t>
        </is>
      </c>
      <c r="J446" s="19" t="inlineStr">
        <is>
          <t>From 01 May 2026 to 04 October 2026; BankAccount BDO-OPS where asked</t>
        </is>
      </c>
      <c r="K446" s="19" t="inlineStr">
        <is>
          <t>Each criterion returns rows for the test period; totals shown; the XLSX file downloads and opens with the same rows. Debits equal credits.</t>
        </is>
      </c>
      <c r="L446" s="19" t="inlineStr">
        <is>
          <t>Rows returned: Overall: 28, Account Type: 28, Statement Group: 28. XLSX produced.</t>
        </is>
      </c>
      <c r="M446" s="19" t="inlineStr">
        <is>
          <t>Pass</t>
        </is>
      </c>
      <c r="N446" s="19" t="inlineStr"/>
      <c r="O446" s="19" t="inlineStr">
        <is>
          <t>iorta TechNXT QA</t>
        </is>
      </c>
      <c r="P446" s="19" t="inlineStr">
        <is>
          <t>04 October 2026</t>
        </is>
      </c>
      <c r="Q446" s="19" t="inlineStr"/>
      <c r="R446" s="19" t="inlineStr">
        <is>
          <t>UAT cycle 03-04 October 2026, phase Reports and dashboards (58 passed, 0 failed)</t>
        </is>
      </c>
    </row>
    <row r="447">
      <c r="A447" s="19" t="inlineStr">
        <is>
          <t>BV-RPT-033</t>
        </is>
      </c>
      <c r="B447" s="19" t="inlineStr">
        <is>
          <t>Reports</t>
        </is>
      </c>
      <c r="C447" s="19" t="inlineStr">
        <is>
          <t>General Ledger Detail</t>
        </is>
      </c>
      <c r="D447" s="19" t="inlineStr">
        <is>
          <t>Accounting Officer (liza.quiambao)</t>
        </is>
      </c>
      <c r="E447" s="19" t="inlineStr">
        <is>
          <t>Run General Ledger Detail with every criterion and export to Excel</t>
        </is>
      </c>
      <c r="F447" s="19" t="inlineStr">
        <is>
          <t>Report</t>
        </is>
      </c>
      <c r="G447" s="19" t="inlineStr">
        <is>
          <t>High</t>
        </is>
      </c>
      <c r="H447" s="19" t="inlineStr">
        <is>
          <t>UAT data set loaded (May to October 2026).</t>
        </is>
      </c>
      <c r="I447" s="19" t="inlineStr">
        <is>
          <t>1. Open Reports &gt; Financial Reports &gt; General Ledger Detail.
2. Set From Date 01 May 2026 and To Date 04 October 2026.
3. Run the report for each Report Criteria: Account, Overall.
4. Click Generate and choose XLSX; open the file.</t>
        </is>
      </c>
      <c r="J447" s="19" t="inlineStr">
        <is>
          <t>From 01 May 2026 to 04 October 2026; BankAccount BDO-OPS where asked</t>
        </is>
      </c>
      <c r="K447" s="19" t="inlineStr">
        <is>
          <t>Each criterion returns rows for the test period; totals shown; the XLSX file downloads and opens with the same rows.</t>
        </is>
      </c>
      <c r="L447" s="19" t="inlineStr">
        <is>
          <t>Rows returned: Account: 500, Overall: 500. XLSX produced.</t>
        </is>
      </c>
      <c r="M447" s="19" t="inlineStr">
        <is>
          <t>Pass</t>
        </is>
      </c>
      <c r="N447" s="19" t="inlineStr"/>
      <c r="O447" s="19" t="inlineStr">
        <is>
          <t>iorta TechNXT QA</t>
        </is>
      </c>
      <c r="P447" s="19" t="inlineStr">
        <is>
          <t>04 October 2026</t>
        </is>
      </c>
      <c r="Q447" s="19" t="inlineStr"/>
      <c r="R447" s="19" t="inlineStr">
        <is>
          <t>UAT cycle 03-04 October 2026, phase Reports and dashboards (58 passed, 0 failed)</t>
        </is>
      </c>
    </row>
    <row r="448">
      <c r="A448" s="19" t="inlineStr">
        <is>
          <t>BV-RPT-034</t>
        </is>
      </c>
      <c r="B448" s="19" t="inlineStr">
        <is>
          <t>Reports</t>
        </is>
      </c>
      <c r="C448" s="19" t="inlineStr">
        <is>
          <t>Aged Payables to Insurers</t>
        </is>
      </c>
      <c r="D448" s="19" t="inlineStr">
        <is>
          <t>Accounting Officer (liza.quiambao)</t>
        </is>
      </c>
      <c r="E448" s="19" t="inlineStr">
        <is>
          <t>Run Aged Payables to Insurers with every criterion and export to Excel</t>
        </is>
      </c>
      <c r="F448" s="19" t="inlineStr">
        <is>
          <t>Report</t>
        </is>
      </c>
      <c r="G448" s="19" t="inlineStr">
        <is>
          <t>High</t>
        </is>
      </c>
      <c r="H448" s="19" t="inlineStr">
        <is>
          <t>UAT data set loaded (May to October 2026).</t>
        </is>
      </c>
      <c r="I448" s="19" t="inlineStr">
        <is>
          <t>1. Open Reports &gt; Financial Reports &gt; Aged Payables to Insurers.
2. Set From Date 01 May 2026 and To Date 04 October 2026.
3. Run the report for each Report Criteria: Ageing Bucket, Principal Insurer, Overall.
4. Click Generate and choose XLSX; open the file.</t>
        </is>
      </c>
      <c r="J448" s="19" t="inlineStr">
        <is>
          <t>From 01 May 2026 to 04 October 2026; BankAccount BDO-OPS where asked</t>
        </is>
      </c>
      <c r="K448" s="19" t="inlineStr">
        <is>
          <t>Each criterion returns rows for the test period; totals shown; the XLSX file downloads and opens with the same rows.</t>
        </is>
      </c>
      <c r="L448" s="19" t="inlineStr">
        <is>
          <t>Rows returned: Ageing Bucket: 20, Principal Insurer: 20, Overall: 20. XLSX produced.</t>
        </is>
      </c>
      <c r="M448" s="19" t="inlineStr">
        <is>
          <t>Pass</t>
        </is>
      </c>
      <c r="N448" s="19" t="inlineStr"/>
      <c r="O448" s="19" t="inlineStr">
        <is>
          <t>iorta TechNXT QA</t>
        </is>
      </c>
      <c r="P448" s="19" t="inlineStr">
        <is>
          <t>04 October 2026</t>
        </is>
      </c>
      <c r="Q448" s="19" t="inlineStr"/>
      <c r="R448" s="19" t="inlineStr">
        <is>
          <t>UAT cycle 03-04 October 2026, phase Reports and dashboards (58 passed, 0 failed)</t>
        </is>
      </c>
    </row>
    <row r="449">
      <c r="A449" s="19" t="inlineStr">
        <is>
          <t>BV-RPT-035</t>
        </is>
      </c>
      <c r="B449" s="19" t="inlineStr">
        <is>
          <t>Reports</t>
        </is>
      </c>
      <c r="C449" s="19" t="inlineStr">
        <is>
          <t>Month-End Close Status</t>
        </is>
      </c>
      <c r="D449" s="19" t="inlineStr">
        <is>
          <t>Accounting Officer (liza.quiambao)</t>
        </is>
      </c>
      <c r="E449" s="19" t="inlineStr">
        <is>
          <t>Run Month-End Close Status with every criterion and export to Excel</t>
        </is>
      </c>
      <c r="F449" s="19" t="inlineStr">
        <is>
          <t>Report</t>
        </is>
      </c>
      <c r="G449" s="19" t="inlineStr">
        <is>
          <t>High</t>
        </is>
      </c>
      <c r="H449" s="19" t="inlineStr">
        <is>
          <t>UAT data set loaded (May to October 2026).</t>
        </is>
      </c>
      <c r="I449" s="19" t="inlineStr">
        <is>
          <t>1. Open Reports &gt; Financial Reports &gt; Month-End Close Status.
2. Set From Date 01 May 2026 and To Date 04 October 2026.
3. Run the report for each Report Criteria: Overall, Fiscal Year, Period Status.
4. Click Generate and choose XLSX; open the file.</t>
        </is>
      </c>
      <c r="J449" s="19" t="inlineStr">
        <is>
          <t>From 01 May 2026 to 04 October 2026; BankAccount BDO-OPS where asked</t>
        </is>
      </c>
      <c r="K449" s="19" t="inlineStr">
        <is>
          <t>Each criterion returns rows for the test period; totals shown; the XLSX file downloads and opens with the same rows.</t>
        </is>
      </c>
      <c r="L449" s="19" t="inlineStr">
        <is>
          <t>Rows returned: Overall: 6, Fiscal Year: 6, Period Status: 6. XLSX produced.</t>
        </is>
      </c>
      <c r="M449" s="19" t="inlineStr">
        <is>
          <t>Pass</t>
        </is>
      </c>
      <c r="N449" s="19" t="inlineStr"/>
      <c r="O449" s="19" t="inlineStr">
        <is>
          <t>iorta TechNXT QA</t>
        </is>
      </c>
      <c r="P449" s="19" t="inlineStr">
        <is>
          <t>04 October 2026</t>
        </is>
      </c>
      <c r="Q449" s="19" t="inlineStr"/>
      <c r="R449" s="19" t="inlineStr">
        <is>
          <t>UAT cycle 03-04 October 2026, phase Reports and dashboards (58 passed, 0 failed)</t>
        </is>
      </c>
    </row>
    <row r="450">
      <c r="A450" s="19" t="inlineStr">
        <is>
          <t>BV-RPT-036</t>
        </is>
      </c>
      <c r="B450" s="19" t="inlineStr">
        <is>
          <t>Reports</t>
        </is>
      </c>
      <c r="C450" s="19" t="inlineStr">
        <is>
          <t>VAT Summary</t>
        </is>
      </c>
      <c r="D450" s="19" t="inlineStr">
        <is>
          <t>Accounting Officer (liza.quiambao)</t>
        </is>
      </c>
      <c r="E450" s="19" t="inlineStr">
        <is>
          <t>Run VAT Summary with every criterion and export to Excel</t>
        </is>
      </c>
      <c r="F450" s="19" t="inlineStr">
        <is>
          <t>Report</t>
        </is>
      </c>
      <c r="G450" s="19" t="inlineStr">
        <is>
          <t>High</t>
        </is>
      </c>
      <c r="H450" s="19" t="inlineStr">
        <is>
          <t>UAT data set loaded (May to October 2026).</t>
        </is>
      </c>
      <c r="I450" s="19" t="inlineStr">
        <is>
          <t>1. Open Accounts &gt; Tax &gt; VAT Summary.
2. Set From Date 01 May 2026 and To Date 04 October 2026.
3. Run the report for each Report Criteria: Monthly, Quarterly.
4. Click Generate and choose XLSX; open the file.</t>
        </is>
      </c>
      <c r="J450" s="19" t="inlineStr">
        <is>
          <t>From 01 May 2026 to 04 October 2026; BankAccount BDO-OPS where asked</t>
        </is>
      </c>
      <c r="K450" s="19" t="inlineStr">
        <is>
          <t>Each criterion returns rows for the test period; totals shown; the XLSX file downloads and opens with the same rows.</t>
        </is>
      </c>
      <c r="L450" s="19" t="inlineStr">
        <is>
          <t>Rows returned: Monthly: 6, Quarterly: 3. XLSX produced.</t>
        </is>
      </c>
      <c r="M450" s="19" t="inlineStr">
        <is>
          <t>Pass</t>
        </is>
      </c>
      <c r="N450" s="19" t="inlineStr"/>
      <c r="O450" s="19" t="inlineStr">
        <is>
          <t>iorta TechNXT QA</t>
        </is>
      </c>
      <c r="P450" s="19" t="inlineStr">
        <is>
          <t>04 October 2026</t>
        </is>
      </c>
      <c r="Q450" s="19" t="inlineStr"/>
      <c r="R450" s="19" t="inlineStr">
        <is>
          <t>UAT cycle 03-04 October 2026, phase Reports and dashboards (58 passed, 0 failed)</t>
        </is>
      </c>
    </row>
    <row r="451">
      <c r="A451" s="19" t="inlineStr">
        <is>
          <t>BV-RPT-037</t>
        </is>
      </c>
      <c r="B451" s="19" t="inlineStr">
        <is>
          <t>Reports</t>
        </is>
      </c>
      <c r="C451" s="19" t="inlineStr">
        <is>
          <t>SAWT - Summary Alphalist of Withholding Taxes</t>
        </is>
      </c>
      <c r="D451" s="19" t="inlineStr">
        <is>
          <t>Accounting Officer (liza.quiambao)</t>
        </is>
      </c>
      <c r="E451" s="19" t="inlineStr">
        <is>
          <t>Run SAWT - Summary Alphalist of Withholding Taxes with every criterion and export to Excel</t>
        </is>
      </c>
      <c r="F451" s="19" t="inlineStr">
        <is>
          <t>Report</t>
        </is>
      </c>
      <c r="G451" s="19" t="inlineStr">
        <is>
          <t>High</t>
        </is>
      </c>
      <c r="H451" s="19" t="inlineStr">
        <is>
          <t>UAT data set loaded (May to October 2026).</t>
        </is>
      </c>
      <c r="I451" s="19" t="inlineStr">
        <is>
          <t>1. Open Accounts &gt; Tax &gt; SAWT.
2. Set From Date 01 May 2026 and To Date 04 October 2026.
3. Run the report for each Report Criteria: Summary.
4. Click Generate and choose XLSX; open the file.</t>
        </is>
      </c>
      <c r="J451" s="19" t="inlineStr">
        <is>
          <t>From 01 May 2026 to 04 October 2026; BankAccount BDO-OPS where asked</t>
        </is>
      </c>
      <c r="K451" s="19" t="inlineStr">
        <is>
          <t>Each criterion returns rows for the test period; totals shown; the XLSX file downloads and opens with the same rows.</t>
        </is>
      </c>
      <c r="L451" s="19" t="inlineStr">
        <is>
          <t>Rows returned: Summary: 2. XLSX produced.</t>
        </is>
      </c>
      <c r="M451" s="19" t="inlineStr">
        <is>
          <t>Pass</t>
        </is>
      </c>
      <c r="N451" s="19" t="inlineStr"/>
      <c r="O451" s="19" t="inlineStr">
        <is>
          <t>iorta TechNXT QA</t>
        </is>
      </c>
      <c r="P451" s="19" t="inlineStr">
        <is>
          <t>04 October 2026</t>
        </is>
      </c>
      <c r="Q451" s="19" t="inlineStr"/>
      <c r="R451" s="19" t="inlineStr">
        <is>
          <t>UAT cycle 03-04 October 2026, phase Reports and dashboards (58 passed, 0 failed)</t>
        </is>
      </c>
    </row>
    <row r="452">
      <c r="A452" s="19" t="inlineStr">
        <is>
          <t>BV-RPT-038</t>
        </is>
      </c>
      <c r="B452" s="19" t="inlineStr">
        <is>
          <t>Reports</t>
        </is>
      </c>
      <c r="C452" s="19" t="inlineStr">
        <is>
          <t>QAP - Quarterly Alphalist of Payees</t>
        </is>
      </c>
      <c r="D452" s="19" t="inlineStr">
        <is>
          <t>Accounting Officer (liza.quiambao)</t>
        </is>
      </c>
      <c r="E452" s="19" t="inlineStr">
        <is>
          <t>Run QAP - Quarterly Alphalist of Payees with every criterion and export to Excel</t>
        </is>
      </c>
      <c r="F452" s="19" t="inlineStr">
        <is>
          <t>Report</t>
        </is>
      </c>
      <c r="G452" s="19" t="inlineStr">
        <is>
          <t>High</t>
        </is>
      </c>
      <c r="H452" s="19" t="inlineStr">
        <is>
          <t>UAT data set loaded (May to October 2026).</t>
        </is>
      </c>
      <c r="I452" s="19" t="inlineStr">
        <is>
          <t>1. Open Accounts &gt; Tax &gt; QAP.
2. Set From Date 01 May 2026 and To Date 04 October 2026.
3. Run the report for each Report Criteria: Summary.
4. Click Generate and choose XLSX; open the file.</t>
        </is>
      </c>
      <c r="J452" s="19" t="inlineStr">
        <is>
          <t>From 01 May 2026 to 04 October 2026; BankAccount BDO-OPS where asked</t>
        </is>
      </c>
      <c r="K452" s="19" t="inlineStr">
        <is>
          <t>Each criterion returns rows for the test period; totals shown; the XLSX file downloads and opens with the same rows.</t>
        </is>
      </c>
      <c r="L452" s="19" t="inlineStr">
        <is>
          <t>Rows returned: Summary: 2. XLSX produced.</t>
        </is>
      </c>
      <c r="M452" s="19" t="inlineStr">
        <is>
          <t>Pass</t>
        </is>
      </c>
      <c r="N452" s="19" t="inlineStr"/>
      <c r="O452" s="19" t="inlineStr">
        <is>
          <t>iorta TechNXT QA</t>
        </is>
      </c>
      <c r="P452" s="19" t="inlineStr">
        <is>
          <t>04 October 2026</t>
        </is>
      </c>
      <c r="Q452" s="19" t="inlineStr"/>
      <c r="R452" s="19" t="inlineStr">
        <is>
          <t>UAT cycle 03-04 October 2026, phase Reports and dashboards (58 passed, 0 failed)</t>
        </is>
      </c>
    </row>
    <row r="453">
      <c r="A453" s="19" t="inlineStr">
        <is>
          <t>BV-RPT-039</t>
        </is>
      </c>
      <c r="B453" s="19" t="inlineStr">
        <is>
          <t>Reports</t>
        </is>
      </c>
      <c r="C453" s="19" t="inlineStr">
        <is>
          <t>SLSP - Summary List of Sales</t>
        </is>
      </c>
      <c r="D453" s="19" t="inlineStr">
        <is>
          <t>Accounting Officer (liza.quiambao)</t>
        </is>
      </c>
      <c r="E453" s="19" t="inlineStr">
        <is>
          <t>Run SLSP - Summary List of Sales with every criterion and export to Excel</t>
        </is>
      </c>
      <c r="F453" s="19" t="inlineStr">
        <is>
          <t>Report</t>
        </is>
      </c>
      <c r="G453" s="19" t="inlineStr">
        <is>
          <t>High</t>
        </is>
      </c>
      <c r="H453" s="19" t="inlineStr">
        <is>
          <t>UAT data set loaded (May to October 2026).</t>
        </is>
      </c>
      <c r="I453" s="19" t="inlineStr">
        <is>
          <t>1. Open Accounts &gt; Tax &gt; SLSP Sales.
2. Set From Date 01 May 2026 and To Date 04 October 2026.
3. Run the report for each Report Criteria: Summary.
4. Click Generate and choose XLSX; open the file.</t>
        </is>
      </c>
      <c r="J453" s="19" t="inlineStr">
        <is>
          <t>From 01 May 2026 to 04 October 2026; BankAccount BDO-OPS where asked</t>
        </is>
      </c>
      <c r="K453" s="19" t="inlineStr">
        <is>
          <t>Each criterion returns rows for the test period; totals shown; the XLSX file downloads and opens with the same rows.</t>
        </is>
      </c>
      <c r="L453" s="19" t="inlineStr">
        <is>
          <t>Rows returned: Summary: 32. XLSX produced.</t>
        </is>
      </c>
      <c r="M453" s="19" t="inlineStr">
        <is>
          <t>Pass</t>
        </is>
      </c>
      <c r="N453" s="19" t="inlineStr"/>
      <c r="O453" s="19" t="inlineStr">
        <is>
          <t>iorta TechNXT QA</t>
        </is>
      </c>
      <c r="P453" s="19" t="inlineStr">
        <is>
          <t>04 October 2026</t>
        </is>
      </c>
      <c r="Q453" s="19" t="inlineStr"/>
      <c r="R453" s="19" t="inlineStr">
        <is>
          <t>UAT cycle 03-04 October 2026, phase Reports and dashboards (58 passed, 0 failed)</t>
        </is>
      </c>
    </row>
    <row r="454">
      <c r="A454" s="19" t="inlineStr">
        <is>
          <t>BV-RPT-040</t>
        </is>
      </c>
      <c r="B454" s="19" t="inlineStr">
        <is>
          <t>Reports</t>
        </is>
      </c>
      <c r="C454" s="19" t="inlineStr">
        <is>
          <t>SLSP - Summary List of Purchases</t>
        </is>
      </c>
      <c r="D454" s="19" t="inlineStr">
        <is>
          <t>Accounting Officer (liza.quiambao)</t>
        </is>
      </c>
      <c r="E454" s="19" t="inlineStr">
        <is>
          <t>Run SLSP - Summary List of Purchases with every criterion and export to Excel</t>
        </is>
      </c>
      <c r="F454" s="19" t="inlineStr">
        <is>
          <t>Report</t>
        </is>
      </c>
      <c r="G454" s="19" t="inlineStr">
        <is>
          <t>High</t>
        </is>
      </c>
      <c r="H454" s="19" t="inlineStr">
        <is>
          <t>UAT data set loaded (May to October 2026).</t>
        </is>
      </c>
      <c r="I454" s="19" t="inlineStr">
        <is>
          <t>1. Open Accounts &gt; Tax &gt; SLSP Purchases.
2. Set From Date 01 May 2026 and To Date 04 October 2026.
3. Run the report for each Report Criteria: Summary.
4. Click Generate and choose XLSX; open the file.</t>
        </is>
      </c>
      <c r="J454" s="19" t="inlineStr">
        <is>
          <t>From 01 May 2026 to 04 October 2026; BankAccount BDO-OPS where asked</t>
        </is>
      </c>
      <c r="K454" s="19" t="inlineStr">
        <is>
          <t>Each criterion returns rows for the test period; totals shown; the XLSX file downloads and opens with the same rows.</t>
        </is>
      </c>
      <c r="L454" s="19" t="inlineStr">
        <is>
          <t>Rows returned: Summary: 1. XLSX produced.</t>
        </is>
      </c>
      <c r="M454" s="19" t="inlineStr">
        <is>
          <t>Pass</t>
        </is>
      </c>
      <c r="N454" s="19" t="inlineStr"/>
      <c r="O454" s="19" t="inlineStr">
        <is>
          <t>iorta TechNXT QA</t>
        </is>
      </c>
      <c r="P454" s="19" t="inlineStr">
        <is>
          <t>04 October 2026</t>
        </is>
      </c>
      <c r="Q454" s="19" t="inlineStr"/>
      <c r="R454" s="19" t="inlineStr">
        <is>
          <t>UAT cycle 03-04 October 2026, phase Reports and dashboards (58 passed, 0 failed)</t>
        </is>
      </c>
    </row>
    <row r="455">
      <c r="A455" s="19" t="inlineStr">
        <is>
          <t>BV-RPT-041</t>
        </is>
      </c>
      <c r="B455" s="19" t="inlineStr">
        <is>
          <t>Reports</t>
        </is>
      </c>
      <c r="C455" s="19" t="inlineStr">
        <is>
          <t>Bank Reconciliation Statement</t>
        </is>
      </c>
      <c r="D455" s="19" t="inlineStr">
        <is>
          <t>Accounting Officer (liza.quiambao)</t>
        </is>
      </c>
      <c r="E455" s="19" t="inlineStr">
        <is>
          <t>Run Bank Reconciliation Statement with every criterion and export to Excel</t>
        </is>
      </c>
      <c r="F455" s="19" t="inlineStr">
        <is>
          <t>Report</t>
        </is>
      </c>
      <c r="G455" s="19" t="inlineStr">
        <is>
          <t>High</t>
        </is>
      </c>
      <c r="H455" s="19" t="inlineStr">
        <is>
          <t>UAT data set loaded (May to October 2026).</t>
        </is>
      </c>
      <c r="I455" s="19" t="inlineStr">
        <is>
          <t>1. Open Accounts &gt; Bank Reconciliation &gt; Reconciliation Statement Report.
2. Set From Date 01 May 2026 and To Date 04 October 2026.
3. Run the report for each Report Criteria: Overall, Bank Account.
4. Click Generate and choose XLSX; open the file.</t>
        </is>
      </c>
      <c r="J455" s="19" t="inlineStr">
        <is>
          <t>From 01 May 2026 to 04 October 2026; BankAccount BDO-OPS where asked</t>
        </is>
      </c>
      <c r="K455" s="19" t="inlineStr">
        <is>
          <t>Each criterion returns rows for the test period; totals shown; the XLSX file downloads and opens with the same rows.</t>
        </is>
      </c>
      <c r="L455" s="19" t="inlineStr">
        <is>
          <t>Rows returned: Overall: 5, Bank Account: 5. XLSX produced.</t>
        </is>
      </c>
      <c r="M455" s="19" t="inlineStr">
        <is>
          <t>Pass</t>
        </is>
      </c>
      <c r="N455" s="19" t="inlineStr"/>
      <c r="O455" s="19" t="inlineStr">
        <is>
          <t>iorta TechNXT QA</t>
        </is>
      </c>
      <c r="P455" s="19" t="inlineStr">
        <is>
          <t>04 October 2026</t>
        </is>
      </c>
      <c r="Q455" s="19" t="inlineStr"/>
      <c r="R455" s="19" t="inlineStr">
        <is>
          <t>backend/test/bank-reconciliation.test.js :: runs the bank reconciliation reports [passed]
UAT cycle 03-04 October 2026, phase Reports and dashboards (58 passed, 0 failed)</t>
        </is>
      </c>
    </row>
    <row r="456">
      <c r="A456" s="19" t="inlineStr">
        <is>
          <t>BV-RPT-042</t>
        </is>
      </c>
      <c r="B456" s="19" t="inlineStr">
        <is>
          <t>Reports</t>
        </is>
      </c>
      <c r="C456" s="19" t="inlineStr">
        <is>
          <t>Outstanding Cheques</t>
        </is>
      </c>
      <c r="D456" s="19" t="inlineStr">
        <is>
          <t>Accounting Officer (liza.quiambao)</t>
        </is>
      </c>
      <c r="E456" s="19" t="inlineStr">
        <is>
          <t>Run Outstanding Cheques with every criterion and export to Excel</t>
        </is>
      </c>
      <c r="F456" s="19" t="inlineStr">
        <is>
          <t>Report</t>
        </is>
      </c>
      <c r="G456" s="19" t="inlineStr">
        <is>
          <t>High</t>
        </is>
      </c>
      <c r="H456" s="19" t="inlineStr">
        <is>
          <t>UAT data set loaded (May to October 2026).</t>
        </is>
      </c>
      <c r="I456" s="19" t="inlineStr">
        <is>
          <t>1. Open Accounts &gt; Bank Reconciliation &gt; Outstanding Cheques.
2. Set From Date 01 May 2026 and To Date 04 October 2026.
3. Run the report for each Report Criteria: Overall, Bank Account, Status.
4. Click Generate and choose XLSX; open the file.</t>
        </is>
      </c>
      <c r="J456" s="19" t="inlineStr">
        <is>
          <t>From 01 May 2026 to 04 October 2026; BankAccount BDO-OPS where asked</t>
        </is>
      </c>
      <c r="K456" s="19" t="inlineStr">
        <is>
          <t>Each criterion returns rows for the test period; totals shown; the XLSX file downloads and opens with the same rows.</t>
        </is>
      </c>
      <c r="L456" s="19" t="inlineStr">
        <is>
          <t>Rows returned: Overall: 7, Bank Account: 7, Status: 7. XLSX produced.</t>
        </is>
      </c>
      <c r="M456" s="19" t="inlineStr">
        <is>
          <t>Pass</t>
        </is>
      </c>
      <c r="N456" s="19" t="inlineStr"/>
      <c r="O456" s="19" t="inlineStr">
        <is>
          <t>iorta TechNXT QA</t>
        </is>
      </c>
      <c r="P456" s="19" t="inlineStr">
        <is>
          <t>04 October 2026</t>
        </is>
      </c>
      <c r="Q456" s="19" t="inlineStr"/>
      <c r="R456" s="19" t="inlineStr">
        <is>
          <t>backend/test/bank-reconciliation.test.js :: runs the bank reconciliation reports [passed]
UAT cycle 03-04 October 2026, phase Reports and dashboards (58 passed, 0 failed)</t>
        </is>
      </c>
    </row>
    <row r="457">
      <c r="A457" s="19" t="inlineStr">
        <is>
          <t>BV-RPT-043</t>
        </is>
      </c>
      <c r="B457" s="19" t="inlineStr">
        <is>
          <t>Reports</t>
        </is>
      </c>
      <c r="C457" s="19" t="inlineStr">
        <is>
          <t>Deposits in Transit</t>
        </is>
      </c>
      <c r="D457" s="19" t="inlineStr">
        <is>
          <t>Accounting Officer (liza.quiambao)</t>
        </is>
      </c>
      <c r="E457" s="19" t="inlineStr">
        <is>
          <t>Run Deposits in Transit with every criterion and export to Excel</t>
        </is>
      </c>
      <c r="F457" s="19" t="inlineStr">
        <is>
          <t>Report</t>
        </is>
      </c>
      <c r="G457" s="19" t="inlineStr">
        <is>
          <t>High</t>
        </is>
      </c>
      <c r="H457" s="19" t="inlineStr">
        <is>
          <t>UAT data set loaded (May to October 2026).</t>
        </is>
      </c>
      <c r="I457" s="19" t="inlineStr">
        <is>
          <t>1. Open Accounts &gt; Bank Reconciliation &gt; Deposits in Transit.
2. Set From Date 01 May 2026 and To Date 04 October 2026.
3. Run the report for each Report Criteria: Overall, Bank Account.
4. Click Generate and choose XLSX; open the file.</t>
        </is>
      </c>
      <c r="J457" s="19" t="inlineStr">
        <is>
          <t>From 01 May 2026 to 04 October 2026; BankAccount BDO-OPS where asked</t>
        </is>
      </c>
      <c r="K457" s="19" t="inlineStr">
        <is>
          <t>Each criterion returns rows for the test period; totals shown; the XLSX file downloads and opens with the same rows.</t>
        </is>
      </c>
      <c r="L457" s="19" t="inlineStr">
        <is>
          <t>Rows returned: Overall: 4, Bank Account: 4. XLSX produced.</t>
        </is>
      </c>
      <c r="M457" s="19" t="inlineStr">
        <is>
          <t>Pass</t>
        </is>
      </c>
      <c r="N457" s="19" t="inlineStr"/>
      <c r="O457" s="19" t="inlineStr">
        <is>
          <t>iorta TechNXT QA</t>
        </is>
      </c>
      <c r="P457" s="19" t="inlineStr">
        <is>
          <t>04 October 2026</t>
        </is>
      </c>
      <c r="Q457" s="19" t="inlineStr"/>
      <c r="R457" s="19" t="inlineStr">
        <is>
          <t>backend/test/bank-reconciliation.test.js :: runs the bank reconciliation reports [passed]
UAT cycle 03-04 October 2026, phase Reports and dashboards (58 passed, 0 failed)</t>
        </is>
      </c>
    </row>
    <row r="458">
      <c r="A458" s="19" t="inlineStr">
        <is>
          <t>BV-RPT-044</t>
        </is>
      </c>
      <c r="B458" s="19" t="inlineStr">
        <is>
          <t>Reports</t>
        </is>
      </c>
      <c r="C458" s="19" t="inlineStr">
        <is>
          <t>Unmatched Bank Lines</t>
        </is>
      </c>
      <c r="D458" s="19" t="inlineStr">
        <is>
          <t>Accounting Officer (liza.quiambao)</t>
        </is>
      </c>
      <c r="E458" s="19" t="inlineStr">
        <is>
          <t>Run Unmatched Bank Lines with every criterion and export to Excel</t>
        </is>
      </c>
      <c r="F458" s="19" t="inlineStr">
        <is>
          <t>Report</t>
        </is>
      </c>
      <c r="G458" s="19" t="inlineStr">
        <is>
          <t>High</t>
        </is>
      </c>
      <c r="H458" s="19" t="inlineStr">
        <is>
          <t>UAT data set loaded (May to October 2026).</t>
        </is>
      </c>
      <c r="I458" s="19" t="inlineStr">
        <is>
          <t>1. Open Accounts &gt; Bank Reconciliation &gt; Unmatched Bank Lines.
2. Set From Date 01 May 2026 and To Date 04 October 2026.
3. Run the report for each Report Criteria: Overall, Bank Account, Suggested Type.
4. Click Generate and choose XLSX; open the file.</t>
        </is>
      </c>
      <c r="J458" s="19" t="inlineStr">
        <is>
          <t>From 01 May 2026 to 04 October 2026; BankAccount BDO-OPS where asked</t>
        </is>
      </c>
      <c r="K458" s="19" t="inlineStr">
        <is>
          <t>Each criterion returns rows for the test period; totals shown; the XLSX file downloads and opens with the same rows.</t>
        </is>
      </c>
      <c r="L458" s="19" t="inlineStr">
        <is>
          <t>Rows returned: Overall: 2, Bank Account: 2, Suggested Type: 2. XLSX produced.</t>
        </is>
      </c>
      <c r="M458" s="19" t="inlineStr">
        <is>
          <t>Pass</t>
        </is>
      </c>
      <c r="N458" s="19" t="inlineStr"/>
      <c r="O458" s="19" t="inlineStr">
        <is>
          <t>iorta TechNXT QA</t>
        </is>
      </c>
      <c r="P458" s="19" t="inlineStr">
        <is>
          <t>04 October 2026</t>
        </is>
      </c>
      <c r="Q458" s="19" t="inlineStr"/>
      <c r="R458" s="19" t="inlineStr">
        <is>
          <t>backend/test/bank-reconciliation.test.js :: runs the bank reconciliation reports [passed]
UAT cycle 03-04 October 2026, phase Reports and dashboards (58 passed, 0 failed)</t>
        </is>
      </c>
    </row>
    <row r="459">
      <c r="A459" s="19" t="inlineStr">
        <is>
          <t>BV-RPT-045</t>
        </is>
      </c>
      <c r="B459" s="19" t="inlineStr">
        <is>
          <t>Reports</t>
        </is>
      </c>
      <c r="C459" s="19" t="inlineStr">
        <is>
          <t>Bank Book</t>
        </is>
      </c>
      <c r="D459" s="19" t="inlineStr">
        <is>
          <t>Accounting Officer (liza.quiambao)</t>
        </is>
      </c>
      <c r="E459" s="19" t="inlineStr">
        <is>
          <t>Run Bank Book with every criterion and export to Excel</t>
        </is>
      </c>
      <c r="F459" s="19" t="inlineStr">
        <is>
          <t>Report</t>
        </is>
      </c>
      <c r="G459" s="19" t="inlineStr">
        <is>
          <t>High</t>
        </is>
      </c>
      <c r="H459" s="19" t="inlineStr">
        <is>
          <t>UAT data set loaded (May to October 2026).</t>
        </is>
      </c>
      <c r="I459" s="19" t="inlineStr">
        <is>
          <t>1. Open Accounts &gt; Bank Reconciliation &gt; Bank Book.
2. Set From Date 01 May 2026 and To Date 04 October 2026.
3. Run the report for each Report Criteria: Bank Account, Overall.
4. Click Generate and choose XLSX; open the file.</t>
        </is>
      </c>
      <c r="J459" s="19" t="inlineStr">
        <is>
          <t>From 01 May 2026 to 04 October 2026; BankAccount BDO-OPS where asked</t>
        </is>
      </c>
      <c r="K459" s="19" t="inlineStr">
        <is>
          <t>Each criterion returns rows for the test period; totals shown; the XLSX file downloads and opens with the same rows.</t>
        </is>
      </c>
      <c r="L459" s="19" t="inlineStr">
        <is>
          <t>Rows returned: Bank Account: 88, Overall: 88. XLSX produced.</t>
        </is>
      </c>
      <c r="M459" s="19" t="inlineStr">
        <is>
          <t>Pass</t>
        </is>
      </c>
      <c r="N459" s="19" t="inlineStr"/>
      <c r="O459" s="19" t="inlineStr">
        <is>
          <t>iorta TechNXT QA</t>
        </is>
      </c>
      <c r="P459" s="19" t="inlineStr">
        <is>
          <t>04 October 2026</t>
        </is>
      </c>
      <c r="Q459" s="19" t="inlineStr"/>
      <c r="R459" s="19" t="inlineStr">
        <is>
          <t>backend/test/bank-reconciliation.test.js :: runs the bank reconciliation reports [passed]
UAT cycle 03-04 October 2026, phase Reports and dashboards (58 passed, 0 failed)</t>
        </is>
      </c>
    </row>
    <row r="460">
      <c r="A460" s="19" t="inlineStr">
        <is>
          <t>BV-SCR-001</t>
        </is>
      </c>
      <c r="B460" s="19" t="inlineStr">
        <is>
          <t>Screen checks (all menus)</t>
        </is>
      </c>
      <c r="C460" s="19" t="inlineStr">
        <is>
          <t>Dashboard</t>
        </is>
      </c>
      <c r="D460" s="19" t="inlineStr">
        <is>
          <t>System Administrator (BrokerVerse)</t>
        </is>
      </c>
      <c r="E460" s="19" t="inlineStr">
        <is>
          <t>Every screen under Dashboard opens without error</t>
        </is>
      </c>
      <c r="F460" s="19" t="inlineStr">
        <is>
          <t>Functional</t>
        </is>
      </c>
      <c r="G460" s="19" t="inlineStr">
        <is>
          <t>Medium</t>
        </is>
      </c>
      <c r="H460" s="19" t="inlineStr">
        <is>
          <t>Signed in as BrokerVerse on Chromium at 1440 x 900; UAT data set loaded.</t>
        </is>
      </c>
      <c r="I460" s="19" t="inlineStr">
        <is>
          <t>1. Open each screen of the group from the side menu: Executive Dashboard; Claims Dashboard; Processing Dashboard; Sales Dashboard.
2. On each screen wait for the data to load.
3. Check the page for error messages, failed requests (browser developer tools &gt; Network) and content cut off on the right.</t>
        </is>
      </c>
      <c r="J460" s="19" t="inlineStr">
        <is>
          <t>Administrator; UAT data set</t>
        </is>
      </c>
      <c r="K460" s="19" t="inlineStr">
        <is>
          <t>Each screen opens with its title and data; no error message, no failed request, nothing clipped.</t>
        </is>
      </c>
      <c r="L460" s="19" t="inlineStr">
        <is>
          <t>All 4 screens opened; no console error, no failed API call, no clipped content.</t>
        </is>
      </c>
      <c r="M460" s="19" t="inlineStr">
        <is>
          <t>Pass</t>
        </is>
      </c>
      <c r="N460" s="19" t="inlineStr"/>
      <c r="O460" s="19" t="inlineStr">
        <is>
          <t>iorta TechNXT QA</t>
        </is>
      </c>
      <c r="P460" s="19" t="inlineStr">
        <is>
          <t>03 October 2026</t>
        </is>
      </c>
      <c r="Q460" s="19" t="inlineStr"/>
      <c r="R460" s="19" t="inlineStr">
        <is>
          <t>Screen check of 03 October 2026 (Chromium, 1440 x 900): access, console errors, failed API calls and clipped content per menu screen, user System Administrator (BrokerVerse)</t>
        </is>
      </c>
    </row>
    <row r="461">
      <c r="A461" s="19" t="inlineStr">
        <is>
          <t>BV-SCR-002</t>
        </is>
      </c>
      <c r="B461" s="19" t="inlineStr">
        <is>
          <t>Screen checks (all menus)</t>
        </is>
      </c>
      <c r="C461" s="19" t="inlineStr">
        <is>
          <t>Operations &gt; Clients, policy, claims, open items, payments</t>
        </is>
      </c>
      <c r="D461" s="19" t="inlineStr">
        <is>
          <t>System Administrator (BrokerVerse)</t>
        </is>
      </c>
      <c r="E461" s="19" t="inlineStr">
        <is>
          <t>Every screen under Operations &gt; Clients, policy, claims, open items, payments opens without error</t>
        </is>
      </c>
      <c r="F461" s="19" t="inlineStr">
        <is>
          <t>Functional</t>
        </is>
      </c>
      <c r="G461" s="19" t="inlineStr">
        <is>
          <t>Medium</t>
        </is>
      </c>
      <c r="H461" s="19" t="inlineStr">
        <is>
          <t>Signed in as BrokerVerse on Chromium at 1440 x 900; UAT data set loaded.</t>
        </is>
      </c>
      <c r="I461" s="19" t="inlineStr">
        <is>
          <t>1. Open each screen of the group from the side menu: Home; Clients; Policy; Claims; Open Items; Payments.
2. On each screen wait for the data to load.
3. Check the page for error messages, failed requests (browser developer tools &gt; Network) and content cut off on the right.</t>
        </is>
      </c>
      <c r="J461" s="19" t="inlineStr">
        <is>
          <t>Administrator; UAT data set</t>
        </is>
      </c>
      <c r="K461" s="19" t="inlineStr">
        <is>
          <t>Each screen opens with its title and data; no error message, no failed request, nothing clipped.</t>
        </is>
      </c>
      <c r="L461" s="19" t="inlineStr">
        <is>
          <t>All 6 screens opened; no console error, no failed API call, no clipped content.</t>
        </is>
      </c>
      <c r="M461" s="19" t="inlineStr">
        <is>
          <t>Pass</t>
        </is>
      </c>
      <c r="N461" s="19" t="inlineStr"/>
      <c r="O461" s="19" t="inlineStr">
        <is>
          <t>iorta TechNXT QA</t>
        </is>
      </c>
      <c r="P461" s="19" t="inlineStr">
        <is>
          <t>03 October 2026</t>
        </is>
      </c>
      <c r="Q461" s="19" t="inlineStr"/>
      <c r="R461" s="19" t="inlineStr">
        <is>
          <t>Screen check of 03 October 2026 (Chromium, 1440 x 900): access, console errors, failed API calls and clipped content per menu screen, user System Administrator (BrokerVerse)</t>
        </is>
      </c>
    </row>
    <row r="462">
      <c r="A462" s="19" t="inlineStr">
        <is>
          <t>BV-SCR-003</t>
        </is>
      </c>
      <c r="B462" s="19" t="inlineStr">
        <is>
          <t>Screen checks (all menus)</t>
        </is>
      </c>
      <c r="C462" s="19" t="inlineStr">
        <is>
          <t>Operations &gt; Sales &amp; Marketing</t>
        </is>
      </c>
      <c r="D462" s="19" t="inlineStr">
        <is>
          <t>System Administrator (BrokerVerse)</t>
        </is>
      </c>
      <c r="E462" s="19" t="inlineStr">
        <is>
          <t>Every screen under Operations &gt; Sales &amp; Marketing opens without error</t>
        </is>
      </c>
      <c r="F462" s="19" t="inlineStr">
        <is>
          <t>Functional</t>
        </is>
      </c>
      <c r="G462" s="19" t="inlineStr">
        <is>
          <t>Medium</t>
        </is>
      </c>
      <c r="H462" s="19" t="inlineStr">
        <is>
          <t>Signed in as BrokerVerse on Chromium at 1440 x 900; UAT data set loaded.</t>
        </is>
      </c>
      <c r="I462" s="19" t="inlineStr">
        <is>
          <t>1. Open each screen of the group from the side menu: Sales &amp; Marketing &gt; Prospects; Sales &amp; Marketing &gt; Quick Quote; Sales &amp; Marketing &gt; Compare Insurers; Sales &amp; Marketing &gt; Request for Quotation; Sales &amp; Marketing &gt; Quotations; Sales &amp; Marketing &gt; Placement Slips.
2. On each screen wait for the data to load.
3. Check the page for error messages, failed requests (browser developer tools &gt; Network) and content cut off on the right.</t>
        </is>
      </c>
      <c r="J462" s="19" t="inlineStr">
        <is>
          <t>Administrator; UAT data set</t>
        </is>
      </c>
      <c r="K462" s="19" t="inlineStr">
        <is>
          <t>Each screen opens with its title and data; no error message, no failed request, nothing clipped.</t>
        </is>
      </c>
      <c r="L462" s="19" t="inlineStr">
        <is>
          <t>All 6 screens opened; no console error, no failed API call, no clipped content.</t>
        </is>
      </c>
      <c r="M462" s="19" t="inlineStr">
        <is>
          <t>Pass</t>
        </is>
      </c>
      <c r="N462" s="19" t="inlineStr"/>
      <c r="O462" s="19" t="inlineStr">
        <is>
          <t>iorta TechNXT QA</t>
        </is>
      </c>
      <c r="P462" s="19" t="inlineStr">
        <is>
          <t>03 October 2026</t>
        </is>
      </c>
      <c r="Q462" s="19" t="inlineStr"/>
      <c r="R462" s="19" t="inlineStr">
        <is>
          <t>Screen check of 03 October 2026 (Chromium, 1440 x 900): access, console errors, failed API calls and clipped content per menu screen, user System Administrator (BrokerVerse)</t>
        </is>
      </c>
    </row>
    <row r="463">
      <c r="A463" s="19" t="inlineStr">
        <is>
          <t>BV-SCR-004</t>
        </is>
      </c>
      <c r="B463" s="19" t="inlineStr">
        <is>
          <t>Screen checks (all menus)</t>
        </is>
      </c>
      <c r="C463" s="19" t="inlineStr">
        <is>
          <t>Operations &gt; Renewals</t>
        </is>
      </c>
      <c r="D463" s="19" t="inlineStr">
        <is>
          <t>System Administrator (BrokerVerse)</t>
        </is>
      </c>
      <c r="E463" s="19" t="inlineStr">
        <is>
          <t>Every screen under Operations &gt; Renewals opens without error</t>
        </is>
      </c>
      <c r="F463" s="19" t="inlineStr">
        <is>
          <t>Functional</t>
        </is>
      </c>
      <c r="G463" s="19" t="inlineStr">
        <is>
          <t>Medium</t>
        </is>
      </c>
      <c r="H463" s="19" t="inlineStr">
        <is>
          <t>Signed in as BrokerVerse on Chromium at 1440 x 900; UAT data set loaded.</t>
        </is>
      </c>
      <c r="I463" s="19" t="inlineStr">
        <is>
          <t>1. Open each screen of the group from the side menu: Renewals &gt; Renewal Policy; Renewals &gt; Renewal Batch; Renewals &gt; Renewal Queue; Renewals &gt; Retention Analytics; Renewals &gt; At-Risk Policies; Renewals &gt; Negotiations; Renewals &gt; Lapse Management; Renewals &gt; Performance.
2. On each screen wait for the data to load.
3. Check the page for error messages, failed requests (browser developer tools &gt; Network) and content cut off on the right.</t>
        </is>
      </c>
      <c r="J463" s="19" t="inlineStr">
        <is>
          <t>Administrator; UAT data set</t>
        </is>
      </c>
      <c r="K463" s="19" t="inlineStr">
        <is>
          <t>Each screen opens with its title and data; no error message, no failed request, nothing clipped.</t>
        </is>
      </c>
      <c r="L463" s="19" t="inlineStr">
        <is>
          <t>All 8 screens opened; no console error, no failed API call, no clipped content.</t>
        </is>
      </c>
      <c r="M463" s="19" t="inlineStr">
        <is>
          <t>Pass</t>
        </is>
      </c>
      <c r="N463" s="19" t="inlineStr"/>
      <c r="O463" s="19" t="inlineStr">
        <is>
          <t>iorta TechNXT QA</t>
        </is>
      </c>
      <c r="P463" s="19" t="inlineStr">
        <is>
          <t>03 October 2026</t>
        </is>
      </c>
      <c r="Q463" s="19" t="inlineStr"/>
      <c r="R463" s="19" t="inlineStr">
        <is>
          <t>Screen check of 03 October 2026 (Chromium, 1440 x 900): access, console errors, failed API calls and clipped content per menu screen, user System Administrator (BrokerVerse)</t>
        </is>
      </c>
    </row>
    <row r="464">
      <c r="A464" s="19" t="inlineStr">
        <is>
          <t>BV-SCR-005</t>
        </is>
      </c>
      <c r="B464" s="19" t="inlineStr">
        <is>
          <t>Screen checks (all menus)</t>
        </is>
      </c>
      <c r="C464" s="19" t="inlineStr">
        <is>
          <t>Accounts &gt; Receipts, collections, disbursement and journals</t>
        </is>
      </c>
      <c r="D464" s="19" t="inlineStr">
        <is>
          <t>System Administrator (BrokerVerse)</t>
        </is>
      </c>
      <c r="E464" s="19" t="inlineStr">
        <is>
          <t>Every screen under Accounts &gt; Receipts, collections, disbursement and journals opens without error</t>
        </is>
      </c>
      <c r="F464" s="19" t="inlineStr">
        <is>
          <t>Functional</t>
        </is>
      </c>
      <c r="G464" s="19" t="inlineStr">
        <is>
          <t>Medium</t>
        </is>
      </c>
      <c r="H464" s="19" t="inlineStr">
        <is>
          <t>Signed in as BrokerVerse on Chromium at 1440 x 900; UAT data set loaded.</t>
        </is>
      </c>
      <c r="I464" s="19" t="inlineStr">
        <is>
          <t>1. Open each screen of the group from the side menu: Receipts; Collections; Disbursement; Journal Voucher; Correction JV; Reversal JV; Open Entry Matching; Open Entry Unmatching; Accounting Query; All Clients Accounting.
2. On each screen wait for the data to load.
3. Check the page for error messages, failed requests (browser developer tools &gt; Network) and content cut off on the right.</t>
        </is>
      </c>
      <c r="J464" s="19" t="inlineStr">
        <is>
          <t>Administrator; UAT data set</t>
        </is>
      </c>
      <c r="K464" s="19" t="inlineStr">
        <is>
          <t>Each screen opens with its title and data; no error message, no failed request, nothing clipped.</t>
        </is>
      </c>
      <c r="L464" s="19" t="inlineStr">
        <is>
          <t>All 10 screens opened; no console error, no failed API call, no clipped content.</t>
        </is>
      </c>
      <c r="M464" s="19" t="inlineStr">
        <is>
          <t>Pass</t>
        </is>
      </c>
      <c r="N464" s="19" t="inlineStr"/>
      <c r="O464" s="19" t="inlineStr">
        <is>
          <t>iorta TechNXT QA</t>
        </is>
      </c>
      <c r="P464" s="19" t="inlineStr">
        <is>
          <t>03 October 2026</t>
        </is>
      </c>
      <c r="Q464" s="19" t="inlineStr"/>
      <c r="R464" s="19" t="inlineStr">
        <is>
          <t>Screen check of 03 October 2026 (Chromium, 1440 x 900): access, console errors, failed API calls and clipped content per menu screen, user System Administrator (BrokerVerse)</t>
        </is>
      </c>
    </row>
    <row r="465">
      <c r="A465" s="19" t="inlineStr">
        <is>
          <t>BV-SCR-006</t>
        </is>
      </c>
      <c r="B465" s="19" t="inlineStr">
        <is>
          <t>Screen checks (all menus)</t>
        </is>
      </c>
      <c r="C465" s="19" t="inlineStr">
        <is>
          <t>Accounts &gt; Credit Control</t>
        </is>
      </c>
      <c r="D465" s="19" t="inlineStr">
        <is>
          <t>System Administrator (BrokerVerse)</t>
        </is>
      </c>
      <c r="E465" s="19" t="inlineStr">
        <is>
          <t>Every screen under Accounts &gt; Credit Control opens without error</t>
        </is>
      </c>
      <c r="F465" s="19" t="inlineStr">
        <is>
          <t>Functional</t>
        </is>
      </c>
      <c r="G465" s="19" t="inlineStr">
        <is>
          <t>Medium</t>
        </is>
      </c>
      <c r="H465" s="19" t="inlineStr">
        <is>
          <t>Signed in as BrokerVerse on Chromium at 1440 x 900; UAT data set loaded.</t>
        </is>
      </c>
      <c r="I465" s="19" t="inlineStr">
        <is>
          <t>1. Open each screen of the group from the side menu: Credit Control &gt; Instalment Plans; Credit Control &gt; Premium Warranty Monitor; Credit Control &gt; Client Credit Limits; Credit Control &gt; Remittance Ageing.
2. On each screen wait for the data to load.
3. Check the page for error messages, failed requests (browser developer tools &gt; Network) and content cut off on the right.</t>
        </is>
      </c>
      <c r="J465" s="19" t="inlineStr">
        <is>
          <t>Administrator; UAT data set</t>
        </is>
      </c>
      <c r="K465" s="19" t="inlineStr">
        <is>
          <t>Each screen opens with its title and data; no error message, no failed request, nothing clipped.</t>
        </is>
      </c>
      <c r="L465" s="19" t="inlineStr">
        <is>
          <t>All 4 screens opened; no console error, no failed API call, no clipped content.</t>
        </is>
      </c>
      <c r="M465" s="19" t="inlineStr">
        <is>
          <t>Pass</t>
        </is>
      </c>
      <c r="N465" s="19" t="inlineStr"/>
      <c r="O465" s="19" t="inlineStr">
        <is>
          <t>iorta TechNXT QA</t>
        </is>
      </c>
      <c r="P465" s="19" t="inlineStr">
        <is>
          <t>03 October 2026</t>
        </is>
      </c>
      <c r="Q465" s="19" t="inlineStr"/>
      <c r="R465" s="19" t="inlineStr">
        <is>
          <t>Screen check of 03 October 2026 (Chromium, 1440 x 900): access, console errors, failed API calls and clipped content per menu screen, user System Administrator (BrokerVerse)</t>
        </is>
      </c>
    </row>
    <row r="466">
      <c r="A466" s="19" t="inlineStr">
        <is>
          <t>BV-SCR-007</t>
        </is>
      </c>
      <c r="B466" s="19" t="inlineStr">
        <is>
          <t>Screen checks (all menus)</t>
        </is>
      </c>
      <c r="C466" s="19" t="inlineStr">
        <is>
          <t>Accounts &gt; Remittance</t>
        </is>
      </c>
      <c r="D466" s="19" t="inlineStr">
        <is>
          <t>System Administrator (BrokerVerse)</t>
        </is>
      </c>
      <c r="E466" s="19" t="inlineStr">
        <is>
          <t>Every screen under Accounts &gt; Remittance opens without error</t>
        </is>
      </c>
      <c r="F466" s="19" t="inlineStr">
        <is>
          <t>Functional</t>
        </is>
      </c>
      <c r="G466" s="19" t="inlineStr">
        <is>
          <t>Medium</t>
        </is>
      </c>
      <c r="H466" s="19" t="inlineStr">
        <is>
          <t>Signed in as BrokerVerse on Chromium at 1440 x 900; UAT data set loaded.</t>
        </is>
      </c>
      <c r="I466" s="19" t="inlineStr">
        <is>
          <t>1. Open each screen of the group from the side menu: Remittance &gt; Automated Processing; Remittance &gt; Tracking; Remittance &gt; Statements; Remittance &gt; Settlement; Remittance &gt; Reconciliation; Remittance &gt; Bulk Processing; Remittance &gt; Scheduling; Remittance &gt; Electronic Transfer; Remittance &gt; Approval Workflow; Remittance &gt; Exception Management; Remittance &gt; Agency Bill Processing; Remittance &gt; Direct Bill Processing; Remittance &gt; Adjustments; Remittance &gt; Notifications; Remittance &gt; History; Remittance &gt; Analytics.
2. On each screen wait for the data to load.
3. Check the page for error messages, failed requests (browser developer tools &gt; Network) and content cut off on the right.</t>
        </is>
      </c>
      <c r="J466" s="19" t="inlineStr">
        <is>
          <t>Administrator; UAT data set</t>
        </is>
      </c>
      <c r="K466" s="19" t="inlineStr">
        <is>
          <t>Each screen opens with its title and data; no error message, no failed request, nothing clipped.</t>
        </is>
      </c>
      <c r="L466" s="19" t="inlineStr">
        <is>
          <t>All 16 screens opened; no console error, no failed API call, no clipped content.</t>
        </is>
      </c>
      <c r="M466" s="19" t="inlineStr">
        <is>
          <t>Pass</t>
        </is>
      </c>
      <c r="N466" s="19" t="inlineStr"/>
      <c r="O466" s="19" t="inlineStr">
        <is>
          <t>iorta TechNXT QA</t>
        </is>
      </c>
      <c r="P466" s="19" t="inlineStr">
        <is>
          <t>03 October 2026</t>
        </is>
      </c>
      <c r="Q466" s="19" t="inlineStr"/>
      <c r="R466" s="19" t="inlineStr">
        <is>
          <t>Screen check of 03 October 2026 (Chromium, 1440 x 900): access, console errors, failed API calls and clipped content per menu screen, user System Administrator (BrokerVerse)</t>
        </is>
      </c>
    </row>
    <row r="467">
      <c r="A467" s="19" t="inlineStr">
        <is>
          <t>BV-SCR-008</t>
        </is>
      </c>
      <c r="B467" s="19" t="inlineStr">
        <is>
          <t>Screen checks (all menus)</t>
        </is>
      </c>
      <c r="C467" s="19" t="inlineStr">
        <is>
          <t>Accounts &gt; Petty Cash</t>
        </is>
      </c>
      <c r="D467" s="19" t="inlineStr">
        <is>
          <t>System Administrator (BrokerVerse)</t>
        </is>
      </c>
      <c r="E467" s="19" t="inlineStr">
        <is>
          <t>Every screen under Accounts &gt; Petty Cash opens without error</t>
        </is>
      </c>
      <c r="F467" s="19" t="inlineStr">
        <is>
          <t>Functional</t>
        </is>
      </c>
      <c r="G467" s="19" t="inlineStr">
        <is>
          <t>Medium</t>
        </is>
      </c>
      <c r="H467" s="19" t="inlineStr">
        <is>
          <t>Signed in as BrokerVerse on Chromium at 1440 x 900; UAT data set loaded.</t>
        </is>
      </c>
      <c r="I467" s="19" t="inlineStr">
        <is>
          <t>1. Open each screen of the group from the side menu: Petty Cash &gt; Initiate; Petty Cash &gt; Request; Petty Cash &gt; Disbursement; Petty Cash &gt; Receipts; Petty Cash &gt; Replenish.
2. On each screen wait for the data to load.
3. Check the page for error messages, failed requests (browser developer tools &gt; Network) and content cut off on the right.</t>
        </is>
      </c>
      <c r="J467" s="19" t="inlineStr">
        <is>
          <t>Administrator; UAT data set</t>
        </is>
      </c>
      <c r="K467" s="19" t="inlineStr">
        <is>
          <t>Each screen opens with its title and data; no error message, no failed request, nothing clipped.</t>
        </is>
      </c>
      <c r="L467" s="19" t="inlineStr">
        <is>
          <t>All 5 screens opened; no console error, no failed API call, no clipped content.</t>
        </is>
      </c>
      <c r="M467" s="19" t="inlineStr">
        <is>
          <t>Pass</t>
        </is>
      </c>
      <c r="N467" s="19" t="inlineStr"/>
      <c r="O467" s="19" t="inlineStr">
        <is>
          <t>iorta TechNXT QA</t>
        </is>
      </c>
      <c r="P467" s="19" t="inlineStr">
        <is>
          <t>03 October 2026</t>
        </is>
      </c>
      <c r="Q467" s="19" t="inlineStr"/>
      <c r="R467" s="19" t="inlineStr">
        <is>
          <t>Screen check of 03 October 2026 (Chromium, 1440 x 900): access, console errors, failed API calls and clipped content per menu screen, user System Administrator (BrokerVerse)</t>
        </is>
      </c>
    </row>
    <row r="468">
      <c r="A468" s="19" t="inlineStr">
        <is>
          <t>BV-SCR-009</t>
        </is>
      </c>
      <c r="B468" s="19" t="inlineStr">
        <is>
          <t>Screen checks (all menus)</t>
        </is>
      </c>
      <c r="C468" s="19" t="inlineStr">
        <is>
          <t>Accounts &gt; Bank Reconciliation</t>
        </is>
      </c>
      <c r="D468" s="19" t="inlineStr">
        <is>
          <t>System Administrator (BrokerVerse)</t>
        </is>
      </c>
      <c r="E468" s="19" t="inlineStr">
        <is>
          <t>Every screen under Accounts &gt; Bank Reconciliation opens without error</t>
        </is>
      </c>
      <c r="F468" s="19" t="inlineStr">
        <is>
          <t>Functional</t>
        </is>
      </c>
      <c r="G468" s="19" t="inlineStr">
        <is>
          <t>Medium</t>
        </is>
      </c>
      <c r="H468" s="19" t="inlineStr">
        <is>
          <t>Signed in as BrokerVerse on Chromium at 1440 x 900; UAT data set loaded.</t>
        </is>
      </c>
      <c r="I468" s="19" t="inlineStr">
        <is>
          <t>1. Open each screen of the group from the side menu: Bank Reconciliation &gt; Reconciliation Workspace; Bank Reconciliation &gt; Reconciliations; Bank Reconciliation &gt; Reconciliation Statement Report; Bank Reconciliation &gt; Outstanding Cheques; Bank Reconciliation &gt; Deposits in Transit; Bank Reconciliation &gt; Unmatched Bank Lines; Bank Reconciliation &gt; Bank Book.
2. On each screen wait for the data to load.
3. Check the page for error messages, failed requests (browser developer tools &gt; Network) and content cut off on the right.</t>
        </is>
      </c>
      <c r="J468" s="19" t="inlineStr">
        <is>
          <t>Administrator; UAT data set</t>
        </is>
      </c>
      <c r="K468" s="19" t="inlineStr">
        <is>
          <t>Each screen opens with its title and data; no error message, no failed request, nothing clipped.</t>
        </is>
      </c>
      <c r="L468" s="19" t="inlineStr">
        <is>
          <t>All 7 screens opened; no console error, no failed API call, no clipped content.</t>
        </is>
      </c>
      <c r="M468" s="19" t="inlineStr">
        <is>
          <t>Pass</t>
        </is>
      </c>
      <c r="N468" s="19" t="inlineStr"/>
      <c r="O468" s="19" t="inlineStr">
        <is>
          <t>iorta TechNXT QA</t>
        </is>
      </c>
      <c r="P468" s="19" t="inlineStr">
        <is>
          <t>03 October 2026</t>
        </is>
      </c>
      <c r="Q468" s="19" t="inlineStr"/>
      <c r="R468" s="19" t="inlineStr">
        <is>
          <t>Screen check of 03 October 2026 (Chromium, 1440 x 900): access, console errors, failed API calls and clipped content per menu screen, user System Administrator (BrokerVerse)</t>
        </is>
      </c>
    </row>
    <row r="469">
      <c r="A469" s="19" t="inlineStr">
        <is>
          <t>BV-SCR-010</t>
        </is>
      </c>
      <c r="B469" s="19" t="inlineStr">
        <is>
          <t>Screen checks (all menus)</t>
        </is>
      </c>
      <c r="C469" s="19" t="inlineStr">
        <is>
          <t>Accounts &gt; Insurer Reconciliation</t>
        </is>
      </c>
      <c r="D469" s="19" t="inlineStr">
        <is>
          <t>System Administrator (BrokerVerse)</t>
        </is>
      </c>
      <c r="E469" s="19" t="inlineStr">
        <is>
          <t>Every screen under Accounts &gt; Insurer Reconciliation opens without error</t>
        </is>
      </c>
      <c r="F469" s="19" t="inlineStr">
        <is>
          <t>Functional</t>
        </is>
      </c>
      <c r="G469" s="19" t="inlineStr">
        <is>
          <t>Medium</t>
        </is>
      </c>
      <c r="H469" s="19" t="inlineStr">
        <is>
          <t>Signed in as BrokerVerse on Chromium at 1440 x 900; UAT data set loaded.</t>
        </is>
      </c>
      <c r="I469" s="19" t="inlineStr">
        <is>
          <t>1. Open each screen of the group from the side menu: Insurer Reconciliation &gt; Insurer Statements.
2. On each screen wait for the data to load.
3. Check the page for error messages, failed requests (browser developer tools &gt; Network) and content cut off on the right.</t>
        </is>
      </c>
      <c r="J469" s="19" t="inlineStr">
        <is>
          <t>Administrator; UAT data set</t>
        </is>
      </c>
      <c r="K469" s="19" t="inlineStr">
        <is>
          <t>Each screen opens with its title and data; no error message, no failed request, nothing clipped.</t>
        </is>
      </c>
      <c r="L469" s="19" t="inlineStr">
        <is>
          <t>All 1 screens opened; no console error, no failed API call, no clipped content.</t>
        </is>
      </c>
      <c r="M469" s="19" t="inlineStr">
        <is>
          <t>Pass</t>
        </is>
      </c>
      <c r="N469" s="19" t="inlineStr"/>
      <c r="O469" s="19" t="inlineStr">
        <is>
          <t>iorta TechNXT QA</t>
        </is>
      </c>
      <c r="P469" s="19" t="inlineStr">
        <is>
          <t>03 October 2026</t>
        </is>
      </c>
      <c r="Q469" s="19" t="inlineStr"/>
      <c r="R469" s="19" t="inlineStr">
        <is>
          <t>Screen check of 03 October 2026 (Chromium, 1440 x 900): access, console errors, failed API calls and clipped content per menu screen, user System Administrator (BrokerVerse)</t>
        </is>
      </c>
    </row>
    <row r="470">
      <c r="A470" s="19" t="inlineStr">
        <is>
          <t>BV-SCR-011</t>
        </is>
      </c>
      <c r="B470" s="19" t="inlineStr">
        <is>
          <t>Screen checks (all menus)</t>
        </is>
      </c>
      <c r="C470" s="19" t="inlineStr">
        <is>
          <t>Accounts &gt; Tax</t>
        </is>
      </c>
      <c r="D470" s="19" t="inlineStr">
        <is>
          <t>System Administrator (BrokerVerse)</t>
        </is>
      </c>
      <c r="E470" s="19" t="inlineStr">
        <is>
          <t>Every screen under Accounts &gt; Tax opens without error</t>
        </is>
      </c>
      <c r="F470" s="19" t="inlineStr">
        <is>
          <t>Functional</t>
        </is>
      </c>
      <c r="G470" s="19" t="inlineStr">
        <is>
          <t>Medium</t>
        </is>
      </c>
      <c r="H470" s="19" t="inlineStr">
        <is>
          <t>Signed in as BrokerVerse on Chromium at 1440 x 900; UAT data set loaded.</t>
        </is>
      </c>
      <c r="I470" s="19" t="inlineStr">
        <is>
          <t>1. Open each screen of the group from the side menu: Tax &gt; BIR Form 2307; Tax &gt; VAT Summary; Tax &gt; SAWT; Tax &gt; QAP; Tax &gt; SLSP Sales; Tax &gt; SLSP Purchases.
2. On each screen wait for the data to load.
3. Check the page for error messages, failed requests (browser developer tools &gt; Network) and content cut off on the right.</t>
        </is>
      </c>
      <c r="J470" s="19" t="inlineStr">
        <is>
          <t>Administrator; UAT data set</t>
        </is>
      </c>
      <c r="K470" s="19" t="inlineStr">
        <is>
          <t>Each screen opens with its title and data; no error message, no failed request, nothing clipped.</t>
        </is>
      </c>
      <c r="L470" s="19" t="inlineStr">
        <is>
          <t>All 6 screens opened; no console error, no failed API call, no clipped content.</t>
        </is>
      </c>
      <c r="M470" s="19" t="inlineStr">
        <is>
          <t>Pass</t>
        </is>
      </c>
      <c r="N470" s="19" t="inlineStr"/>
      <c r="O470" s="19" t="inlineStr">
        <is>
          <t>iorta TechNXT QA</t>
        </is>
      </c>
      <c r="P470" s="19" t="inlineStr">
        <is>
          <t>03 October 2026</t>
        </is>
      </c>
      <c r="Q470" s="19" t="inlineStr"/>
      <c r="R470" s="19" t="inlineStr">
        <is>
          <t>Screen check of 03 October 2026 (Chromium, 1440 x 900): access, console errors, failed API calls and clipped content per menu screen, user System Administrator (BrokerVerse)</t>
        </is>
      </c>
    </row>
    <row r="471">
      <c r="A471" s="19" t="inlineStr">
        <is>
          <t>BV-SCR-012</t>
        </is>
      </c>
      <c r="B471" s="19" t="inlineStr">
        <is>
          <t>Screen checks (all menus)</t>
        </is>
      </c>
      <c r="C471" s="19" t="inlineStr">
        <is>
          <t>Accounts &gt; Period End</t>
        </is>
      </c>
      <c r="D471" s="19" t="inlineStr">
        <is>
          <t>System Administrator (BrokerVerse)</t>
        </is>
      </c>
      <c r="E471" s="19" t="inlineStr">
        <is>
          <t>Every screen under Accounts &gt; Period End opens without error</t>
        </is>
      </c>
      <c r="F471" s="19" t="inlineStr">
        <is>
          <t>Functional</t>
        </is>
      </c>
      <c r="G471" s="19" t="inlineStr">
        <is>
          <t>Medium</t>
        </is>
      </c>
      <c r="H471" s="19" t="inlineStr">
        <is>
          <t>Signed in as BrokerVerse on Chromium at 1440 x 900; UAT data set loaded.</t>
        </is>
      </c>
      <c r="I471" s="19" t="inlineStr">
        <is>
          <t>1. Open each screen of the group from the side menu: Period End &gt; Period Management; Period End &gt; Month-End Close; Period End &gt; Year-End Close; Period End &gt; Recurring Journals; Period End &gt; Financial Statements.
2. On each screen wait for the data to load.
3. Check the page for error messages, failed requests (browser developer tools &gt; Network) and content cut off on the right.</t>
        </is>
      </c>
      <c r="J471" s="19" t="inlineStr">
        <is>
          <t>Administrator; UAT data set</t>
        </is>
      </c>
      <c r="K471" s="19" t="inlineStr">
        <is>
          <t>Each screen opens with its title and data; no error message, no failed request, nothing clipped.</t>
        </is>
      </c>
      <c r="L471" s="19" t="inlineStr">
        <is>
          <t>All 5 screens opened; no console error, no failed API call, no clipped content.</t>
        </is>
      </c>
      <c r="M471" s="19" t="inlineStr">
        <is>
          <t>Pass</t>
        </is>
      </c>
      <c r="N471" s="19" t="inlineStr"/>
      <c r="O471" s="19" t="inlineStr">
        <is>
          <t>iorta TechNXT QA</t>
        </is>
      </c>
      <c r="P471" s="19" t="inlineStr">
        <is>
          <t>03 October 2026</t>
        </is>
      </c>
      <c r="Q471" s="19" t="inlineStr"/>
      <c r="R471" s="19" t="inlineStr">
        <is>
          <t>Screen check of 03 October 2026 (Chromium, 1440 x 900): access, console errors, failed API calls and clipped content per menu screen, user System Administrator (BrokerVerse)</t>
        </is>
      </c>
    </row>
    <row r="472">
      <c r="A472" s="19" t="inlineStr">
        <is>
          <t>BV-SCR-013</t>
        </is>
      </c>
      <c r="B472" s="19" t="inlineStr">
        <is>
          <t>Screen checks (all menus)</t>
        </is>
      </c>
      <c r="C472" s="19" t="inlineStr">
        <is>
          <t>Accounts &gt; Incentive</t>
        </is>
      </c>
      <c r="D472" s="19" t="inlineStr">
        <is>
          <t>System Administrator (BrokerVerse)</t>
        </is>
      </c>
      <c r="E472" s="19" t="inlineStr">
        <is>
          <t>Every screen under Accounts &gt; Incentive opens without error</t>
        </is>
      </c>
      <c r="F472" s="19" t="inlineStr">
        <is>
          <t>Functional</t>
        </is>
      </c>
      <c r="G472" s="19" t="inlineStr">
        <is>
          <t>Medium</t>
        </is>
      </c>
      <c r="H472" s="19" t="inlineStr">
        <is>
          <t>Signed in as BrokerVerse on Chromium at 1440 x 900; UAT data set loaded.</t>
        </is>
      </c>
      <c r="I472" s="19" t="inlineStr">
        <is>
          <t>1. Open each screen of the group from the side menu: Incentive &gt; My Programs; Incentive &gt; Calculations; Incentive &gt; Approvals; Incentive &gt; Statement.
2. On each screen wait for the data to load.
3. Check the page for error messages, failed requests (browser developer tools &gt; Network) and content cut off on the right.</t>
        </is>
      </c>
      <c r="J472" s="19" t="inlineStr">
        <is>
          <t>Administrator; UAT data set</t>
        </is>
      </c>
      <c r="K472" s="19" t="inlineStr">
        <is>
          <t>Each screen opens with its title and data; no error message, no failed request, nothing clipped.</t>
        </is>
      </c>
      <c r="L472" s="19" t="inlineStr">
        <is>
          <t>4 of 4 screens opened. Findings: Accounts &gt; Incentive &gt; My Programs: 1 element(s) clipped at 1440 px</t>
        </is>
      </c>
      <c r="M472" s="19" t="inlineStr">
        <is>
          <t>Pass</t>
        </is>
      </c>
      <c r="N472" s="19" t="inlineStr">
        <is>
          <t>BV-OBS-008</t>
        </is>
      </c>
      <c r="O472" s="19" t="inlineStr">
        <is>
          <t>iorta TechNXT QA</t>
        </is>
      </c>
      <c r="P472" s="19" t="inlineStr">
        <is>
          <t>03 October 2026</t>
        </is>
      </c>
      <c r="Q472" s="19" t="inlineStr"/>
      <c r="R472" s="19" t="inlineStr">
        <is>
          <t>Screen check of 03 October 2026 (Chromium, 1440 x 900): access, console errors, failed API calls and clipped content per menu screen, user System Administrator (BrokerVerse)</t>
        </is>
      </c>
    </row>
    <row r="473">
      <c r="A473" s="19" t="inlineStr">
        <is>
          <t>BV-SCR-014</t>
        </is>
      </c>
      <c r="B473" s="19" t="inlineStr">
        <is>
          <t>Screen checks (all menus)</t>
        </is>
      </c>
      <c r="C473" s="19" t="inlineStr">
        <is>
          <t>Commission</t>
        </is>
      </c>
      <c r="D473" s="19" t="inlineStr">
        <is>
          <t>System Administrator (BrokerVerse)</t>
        </is>
      </c>
      <c r="E473" s="19" t="inlineStr">
        <is>
          <t>Every screen under Commission opens without error</t>
        </is>
      </c>
      <c r="F473" s="19" t="inlineStr">
        <is>
          <t>Functional</t>
        </is>
      </c>
      <c r="G473" s="19" t="inlineStr">
        <is>
          <t>Medium</t>
        </is>
      </c>
      <c r="H473" s="19" t="inlineStr">
        <is>
          <t>Signed in as BrokerVerse on Chromium at 1440 x 900; UAT data set loaded.</t>
        </is>
      </c>
      <c r="I473" s="19" t="inlineStr">
        <is>
          <t>1. Open each screen of the group from the side menu: Commission Dashboard; Agents/Referrer Accounts.
2. On each screen wait for the data to load.
3. Check the page for error messages, failed requests (browser developer tools &gt; Network) and content cut off on the right.</t>
        </is>
      </c>
      <c r="J473" s="19" t="inlineStr">
        <is>
          <t>Administrator; UAT data set</t>
        </is>
      </c>
      <c r="K473" s="19" t="inlineStr">
        <is>
          <t>Each screen opens with its title and data; no error message, no failed request, nothing clipped.</t>
        </is>
      </c>
      <c r="L473" s="19" t="inlineStr">
        <is>
          <t>All 2 screens opened; no console error, no failed API call, no clipped content.</t>
        </is>
      </c>
      <c r="M473" s="19" t="inlineStr">
        <is>
          <t>Pass</t>
        </is>
      </c>
      <c r="N473" s="19" t="inlineStr"/>
      <c r="O473" s="19" t="inlineStr">
        <is>
          <t>iorta TechNXT QA</t>
        </is>
      </c>
      <c r="P473" s="19" t="inlineStr">
        <is>
          <t>03 October 2026</t>
        </is>
      </c>
      <c r="Q473" s="19" t="inlineStr"/>
      <c r="R473" s="19" t="inlineStr">
        <is>
          <t>Screen check of 03 October 2026 (Chromium, 1440 x 900): access, console errors, failed API calls and clipped content per menu screen, user System Administrator (BrokerVerse)</t>
        </is>
      </c>
    </row>
    <row r="474">
      <c r="A474" s="19" t="inlineStr">
        <is>
          <t>BV-SCR-015</t>
        </is>
      </c>
      <c r="B474" s="19" t="inlineStr">
        <is>
          <t>Screen checks (all menus)</t>
        </is>
      </c>
      <c r="C474" s="19" t="inlineStr">
        <is>
          <t>Reinsurance</t>
        </is>
      </c>
      <c r="D474" s="19" t="inlineStr">
        <is>
          <t>System Administrator (BrokerVerse)</t>
        </is>
      </c>
      <c r="E474" s="19" t="inlineStr">
        <is>
          <t>Every screen under Reinsurance opens without error</t>
        </is>
      </c>
      <c r="F474" s="19" t="inlineStr">
        <is>
          <t>Functional</t>
        </is>
      </c>
      <c r="G474" s="19" t="inlineStr">
        <is>
          <t>Medium</t>
        </is>
      </c>
      <c r="H474" s="19" t="inlineStr">
        <is>
          <t>Signed in as BrokerVerse on Chromium at 1440 x 900; UAT data set loaded.</t>
        </is>
      </c>
      <c r="I474" s="19" t="inlineStr">
        <is>
          <t>1. Open each screen of the group from the side menu: Treaty Dashboard; Cession Tracking; Claims Recovery; Reconciliation; Analytics.
2. On each screen wait for the data to load.
3. Check the page for error messages, failed requests (browser developer tools &gt; Network) and content cut off on the right.</t>
        </is>
      </c>
      <c r="J474" s="19" t="inlineStr">
        <is>
          <t>Administrator; UAT data set</t>
        </is>
      </c>
      <c r="K474" s="19" t="inlineStr">
        <is>
          <t>Each screen opens with its title and data; no error message, no failed request, nothing clipped.</t>
        </is>
      </c>
      <c r="L474" s="19" t="inlineStr">
        <is>
          <t>All 5 screens opened; no console error, no failed API call, no clipped content.</t>
        </is>
      </c>
      <c r="M474" s="19" t="inlineStr">
        <is>
          <t>Pass</t>
        </is>
      </c>
      <c r="N474" s="19" t="inlineStr"/>
      <c r="O474" s="19" t="inlineStr">
        <is>
          <t>iorta TechNXT QA</t>
        </is>
      </c>
      <c r="P474" s="19" t="inlineStr">
        <is>
          <t>03 October 2026</t>
        </is>
      </c>
      <c r="Q474" s="19" t="inlineStr"/>
      <c r="R474" s="19" t="inlineStr">
        <is>
          <t>Screen check of 03 October 2026 (Chromium, 1440 x 900): access, console errors, failed API calls and clipped content per menu screen, user System Administrator (BrokerVerse)</t>
        </is>
      </c>
    </row>
    <row r="475">
      <c r="A475" s="19" t="inlineStr">
        <is>
          <t>BV-SCR-016</t>
        </is>
      </c>
      <c r="B475" s="19" t="inlineStr">
        <is>
          <t>Screen checks (all menus)</t>
        </is>
      </c>
      <c r="C475" s="19" t="inlineStr">
        <is>
          <t>Reports</t>
        </is>
      </c>
      <c r="D475" s="19" t="inlineStr">
        <is>
          <t>System Administrator (BrokerVerse)</t>
        </is>
      </c>
      <c r="E475" s="19" t="inlineStr">
        <is>
          <t>Every screen under Reports opens without error</t>
        </is>
      </c>
      <c r="F475" s="19" t="inlineStr">
        <is>
          <t>Functional</t>
        </is>
      </c>
      <c r="G475" s="19" t="inlineStr">
        <is>
          <t>Medium</t>
        </is>
      </c>
      <c r="H475" s="19" t="inlineStr">
        <is>
          <t>Signed in as BrokerVerse on Chromium at 1440 x 900; UAT data set loaded.</t>
        </is>
      </c>
      <c r="I475" s="19" t="inlineStr">
        <is>
          <t>1. Open each screen of the group from the side menu: All Reports; Operational Reports &gt; Production; Operational Reports &gt; Claims; Operational Reports &gt; Renewal; Operational Reports &gt; Remittance; Operational Reports &gt; Broker Commission; Financial Reports &gt; SOA/Premium Receivable; Financial Reports &gt; Collection Report; Financial Reports &gt; Payables; Financial Reports &gt; Journal; Financial Reports &gt; Trial Balance; Financial Reports &gt; Income Statement; Financial Reports &gt; Balance Sheet; Financial Reports &gt; Trial Balance Movement; Financial Reports &gt; General Ledger Detail; Financial Reports &gt; Aged Payables to Insurers; Financial Reports &gt; Month-End Close Status; Financial Reports &gt; Co-insurance Register; Financial Reports &gt; Due to Insurers by Co-insurer.
2. On each screen wait for the data to load.
3. Check the page for error messages, failed requests (browser developer tools &gt; Network) and content cut off on the right.</t>
        </is>
      </c>
      <c r="J475" s="19" t="inlineStr">
        <is>
          <t>Administrator; UAT data set</t>
        </is>
      </c>
      <c r="K475" s="19" t="inlineStr">
        <is>
          <t>Each screen opens with its title and data; no error message, no failed request, nothing clipped.</t>
        </is>
      </c>
      <c r="L475" s="19" t="inlineStr">
        <is>
          <t>All 19 screens opened; no console error, no failed API call, no clipped content.</t>
        </is>
      </c>
      <c r="M475" s="19" t="inlineStr">
        <is>
          <t>Pass</t>
        </is>
      </c>
      <c r="N475" s="19" t="inlineStr"/>
      <c r="O475" s="19" t="inlineStr">
        <is>
          <t>iorta TechNXT QA</t>
        </is>
      </c>
      <c r="P475" s="19" t="inlineStr">
        <is>
          <t>03 October 2026</t>
        </is>
      </c>
      <c r="Q475" s="19" t="inlineStr"/>
      <c r="R475" s="19" t="inlineStr">
        <is>
          <t>Screen check of 03 October 2026 (Chromium, 1440 x 900): access, console errors, failed API calls and clipped content per menu screen, user System Administrator (BrokerVerse)</t>
        </is>
      </c>
    </row>
    <row r="476">
      <c r="A476" s="19" t="inlineStr">
        <is>
          <t>BV-SCR-017</t>
        </is>
      </c>
      <c r="B476" s="19" t="inlineStr">
        <is>
          <t>Screen checks (all menus)</t>
        </is>
      </c>
      <c r="C476" s="19" t="inlineStr">
        <is>
          <t>Master &gt; Configuration and audit</t>
        </is>
      </c>
      <c r="D476" s="19" t="inlineStr">
        <is>
          <t>System Administrator (BrokerVerse)</t>
        </is>
      </c>
      <c r="E476" s="19" t="inlineStr">
        <is>
          <t>Every screen under Master &gt; Configuration and audit opens without error</t>
        </is>
      </c>
      <c r="F476" s="19" t="inlineStr">
        <is>
          <t>Functional</t>
        </is>
      </c>
      <c r="G476" s="19" t="inlineStr">
        <is>
          <t>Medium</t>
        </is>
      </c>
      <c r="H476" s="19" t="inlineStr">
        <is>
          <t>Signed in as BrokerVerse on Chromium at 1440 x 900; UAT data set loaded.</t>
        </is>
      </c>
      <c r="I476" s="19" t="inlineStr">
        <is>
          <t>1. Open each screen of the group from the side menu: System Settings; Configuration; Document Numbering; Schedules; Audit Trail; E-mail Outbox.
2. On each screen wait for the data to load.
3. Check the page for error messages, failed requests (browser developer tools &gt; Network) and content cut off on the right.</t>
        </is>
      </c>
      <c r="J476" s="19" t="inlineStr">
        <is>
          <t>Administrator; UAT data set</t>
        </is>
      </c>
      <c r="K476" s="19" t="inlineStr">
        <is>
          <t>Each screen opens with its title and data; no error message, no failed request, nothing clipped.</t>
        </is>
      </c>
      <c r="L476" s="19" t="inlineStr">
        <is>
          <t>All 6 screens opened; no console error, no failed API call, no clipped content.</t>
        </is>
      </c>
      <c r="M476" s="19" t="inlineStr">
        <is>
          <t>Pass</t>
        </is>
      </c>
      <c r="N476" s="19" t="inlineStr"/>
      <c r="O476" s="19" t="inlineStr">
        <is>
          <t>iorta TechNXT QA</t>
        </is>
      </c>
      <c r="P476" s="19" t="inlineStr">
        <is>
          <t>03 October 2026</t>
        </is>
      </c>
      <c r="Q476" s="19" t="inlineStr"/>
      <c r="R476" s="19" t="inlineStr">
        <is>
          <t>Screen check of 03 October 2026 (Chromium, 1440 x 900): access, console errors, failed API calls and clipped content per menu screen, user System Administrator (BrokerVerse)</t>
        </is>
      </c>
    </row>
    <row r="477">
      <c r="A477" s="19" t="inlineStr">
        <is>
          <t>BV-SCR-018</t>
        </is>
      </c>
      <c r="B477" s="19" t="inlineStr">
        <is>
          <t>Screen checks (all menus)</t>
        </is>
      </c>
      <c r="C477" s="19" t="inlineStr">
        <is>
          <t>Master &gt; Generals</t>
        </is>
      </c>
      <c r="D477" s="19" t="inlineStr">
        <is>
          <t>System Administrator (BrokerVerse)</t>
        </is>
      </c>
      <c r="E477" s="19" t="inlineStr">
        <is>
          <t>Every screen under Master &gt; Generals opens without error</t>
        </is>
      </c>
      <c r="F477" s="19" t="inlineStr">
        <is>
          <t>Functional</t>
        </is>
      </c>
      <c r="G477" s="19" t="inlineStr">
        <is>
          <t>Medium</t>
        </is>
      </c>
      <c r="H477" s="19" t="inlineStr">
        <is>
          <t>Signed in as BrokerVerse on Chromium at 1440 x 900; UAT data set loaded.</t>
        </is>
      </c>
      <c r="I477" s="19" t="inlineStr">
        <is>
          <t>1. Open each screen of the group from the side menu: Generals &gt; Organization; Generals &gt; Organization &gt; Company; Generals &gt; Organization &gt; Branch; Generals &gt; Insurance Management &gt; Insurance Company; Generals &gt; Insurance Management &gt; Line of Business; Generals &gt; Insurance Management &gt; Product; Generals &gt; Insurance Management &gt; Cover; Generals &gt; Insurance Management &gt; Signatories; Generals &gt; Insurance Management &gt; Vehicle; Generals &gt; Location &gt; Country; Generals &gt; Location &gt; State; Generals &gt; Location &gt; City; Generals &gt; Commission; Generals &gt; Employee Management &gt; Hierarchy; Generals &gt; Employee Management &gt; Designation; Generals &gt; Employee Management &gt; Employee; Generals &gt; User Management &gt; User; Generals &gt; User Management &gt; Role; Generals &gt; User Management &gt; User Access Matrix; Generals &gt; User Management &gt; Role Permissions; Generals &gt; User Management &gt; Authority Matrix; Generals &gt; User Management &gt; Delegations; Generals &gt; User Management &gt; Segregation of Duties; Generals &gt; User Management &gt; Access Reviews.
2. On each screen wait for the data to load.
3. Check the page for error messages, failed requests (browser developer tools &gt; Network) and content cut off on the right.</t>
        </is>
      </c>
      <c r="J477" s="19" t="inlineStr">
        <is>
          <t>Administrator; UAT data set</t>
        </is>
      </c>
      <c r="K477" s="19" t="inlineStr">
        <is>
          <t>Each screen opens with its title and data; no error message, no failed request, nothing clipped.</t>
        </is>
      </c>
      <c r="L477" s="19" t="inlineStr">
        <is>
          <t>24 of 24 screens opened. Findings: Master &gt; Generals &gt; Organization: opens "Page not found" (menu group address, no screen)</t>
        </is>
      </c>
      <c r="M477" s="19" t="inlineStr">
        <is>
          <t>Pass</t>
        </is>
      </c>
      <c r="N477" s="19" t="inlineStr">
        <is>
          <t>BV-OBS-007</t>
        </is>
      </c>
      <c r="O477" s="19" t="inlineStr">
        <is>
          <t>iorta TechNXT QA</t>
        </is>
      </c>
      <c r="P477" s="19" t="inlineStr">
        <is>
          <t>03 October 2026</t>
        </is>
      </c>
      <c r="Q477" s="19" t="inlineStr"/>
      <c r="R477" s="19" t="inlineStr">
        <is>
          <t>Screen check of 03 October 2026 (Chromium, 1440 x 900): access, console errors, failed API calls and clipped content per menu screen, user System Administrator (BrokerVerse)</t>
        </is>
      </c>
    </row>
    <row r="478">
      <c r="A478" s="19" t="inlineStr">
        <is>
          <t>BV-SCR-019</t>
        </is>
      </c>
      <c r="B478" s="19" t="inlineStr">
        <is>
          <t>Screen checks (all menus)</t>
        </is>
      </c>
      <c r="C478" s="19" t="inlineStr">
        <is>
          <t>Master &gt; Finance</t>
        </is>
      </c>
      <c r="D478" s="19" t="inlineStr">
        <is>
          <t>System Administrator (BrokerVerse)</t>
        </is>
      </c>
      <c r="E478" s="19" t="inlineStr">
        <is>
          <t>Every screen under Master &gt; Finance opens without error</t>
        </is>
      </c>
      <c r="F478" s="19" t="inlineStr">
        <is>
          <t>Functional</t>
        </is>
      </c>
      <c r="G478" s="19" t="inlineStr">
        <is>
          <t>Medium</t>
        </is>
      </c>
      <c r="H478" s="19" t="inlineStr">
        <is>
          <t>Signed in as BrokerVerse on Chromium at 1440 x 900; UAT data set loaded.</t>
        </is>
      </c>
      <c r="I478" s="19" t="inlineStr">
        <is>
          <t>1. Open each screen of the group from the side menu: Finance &gt; Account Determination; Finance &gt; Posting Rules; Finance &gt; Configuration Approvals; Finance &gt; Accounting Flow; Finance &gt; Package Bundles; Finance &gt; Insurer Rate Tables; Finance &gt; Premium Taxes &amp; LGU Rates; Finance &gt; Payment Gateways; Finance &gt; Commission Rate Matrix; Finance &gt; Transaction Code; Finance &gt; Currency; Finance &gt; Exchange Rate; Finance &gt; Bank; Finance &gt; Account Category; Finance &gt; Main Account; Finance &gt; Sub Account; Finance &gt; Taxation; Finance &gt; Close Checklist; Finance &gt; Bank Statement Formats; Finance &gt; Bank Transaction Types; Finance &gt; Insurer Statement Formats; Finance &gt; Petty Cash; Finance &gt; Remittance Master; Finance &gt; Incentive Programs; Finance &gt; Reinsurance Treaty.
2. On each screen wait for the data to load.
3. Check the page for error messages, failed requests (browser developer tools &gt; Network) and content cut off on the right.</t>
        </is>
      </c>
      <c r="J478" s="19" t="inlineStr">
        <is>
          <t>Administrator; UAT data set</t>
        </is>
      </c>
      <c r="K478" s="19" t="inlineStr">
        <is>
          <t>Each screen opens with its title and data; no error message, no failed request, nothing clipped.</t>
        </is>
      </c>
      <c r="L478" s="19" t="inlineStr">
        <is>
          <t>All 25 screens opened; no console error, no failed API call, no clipped content.</t>
        </is>
      </c>
      <c r="M478" s="19" t="inlineStr">
        <is>
          <t>Pass</t>
        </is>
      </c>
      <c r="N478" s="19" t="inlineStr"/>
      <c r="O478" s="19" t="inlineStr">
        <is>
          <t>iorta TechNXT QA</t>
        </is>
      </c>
      <c r="P478" s="19" t="inlineStr">
        <is>
          <t>03 October 2026</t>
        </is>
      </c>
      <c r="Q478" s="19" t="inlineStr"/>
      <c r="R478" s="19" t="inlineStr">
        <is>
          <t>Screen check of 03 October 2026 (Chromium, 1440 x 900): access, console errors, failed API calls and clipped content per menu screen, user System Administrator (BrokerVerse)</t>
        </is>
      </c>
    </row>
    <row r="479">
      <c r="A479" s="19" t="inlineStr">
        <is>
          <t>BV-SCR-020</t>
        </is>
      </c>
      <c r="B479" s="19" t="inlineStr">
        <is>
          <t>Screen checks (all menus)</t>
        </is>
      </c>
      <c r="C479" s="19" t="inlineStr">
        <is>
          <t>Product Configurator</t>
        </is>
      </c>
      <c r="D479" s="19" t="inlineStr">
        <is>
          <t>System Administrator (BrokerVerse)</t>
        </is>
      </c>
      <c r="E479" s="19" t="inlineStr">
        <is>
          <t>Every screen under Product Configurator opens without error</t>
        </is>
      </c>
      <c r="F479" s="19" t="inlineStr">
        <is>
          <t>Functional</t>
        </is>
      </c>
      <c r="G479" s="19" t="inlineStr">
        <is>
          <t>Medium</t>
        </is>
      </c>
      <c r="H479" s="19" t="inlineStr">
        <is>
          <t>Signed in as BrokerVerse on Chromium at 1440 x 900; UAT data set loaded.</t>
        </is>
      </c>
      <c r="I479" s="19" t="inlineStr">
        <is>
          <t>1. Open each screen of the group from the side menu: Dashboard; Product Templates; Coverage Builder; Rating Engine; Acceptance Rules; Document Manager; Approval Workflows; Market Mapping; Risk Mapping; Product Analytics.
2. On each screen wait for the data to load.
3. Check the page for error messages, failed requests (browser developer tools &gt; Network) and content cut off on the right.</t>
        </is>
      </c>
      <c r="J479" s="19" t="inlineStr">
        <is>
          <t>Administrator; UAT data set</t>
        </is>
      </c>
      <c r="K479" s="19" t="inlineStr">
        <is>
          <t>Each screen opens with its title and data; no error message, no failed request, nothing clipped.</t>
        </is>
      </c>
      <c r="L479" s="19" t="inlineStr">
        <is>
          <t>All 10 screens opened; no console error, no failed API call, no clipped content.</t>
        </is>
      </c>
      <c r="M479" s="19" t="inlineStr">
        <is>
          <t>Pass</t>
        </is>
      </c>
      <c r="N479" s="19" t="inlineStr"/>
      <c r="O479" s="19" t="inlineStr">
        <is>
          <t>iorta TechNXT QA</t>
        </is>
      </c>
      <c r="P479" s="19" t="inlineStr">
        <is>
          <t>03 October 2026</t>
        </is>
      </c>
      <c r="Q479" s="19" t="inlineStr"/>
      <c r="R479" s="19" t="inlineStr">
        <is>
          <t>Screen check of 03 October 2026 (Chromium, 1440 x 900): access, console errors, failed API calls and clipped content per menu screen, user System Administrator (BrokerVerse)</t>
        </is>
      </c>
    </row>
    <row r="480">
      <c r="A480" s="19" t="inlineStr">
        <is>
          <t>BV-RBA-001</t>
        </is>
      </c>
      <c r="B480" s="19" t="inlineStr">
        <is>
          <t>Role-based access</t>
        </is>
      </c>
      <c r="C480" s="19" t="inlineStr">
        <is>
          <t>Administrator</t>
        </is>
      </c>
      <c r="D480" s="19" t="inlineStr">
        <is>
          <t>System Administrator (BrokerVerse)</t>
        </is>
      </c>
      <c r="E480" s="19" t="inlineStr">
        <is>
          <t>System Administrator sees every menu and opens every screen</t>
        </is>
      </c>
      <c r="F480" s="19" t="inlineStr">
        <is>
          <t>Role access</t>
        </is>
      </c>
      <c r="G480" s="19" t="inlineStr">
        <is>
          <t>High</t>
        </is>
      </c>
      <c r="H480" s="19" t="inlineStr">
        <is>
          <t>Signed in as BrokerVerse.</t>
        </is>
      </c>
      <c r="I480" s="19" t="inlineStr">
        <is>
          <t>1. Expand every top-level menu.
2. Open each menu item.</t>
        </is>
      </c>
      <c r="J480" s="19" t="inlineStr">
        <is>
          <t>BrokerVerse</t>
        </is>
      </c>
      <c r="K480" s="19" t="inlineStr">
        <is>
          <t>All 173 menu screens available.</t>
        </is>
      </c>
      <c r="L480" s="19" t="inlineStr">
        <is>
          <t>173 of 173 screens opened.</t>
        </is>
      </c>
      <c r="M480" s="19" t="inlineStr">
        <is>
          <t>Pass</t>
        </is>
      </c>
      <c r="N480" s="19" t="inlineStr"/>
      <c r="O480" s="19" t="inlineStr">
        <is>
          <t>iorta TechNXT QA</t>
        </is>
      </c>
      <c r="P480" s="19" t="inlineStr">
        <is>
          <t>03 October 2026</t>
        </is>
      </c>
      <c r="Q480" s="19" t="inlineStr"/>
      <c r="R480" s="19" t="inlineStr">
        <is>
          <t>brokerverse/src/utils/menuPermissions.test.js :: gives administrators everything [passed]
Screen check of 03 October 2026 (Chromium, 1440 x 900): access, console errors, failed API calls and clipped content per menu screen, user System Administrator (BrokerVerse)</t>
        </is>
      </c>
    </row>
    <row r="481">
      <c r="A481" s="19" t="inlineStr">
        <is>
          <t>BV-RBA-002</t>
        </is>
      </c>
      <c r="B481" s="19" t="inlineStr">
        <is>
          <t>Role-based access</t>
        </is>
      </c>
      <c r="C481" s="19" t="inlineStr">
        <is>
          <t>Sales / Account Executive</t>
        </is>
      </c>
      <c r="D481" s="19" t="inlineStr">
        <is>
          <t>Sales / Account Executive (maria.rivera)</t>
        </is>
      </c>
      <c r="E481" s="19" t="inlineStr">
        <is>
          <t>Sales / Account Executive: menu and screens match the role grants</t>
        </is>
      </c>
      <c r="F481" s="19" t="inlineStr">
        <is>
          <t>Role access</t>
        </is>
      </c>
      <c r="G481" s="19" t="inlineStr">
        <is>
          <t>High</t>
        </is>
      </c>
      <c r="H481" s="19" t="inlineStr">
        <is>
          <t>User maria.rivera with role sales only; UAT data set.</t>
        </is>
      </c>
      <c r="I481" s="19" t="inlineStr">
        <is>
          <t>1. Sign in as maria.rivera.
2. Expand every top-level menu and note the items shown.
3. Open each item.</t>
        </is>
      </c>
      <c r="J481" s="19" t="inlineStr">
        <is>
          <t>maria.rivera; expected screens: Dashboard &gt; Executive Dashboard; Dashboard &gt; Sales Dashboard; Operations &gt; Home; Operations &gt; Sales &amp; Marketing &gt; Prospects; Operations &gt; Sales &amp; Marketing &gt; Quick Quote; Operations &gt; Sales &amp; Marketing &gt; Compare Insurers;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Commission &gt; Commission Dashboard;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t>
        </is>
      </c>
      <c r="K481" s="19" t="inlineStr">
        <is>
          <t>The menu shows only the granted items and each opens.</t>
        </is>
      </c>
      <c r="L481" s="19" t="inlineStr">
        <is>
          <t>31 screens available, exactly the role grants.</t>
        </is>
      </c>
      <c r="M481" s="19" t="inlineStr">
        <is>
          <t>Pass</t>
        </is>
      </c>
      <c r="N481" s="19" t="inlineStr"/>
      <c r="O481" s="19" t="inlineStr">
        <is>
          <t>iorta TechNXT QA</t>
        </is>
      </c>
      <c r="P481" s="19" t="inlineStr">
        <is>
          <t>03 October 2026</t>
        </is>
      </c>
      <c r="Q481" s="19" t="inlineStr">
        <is>
          <t>The address of the menu group Master &gt; Generals &gt; Organization opens "Page not found" for every user (BV-OBS-007); no data is shown.</t>
        </is>
      </c>
      <c r="R481" s="19" t="inlineStr">
        <is>
          <t>brokerverse/src/utils/menuPermissions.test.js :: allows the role's own screens and the home route [passed]
Screen check of 03 October 2026 (Chromium, 1440 x 900): access, console errors, failed API calls and clipped content per menu screen, user Sales / Account Executive (maria.rivera)</t>
        </is>
      </c>
    </row>
    <row r="482">
      <c r="A482" s="19" t="inlineStr">
        <is>
          <t>BV-RBA-003</t>
        </is>
      </c>
      <c r="B482" s="19" t="inlineStr">
        <is>
          <t>Role-based access</t>
        </is>
      </c>
      <c r="C482" s="19" t="inlineStr">
        <is>
          <t>Sales / Account Executive</t>
        </is>
      </c>
      <c r="D482" s="19" t="inlineStr">
        <is>
          <t>Sales / Account Executive (maria.rivera)</t>
        </is>
      </c>
      <c r="E482" s="19" t="inlineStr">
        <is>
          <t>Sales / Account Executive: a typed address outside the role is not opened</t>
        </is>
      </c>
      <c r="F482" s="19" t="inlineStr">
        <is>
          <t>Negative</t>
        </is>
      </c>
      <c r="G482" s="19" t="inlineStr">
        <is>
          <t>High</t>
        </is>
      </c>
      <c r="H482" s="19" t="inlineStr">
        <is>
          <t>Signed in as maria.rivera.</t>
        </is>
      </c>
      <c r="I482" s="19" t="inlineStr">
        <is>
          <t>1. Type in the address bar each screen address that is not in the role menu (for example /master/generals/usermanagement/user and /accounts/period-end/close).
2. Press Enter and read the page.</t>
        </is>
      </c>
      <c r="J482" s="19" t="inlineStr">
        <is>
          <t>142 addresses outside the role</t>
        </is>
      </c>
      <c r="K482" s="19" t="inlineStr">
        <is>
          <t>Each address is refused (Not authorised or back to the home screen); the API refuses the same data.</t>
        </is>
      </c>
      <c r="L482" s="19" t="inlineStr">
        <is>
          <t>All 142 addresses outside the role were refused.</t>
        </is>
      </c>
      <c r="M482" s="19" t="inlineStr">
        <is>
          <t>Pass</t>
        </is>
      </c>
      <c r="N482" s="19" t="inlineStr"/>
      <c r="O482" s="19" t="inlineStr">
        <is>
          <t>iorta TechNXT QA</t>
        </is>
      </c>
      <c r="P482" s="19" t="inlineStr">
        <is>
          <t>03 October 2026</t>
        </is>
      </c>
      <c r="Q482" s="19" t="inlineStr">
        <is>
          <t>Master &gt; Generals &gt; Organization shows "Page not found" for every user and is not counted as opened (BV-OBS-007).</t>
        </is>
      </c>
      <c r="R482"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Sales / Account Executive (maria.rivera)</t>
        </is>
      </c>
    </row>
    <row r="483">
      <c r="A483" s="19" t="inlineStr">
        <is>
          <t>BV-RBA-004</t>
        </is>
      </c>
      <c r="B483" s="19" t="inlineStr">
        <is>
          <t>Role-based access</t>
        </is>
      </c>
      <c r="C483" s="19" t="inlineStr">
        <is>
          <t>Sales / Account Executive</t>
        </is>
      </c>
      <c r="D483" s="19" t="inlineStr">
        <is>
          <t>Sales / Account Executive (maria.rivera)</t>
        </is>
      </c>
      <c r="E483" s="19" t="inlineStr">
        <is>
          <t>Sales / Account Executive: every permitted screen loads its data without error</t>
        </is>
      </c>
      <c r="F483" s="19" t="inlineStr">
        <is>
          <t>Role access</t>
        </is>
      </c>
      <c r="G483" s="19" t="inlineStr">
        <is>
          <t>High</t>
        </is>
      </c>
      <c r="H483" s="19" t="inlineStr">
        <is>
          <t>Signed in as maria.rivera.</t>
        </is>
      </c>
      <c r="I483" s="19" t="inlineStr">
        <is>
          <t>1. Open each screen of the role menu.
2. Watch for error messages and failed requests (browser developer tools &gt; Network).</t>
        </is>
      </c>
      <c r="J483" s="19" t="inlineStr">
        <is>
          <t>maria.rivera</t>
        </is>
      </c>
      <c r="K483" s="19" t="inlineStr">
        <is>
          <t>Each screen loads its data; no request is refused for lack of permission; no error message.</t>
        </is>
      </c>
      <c r="L483" s="19" t="inlineStr">
        <is>
          <t>All 31 screens opened with no console error, no failed API call and nothing clipped.</t>
        </is>
      </c>
      <c r="M483" s="19" t="inlineStr">
        <is>
          <t>Pass</t>
        </is>
      </c>
      <c r="N483" s="19" t="inlineStr"/>
      <c r="O483" s="19" t="inlineStr">
        <is>
          <t>iorta TechNXT QA</t>
        </is>
      </c>
      <c r="P483" s="19" t="inlineStr">
        <is>
          <t>03 October 2026</t>
        </is>
      </c>
      <c r="Q483" s="19" t="inlineStr"/>
      <c r="R483" s="19" t="inlineStr">
        <is>
          <t>Screen check of 03 October 2026 (Chromium, 1440 x 900): access, console errors, failed API calls and clipped content per menu screen, user Sales / Account Executive (maria.rivera)</t>
        </is>
      </c>
    </row>
    <row r="484">
      <c r="A484" s="19" t="inlineStr">
        <is>
          <t>BV-RBA-005</t>
        </is>
      </c>
      <c r="B484" s="19" t="inlineStr">
        <is>
          <t>Role-based access</t>
        </is>
      </c>
      <c r="C484" s="19" t="inlineStr">
        <is>
          <t>Processing Team</t>
        </is>
      </c>
      <c r="D484" s="19" t="inlineStr">
        <is>
          <t>Processing Team (jose.bernardo)</t>
        </is>
      </c>
      <c r="E484" s="19" t="inlineStr">
        <is>
          <t>Processing Team: menu and screens match the role grants</t>
        </is>
      </c>
      <c r="F484" s="19" t="inlineStr">
        <is>
          <t>Role access</t>
        </is>
      </c>
      <c r="G484" s="19" t="inlineStr">
        <is>
          <t>High</t>
        </is>
      </c>
      <c r="H484" s="19" t="inlineStr">
        <is>
          <t>User jose.bernardo with role processing only; UAT data set.</t>
        </is>
      </c>
      <c r="I484" s="19" t="inlineStr">
        <is>
          <t>1. Sign in as jose.bernardo.
2. Expand every top-level menu and note the items shown.
3. Open each item.</t>
        </is>
      </c>
      <c r="J484" s="19" t="inlineStr">
        <is>
          <t>jose.bernardo; expected screens: Dashboard &gt; Executive Dashboard; Dashboard &gt; Processing Dashboard; Operations &gt; Home; Operations &gt; Sales &amp; Marketing &gt; Prospects;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Reinsurance &gt; Treaty Dashboard; Reinsurance &gt; Cession Tracking; Reinsurance &gt; Claims Recovery; Reinsurance &gt; Reconciliation; Reinsurance &gt; Analytics;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 Product Configurator &gt; Coverage Builder; Product Configurator &gt; Rating Engine; Product Configurator &gt; Acceptance Rules; Product Configurator &gt; Document Manager; Product Configurator &gt; Approval Workflows; Product Configurator &gt; Market Mapping; Product Configurator &gt; Risk Mapping; Product Configurator &gt; Product Analytics</t>
        </is>
      </c>
      <c r="K484" s="19" t="inlineStr">
        <is>
          <t>The menu shows only the granted items and each opens.</t>
        </is>
      </c>
      <c r="L484" s="19" t="inlineStr">
        <is>
          <t>41 screens available, exactly the role grants.</t>
        </is>
      </c>
      <c r="M484" s="19" t="inlineStr">
        <is>
          <t>Pass</t>
        </is>
      </c>
      <c r="N484" s="19" t="inlineStr"/>
      <c r="O484" s="19" t="inlineStr">
        <is>
          <t>iorta TechNXT QA</t>
        </is>
      </c>
      <c r="P484" s="19" t="inlineStr">
        <is>
          <t>03 October 2026</t>
        </is>
      </c>
      <c r="Q484" s="19" t="inlineStr">
        <is>
          <t>The address of the menu group Master &gt; Generals &gt; Organization opens "Page not found" for every user (BV-OBS-007); no data is shown.</t>
        </is>
      </c>
      <c r="R484" s="19" t="inlineStr">
        <is>
          <t>brokerverse/src/utils/menuPermissions.test.js :: allows the role's own screens and the home route [passed]
Screen check of 03 October 2026 (Chromium, 1440 x 900): access, console errors, failed API calls and clipped content per menu screen, user Processing Team (jose.bernardo)</t>
        </is>
      </c>
    </row>
    <row r="485">
      <c r="A485" s="19" t="inlineStr">
        <is>
          <t>BV-RBA-006</t>
        </is>
      </c>
      <c r="B485" s="19" t="inlineStr">
        <is>
          <t>Role-based access</t>
        </is>
      </c>
      <c r="C485" s="19" t="inlineStr">
        <is>
          <t>Processing Team</t>
        </is>
      </c>
      <c r="D485" s="19" t="inlineStr">
        <is>
          <t>Processing Team (jose.bernardo)</t>
        </is>
      </c>
      <c r="E485" s="19" t="inlineStr">
        <is>
          <t>Processing Team: a typed address outside the role is not opened</t>
        </is>
      </c>
      <c r="F485" s="19" t="inlineStr">
        <is>
          <t>Negative</t>
        </is>
      </c>
      <c r="G485" s="19" t="inlineStr">
        <is>
          <t>High</t>
        </is>
      </c>
      <c r="H485" s="19" t="inlineStr">
        <is>
          <t>Signed in as jose.bernardo.</t>
        </is>
      </c>
      <c r="I485" s="19" t="inlineStr">
        <is>
          <t>1. Type in the address bar each screen address that is not in the role menu (for example /master/generals/usermanagement/user and /accounts/period-end/close).
2. Press Enter and read the page.</t>
        </is>
      </c>
      <c r="J485" s="19" t="inlineStr">
        <is>
          <t>132 addresses outside the role</t>
        </is>
      </c>
      <c r="K485" s="19" t="inlineStr">
        <is>
          <t>Each address is refused (Not authorised or back to the home screen); the API refuses the same data.</t>
        </is>
      </c>
      <c r="L485" s="19" t="inlineStr">
        <is>
          <t>All 132 addresses outside the role were refused.</t>
        </is>
      </c>
      <c r="M485" s="19" t="inlineStr">
        <is>
          <t>Pass</t>
        </is>
      </c>
      <c r="N485" s="19" t="inlineStr"/>
      <c r="O485" s="19" t="inlineStr">
        <is>
          <t>iorta TechNXT QA</t>
        </is>
      </c>
      <c r="P485" s="19" t="inlineStr">
        <is>
          <t>03 October 2026</t>
        </is>
      </c>
      <c r="Q485" s="19" t="inlineStr">
        <is>
          <t>Master &gt; Generals &gt; Organization shows "Page not found" for every user and is not counted as opened (BV-OBS-007).</t>
        </is>
      </c>
      <c r="R485"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Processing Team (jose.bernardo)</t>
        </is>
      </c>
    </row>
    <row r="486">
      <c r="A486" s="19" t="inlineStr">
        <is>
          <t>BV-RBA-007</t>
        </is>
      </c>
      <c r="B486" s="19" t="inlineStr">
        <is>
          <t>Role-based access</t>
        </is>
      </c>
      <c r="C486" s="19" t="inlineStr">
        <is>
          <t>Processing Team</t>
        </is>
      </c>
      <c r="D486" s="19" t="inlineStr">
        <is>
          <t>Processing Team (jose.bernardo)</t>
        </is>
      </c>
      <c r="E486" s="19" t="inlineStr">
        <is>
          <t>Processing Team: every permitted screen loads its data without error</t>
        </is>
      </c>
      <c r="F486" s="19" t="inlineStr">
        <is>
          <t>Role access</t>
        </is>
      </c>
      <c r="G486" s="19" t="inlineStr">
        <is>
          <t>High</t>
        </is>
      </c>
      <c r="H486" s="19" t="inlineStr">
        <is>
          <t>Signed in as jose.bernardo.</t>
        </is>
      </c>
      <c r="I486" s="19" t="inlineStr">
        <is>
          <t>1. Open each screen of the role menu.
2. Watch for error messages and failed requests (browser developer tools &gt; Network).</t>
        </is>
      </c>
      <c r="J486" s="19" t="inlineStr">
        <is>
          <t>jose.bernardo</t>
        </is>
      </c>
      <c r="K486" s="19" t="inlineStr">
        <is>
          <t>Each screen loads its data; no request is refused for lack of permission; no error message.</t>
        </is>
      </c>
      <c r="L486" s="19" t="inlineStr">
        <is>
          <t>All 41 screens opened with no console error, no failed API call and nothing clipped.</t>
        </is>
      </c>
      <c r="M486" s="19" t="inlineStr">
        <is>
          <t>Pass</t>
        </is>
      </c>
      <c r="N486" s="19" t="inlineStr"/>
      <c r="O486" s="19" t="inlineStr">
        <is>
          <t>iorta TechNXT QA</t>
        </is>
      </c>
      <c r="P486" s="19" t="inlineStr">
        <is>
          <t>03 October 2026</t>
        </is>
      </c>
      <c r="Q486" s="19" t="inlineStr"/>
      <c r="R486" s="19" t="inlineStr">
        <is>
          <t>Screen check of 03 October 2026 (Chromium, 1440 x 900): access, console errors, failed API calls and clipped content per menu screen, user Processing Team (jose.bernardo)</t>
        </is>
      </c>
    </row>
    <row r="487">
      <c r="A487" s="19" t="inlineStr">
        <is>
          <t>BV-RBA-008</t>
        </is>
      </c>
      <c r="B487" s="19" t="inlineStr">
        <is>
          <t>Role-based access</t>
        </is>
      </c>
      <c r="C487" s="19" t="inlineStr">
        <is>
          <t>Operations / Client Service</t>
        </is>
      </c>
      <c r="D487" s="19" t="inlineStr">
        <is>
          <t>Operations / Client Service (ana.buenaventura)</t>
        </is>
      </c>
      <c r="E487" s="19" t="inlineStr">
        <is>
          <t>Operations / Client Service: menu and screens match the role grants</t>
        </is>
      </c>
      <c r="F487" s="19" t="inlineStr">
        <is>
          <t>Role access</t>
        </is>
      </c>
      <c r="G487" s="19" t="inlineStr">
        <is>
          <t>High</t>
        </is>
      </c>
      <c r="H487" s="19" t="inlineStr">
        <is>
          <t>User ana.buenaventura with role operations only; UAT data set.</t>
        </is>
      </c>
      <c r="I487" s="19" t="inlineStr">
        <is>
          <t>1. Sign in as ana.buenaventura.
2. Expand every top-level menu and note the items shown.
3. Open each item.</t>
        </is>
      </c>
      <c r="J487" s="19" t="inlineStr">
        <is>
          <t>ana.buenaventura; expected screens: Dashboard &gt; Executive Dashboard; Operations &gt; Home; Operations &gt; Sales &amp; Marketing &gt; Prospects; Operations &gt; Sales &amp; Marketing &gt; Quick Quote; Operations &gt; Sales &amp; Marketing &gt; Compare Insurers; Operations &gt; Sales &amp; Marketing &gt; Request for Quotation; Operations &gt; Sales &amp; Marketing &gt; Quotations; Operations &gt; Sales &amp; Marketing &gt; Placement Slips; Operations &gt; Clients; Operations &gt; Policy; Operations &gt; Claims; Operations &gt; Renewals &gt; Renewal Policy; Operations &gt; Renewals &gt; Renewal Batch; Operations &gt; Renewals &gt; Renewal Queue; Operations &gt; Renewals &gt; Retention Analytics; Operations &gt; Renewals &gt; At-Risk Policies; Operations &gt; Renewals &gt; Negotiations; Operations &gt; Renewals &gt; Lapse Management; Operations &gt; Renewals &gt; Performance; Operations &gt; Open Items; Operations &gt; Payments; Reports &gt; All Reports; Reports &gt; Operational Reports &gt; Production; Reports &gt; Operational Reports &gt; Claims; Reports &gt; Operational Reports &gt; Renewal; Reports &gt; Operational Reports &gt; Remittance; Reports &gt; Operational Reports &gt; Broker Commission; Product Configurator &gt; Dashboard; Product Configurator &gt; Product Templates</t>
        </is>
      </c>
      <c r="K487" s="19" t="inlineStr">
        <is>
          <t>The menu shows only the granted items and each opens.</t>
        </is>
      </c>
      <c r="L487" s="19" t="inlineStr">
        <is>
          <t>29 screens available, exactly the role grants.</t>
        </is>
      </c>
      <c r="M487" s="19" t="inlineStr">
        <is>
          <t>Pass</t>
        </is>
      </c>
      <c r="N487" s="19" t="inlineStr"/>
      <c r="O487" s="19" t="inlineStr">
        <is>
          <t>iorta TechNXT QA</t>
        </is>
      </c>
      <c r="P487" s="19" t="inlineStr">
        <is>
          <t>03 October 2026</t>
        </is>
      </c>
      <c r="Q487" s="19" t="inlineStr">
        <is>
          <t>The address of the menu group Master &gt; Generals &gt; Organization opens "Page not found" for every user (BV-OBS-007); no data is shown.</t>
        </is>
      </c>
      <c r="R487" s="19" t="inlineStr">
        <is>
          <t>brokerverse/src/utils/menuPermissions.test.js :: allows the role's own screens and the home route [passed]
Screen check of 03 October 2026 (Chromium, 1440 x 900): access, console errors, failed API calls and clipped content per menu screen, user Operations / Client Service (ana.buenaventura)</t>
        </is>
      </c>
    </row>
    <row r="488">
      <c r="A488" s="19" t="inlineStr">
        <is>
          <t>BV-RBA-009</t>
        </is>
      </c>
      <c r="B488" s="19" t="inlineStr">
        <is>
          <t>Role-based access</t>
        </is>
      </c>
      <c r="C488" s="19" t="inlineStr">
        <is>
          <t>Operations / Client Service</t>
        </is>
      </c>
      <c r="D488" s="19" t="inlineStr">
        <is>
          <t>Operations / Client Service (ana.buenaventura)</t>
        </is>
      </c>
      <c r="E488" s="19" t="inlineStr">
        <is>
          <t>Operations / Client Service: a typed address outside the role is not opened</t>
        </is>
      </c>
      <c r="F488" s="19" t="inlineStr">
        <is>
          <t>Negative</t>
        </is>
      </c>
      <c r="G488" s="19" t="inlineStr">
        <is>
          <t>High</t>
        </is>
      </c>
      <c r="H488" s="19" t="inlineStr">
        <is>
          <t>Signed in as ana.buenaventura.</t>
        </is>
      </c>
      <c r="I488" s="19" t="inlineStr">
        <is>
          <t>1. Type in the address bar each screen address that is not in the role menu (for example /master/generals/usermanagement/user and /accounts/period-end/close).
2. Press Enter and read the page.</t>
        </is>
      </c>
      <c r="J488" s="19" t="inlineStr">
        <is>
          <t>144 addresses outside the role</t>
        </is>
      </c>
      <c r="K488" s="19" t="inlineStr">
        <is>
          <t>Each address is refused (Not authorised or back to the home screen); the API refuses the same data.</t>
        </is>
      </c>
      <c r="L488" s="19" t="inlineStr">
        <is>
          <t>All 144 addresses outside the role were refused.</t>
        </is>
      </c>
      <c r="M488" s="19" t="inlineStr">
        <is>
          <t>Pass</t>
        </is>
      </c>
      <c r="N488" s="19" t="inlineStr"/>
      <c r="O488" s="19" t="inlineStr">
        <is>
          <t>iorta TechNXT QA</t>
        </is>
      </c>
      <c r="P488" s="19" t="inlineStr">
        <is>
          <t>03 October 2026</t>
        </is>
      </c>
      <c r="Q488" s="19" t="inlineStr">
        <is>
          <t>Master &gt; Generals &gt; Organization shows "Page not found" for every user and is not counted as opened (BV-OBS-007).</t>
        </is>
      </c>
      <c r="R488"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Operations / Client Service (ana.buenaventura)</t>
        </is>
      </c>
    </row>
    <row r="489">
      <c r="A489" s="19" t="inlineStr">
        <is>
          <t>BV-RBA-010</t>
        </is>
      </c>
      <c r="B489" s="19" t="inlineStr">
        <is>
          <t>Role-based access</t>
        </is>
      </c>
      <c r="C489" s="19" t="inlineStr">
        <is>
          <t>Operations / Client Service</t>
        </is>
      </c>
      <c r="D489" s="19" t="inlineStr">
        <is>
          <t>Operations / Client Service (ana.buenaventura)</t>
        </is>
      </c>
      <c r="E489" s="19" t="inlineStr">
        <is>
          <t>Operations / Client Service: every permitted screen loads its data without error</t>
        </is>
      </c>
      <c r="F489" s="19" t="inlineStr">
        <is>
          <t>Role access</t>
        </is>
      </c>
      <c r="G489" s="19" t="inlineStr">
        <is>
          <t>High</t>
        </is>
      </c>
      <c r="H489" s="19" t="inlineStr">
        <is>
          <t>Signed in as ana.buenaventura.</t>
        </is>
      </c>
      <c r="I489" s="19" t="inlineStr">
        <is>
          <t>1. Open each screen of the role menu.
2. Watch for error messages and failed requests (browser developer tools &gt; Network).</t>
        </is>
      </c>
      <c r="J489" s="19" t="inlineStr">
        <is>
          <t>ana.buenaventura</t>
        </is>
      </c>
      <c r="K489" s="19" t="inlineStr">
        <is>
          <t>Each screen loads its data; no request is refused for lack of permission; no error message.</t>
        </is>
      </c>
      <c r="L489" s="19" t="inlineStr">
        <is>
          <t>All 29 screens opened with no console error, no failed API call and nothing clipped.</t>
        </is>
      </c>
      <c r="M489" s="19" t="inlineStr">
        <is>
          <t>Pass</t>
        </is>
      </c>
      <c r="N489" s="19" t="inlineStr"/>
      <c r="O489" s="19" t="inlineStr">
        <is>
          <t>iorta TechNXT QA</t>
        </is>
      </c>
      <c r="P489" s="19" t="inlineStr">
        <is>
          <t>03 October 2026</t>
        </is>
      </c>
      <c r="Q489" s="19" t="inlineStr"/>
      <c r="R489" s="19" t="inlineStr">
        <is>
          <t>Screen check of 03 October 2026 (Chromium, 1440 x 900): access, console errors, failed API calls and clipped content per menu screen, user Operations / Client Service (ana.buenaventura)</t>
        </is>
      </c>
    </row>
    <row r="490">
      <c r="A490" s="19" t="inlineStr">
        <is>
          <t>BV-RBA-011</t>
        </is>
      </c>
      <c r="B490" s="19" t="inlineStr">
        <is>
          <t>Role-based access</t>
        </is>
      </c>
      <c r="C490" s="19" t="inlineStr">
        <is>
          <t>Claims</t>
        </is>
      </c>
      <c r="D490" s="19" t="inlineStr">
        <is>
          <t>Claims Officer (carlo.estrada)</t>
        </is>
      </c>
      <c r="E490" s="19" t="inlineStr">
        <is>
          <t>Claims: menu and screens match the role grants</t>
        </is>
      </c>
      <c r="F490" s="19" t="inlineStr">
        <is>
          <t>Role access</t>
        </is>
      </c>
      <c r="G490" s="19" t="inlineStr">
        <is>
          <t>High</t>
        </is>
      </c>
      <c r="H490" s="19" t="inlineStr">
        <is>
          <t>User carlo.estrada with role claims only; UAT data set.</t>
        </is>
      </c>
      <c r="I490" s="19" t="inlineStr">
        <is>
          <t>1. Sign in as carlo.estrada.
2. Expand every top-level menu and note the items shown.
3. Open each item.</t>
        </is>
      </c>
      <c r="J490" s="19" t="inlineStr">
        <is>
          <t>carlo.estrada; expected screens: Dashboard &gt; Claims Dashboard; Operations &gt; Home; Operations &gt; Clients; Operations &gt; Policy; Operations &gt; Claims; Reinsurance &gt; Claims Recovery; Reports &gt; All Reports; Reports &gt; Operational Reports &gt; Production; Reports &gt; Operational Reports &gt; Claims; Reports &gt; Operational Reports &gt; Renewal; Reports &gt; Operational Reports &gt; Remittance; Reports &gt; Operational Reports &gt; Broker Commission</t>
        </is>
      </c>
      <c r="K490" s="19" t="inlineStr">
        <is>
          <t>The menu shows only the granted items and each opens.</t>
        </is>
      </c>
      <c r="L490" s="19" t="inlineStr">
        <is>
          <t>12 screens available, exactly the role grants.</t>
        </is>
      </c>
      <c r="M490" s="19" t="inlineStr">
        <is>
          <t>Pass</t>
        </is>
      </c>
      <c r="N490" s="19" t="inlineStr"/>
      <c r="O490" s="19" t="inlineStr">
        <is>
          <t>iorta TechNXT QA</t>
        </is>
      </c>
      <c r="P490" s="19" t="inlineStr">
        <is>
          <t>03 October 2026</t>
        </is>
      </c>
      <c r="Q490" s="19" t="inlineStr">
        <is>
          <t>The address of the menu group Master &gt; Generals &gt; Organization opens "Page not found" for every user (BV-OBS-007); no data is shown.</t>
        </is>
      </c>
      <c r="R490" s="19" t="inlineStr">
        <is>
          <t>brokerverse/src/utils/menuPermissions.test.js :: allows the role's own screens and the home route [passed]
Screen check of 03 October 2026 (Chromium, 1440 x 900): access, console errors, failed API calls and clipped content per menu screen, user Claims Officer (carlo.estrada)</t>
        </is>
      </c>
    </row>
    <row r="491">
      <c r="A491" s="19" t="inlineStr">
        <is>
          <t>BV-RBA-012</t>
        </is>
      </c>
      <c r="B491" s="19" t="inlineStr">
        <is>
          <t>Role-based access</t>
        </is>
      </c>
      <c r="C491" s="19" t="inlineStr">
        <is>
          <t>Claims</t>
        </is>
      </c>
      <c r="D491" s="19" t="inlineStr">
        <is>
          <t>Claims Officer (carlo.estrada)</t>
        </is>
      </c>
      <c r="E491" s="19" t="inlineStr">
        <is>
          <t>Claims: a typed address outside the role is not opened</t>
        </is>
      </c>
      <c r="F491" s="19" t="inlineStr">
        <is>
          <t>Negative</t>
        </is>
      </c>
      <c r="G491" s="19" t="inlineStr">
        <is>
          <t>High</t>
        </is>
      </c>
      <c r="H491" s="19" t="inlineStr">
        <is>
          <t>Signed in as carlo.estrada.</t>
        </is>
      </c>
      <c r="I491" s="19" t="inlineStr">
        <is>
          <t>1. Type in the address bar each screen address that is not in the role menu (for example /master/generals/usermanagement/user and /accounts/period-end/close).
2. Press Enter and read the page.</t>
        </is>
      </c>
      <c r="J491" s="19" t="inlineStr">
        <is>
          <t>161 addresses outside the role</t>
        </is>
      </c>
      <c r="K491" s="19" t="inlineStr">
        <is>
          <t>Each address is refused (Not authorised or back to the home screen); the API refuses the same data.</t>
        </is>
      </c>
      <c r="L491" s="19" t="inlineStr">
        <is>
          <t>All 161 addresses outside the role were refused.</t>
        </is>
      </c>
      <c r="M491" s="19" t="inlineStr">
        <is>
          <t>Pass</t>
        </is>
      </c>
      <c r="N491" s="19" t="inlineStr"/>
      <c r="O491" s="19" t="inlineStr">
        <is>
          <t>iorta TechNXT QA</t>
        </is>
      </c>
      <c r="P491" s="19" t="inlineStr">
        <is>
          <t>03 October 2026</t>
        </is>
      </c>
      <c r="Q491" s="19" t="inlineStr">
        <is>
          <t>Master &gt; Generals &gt; Organization shows "Page not found" for every user and is not counted as opened (BV-OBS-007).</t>
        </is>
      </c>
      <c r="R491"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Claims Officer (carlo.estrada)</t>
        </is>
      </c>
    </row>
    <row r="492">
      <c r="A492" s="19" t="inlineStr">
        <is>
          <t>BV-RBA-013</t>
        </is>
      </c>
      <c r="B492" s="19" t="inlineStr">
        <is>
          <t>Role-based access</t>
        </is>
      </c>
      <c r="C492" s="19" t="inlineStr">
        <is>
          <t>Claims</t>
        </is>
      </c>
      <c r="D492" s="19" t="inlineStr">
        <is>
          <t>Claims Officer (carlo.estrada)</t>
        </is>
      </c>
      <c r="E492" s="19" t="inlineStr">
        <is>
          <t>Claims: every permitted screen loads its data without error</t>
        </is>
      </c>
      <c r="F492" s="19" t="inlineStr">
        <is>
          <t>Role access</t>
        </is>
      </c>
      <c r="G492" s="19" t="inlineStr">
        <is>
          <t>High</t>
        </is>
      </c>
      <c r="H492" s="19" t="inlineStr">
        <is>
          <t>Signed in as carlo.estrada.</t>
        </is>
      </c>
      <c r="I492" s="19" t="inlineStr">
        <is>
          <t>1. Open each screen of the role menu.
2. Watch for error messages and failed requests (browser developer tools &gt; Network).</t>
        </is>
      </c>
      <c r="J492" s="19" t="inlineStr">
        <is>
          <t>carlo.estrada</t>
        </is>
      </c>
      <c r="K492" s="19" t="inlineStr">
        <is>
          <t>Each screen loads its data; no request is refused for lack of permission; no error message.</t>
        </is>
      </c>
      <c r="L492" s="19" t="inlineStr">
        <is>
          <t>All 12 screens opened with no console error, no failed API call and nothing clipped.</t>
        </is>
      </c>
      <c r="M492" s="19" t="inlineStr">
        <is>
          <t>Pass</t>
        </is>
      </c>
      <c r="N492" s="19" t="inlineStr"/>
      <c r="O492" s="19" t="inlineStr">
        <is>
          <t>iorta TechNXT QA</t>
        </is>
      </c>
      <c r="P492" s="19" t="inlineStr">
        <is>
          <t>03 October 2026</t>
        </is>
      </c>
      <c r="Q492" s="19" t="inlineStr"/>
      <c r="R492" s="19" t="inlineStr">
        <is>
          <t>Screen check of 03 October 2026 (Chromium, 1440 x 900): access, console errors, failed API calls and clipped content per menu screen, user Claims Officer (carlo.estrada)</t>
        </is>
      </c>
    </row>
    <row r="493">
      <c r="A493" s="19" t="inlineStr">
        <is>
          <t>BV-RBA-014</t>
        </is>
      </c>
      <c r="B493" s="19" t="inlineStr">
        <is>
          <t>Role-based access</t>
        </is>
      </c>
      <c r="C493" s="19" t="inlineStr">
        <is>
          <t>Accounting</t>
        </is>
      </c>
      <c r="D493" s="19" t="inlineStr">
        <is>
          <t>Accounting Officer (liza.quiambao)</t>
        </is>
      </c>
      <c r="E493" s="19" t="inlineStr">
        <is>
          <t>Accounting: menu and screens match the role grants</t>
        </is>
      </c>
      <c r="F493" s="19" t="inlineStr">
        <is>
          <t>Role access</t>
        </is>
      </c>
      <c r="G493" s="19" t="inlineStr">
        <is>
          <t>High</t>
        </is>
      </c>
      <c r="H493" s="19" t="inlineStr">
        <is>
          <t>User liza.quiambao with role accounting only; UAT data set.</t>
        </is>
      </c>
      <c r="I493" s="19" t="inlineStr">
        <is>
          <t>1. Sign in as liza.quiambao.
2. Expand every top-level menu and note the items shown.
3. Open each item.</t>
        </is>
      </c>
      <c r="J493" s="19" t="inlineStr">
        <is>
          <t>liza.quiambao; expected screens: Dashboard &gt; Executive Dashboard; Operations &gt; Open Items; Operations &gt; Payments; Accounts &gt; Receipts; Accounts &gt; Collections; Accounts &gt; Credit Control &gt; Instalment Plans; Accounts &gt; Credit Control &gt; Premium Warranty Monitor; Accounts &gt; Credit Control &gt; Client Credit Limits; Accounts &gt; Credit Control &gt; Remittance Ageing; Accounts &gt; Disbursement; Accounts &gt; Remittance &gt; Automated Processing; Accounts &gt; Remittance &gt; Tracking; Accounts &gt; Remittance &gt; Statements; Accounts &gt; Remittance &gt; Settlement; Accounts &gt; Remittance &gt; Reconciliation; Accounts &gt; Remittance &gt; Bulk Processing; Accounts &gt; Remittance &gt; Scheduling; Accounts &gt; Remittance &gt; Electronic Transfer; Accounts &gt; Remittance &gt; Approval Workflow; Accounts &gt; Remittance &gt; Exception Management; Accounts &gt; Remittance &gt; Agency Bill Processing; Accounts &gt; Remittance &gt; Direct Bill Processing; Accounts &gt; Remittance &gt; Adjustments; Accounts &gt; Remittance &gt; Notifications; Accounts &gt; Remittance &gt; History; Accounts &gt; Remittance &gt; Analytics; Accounts &gt; Journal Voucher; Accounts &gt; Correction JV; Accounts &gt; Reversal JV; Accounts &gt; Open Entry Matching; Accounts &gt; Open Entry Unmatching; Accounts &gt; Accounting Query; Accounts &gt; All Clients Accounting; Accounts &gt; Petty Cash &gt; Initiate; Accounts &gt; Petty Cash &gt; Request; Accounts &gt; Petty Cash &gt; Disbursement; Accounts &gt; Petty Cash &gt; Receipts; Accounts &gt; Petty Cash &gt; Replenish; Accounts &gt; Bank Reconciliation &gt; Reconciliation Workspace; Accounts &gt; Bank Reconciliation &gt; Reconciliations; Accounts &gt; Bank Reconciliation &gt; Reconciliation Statement Report; Accounts &gt; Bank Reconciliation &gt; Outstanding Cheques; Accounts &gt; Bank Reconciliation &gt; Deposits in Transit; Accounts &gt; Bank Reconciliation &gt; Unmatched Bank Lines; Accounts &gt; Bank Reconciliation &gt; Bank Book; Accounts &gt; Insurer Reconciliation &gt; Insurer Statements; Accounts &gt; Tax &gt; BIR Form 2307; Accounts &gt; Tax &gt; VAT Summary; Accounts &gt; Tax &gt; SAWT; Accounts &gt; Tax &gt; QAP; Accounts &gt; Tax &gt; SLSP Sales; Accounts &gt; Tax &gt; SLSP Purchases; Accounts &gt; Period End &gt; Period Management; Accounts &gt; Period End &gt; Month-End Close; Accounts &gt; Period End &gt; Year-End Close; Accounts &gt; Period End &gt; Recurring Journals; Accounts &gt; Period End &gt; Financial Statements; Accounts &gt; Incentive &gt; My Programs; Accounts &gt; Incentive &gt; Calculations; Accounts &gt; Incentive &gt; Approvals; Accounts &gt; Incentive &gt; Statement; Commission &gt; Commission Dashboard; Commission &gt; Agents/Referrer Accounts; Reinsurance &gt; Reconciliation; Reports &gt; All Reports; Reports &gt; Operational Reports &gt; Remittance; Reports &gt; Operational Reports &gt; Broker Commission; Reports &gt; Financial Reports &gt; SOA/Premium Receivable; Reports &gt; Financial Reports &gt; Collection Report; Reports &gt; Financial Reports &gt; Payables; Reports &gt; Financial Reports &gt; Journal; Reports &gt; Financial Reports &gt; Trial Balance; Reports &gt; Financial Reports &gt; Income Statement; Reports &gt; Financial Reports &gt; Balance Sheet; Reports &gt; Financial Reports &gt; Trial Balance Movement; Reports &gt; Financial Reports &gt; General Ledger Detail; Reports &gt; Financial Reports &gt; Aged Payables to Insurers; Reports &gt; Financial Reports &gt; Month-End Close Status; Reports &gt; Financial Reports &gt; Co-insurance Register; Reports &gt; Financial Reports &gt; Due to Insurers by Co-insurer; Master &gt; Finance &gt; Account Determination; Master &gt; Finance &gt; Posting Rules; Master &gt; Finance &gt; Configuration Approvals; Master &gt; Finance &gt; Accounting Flow; Master &gt; Finance &gt; Premium Taxes &amp; LGU Rates; Master &gt; Finance &gt; Payment Gateways; Master &gt; Finance &gt; Taxation; Master &gt; Finance &gt; Close Checklist; Master &gt; Finance &gt; Bank Statement Formats; Master &gt; Finance &gt; Bank Transaction Types; Master &gt; Finance &gt; Insurer Statement Formats</t>
        </is>
      </c>
      <c r="K493" s="19" t="inlineStr">
        <is>
          <t>The menu shows only the granted items and each opens.</t>
        </is>
      </c>
      <c r="L493" s="19" t="inlineStr">
        <is>
          <t>91 screens available, exactly the role grants.</t>
        </is>
      </c>
      <c r="M493" s="19" t="inlineStr">
        <is>
          <t>Pass</t>
        </is>
      </c>
      <c r="N493" s="19" t="inlineStr"/>
      <c r="O493" s="19" t="inlineStr">
        <is>
          <t>iorta TechNXT QA</t>
        </is>
      </c>
      <c r="P493" s="19" t="inlineStr">
        <is>
          <t>03 October 2026</t>
        </is>
      </c>
      <c r="Q493" s="19" t="inlineStr">
        <is>
          <t>The address of the menu group Master &gt; Generals &gt; Organization opens "Page not found" for every user (BV-OBS-007); no data is shown.</t>
        </is>
      </c>
      <c r="R493" s="19" t="inlineStr">
        <is>
          <t>brokerverse/src/utils/menuPermissions.test.js :: allows the role's own screens and the home route [passed]
Screen check of 03 October 2026 (Chromium, 1440 x 900): access, console errors, failed API calls and clipped content per menu screen, user Accounting Officer (liza.quiambao)</t>
        </is>
      </c>
    </row>
    <row r="494">
      <c r="A494" s="19" t="inlineStr">
        <is>
          <t>BV-RBA-015</t>
        </is>
      </c>
      <c r="B494" s="19" t="inlineStr">
        <is>
          <t>Role-based access</t>
        </is>
      </c>
      <c r="C494" s="19" t="inlineStr">
        <is>
          <t>Accounting</t>
        </is>
      </c>
      <c r="D494" s="19" t="inlineStr">
        <is>
          <t>Accounting Officer (liza.quiambao)</t>
        </is>
      </c>
      <c r="E494" s="19" t="inlineStr">
        <is>
          <t>Accounting: a typed address outside the role is not opened</t>
        </is>
      </c>
      <c r="F494" s="19" t="inlineStr">
        <is>
          <t>Negative</t>
        </is>
      </c>
      <c r="G494" s="19" t="inlineStr">
        <is>
          <t>High</t>
        </is>
      </c>
      <c r="H494" s="19" t="inlineStr">
        <is>
          <t>Signed in as liza.quiambao.</t>
        </is>
      </c>
      <c r="I494" s="19" t="inlineStr">
        <is>
          <t>1. Type in the address bar each screen address that is not in the role menu (for example /master/generals/usermanagement/user and /accounts/period-end/close).
2. Press Enter and read the page.</t>
        </is>
      </c>
      <c r="J494" s="19" t="inlineStr">
        <is>
          <t>82 addresses outside the role</t>
        </is>
      </c>
      <c r="K494" s="19" t="inlineStr">
        <is>
          <t>Each address is refused (Not authorised or back to the home screen); the API refuses the same data.</t>
        </is>
      </c>
      <c r="L494" s="19" t="inlineStr">
        <is>
          <t>All 82 addresses outside the role were refused.</t>
        </is>
      </c>
      <c r="M494" s="19" t="inlineStr">
        <is>
          <t>Pass</t>
        </is>
      </c>
      <c r="N494" s="19" t="inlineStr"/>
      <c r="O494" s="19" t="inlineStr">
        <is>
          <t>iorta TechNXT QA</t>
        </is>
      </c>
      <c r="P494" s="19" t="inlineStr">
        <is>
          <t>03 October 2026</t>
        </is>
      </c>
      <c r="Q494" s="19" t="inlineStr">
        <is>
          <t>Master &gt; Generals &gt; Organization shows "Page not found" for every user and is not counted as opened (BV-OBS-007).</t>
        </is>
      </c>
      <c r="R494"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Accounting Officer (liza.quiambao)</t>
        </is>
      </c>
    </row>
    <row r="495">
      <c r="A495" s="19" t="inlineStr">
        <is>
          <t>BV-RBA-016</t>
        </is>
      </c>
      <c r="B495" s="19" t="inlineStr">
        <is>
          <t>Role-based access</t>
        </is>
      </c>
      <c r="C495" s="19" t="inlineStr">
        <is>
          <t>Accounting</t>
        </is>
      </c>
      <c r="D495" s="19" t="inlineStr">
        <is>
          <t>Accounting Officer (liza.quiambao)</t>
        </is>
      </c>
      <c r="E495" s="19" t="inlineStr">
        <is>
          <t>Accounting: every permitted screen loads its data without error</t>
        </is>
      </c>
      <c r="F495" s="19" t="inlineStr">
        <is>
          <t>Role access</t>
        </is>
      </c>
      <c r="G495" s="19" t="inlineStr">
        <is>
          <t>High</t>
        </is>
      </c>
      <c r="H495" s="19" t="inlineStr">
        <is>
          <t>Signed in as liza.quiambao.</t>
        </is>
      </c>
      <c r="I495" s="19" t="inlineStr">
        <is>
          <t>1. Open each screen of the role menu.
2. Watch for error messages and failed requests (browser developer tools &gt; Network).</t>
        </is>
      </c>
      <c r="J495" s="19" t="inlineStr">
        <is>
          <t>liza.quiambao</t>
        </is>
      </c>
      <c r="K495" s="19" t="inlineStr">
        <is>
          <t>Each screen loads its data; no request is refused for lack of permission; no error message.</t>
        </is>
      </c>
      <c r="L495" s="19" t="inlineStr">
        <is>
          <t>96 screens opened as liza.quiambao at 1440 px: no refused request, no console error, no clipped element, no horizontal scroll.</t>
        </is>
      </c>
      <c r="M495" s="19" t="inlineStr">
        <is>
          <t>Pass</t>
        </is>
      </c>
      <c r="N495" s="19" t="inlineStr">
        <is>
          <t>BV-DEF-006, BV-OBS-008 (closed)</t>
        </is>
      </c>
      <c r="O495" s="19" t="inlineStr">
        <is>
          <t>iorta TechNXT QA</t>
        </is>
      </c>
      <c r="P495" s="19" t="inlineStr">
        <is>
          <t>03 October 2026</t>
        </is>
      </c>
      <c r="Q495" s="19" t="inlineStr">
        <is>
          <t>Re-test of 03 October 2026 after the fix, fresh database with the UAT data set.</t>
        </is>
      </c>
      <c r="R495" s="19" t="inlineStr">
        <is>
          <t>Screen check of 03 October 2026 (Chromium, 1440 x 900): access, console errors, failed API calls and clipped content per menu screen, user Accounting Officer (liza.quiambao)</t>
        </is>
      </c>
    </row>
    <row r="496">
      <c r="A496" s="19" t="inlineStr">
        <is>
          <t>BV-RBA-017</t>
        </is>
      </c>
      <c r="B496" s="19" t="inlineStr">
        <is>
          <t>Role-based access</t>
        </is>
      </c>
      <c r="C496" s="19" t="inlineStr">
        <is>
          <t>Accounting Manager</t>
        </is>
      </c>
      <c r="D496" s="19" t="inlineStr">
        <is>
          <t>Accounting Manager (teresa.villaroman)</t>
        </is>
      </c>
      <c r="E496" s="19" t="inlineStr">
        <is>
          <t>Accounting Manager: menu and screens match the role grants</t>
        </is>
      </c>
      <c r="F496" s="19" t="inlineStr">
        <is>
          <t>Role access</t>
        </is>
      </c>
      <c r="G496" s="19" t="inlineStr">
        <is>
          <t>High</t>
        </is>
      </c>
      <c r="H496" s="19" t="inlineStr">
        <is>
          <t>User teresa.villaroman with role accounting-manager only; UAT data set.</t>
        </is>
      </c>
      <c r="I496" s="19" t="inlineStr">
        <is>
          <t>1. Sign in as teresa.villaroman.
2. Expand every top-level menu and note the items shown.
3. Open each item.</t>
        </is>
      </c>
      <c r="J496" s="19" t="inlineStr">
        <is>
          <t>teresa.villaroman; expected screens: Dashboard &gt; Executive Dashboard; Operations &gt; Open Items; Operations &gt; Payments; Accounts &gt; Receipts; Accounts &gt; Collections; Accounts &gt; Credit Control &gt; Instalment Plans; Accounts &gt; Credit Control &gt; Premium Warranty Monitor; Accounts &gt; Credit Control &gt; Client Credit Limits; Accounts &gt; Credit Control &gt; Remittance Ageing; Accounts &gt; Disbursement; Accounts &gt; Remittance &gt; Automated Processing; Accounts &gt; Remittance &gt; Tracking; Accounts &gt; Remittance &gt; Statements; Accounts &gt; Remittance &gt; Settlement; Accounts &gt; Remittance &gt; Reconciliation; Accounts &gt; Remittance &gt; Bulk Processing; Accounts &gt; Remittance &gt; Scheduling; Accounts &gt; Remittance &gt; Electronic Transfer; Accounts &gt; Remittance &gt; Approval Workflow; Accounts &gt; Remittance &gt; Exception Management; Accounts &gt; Remittance &gt; Agency Bill Processing; Accounts &gt; Remittance &gt; Direct Bill Processing; Accounts &gt; Remittance &gt; Adjustments; Accounts &gt; Remittance &gt; Notifications; Accounts &gt; Remittance &gt; History; Accounts &gt; Remittance &gt; Analytics; Accounts &gt; Journal Voucher; Accounts &gt; Correction JV; Accounts &gt; Reversal JV; Accounts &gt; Open Entry Matching; Accounts &gt; Open Entry Unmatching; Accounts &gt; Accounting Query; Accounts &gt; All Clients Accounting; Accounts &gt; Petty Cash &gt; Initiate; Accounts &gt; Petty Cash &gt; Request; Accounts &gt; Petty Cash &gt; Disbursement; Accounts &gt; Petty Cash &gt; Receipts; Accounts &gt; Petty Cash &gt; Replenish; Accounts &gt; Bank Reconciliation &gt; Reconciliation Workspace; Accounts &gt; Bank Reconciliation &gt; Reconciliations; Accounts &gt; Bank Reconciliation &gt; Reconciliation Statement Report; Accounts &gt; Bank Reconciliation &gt; Outstanding Cheques; Accounts &gt; Bank Reconciliation &gt; Deposits in Transit; Accounts &gt; Bank Reconciliation &gt; Unmatched Bank Lines; Accounts &gt; Bank Reconciliation &gt; Bank Book; Accounts &gt; Insurer Reconciliation &gt; Insurer Statements; Accounts &gt; Tax &gt; BIR Form 2307; Accounts &gt; Tax &gt; VAT Summary; Accounts &gt; Tax &gt; SAWT; Accounts &gt; Tax &gt; QAP; Accounts &gt; Tax &gt; SLSP Sales; Accounts &gt; Tax &gt; SLSP Purchases; Accounts &gt; Period End &gt; Period Management; Accounts &gt; Period End &gt; Month-End Close; Accounts &gt; Period End &gt; Year-End Close; Accounts &gt; Period End &gt; Recurring Journals; Accounts &gt; Period End &gt; Financial Statements; Accounts &gt; Incentive &gt; My Programs; Accounts &gt; Incentive &gt; Calculations; Accounts &gt; Incentive &gt; Approvals; Accounts &gt; Incentive &gt; Statement; Commission &gt; Commission Dashboard; Commission &gt; Agents/Referrer Accounts; Reinsurance &gt; Reconciliation; Reports &gt; All Reports; Reports &gt; Operational Reports &gt; Remittance; Reports &gt; Operational Reports &gt; Broker Commission; Reports &gt; Financial Reports &gt; SOA/Premium Receivable; Reports &gt; Financial Reports &gt; Collection Report; Reports &gt; Financial Reports &gt; Payables; Reports &gt; Financial Reports &gt; Journal; Reports &gt; Financial Reports &gt; Trial Balance; Reports &gt; Financial Reports &gt; Income Statement; Reports &gt; Financial Reports &gt; Balance Sheet; Reports &gt; Financial Reports &gt; Trial Balance Movement; Reports &gt; Financial Reports &gt; General Ledger Detail; Reports &gt; Financial Reports &gt; Aged Payables to Insurers; Reports &gt; Financial Reports &gt; Month-End Close Status; Reports &gt; Financial Reports &gt; Co-insurance Register; Reports &gt; Financial Reports &gt; Due to Insurers by Co-insurer; Master &gt; Finance &gt; Account Determination; Master &gt; Finance &gt; Posting Rules; Master &gt; Finance &gt; Configuration Approvals; Master &gt; Finance &gt; Accounting Flow; Master &gt; Finance &gt; Premium Taxes &amp; LGU Rates; Master &gt; Finance &gt; Payment Gateways; Master &gt; Finance &gt; Taxation; Master &gt; Finance &gt; Close Checklist; Master &gt; Finance &gt; Bank Statement Formats; Master &gt; Finance &gt; Bank Transaction Types; Master &gt; Finance &gt; Insurer Statement Formats</t>
        </is>
      </c>
      <c r="K496" s="19" t="inlineStr">
        <is>
          <t>The menu shows only the granted items and each opens.</t>
        </is>
      </c>
      <c r="L496" s="19" t="inlineStr">
        <is>
          <t>91 screens available, exactly the role grants.</t>
        </is>
      </c>
      <c r="M496" s="19" t="inlineStr">
        <is>
          <t>Pass</t>
        </is>
      </c>
      <c r="N496" s="19" t="inlineStr"/>
      <c r="O496" s="19" t="inlineStr">
        <is>
          <t>iorta TechNXT QA</t>
        </is>
      </c>
      <c r="P496" s="19" t="inlineStr">
        <is>
          <t>03 October 2026</t>
        </is>
      </c>
      <c r="Q496" s="19" t="inlineStr">
        <is>
          <t>The address of the menu group Master &gt; Generals &gt; Organization opens "Page not found" for every user (BV-OBS-007); no data is shown.</t>
        </is>
      </c>
      <c r="R496" s="19" t="inlineStr">
        <is>
          <t>brokerverse/src/utils/menuPermissions.test.js :: allows the role's own screens and the home route [passed]
Screen check of 03 October 2026 (Chromium, 1440 x 900): access, console errors, failed API calls and clipped content per menu screen, user Accounting Manager (teresa.villaroman)</t>
        </is>
      </c>
    </row>
    <row r="497">
      <c r="A497" s="19" t="inlineStr">
        <is>
          <t>BV-RBA-018</t>
        </is>
      </c>
      <c r="B497" s="19" t="inlineStr">
        <is>
          <t>Role-based access</t>
        </is>
      </c>
      <c r="C497" s="19" t="inlineStr">
        <is>
          <t>Accounting Manager</t>
        </is>
      </c>
      <c r="D497" s="19" t="inlineStr">
        <is>
          <t>Accounting Manager (teresa.villaroman)</t>
        </is>
      </c>
      <c r="E497" s="19" t="inlineStr">
        <is>
          <t>Accounting Manager: a typed address outside the role is not opened</t>
        </is>
      </c>
      <c r="F497" s="19" t="inlineStr">
        <is>
          <t>Negative</t>
        </is>
      </c>
      <c r="G497" s="19" t="inlineStr">
        <is>
          <t>High</t>
        </is>
      </c>
      <c r="H497" s="19" t="inlineStr">
        <is>
          <t>Signed in as teresa.villaroman.</t>
        </is>
      </c>
      <c r="I497" s="19" t="inlineStr">
        <is>
          <t>1. Type in the address bar each screen address that is not in the role menu (for example /master/generals/usermanagement/user and /accounts/period-end/close).
2. Press Enter and read the page.</t>
        </is>
      </c>
      <c r="J497" s="19" t="inlineStr">
        <is>
          <t>82 addresses outside the role</t>
        </is>
      </c>
      <c r="K497" s="19" t="inlineStr">
        <is>
          <t>Each address is refused (Not authorised or back to the home screen); the API refuses the same data.</t>
        </is>
      </c>
      <c r="L497" s="19" t="inlineStr">
        <is>
          <t>All 82 addresses outside the role were refused.</t>
        </is>
      </c>
      <c r="M497" s="19" t="inlineStr">
        <is>
          <t>Pass</t>
        </is>
      </c>
      <c r="N497" s="19" t="inlineStr"/>
      <c r="O497" s="19" t="inlineStr">
        <is>
          <t>iorta TechNXT QA</t>
        </is>
      </c>
      <c r="P497" s="19" t="inlineStr">
        <is>
          <t>03 October 2026</t>
        </is>
      </c>
      <c r="Q497" s="19" t="inlineStr">
        <is>
          <t>Master &gt; Generals &gt; Organization shows "Page not found" for every user and is not counted as opened (BV-OBS-007).</t>
        </is>
      </c>
      <c r="R497" s="19" t="inlineStr">
        <is>
          <t>brokerverse/src/utils/menuPermissions.test.js :: does not let the home route '/' open every screen [passed]
backend/test/hardening.test.js :: records the permissions required by middleware in the registry [passed]
Screen check of 03 October 2026 (Chromium, 1440 x 900): access, console errors, failed API calls and clipped content per menu screen, user Accounting Manager (teresa.villaroman)</t>
        </is>
      </c>
    </row>
    <row r="498">
      <c r="A498" s="19" t="inlineStr">
        <is>
          <t>BV-RBA-019</t>
        </is>
      </c>
      <c r="B498" s="19" t="inlineStr">
        <is>
          <t>Role-based access</t>
        </is>
      </c>
      <c r="C498" s="19" t="inlineStr">
        <is>
          <t>Accounting Manager</t>
        </is>
      </c>
      <c r="D498" s="19" t="inlineStr">
        <is>
          <t>Accounting Manager (teresa.villaroman)</t>
        </is>
      </c>
      <c r="E498" s="19" t="inlineStr">
        <is>
          <t>Accounting Manager: every permitted screen loads its data without error</t>
        </is>
      </c>
      <c r="F498" s="19" t="inlineStr">
        <is>
          <t>Role access</t>
        </is>
      </c>
      <c r="G498" s="19" t="inlineStr">
        <is>
          <t>High</t>
        </is>
      </c>
      <c r="H498" s="19" t="inlineStr">
        <is>
          <t>Signed in as teresa.villaroman.</t>
        </is>
      </c>
      <c r="I498" s="19" t="inlineStr">
        <is>
          <t>1. Open each screen of the role menu.
2. Watch for error messages and failed requests (browser developer tools &gt; Network).</t>
        </is>
      </c>
      <c r="J498" s="19" t="inlineStr">
        <is>
          <t>teresa.villaroman</t>
        </is>
      </c>
      <c r="K498" s="19" t="inlineStr">
        <is>
          <t>Each screen loads its data; no request is refused for lack of permission; no error message.</t>
        </is>
      </c>
      <c r="L498" s="19" t="inlineStr">
        <is>
          <t>96 screens opened as teresa.villaroman at 1440 px: no refused request, no console error, no clipped element, no horizontal scroll.</t>
        </is>
      </c>
      <c r="M498" s="19" t="inlineStr">
        <is>
          <t>Pass</t>
        </is>
      </c>
      <c r="N498" s="19" t="inlineStr">
        <is>
          <t>BV-DEF-006, BV-OBS-008 (closed)</t>
        </is>
      </c>
      <c r="O498" s="19" t="inlineStr">
        <is>
          <t>iorta TechNXT QA</t>
        </is>
      </c>
      <c r="P498" s="19" t="inlineStr">
        <is>
          <t>03 October 2026</t>
        </is>
      </c>
      <c r="Q498" s="19" t="inlineStr">
        <is>
          <t>Re-test of 03 October 2026 after the fix, fresh database with the UAT data set.</t>
        </is>
      </c>
      <c r="R498" s="19" t="inlineStr">
        <is>
          <t>Screen check of 03 October 2026 (Chromium, 1440 x 900): access, console errors, failed API calls and clipped content per menu screen, user Accounting Manager (teresa.villaroman)</t>
        </is>
      </c>
    </row>
  </sheetData>
  <autoFilter ref="A1:R498"/>
  <conditionalFormatting sqref="M2:M498">
    <cfRule type="expression" priority="1" dxfId="0">
      <formula>$M2="Pass"</formula>
    </cfRule>
    <cfRule type="expression" priority="2" dxfId="1">
      <formula>$M2="Fail"</formula>
    </cfRule>
    <cfRule type="expression" priority="3" dxfId="2">
      <formula>$M2="Blocked"</formula>
    </cfRule>
    <cfRule type="expression" priority="4" dxfId="3">
      <formula>$M2="Not Run"</formula>
    </cfRule>
  </conditionalFormatting>
  <dataValidations count="2">
    <dataValidation sqref="M2:M498" showDropDown="0" showInputMessage="0" showErrorMessage="0" allowBlank="0" errorTitle="Status" error="Choose Pass, Fail, Blocked or Not Run" type="list">
      <formula1>"Pass,Fail,Blocked,Not Run"</formula1>
    </dataValidation>
    <dataValidation sqref="G2:G498" showDropDown="0" showInputMessage="0" showErrorMessage="0" allowBlank="0"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22" customWidth="1" min="2" max="2"/>
    <col width="40" customWidth="1" min="3" max="3"/>
    <col width="10" customWidth="1" min="4" max="4"/>
    <col width="42" customWidth="1" min="5" max="5"/>
    <col width="60" customWidth="1" min="6" max="6"/>
    <col width="30" customWidth="1" min="7" max="7"/>
    <col width="18" customWidth="1" min="8" max="8"/>
    <col width="40" customWidth="1" min="9" max="9"/>
    <col width="30" customWidth="1" min="10" max="10"/>
  </cols>
  <sheetData>
    <row r="1" ht="30" customHeight="1">
      <c r="A1" s="18" t="inlineStr">
        <is>
          <t>TC ID</t>
        </is>
      </c>
      <c r="B1" s="18" t="inlineStr">
        <is>
          <t>Module</t>
        </is>
      </c>
      <c r="C1" s="18" t="inlineStr">
        <is>
          <t>Test Scenario</t>
        </is>
      </c>
      <c r="D1" s="18" t="inlineStr">
        <is>
          <t>Status</t>
        </is>
      </c>
      <c r="E1" s="18" t="inlineStr">
        <is>
          <t>Backend / front-end test file</t>
        </is>
      </c>
      <c r="F1" s="18" t="inlineStr">
        <is>
          <t>Test name</t>
        </is>
      </c>
      <c r="G1" s="18" t="inlineStr">
        <is>
          <t>UAT phase</t>
        </is>
      </c>
      <c r="H1" s="18" t="inlineStr">
        <is>
          <t>UAT phase result</t>
        </is>
      </c>
      <c r="I1" s="18" t="inlineStr">
        <is>
          <t>Screen check (path)</t>
        </is>
      </c>
      <c r="J1" s="18" t="inlineStr">
        <is>
          <t>Screen check result</t>
        </is>
      </c>
    </row>
    <row r="2">
      <c r="A2" s="19" t="inlineStr">
        <is>
          <t>BV-SEC-001</t>
        </is>
      </c>
      <c r="B2" s="19" t="inlineStr">
        <is>
          <t>Sign-in and security</t>
        </is>
      </c>
      <c r="C2" s="19" t="inlineStr">
        <is>
          <t>Sign in with a valid user ID and password</t>
        </is>
      </c>
      <c r="D2" s="19" t="inlineStr">
        <is>
          <t>Pass</t>
        </is>
      </c>
      <c r="E2" s="19" t="inlineStr">
        <is>
          <t>backend/test/core.test.js</t>
        </is>
      </c>
      <c r="F2" s="19" t="inlineStr">
        <is>
          <t>rejects a wrong password and accepts the admin</t>
        </is>
      </c>
      <c r="G2" s="19" t="inlineStr"/>
      <c r="H2" s="19" t="inlineStr"/>
      <c r="I2" s="19" t="inlineStr">
        <is>
          <t>/executive/dashboard</t>
        </is>
      </c>
      <c r="J2" s="19" t="inlineStr">
        <is>
          <t>opened clean</t>
        </is>
      </c>
    </row>
    <row r="3">
      <c r="A3" s="19" t="inlineStr">
        <is>
          <t>BV-SEC-002</t>
        </is>
      </c>
      <c r="B3" s="19" t="inlineStr">
        <is>
          <t>Sign-in and security</t>
        </is>
      </c>
      <c r="C3" s="19" t="inlineStr">
        <is>
          <t>Wrong password is refused with a generic message</t>
        </is>
      </c>
      <c r="D3" s="19" t="inlineStr">
        <is>
          <t>Pass</t>
        </is>
      </c>
      <c r="E3" s="19" t="inlineStr">
        <is>
          <t>backend/test/core.test.js
backend/test/security.test.js</t>
        </is>
      </c>
      <c r="F3" s="19" t="inlineStr">
        <is>
          <t>rejects a wrong password and accepts the admin
exposes sign-in history to administrators and to the user</t>
        </is>
      </c>
      <c r="G3" s="19" t="inlineStr"/>
      <c r="H3" s="19" t="inlineStr"/>
      <c r="I3" s="19" t="inlineStr"/>
      <c r="J3" s="19" t="inlineStr"/>
    </row>
    <row r="4">
      <c r="A4" s="19" t="inlineStr">
        <is>
          <t>BV-SEC-003</t>
        </is>
      </c>
      <c r="B4" s="19" t="inlineStr">
        <is>
          <t>Sign-in and security</t>
        </is>
      </c>
      <c r="C4" s="19" t="inlineStr">
        <is>
          <t>Unknown user ID gets the same message as a wrong password</t>
        </is>
      </c>
      <c r="D4" s="19" t="inlineStr">
        <is>
          <t>Pass</t>
        </is>
      </c>
      <c r="E4" s="19" t="inlineStr">
        <is>
          <t>backend/test/security.test.js
backend/test/security.test.js</t>
        </is>
      </c>
      <c r="F4" s="19" t="inlineStr">
        <is>
          <t>rate limits sign-in per username and per IP (429 + Retry-After) and logs every attempt
exposes sign-in history to administrators and to the user</t>
        </is>
      </c>
      <c r="G4" s="19" t="inlineStr"/>
      <c r="H4" s="19" t="inlineStr"/>
      <c r="I4" s="19" t="inlineStr"/>
      <c r="J4" s="19" t="inlineStr"/>
    </row>
    <row r="5">
      <c r="A5" s="19" t="inlineStr">
        <is>
          <t>BV-SEC-004</t>
        </is>
      </c>
      <c r="B5" s="19" t="inlineStr">
        <is>
          <t>Sign-in and security</t>
        </is>
      </c>
      <c r="C5" s="19" t="inlineStr">
        <is>
          <t>Login with blank User ID and Password</t>
        </is>
      </c>
      <c r="D5" s="19" t="inlineStr">
        <is>
          <t>Not Run</t>
        </is>
      </c>
      <c r="E5" s="19" t="inlineStr">
        <is>
          <t>brokerverse/src/App.test.js</t>
        </is>
      </c>
      <c r="F5" s="19" t="inlineStr">
        <is>
          <t>renders the sign-in screen when signed out</t>
        </is>
      </c>
      <c r="G5" s="19" t="inlineStr"/>
      <c r="H5" s="19" t="inlineStr"/>
      <c r="I5" s="19" t="inlineStr"/>
      <c r="J5" s="19" t="inlineStr"/>
    </row>
    <row r="6">
      <c r="A6" s="19" t="inlineStr">
        <is>
          <t>BV-SEC-005</t>
        </is>
      </c>
      <c r="B6" s="19" t="inlineStr">
        <is>
          <t>Sign-in and security</t>
        </is>
      </c>
      <c r="C6" s="19" t="inlineStr">
        <is>
          <t>Account locks after the configured number of failed sign-ins</t>
        </is>
      </c>
      <c r="D6" s="19" t="inlineStr">
        <is>
          <t>Pass</t>
        </is>
      </c>
      <c r="E6" s="19" t="inlineStr">
        <is>
          <t>backend/test/security.test.js
backend/test/hardening.test.js</t>
        </is>
      </c>
      <c r="F6" s="19" t="inlineStr">
        <is>
          <t>rate limits sign-in per username and per IP (429 + Retry-After) and logs every attempt
unlocks a locked account and records it</t>
        </is>
      </c>
      <c r="G6" s="19" t="inlineStr"/>
      <c r="H6" s="19" t="inlineStr"/>
      <c r="I6" s="19" t="inlineStr"/>
      <c r="J6" s="19" t="inlineStr"/>
    </row>
    <row r="7">
      <c r="A7" s="19" t="inlineStr">
        <is>
          <t>BV-SEC-006</t>
        </is>
      </c>
      <c r="B7" s="19" t="inlineStr">
        <is>
          <t>Sign-in and security</t>
        </is>
      </c>
      <c r="C7" s="19" t="inlineStr">
        <is>
          <t>Administrator unlocks a locked user</t>
        </is>
      </c>
      <c r="D7" s="19" t="inlineStr">
        <is>
          <t>Pass</t>
        </is>
      </c>
      <c r="E7" s="19" t="inlineStr">
        <is>
          <t>backend/test/hardening.test.js</t>
        </is>
      </c>
      <c r="F7" s="19" t="inlineStr">
        <is>
          <t>unlocks a locked account and records it</t>
        </is>
      </c>
      <c r="G7" s="19" t="inlineStr"/>
      <c r="H7" s="19" t="inlineStr"/>
      <c r="I7" s="19" t="inlineStr">
        <is>
          <t>/master/generals/usermanagement/user</t>
        </is>
      </c>
      <c r="J7" s="19" t="inlineStr">
        <is>
          <t>opened clean</t>
        </is>
      </c>
    </row>
    <row r="8">
      <c r="A8" s="19" t="inlineStr">
        <is>
          <t>BV-SEC-007</t>
        </is>
      </c>
      <c r="B8" s="19" t="inlineStr">
        <is>
          <t>Sign-in and security</t>
        </is>
      </c>
      <c r="C8" s="19" t="inlineStr">
        <is>
          <t>Too many sign-in attempts from one address are throttled</t>
        </is>
      </c>
      <c r="D8" s="19" t="inlineStr">
        <is>
          <t>Pass</t>
        </is>
      </c>
      <c r="E8" s="19" t="inlineStr">
        <is>
          <t>backend/test/security.test.js</t>
        </is>
      </c>
      <c r="F8" s="19" t="inlineStr">
        <is>
          <t>rate limits sign-in per username and per IP (429 + Retry-After) and logs every attempt</t>
        </is>
      </c>
      <c r="G8" s="19" t="inlineStr"/>
      <c r="H8" s="19" t="inlineStr"/>
      <c r="I8" s="19" t="inlineStr"/>
      <c r="J8" s="19" t="inlineStr"/>
    </row>
    <row r="9">
      <c r="A9" s="19" t="inlineStr">
        <is>
          <t>BV-SEC-008</t>
        </is>
      </c>
      <c r="B9" s="19" t="inlineStr">
        <is>
          <t>Sign-in and security</t>
        </is>
      </c>
      <c r="C9" s="19" t="inlineStr">
        <is>
          <t>Change password: rules shown and enforced</t>
        </is>
      </c>
      <c r="D9" s="19" t="inlineStr">
        <is>
          <t>Pass</t>
        </is>
      </c>
      <c r="E9" s="19" t="inlineStr">
        <is>
          <t>backend/test/security.test.js</t>
        </is>
      </c>
      <c r="F9" s="19" t="inlineStr">
        <is>
          <t>enforces length, character classes and history on change-password</t>
        </is>
      </c>
      <c r="G9" s="19" t="inlineStr"/>
      <c r="H9" s="19" t="inlineStr"/>
      <c r="I9" s="19" t="inlineStr"/>
      <c r="J9" s="19" t="inlineStr"/>
    </row>
    <row r="10">
      <c r="A10" s="19" t="inlineStr">
        <is>
          <t>BV-SEC-009</t>
        </is>
      </c>
      <c r="B10" s="19" t="inlineStr">
        <is>
          <t>Sign-in and security</t>
        </is>
      </c>
      <c r="C10" s="19" t="inlineStr">
        <is>
          <t>New password cannot repeat one of the last 5 passwords</t>
        </is>
      </c>
      <c r="D10" s="19" t="inlineStr">
        <is>
          <t>Pass</t>
        </is>
      </c>
      <c r="E10" s="19" t="inlineStr">
        <is>
          <t>backend/test/security.test.js</t>
        </is>
      </c>
      <c r="F10" s="19" t="inlineStr">
        <is>
          <t>enforces length, character classes and history on change-password</t>
        </is>
      </c>
      <c r="G10" s="19" t="inlineStr"/>
      <c r="H10" s="19" t="inlineStr"/>
      <c r="I10" s="19" t="inlineStr"/>
      <c r="J10" s="19" t="inlineStr"/>
    </row>
    <row r="11">
      <c r="A11" s="19" t="inlineStr">
        <is>
          <t>BV-SEC-010</t>
        </is>
      </c>
      <c r="B11" s="19" t="inlineStr">
        <is>
          <t>Sign-in and security</t>
        </is>
      </c>
      <c r="C11" s="19" t="inlineStr">
        <is>
          <t>New password must differ from the current one and both entries must match</t>
        </is>
      </c>
      <c r="D11" s="19" t="inlineStr">
        <is>
          <t>Pass</t>
        </is>
      </c>
      <c r="E11" s="19" t="inlineStr">
        <is>
          <t>backend/test/security.test.js</t>
        </is>
      </c>
      <c r="F11" s="19" t="inlineStr">
        <is>
          <t>enforces length, character classes and history on change-password</t>
        </is>
      </c>
      <c r="G11" s="19" t="inlineStr"/>
      <c r="H11" s="19" t="inlineStr"/>
      <c r="I11" s="19" t="inlineStr"/>
      <c r="J11" s="19" t="inlineStr"/>
    </row>
    <row r="12">
      <c r="A12" s="19" t="inlineStr">
        <is>
          <t>BV-SEC-011</t>
        </is>
      </c>
      <c r="B12" s="19" t="inlineStr">
        <is>
          <t>Sign-in and security</t>
        </is>
      </c>
      <c r="C12" s="19" t="inlineStr">
        <is>
          <t>New user created without a password gets a temporary password that must be changed</t>
        </is>
      </c>
      <c r="D12" s="19" t="inlineStr">
        <is>
          <t>Pass</t>
        </is>
      </c>
      <c r="E12" s="19" t="inlineStr">
        <is>
          <t>backend/test/hardening.test.js
backend/test/core.test.js</t>
        </is>
      </c>
      <c r="F12" s="19" t="inlineStr">
        <is>
          <t>generates a policy-compliant temporary password for a user created without one; it must be changed
admin creates a persona user who can then sign in with that role</t>
        </is>
      </c>
      <c r="G12" s="19" t="inlineStr">
        <is>
          <t>Set-up</t>
        </is>
      </c>
      <c r="H12" s="19" t="inlineStr">
        <is>
          <t>46 passed, 0 failed</t>
        </is>
      </c>
      <c r="I12" s="19" t="inlineStr"/>
      <c r="J12" s="19" t="inlineStr"/>
    </row>
    <row r="13">
      <c r="A13" s="19" t="inlineStr">
        <is>
          <t>BV-SEC-012</t>
        </is>
      </c>
      <c r="B13" s="19" t="inlineStr">
        <is>
          <t>Sign-in and security</t>
        </is>
      </c>
      <c r="C13" s="19" t="inlineStr">
        <is>
          <t>Expired password forces a change at sign-in</t>
        </is>
      </c>
      <c r="D13" s="19" t="inlineStr">
        <is>
          <t>Pass</t>
        </is>
      </c>
      <c r="E13" s="19" t="inlineStr">
        <is>
          <t>backend/test/security.test.js</t>
        </is>
      </c>
      <c r="F13" s="19" t="inlineStr">
        <is>
          <t>flags mustChangePassword when the password is older than security.password_max_age_days</t>
        </is>
      </c>
      <c r="G13" s="19" t="inlineStr"/>
      <c r="H13" s="19" t="inlineStr"/>
      <c r="I13" s="19" t="inlineStr"/>
      <c r="J13" s="19" t="inlineStr"/>
    </row>
    <row r="14">
      <c r="A14" s="19" t="inlineStr">
        <is>
          <t>BV-SEC-013</t>
        </is>
      </c>
      <c r="B14" s="19" t="inlineStr">
        <is>
          <t>Sign-in and security</t>
        </is>
      </c>
      <c r="C14" s="19" t="inlineStr">
        <is>
          <t>Forgot password with a verification code</t>
        </is>
      </c>
      <c r="D14" s="19" t="inlineStr">
        <is>
          <t>Blocked</t>
        </is>
      </c>
      <c r="E14" s="19" t="inlineStr">
        <is>
          <t>backend/test/configuration.test.js
backend/test/hardening.test.js</t>
        </is>
      </c>
      <c r="F14" s="19" t="inlineStr">
        <is>
          <t>password reset e-mail and code lifetime follow security.reset_* settings
stores reset codes hashed, keeps only the latest valid, withdraws a code after too many wrong entries</t>
        </is>
      </c>
      <c r="G14" s="19" t="inlineStr"/>
      <c r="H14" s="19" t="inlineStr"/>
      <c r="I14" s="19" t="inlineStr"/>
      <c r="J14" s="19" t="inlineStr"/>
    </row>
    <row r="15">
      <c r="A15" s="19" t="inlineStr">
        <is>
          <t>BV-SEC-014</t>
        </is>
      </c>
      <c r="B15" s="19" t="inlineStr">
        <is>
          <t>Sign-in and security</t>
        </is>
      </c>
      <c r="C15" s="19" t="inlineStr">
        <is>
          <t>Reset code withdrawn after too many wrong entries</t>
        </is>
      </c>
      <c r="D15" s="19" t="inlineStr">
        <is>
          <t>Pass</t>
        </is>
      </c>
      <c r="E15" s="19" t="inlineStr">
        <is>
          <t>backend/test/hardening.test.js</t>
        </is>
      </c>
      <c r="F15" s="19" t="inlineStr">
        <is>
          <t>stores reset codes hashed, keeps only the latest valid, withdraws a code after too many wrong entries</t>
        </is>
      </c>
      <c r="G15" s="19" t="inlineStr"/>
      <c r="H15" s="19" t="inlineStr"/>
      <c r="I15" s="19" t="inlineStr"/>
      <c r="J15" s="19" t="inlineStr"/>
    </row>
    <row r="16">
      <c r="A16" s="19" t="inlineStr">
        <is>
          <t>BV-SEC-015</t>
        </is>
      </c>
      <c r="B16" s="19" t="inlineStr">
        <is>
          <t>Sign-in and security</t>
        </is>
      </c>
      <c r="C16" s="19" t="inlineStr">
        <is>
          <t>Turn on two-step verification and sign in with the code</t>
        </is>
      </c>
      <c r="D16" s="19" t="inlineStr">
        <is>
          <t>Pass</t>
        </is>
      </c>
      <c r="E16" s="19" t="inlineStr">
        <is>
          <t>backend/test/security.test.js
backend/test/security.test.js</t>
        </is>
      </c>
      <c r="F16" s="19" t="inlineStr">
        <is>
          <t>enrols, then requires the code at sign-in; disables with a code
implements RFC 6238 / RFC 4226 correctly</t>
        </is>
      </c>
      <c r="G16" s="19" t="inlineStr"/>
      <c r="H16" s="19" t="inlineStr"/>
      <c r="I16" s="19" t="inlineStr"/>
      <c r="J16" s="19" t="inlineStr"/>
    </row>
    <row r="17">
      <c r="A17" s="19" t="inlineStr">
        <is>
          <t>BV-SEC-016</t>
        </is>
      </c>
      <c r="B17" s="19" t="inlineStr">
        <is>
          <t>Sign-in and security</t>
        </is>
      </c>
      <c r="C17" s="19" t="inlineStr">
        <is>
          <t>Wrong two-step code is refused and checks are rate limited</t>
        </is>
      </c>
      <c r="D17" s="19" t="inlineStr">
        <is>
          <t>Pass</t>
        </is>
      </c>
      <c r="E17" s="19" t="inlineStr">
        <is>
          <t>backend/test/hardening.test.js
backend/test/security.test.js</t>
        </is>
      </c>
      <c r="F17" s="19" t="inlineStr">
        <is>
          <t>rate limits two-factor code checks of a signed-in user
exposes sign-in history to administrators and to the user</t>
        </is>
      </c>
      <c r="G17" s="19" t="inlineStr"/>
      <c r="H17" s="19" t="inlineStr"/>
      <c r="I17" s="19" t="inlineStr"/>
      <c r="J17" s="19" t="inlineStr"/>
    </row>
    <row r="18">
      <c r="A18" s="19" t="inlineStr">
        <is>
          <t>BV-SEC-017</t>
        </is>
      </c>
      <c r="B18" s="19" t="inlineStr">
        <is>
          <t>Sign-in and security</t>
        </is>
      </c>
      <c r="C18" s="19" t="inlineStr">
        <is>
          <t>Role that requires two-step verification must enrol before any screen</t>
        </is>
      </c>
      <c r="D18" s="19" t="inlineStr">
        <is>
          <t>Pass</t>
        </is>
      </c>
      <c r="E18" s="19" t="inlineStr">
        <is>
          <t>backend/test/security.test.js</t>
        </is>
      </c>
      <c r="F18" s="19" t="inlineStr">
        <is>
          <t>forces enrolment for roles in security.require_2fa_roles; administrators can reset a user's second factor</t>
        </is>
      </c>
      <c r="G18" s="19" t="inlineStr"/>
      <c r="H18" s="19" t="inlineStr"/>
      <c r="I18" s="19" t="inlineStr"/>
      <c r="J18" s="19" t="inlineStr"/>
    </row>
    <row r="19">
      <c r="A19" s="19" t="inlineStr">
        <is>
          <t>BV-SEC-018</t>
        </is>
      </c>
      <c r="B19" s="19" t="inlineStr">
        <is>
          <t>Sign-in and security</t>
        </is>
      </c>
      <c r="C19" s="19" t="inlineStr">
        <is>
          <t>Administrator turns off a user's two-step verification</t>
        </is>
      </c>
      <c r="D19" s="19" t="inlineStr">
        <is>
          <t>Pass</t>
        </is>
      </c>
      <c r="E19" s="19" t="inlineStr">
        <is>
          <t>backend/test/security.test.js</t>
        </is>
      </c>
      <c r="F19" s="19" t="inlineStr">
        <is>
          <t>forces enrolment for roles in security.require_2fa_roles; administrators can reset a user's second factor</t>
        </is>
      </c>
      <c r="G19" s="19" t="inlineStr"/>
      <c r="H19" s="19" t="inlineStr"/>
      <c r="I19" s="19" t="inlineStr"/>
      <c r="J19" s="19" t="inlineStr"/>
    </row>
    <row r="20">
      <c r="A20" s="19" t="inlineStr">
        <is>
          <t>BV-SEC-019</t>
        </is>
      </c>
      <c r="B20" s="19" t="inlineStr">
        <is>
          <t>Sign-in and security</t>
        </is>
      </c>
      <c r="C20" s="19" t="inlineStr">
        <is>
          <t>A non-administrator user desk cannot reset 2FA or lock a System Administrator</t>
        </is>
      </c>
      <c r="D20" s="19" t="inlineStr">
        <is>
          <t>Pass</t>
        </is>
      </c>
      <c r="E20" s="19" t="inlineStr">
        <is>
          <t>backend/test/hardening.test.js</t>
        </is>
      </c>
      <c r="F20" s="19" t="inlineStr">
        <is>
          <t>a non-administrator user desk cannot reset, lock or turn off 2FA of a System Administrator, nor change their own access</t>
        </is>
      </c>
      <c r="G20" s="19" t="inlineStr"/>
      <c r="H20" s="19" t="inlineStr"/>
      <c r="I20" s="19" t="inlineStr"/>
      <c r="J20" s="19" t="inlineStr"/>
    </row>
    <row r="21">
      <c r="A21" s="19" t="inlineStr">
        <is>
          <t>BV-SEC-020</t>
        </is>
      </c>
      <c r="B21" s="19" t="inlineStr">
        <is>
          <t>Sign-in and security</t>
        </is>
      </c>
      <c r="C21" s="19" t="inlineStr">
        <is>
          <t>Idle session signs out after the configured minutes</t>
        </is>
      </c>
      <c r="D21" s="19" t="inlineStr">
        <is>
          <t>Not Run</t>
        </is>
      </c>
      <c r="E21" s="19" t="inlineStr">
        <is>
          <t>backend/test/hardening.test.js</t>
        </is>
      </c>
      <c r="F21" s="19" t="inlineStr">
        <is>
          <t>defaults: 30-minute access tokens; development keeps its fallbacks</t>
        </is>
      </c>
      <c r="G21" s="19" t="inlineStr"/>
      <c r="H21" s="19" t="inlineStr"/>
      <c r="I21" s="19" t="inlineStr"/>
      <c r="J21" s="19" t="inlineStr"/>
    </row>
    <row r="22">
      <c r="A22" s="19" t="inlineStr">
        <is>
          <t>BV-SEC-021</t>
        </is>
      </c>
      <c r="B22" s="19" t="inlineStr">
        <is>
          <t>Sign-in and security</t>
        </is>
      </c>
      <c r="C22" s="19" t="inlineStr">
        <is>
          <t>Deactivating a user or changing the role ends access at once</t>
        </is>
      </c>
      <c r="D22" s="19" t="inlineStr">
        <is>
          <t>Pass</t>
        </is>
      </c>
      <c r="E22" s="19" t="inlineStr">
        <is>
          <t>backend/test/hardening.test.js</t>
        </is>
      </c>
      <c r="F22" s="19" t="inlineStr">
        <is>
          <t>ends access at once on deactivation and on role change; refresh issues a token with the new roles</t>
        </is>
      </c>
      <c r="G22" s="19" t="inlineStr"/>
      <c r="H22" s="19" t="inlineStr"/>
      <c r="I22" s="19" t="inlineStr"/>
      <c r="J22" s="19" t="inlineStr"/>
    </row>
    <row r="23">
      <c r="A23" s="19" t="inlineStr">
        <is>
          <t>BV-SEC-022</t>
        </is>
      </c>
      <c r="B23" s="19" t="inlineStr">
        <is>
          <t>Sign-in and security</t>
        </is>
      </c>
      <c r="C23" s="19" t="inlineStr">
        <is>
          <t>End every session of a user</t>
        </is>
      </c>
      <c r="D23" s="19" t="inlineStr">
        <is>
          <t>Pass</t>
        </is>
      </c>
      <c r="E23" s="19" t="inlineStr">
        <is>
          <t>backend/test/access-control.test.js</t>
        </is>
      </c>
      <c r="F23" s="19" t="inlineStr">
        <is>
          <t>ends every session of a user</t>
        </is>
      </c>
      <c r="G23" s="19" t="inlineStr"/>
      <c r="H23" s="19" t="inlineStr"/>
      <c r="I23" s="19" t="inlineStr">
        <is>
          <t>/master/generals/usermanagement/access-matrix</t>
        </is>
      </c>
      <c r="J23" s="19" t="inlineStr">
        <is>
          <t>opened clean</t>
        </is>
      </c>
    </row>
    <row r="24">
      <c r="A24" s="19" t="inlineStr">
        <is>
          <t>BV-SEC-023</t>
        </is>
      </c>
      <c r="B24" s="19" t="inlineStr">
        <is>
          <t>Sign-in and security</t>
        </is>
      </c>
      <c r="C24" s="19" t="inlineStr">
        <is>
          <t>Reuse of an old refresh token revokes the sign-in</t>
        </is>
      </c>
      <c r="D24" s="19" t="inlineStr">
        <is>
          <t>Pass</t>
        </is>
      </c>
      <c r="E24" s="19" t="inlineStr">
        <is>
          <t>backend/test/hardening.test.js</t>
        </is>
      </c>
      <c r="F24" s="19" t="inlineStr">
        <is>
          <t>detects reuse of a rotated refresh token and revokes the whole sign-in</t>
        </is>
      </c>
      <c r="G24" s="19" t="inlineStr"/>
      <c r="H24" s="19" t="inlineStr"/>
      <c r="I24" s="19" t="inlineStr"/>
      <c r="J24" s="19" t="inlineStr"/>
    </row>
    <row r="25">
      <c r="A25" s="19" t="inlineStr">
        <is>
          <t>BV-SEC-024</t>
        </is>
      </c>
      <c r="B25" s="19" t="inlineStr">
        <is>
          <t>Sign-in and security</t>
        </is>
      </c>
      <c r="C25" s="19" t="inlineStr">
        <is>
          <t>Sign-in history visible to the administrator and the user</t>
        </is>
      </c>
      <c r="D25" s="19" t="inlineStr">
        <is>
          <t>Pass</t>
        </is>
      </c>
      <c r="E25" s="19" t="inlineStr">
        <is>
          <t>backend/test/security.test.js</t>
        </is>
      </c>
      <c r="F25" s="19" t="inlineStr">
        <is>
          <t>exposes sign-in history to administrators and to the user</t>
        </is>
      </c>
      <c r="G25" s="19" t="inlineStr"/>
      <c r="H25" s="19" t="inlineStr"/>
      <c r="I25" s="19" t="inlineStr"/>
      <c r="J25" s="19" t="inlineStr"/>
    </row>
    <row r="26">
      <c r="A26" s="19" t="inlineStr">
        <is>
          <t>BV-SEC-025</t>
        </is>
      </c>
      <c r="B26" s="19" t="inlineStr">
        <is>
          <t>Sign-in and security</t>
        </is>
      </c>
      <c r="C26" s="19" t="inlineStr">
        <is>
          <t>Every non-public endpoint refuses a call without a token</t>
        </is>
      </c>
      <c r="D26" s="19" t="inlineStr">
        <is>
          <t>Pass</t>
        </is>
      </c>
      <c r="E26" s="19" t="inlineStr">
        <is>
          <t>backend/test/hardening.test.js
backend/test/hardening.test.js</t>
        </is>
      </c>
      <c r="F26" s="19" t="inlineStr">
        <is>
          <t>every non-public route answers 401 without a token
declares only the intended public routes</t>
        </is>
      </c>
      <c r="G26" s="19" t="inlineStr"/>
      <c r="H26" s="19" t="inlineStr"/>
      <c r="I26" s="19" t="inlineStr"/>
      <c r="J26" s="19" t="inlineStr"/>
    </row>
    <row r="27">
      <c r="A27" s="19" t="inlineStr">
        <is>
          <t>BV-SEC-026</t>
        </is>
      </c>
      <c r="B27" s="19" t="inlineStr">
        <is>
          <t>Sign-in and security</t>
        </is>
      </c>
      <c r="C27" s="19" t="inlineStr">
        <is>
          <t>Tokens other than HS256 and default secrets are refused</t>
        </is>
      </c>
      <c r="D27" s="19" t="inlineStr">
        <is>
          <t>Pass</t>
        </is>
      </c>
      <c r="E27" s="19" t="inlineStr">
        <is>
          <t>backend/test/hardening.test.js
backend/test/hardening.test.js</t>
        </is>
      </c>
      <c r="F27" s="19" t="inlineStr">
        <is>
          <t>accepts only HS256 tokens
refuses missing or default secrets, CORS * and a localhost base URL in production only</t>
        </is>
      </c>
      <c r="G27" s="19" t="inlineStr"/>
      <c r="H27" s="19" t="inlineStr"/>
      <c r="I27" s="19" t="inlineStr"/>
      <c r="J27" s="19" t="inlineStr"/>
    </row>
    <row r="28">
      <c r="A28" s="19" t="inlineStr">
        <is>
          <t>BV-SEC-027</t>
        </is>
      </c>
      <c r="B28" s="19" t="inlineStr">
        <is>
          <t>Sign-in and security</t>
        </is>
      </c>
      <c r="C28" s="19" t="inlineStr">
        <is>
          <t>Injection probes in search and file fields</t>
        </is>
      </c>
      <c r="D28" s="19" t="inlineStr">
        <is>
          <t>Pass</t>
        </is>
      </c>
      <c r="E28" s="19" t="inlineStr">
        <is>
          <t>backend/test/hardening.test.js
backend/test/hardening.test.js
backend/test/configuration.test.js</t>
        </is>
      </c>
      <c r="F28" s="19" t="inlineStr">
        <is>
          <t>detects file types from their signature, not from the name or the browser
refuses HTML, scripts and unknown binaries; stores the detected type
CSV cells written by any module are guarded against spreadsheet formulas</t>
        </is>
      </c>
      <c r="G28" s="19" t="inlineStr"/>
      <c r="H28" s="19" t="inlineStr"/>
      <c r="I28" s="19" t="inlineStr"/>
      <c r="J28" s="19" t="inlineStr"/>
    </row>
    <row r="29">
      <c r="A29" s="19" t="inlineStr">
        <is>
          <t>BV-SEC-028</t>
        </is>
      </c>
      <c r="B29" s="19" t="inlineStr">
        <is>
          <t>Sign-in and security</t>
        </is>
      </c>
      <c r="C29" s="19" t="inlineStr">
        <is>
          <t>Security headers and request id on every response</t>
        </is>
      </c>
      <c r="D29" s="19" t="inlineStr">
        <is>
          <t>Pass</t>
        </is>
      </c>
      <c r="E29" s="19" t="inlineStr">
        <is>
          <t>backend/test/security.test.js
backend/test/hardening.test.js</t>
        </is>
      </c>
      <c r="F29" s="19" t="inlineStr">
        <is>
          <t>adds x-request-id to every response, echoes a caller id and returns it in error bodies
answers 500 with a generic message and the request id; client errors keep their message</t>
        </is>
      </c>
      <c r="G29" s="19" t="inlineStr"/>
      <c r="H29" s="19" t="inlineStr"/>
      <c r="I29" s="19" t="inlineStr"/>
      <c r="J29" s="19" t="inlineStr"/>
    </row>
    <row r="30">
      <c r="A30" s="19" t="inlineStr">
        <is>
          <t>BV-SEC-029</t>
        </is>
      </c>
      <c r="B30" s="19" t="inlineStr">
        <is>
          <t>Sign-in and security</t>
        </is>
      </c>
      <c r="C30" s="19" t="inlineStr">
        <is>
          <t>Upload size limit and global rate limit</t>
        </is>
      </c>
      <c r="D30" s="19" t="inlineStr">
        <is>
          <t>Pass</t>
        </is>
      </c>
      <c r="E30" s="19" t="inlineStr">
        <is>
          <t>backend/test/hardening.test.js
backend/test/hardening.test.js</t>
        </is>
      </c>
      <c r="F30" s="19" t="inlineStr">
        <is>
          <t>refuses uploads above UPLOAD_MAX_MB with 413
applies a configurable global API rate limit per user</t>
        </is>
      </c>
      <c r="G30" s="19" t="inlineStr"/>
      <c r="H30" s="19" t="inlineStr"/>
      <c r="I30" s="19" t="inlineStr"/>
      <c r="J30" s="19" t="inlineStr"/>
    </row>
    <row r="31">
      <c r="A31" s="19" t="inlineStr">
        <is>
          <t>BV-SEC-030</t>
        </is>
      </c>
      <c r="B31" s="19" t="inlineStr">
        <is>
          <t>Sign-in and security</t>
        </is>
      </c>
      <c r="C31" s="19" t="inlineStr">
        <is>
          <t>Tokens and cookies never written to the server log</t>
        </is>
      </c>
      <c r="D31" s="19" t="inlineStr">
        <is>
          <t>Pass</t>
        </is>
      </c>
      <c r="E31" s="19" t="inlineStr">
        <is>
          <t>backend/test/hardening.test.js</t>
        </is>
      </c>
      <c r="F31" s="19" t="inlineStr">
        <is>
          <t>never writes bearer tokens, cookies or link tokens to the log</t>
        </is>
      </c>
      <c r="G31" s="19" t="inlineStr"/>
      <c r="H31" s="19" t="inlineStr"/>
      <c r="I31" s="19" t="inlineStr"/>
      <c r="J31" s="19" t="inlineStr"/>
    </row>
    <row r="32">
      <c r="A32" s="19" t="inlineStr">
        <is>
          <t>BV-SEC-031</t>
        </is>
      </c>
      <c r="B32" s="19" t="inlineStr">
        <is>
          <t>Sign-in and security</t>
        </is>
      </c>
      <c r="C32" s="19" t="inlineStr">
        <is>
          <t>Document links open only with a session or a signed, unexpired link</t>
        </is>
      </c>
      <c r="D32" s="19" t="inlineStr">
        <is>
          <t>Pass</t>
        </is>
      </c>
      <c r="E32" s="19" t="inlineStr">
        <is>
          <t>backend/test/hardening.test.js
backend/test/hardening.test.js</t>
        </is>
      </c>
      <c r="F32" s="19" t="inlineStr">
        <is>
          <t>serves objects only with a bearer header or a signed, unexpired link, with safe headers
sends non-image, non-PDF files as attachments; legacy unsafe types as octet-stream</t>
        </is>
      </c>
      <c r="G32" s="19" t="inlineStr"/>
      <c r="H32" s="19" t="inlineStr"/>
      <c r="I32" s="19" t="inlineStr"/>
      <c r="J32" s="19" t="inlineStr"/>
    </row>
    <row r="33">
      <c r="A33" s="19" t="inlineStr">
        <is>
          <t>BV-SEC-032</t>
        </is>
      </c>
      <c r="B33" s="19" t="inlineStr">
        <is>
          <t>Sign-in and security</t>
        </is>
      </c>
      <c r="C33" s="19" t="inlineStr">
        <is>
          <t>Dependency audit of the release build</t>
        </is>
      </c>
      <c r="D33" s="19" t="inlineStr">
        <is>
          <t>Fail</t>
        </is>
      </c>
      <c r="E33" s="19" t="inlineStr"/>
      <c r="F33" s="19" t="inlineStr"/>
      <c r="G33" s="19" t="inlineStr"/>
      <c r="H33" s="19" t="inlineStr"/>
      <c r="I33" s="19" t="inlineStr"/>
      <c r="J33" s="19" t="inlineStr"/>
    </row>
    <row r="34">
      <c r="A34" s="19" t="inlineStr">
        <is>
          <t>BV-SEC-033</t>
        </is>
      </c>
      <c r="B34" s="19" t="inlineStr">
        <is>
          <t>Sign-in and security</t>
        </is>
      </c>
      <c r="C34" s="19" t="inlineStr">
        <is>
          <t>Personal data encrypted at application level</t>
        </is>
      </c>
      <c r="D34" s="19" t="inlineStr">
        <is>
          <t>Fail</t>
        </is>
      </c>
      <c r="E34" s="19" t="inlineStr">
        <is>
          <t>backend/test/hardening.test.js</t>
        </is>
      </c>
      <c r="F34" s="19" t="inlineStr">
        <is>
          <t>encrypts TOTP secrets with DATA_ENCRYPTION_KEY</t>
        </is>
      </c>
      <c r="G34" s="19" t="inlineStr"/>
      <c r="H34" s="19" t="inlineStr"/>
      <c r="I34" s="19" t="inlineStr"/>
      <c r="J34" s="19" t="inlineStr"/>
    </row>
    <row r="35">
      <c r="A35" s="19" t="inlineStr">
        <is>
          <t>BV-SEC-034</t>
        </is>
      </c>
      <c r="B35" s="19" t="inlineStr">
        <is>
          <t>Sign-in and security</t>
        </is>
      </c>
      <c r="C35" s="19" t="inlineStr">
        <is>
          <t>Record client consent under the Data Privacy Act</t>
        </is>
      </c>
      <c r="D35" s="19" t="inlineStr">
        <is>
          <t>Pass</t>
        </is>
      </c>
      <c r="E35" s="19" t="inlineStr"/>
      <c r="F35" s="19" t="inlineStr"/>
      <c r="G35" s="19" t="inlineStr"/>
      <c r="H35" s="19" t="inlineStr"/>
      <c r="I35" s="19" t="inlineStr"/>
      <c r="J35" s="19" t="inlineStr"/>
    </row>
    <row r="36">
      <c r="A36" s="19" t="inlineStr">
        <is>
          <t>BV-SEC-035</t>
        </is>
      </c>
      <c r="B36" s="19" t="inlineStr">
        <is>
          <t>Sign-in and security</t>
        </is>
      </c>
      <c r="C36" s="19" t="inlineStr">
        <is>
          <t>Log and answer a data subject access or erasure request</t>
        </is>
      </c>
      <c r="D36" s="19" t="inlineStr">
        <is>
          <t>Pass</t>
        </is>
      </c>
      <c r="E36" s="19" t="inlineStr"/>
      <c r="F36" s="19" t="inlineStr"/>
      <c r="G36" s="19" t="inlineStr"/>
      <c r="H36" s="19" t="inlineStr"/>
      <c r="I36" s="19" t="inlineStr"/>
      <c r="J36" s="19" t="inlineStr"/>
    </row>
    <row r="37">
      <c r="A37" s="19" t="inlineStr">
        <is>
          <t>BV-USR-001</t>
        </is>
      </c>
      <c r="B37" s="19" t="inlineStr">
        <is>
          <t>User and role administration</t>
        </is>
      </c>
      <c r="C37" s="19" t="inlineStr">
        <is>
          <t>Create a user per broker role</t>
        </is>
      </c>
      <c r="D37" s="19" t="inlineStr">
        <is>
          <t>Pass</t>
        </is>
      </c>
      <c r="E37" s="19" t="inlineStr">
        <is>
          <t>backend/test/user-access.test.js
backend/test/core.test.js</t>
        </is>
      </c>
      <c r="F37" s="19" t="inlineStr">
        <is>
          <t>lists, creates and locks users, and reads the audit trail
admin creates a persona user who can then sign in with that role</t>
        </is>
      </c>
      <c r="G37" s="19" t="inlineStr">
        <is>
          <t>Set-up</t>
        </is>
      </c>
      <c r="H37" s="19" t="inlineStr">
        <is>
          <t>46 passed, 0 failed</t>
        </is>
      </c>
      <c r="I37" s="19" t="inlineStr">
        <is>
          <t>/master/generals/usermanagement/user</t>
        </is>
      </c>
      <c r="J37" s="19" t="inlineStr">
        <is>
          <t>opened clean</t>
        </is>
      </c>
    </row>
    <row r="38">
      <c r="A38" s="19" t="inlineStr">
        <is>
          <t>BV-USR-002</t>
        </is>
      </c>
      <c r="B38" s="19" t="inlineStr">
        <is>
          <t>User and role administration</t>
        </is>
      </c>
      <c r="C38" s="19" t="inlineStr">
        <is>
          <t>Required fields and e-mail format on Add User</t>
        </is>
      </c>
      <c r="D38" s="19" t="inlineStr">
        <is>
          <t>Pass</t>
        </is>
      </c>
      <c r="E38" s="19" t="inlineStr">
        <is>
          <t>backend/test/role-access.test.js</t>
        </is>
      </c>
      <c r="F38" s="19" t="inlineStr">
        <is>
          <t>every create endpoint of the walk answers 400 "Validation failed" with one readable message per field</t>
        </is>
      </c>
      <c r="G38" s="19" t="inlineStr"/>
      <c r="H38" s="19" t="inlineStr"/>
      <c r="I38" s="19" t="inlineStr"/>
      <c r="J38" s="19" t="inlineStr"/>
    </row>
    <row r="39">
      <c r="A39" s="19" t="inlineStr">
        <is>
          <t>BV-USR-003</t>
        </is>
      </c>
      <c r="B39" s="19" t="inlineStr">
        <is>
          <t>User and role administration</t>
        </is>
      </c>
      <c r="C39" s="19" t="inlineStr">
        <is>
          <t>Duplicate username refused</t>
        </is>
      </c>
      <c r="D39" s="19" t="inlineStr">
        <is>
          <t>Pass</t>
        </is>
      </c>
      <c r="E39" s="19" t="inlineStr">
        <is>
          <t>backend/test/user-access.test.js</t>
        </is>
      </c>
      <c r="F39" s="19" t="inlineStr">
        <is>
          <t>lists, creates and locks users, and reads the audit trail</t>
        </is>
      </c>
      <c r="G39" s="19" t="inlineStr"/>
      <c r="H39" s="19" t="inlineStr"/>
      <c r="I39" s="19" t="inlineStr"/>
      <c r="J39" s="19" t="inlineStr"/>
    </row>
    <row r="40">
      <c r="A40" s="19" t="inlineStr">
        <is>
          <t>BV-USR-004</t>
        </is>
      </c>
      <c r="B40" s="19" t="inlineStr">
        <is>
          <t>User and role administration</t>
        </is>
      </c>
      <c r="C40" s="19" t="inlineStr">
        <is>
          <t>Only a System Administrator grants the administrator role</t>
        </is>
      </c>
      <c r="D40" s="19" t="inlineStr">
        <is>
          <t>Pass</t>
        </is>
      </c>
      <c r="E40" s="19" t="inlineStr">
        <is>
          <t>backend/test/user-access.test.js
backend/test/hardening.test.js</t>
        </is>
      </c>
      <c r="F40" s="19" t="inlineStr">
        <is>
          <t>cannot grant the System Administrator role
only a System Administrator grants the administrator role or edits it; nobody changes their own roles or status</t>
        </is>
      </c>
      <c r="G40" s="19" t="inlineStr"/>
      <c r="H40" s="19" t="inlineStr"/>
      <c r="I40" s="19" t="inlineStr"/>
      <c r="J40" s="19" t="inlineStr"/>
    </row>
    <row r="41">
      <c r="A41" s="19" t="inlineStr">
        <is>
          <t>BV-USR-005</t>
        </is>
      </c>
      <c r="B41" s="19" t="inlineStr">
        <is>
          <t>User and role administration</t>
        </is>
      </c>
      <c r="C41" s="19" t="inlineStr">
        <is>
          <t>A user cannot change own roles or status</t>
        </is>
      </c>
      <c r="D41" s="19" t="inlineStr">
        <is>
          <t>Pass</t>
        </is>
      </c>
      <c r="E41" s="19" t="inlineStr">
        <is>
          <t>backend/test/user-access.test.js</t>
        </is>
      </c>
      <c r="F41" s="19" t="inlineStr">
        <is>
          <t>cannot change its own roles</t>
        </is>
      </c>
      <c r="G41" s="19" t="inlineStr"/>
      <c r="H41" s="19" t="inlineStr"/>
      <c r="I41" s="19" t="inlineStr"/>
      <c r="J41" s="19" t="inlineStr"/>
    </row>
    <row r="42">
      <c r="A42" s="19" t="inlineStr">
        <is>
          <t>BV-USR-006</t>
        </is>
      </c>
      <c r="B42" s="19" t="inlineStr">
        <is>
          <t>User and role administration</t>
        </is>
      </c>
      <c r="C42" s="19" t="inlineStr">
        <is>
          <t>Administrator resets a user password</t>
        </is>
      </c>
      <c r="D42" s="19" t="inlineStr">
        <is>
          <t>Pass</t>
        </is>
      </c>
      <c r="E42" s="19" t="inlineStr">
        <is>
          <t>backend/test/hardening.test.js</t>
        </is>
      </c>
      <c r="F42" s="19" t="inlineStr">
        <is>
          <t>administrator reset without a password returns a temporary one once and ends the user's sessions</t>
        </is>
      </c>
      <c r="G42" s="19" t="inlineStr"/>
      <c r="H42" s="19" t="inlineStr"/>
      <c r="I42" s="19" t="inlineStr"/>
      <c r="J42" s="19" t="inlineStr"/>
    </row>
    <row r="43">
      <c r="A43" s="19" t="inlineStr">
        <is>
          <t>BV-USR-007</t>
        </is>
      </c>
      <c r="B43" s="19" t="inlineStr">
        <is>
          <t>User and role administration</t>
        </is>
      </c>
      <c r="C43" s="19" t="inlineStr">
        <is>
          <t>Seeded roles are the broker roles plus System Administrator</t>
        </is>
      </c>
      <c r="D43" s="19" t="inlineStr">
        <is>
          <t>Pass</t>
        </is>
      </c>
      <c r="E43" s="19" t="inlineStr">
        <is>
          <t>backend/test/user-access.test.js
backend/test/broker-roles-migration.test.js</t>
        </is>
      </c>
      <c r="F43" s="19" t="inlineStr">
        <is>
          <t>the seeded roles are the broker roles and the System Administrator
leaves no old role code anywhere and is idempotent</t>
        </is>
      </c>
      <c r="G43" s="19" t="inlineStr"/>
      <c r="H43" s="19" t="inlineStr"/>
      <c r="I43" s="19" t="inlineStr">
        <is>
          <t>/master/generals/usermanagement/role</t>
        </is>
      </c>
      <c r="J43" s="19" t="inlineStr">
        <is>
          <t>opened clean</t>
        </is>
      </c>
    </row>
    <row r="44">
      <c r="A44" s="19" t="inlineStr">
        <is>
          <t>BV-USR-008</t>
        </is>
      </c>
      <c r="B44" s="19" t="inlineStr">
        <is>
          <t>User and role administration</t>
        </is>
      </c>
      <c r="C44" s="19" t="inlineStr">
        <is>
          <t>Change a role permission; the change waits for a second approver</t>
        </is>
      </c>
      <c r="D44" s="19" t="inlineStr">
        <is>
          <t>Pass</t>
        </is>
      </c>
      <c r="E44" s="19" t="inlineStr">
        <is>
          <t>backend/test/configuration-controls.test.js
backend/test/hardening.test.js</t>
        </is>
      </c>
      <c r="F44" s="19" t="inlineStr">
        <is>
          <t>a role change waits for a different approver
role permission changes renew the tokens of the role's users</t>
        </is>
      </c>
      <c r="G44" s="19" t="inlineStr"/>
      <c r="H44" s="19" t="inlineStr"/>
      <c r="I44" s="19" t="inlineStr">
        <is>
          <t>/master/generals/usermanagement/role-permissions
/master/finance/configuration-approvals</t>
        </is>
      </c>
      <c r="J44" s="19" t="inlineStr">
        <is>
          <t>opened clean
opened clean</t>
        </is>
      </c>
    </row>
    <row r="45">
      <c r="A45" s="19" t="inlineStr">
        <is>
          <t>BV-USR-009</t>
        </is>
      </c>
      <c r="B45" s="19" t="inlineStr">
        <is>
          <t>User and role administration</t>
        </is>
      </c>
      <c r="C45" s="19" t="inlineStr">
        <is>
          <t>Approval limits per role and transaction type</t>
        </is>
      </c>
      <c r="D45" s="19" t="inlineStr">
        <is>
          <t>Pass</t>
        </is>
      </c>
      <c r="E45" s="19" t="inlineStr">
        <is>
          <t>backend/test/access-control.test.js
backend/test/access-control.test.js</t>
        </is>
      </c>
      <c r="F45" s="19" t="inlineStr">
        <is>
          <t>ships default limits per role and shows them types down, roles across
a new limit applies only after another administrator approves it</t>
        </is>
      </c>
      <c r="G45" s="19" t="inlineStr"/>
      <c r="H45" s="19" t="inlineStr"/>
      <c r="I45" s="19" t="inlineStr">
        <is>
          <t>/master/generals/usermanagement/authority-matrix</t>
        </is>
      </c>
      <c r="J45" s="19" t="inlineStr">
        <is>
          <t>opened clean</t>
        </is>
      </c>
    </row>
    <row r="46">
      <c r="A46" s="19" t="inlineStr">
        <is>
          <t>BV-USR-010</t>
        </is>
      </c>
      <c r="B46" s="19" t="inlineStr">
        <is>
          <t>User and role administration</t>
        </is>
      </c>
      <c r="C46" s="19" t="inlineStr">
        <is>
          <t>Approval above the approver limit is refused</t>
        </is>
      </c>
      <c r="D46" s="19" t="inlineStr">
        <is>
          <t>Pass</t>
        </is>
      </c>
      <c r="E46" s="19" t="inlineStr">
        <is>
          <t>backend/test/access-control.test.js</t>
        </is>
      </c>
      <c r="F46" s="19" t="inlineStr">
        <is>
          <t>refuses an approval above the approver's limit and allows it within</t>
        </is>
      </c>
      <c r="G46" s="19" t="inlineStr">
        <is>
          <t>Reconciliation: bank and insurer statements</t>
        </is>
      </c>
      <c r="H46" s="19" t="inlineStr">
        <is>
          <t>10 passed, 0 failed</t>
        </is>
      </c>
      <c r="I46" s="19" t="inlineStr"/>
      <c r="J46" s="19" t="inlineStr"/>
    </row>
    <row r="47">
      <c r="A47" s="19" t="inlineStr">
        <is>
          <t>BV-USR-011</t>
        </is>
      </c>
      <c r="B47" s="19" t="inlineStr">
        <is>
          <t>User and role administration</t>
        </is>
      </c>
      <c r="C47" s="19" t="inlineStr">
        <is>
          <t>Delegate approval authority for a date range</t>
        </is>
      </c>
      <c r="D47" s="19" t="inlineStr">
        <is>
          <t>Pass</t>
        </is>
      </c>
      <c r="E47" s="19" t="inlineStr">
        <is>
          <t>backend/test/access-control.test.js</t>
        </is>
      </c>
      <c r="F47" s="19" t="inlineStr">
        <is>
          <t>a delegation lends the delegator's authority for its types and dates</t>
        </is>
      </c>
      <c r="G47" s="19" t="inlineStr"/>
      <c r="H47" s="19" t="inlineStr"/>
      <c r="I47" s="19" t="inlineStr">
        <is>
          <t>/master/generals/usermanagement/delegations</t>
        </is>
      </c>
      <c r="J47" s="19" t="inlineStr">
        <is>
          <t>opened clean</t>
        </is>
      </c>
    </row>
    <row r="48">
      <c r="A48" s="19" t="inlineStr">
        <is>
          <t>BV-USR-012</t>
        </is>
      </c>
      <c r="B48" s="19" t="inlineStr">
        <is>
          <t>User and role administration</t>
        </is>
      </c>
      <c r="C48" s="19" t="inlineStr">
        <is>
          <t>Conflicting roles blocked on one user</t>
        </is>
      </c>
      <c r="D48" s="19" t="inlineStr">
        <is>
          <t>Pass</t>
        </is>
      </c>
      <c r="E48" s="19" t="inlineStr">
        <is>
          <t>backend/test/access-control.test.js</t>
        </is>
      </c>
      <c r="F48" s="19" t="inlineStr">
        <is>
          <t>blocks roles one person may not hold together and warns on the others</t>
        </is>
      </c>
      <c r="G48" s="19" t="inlineStr"/>
      <c r="H48" s="19" t="inlineStr"/>
      <c r="I48" s="19" t="inlineStr">
        <is>
          <t>/master/generals/usermanagement/segregation-of-duties</t>
        </is>
      </c>
      <c r="J48" s="19" t="inlineStr">
        <is>
          <t>opened clean</t>
        </is>
      </c>
    </row>
    <row r="49">
      <c r="A49" s="19" t="inlineStr">
        <is>
          <t>BV-USR-013</t>
        </is>
      </c>
      <c r="B49" s="19" t="inlineStr">
        <is>
          <t>User and role administration</t>
        </is>
      </c>
      <c r="C49" s="19" t="inlineStr">
        <is>
          <t>Periodic access review closes when every user is decided</t>
        </is>
      </c>
      <c r="D49" s="19" t="inlineStr">
        <is>
          <t>Pass</t>
        </is>
      </c>
      <c r="E49" s="19" t="inlineStr">
        <is>
          <t>backend/test/access-control.test.js</t>
        </is>
      </c>
      <c r="F49" s="19" t="inlineStr">
        <is>
          <t>reviews every active user; a revoked user is deactivated and the review closes when all are decided</t>
        </is>
      </c>
      <c r="G49" s="19" t="inlineStr"/>
      <c r="H49" s="19" t="inlineStr"/>
      <c r="I49" s="19" t="inlineStr">
        <is>
          <t>/master/generals/usermanagement/access-reviews</t>
        </is>
      </c>
      <c r="J49" s="19" t="inlineStr">
        <is>
          <t>opened clean</t>
        </is>
      </c>
    </row>
    <row r="50">
      <c r="A50" s="19" t="inlineStr">
        <is>
          <t>BV-USR-014</t>
        </is>
      </c>
      <c r="B50" s="19" t="inlineStr">
        <is>
          <t>User and role administration</t>
        </is>
      </c>
      <c r="C50" s="19" t="inlineStr">
        <is>
          <t>User access report downloads</t>
        </is>
      </c>
      <c r="D50" s="19" t="inlineStr">
        <is>
          <t>Pass</t>
        </is>
      </c>
      <c r="E50" s="19" t="inlineStr">
        <is>
          <t>backend/test/access-control.test.js</t>
        </is>
      </c>
      <c r="F50" s="19" t="inlineStr">
        <is>
          <t>lists every user with roles and sign-in facts, and downloads it</t>
        </is>
      </c>
      <c r="G50" s="19" t="inlineStr"/>
      <c r="H50" s="19" t="inlineStr"/>
      <c r="I50" s="19" t="inlineStr">
        <is>
          <t>/master/generals/usermanagement/access-matrix</t>
        </is>
      </c>
      <c r="J50" s="19" t="inlineStr">
        <is>
          <t>opened clean</t>
        </is>
      </c>
    </row>
    <row r="51">
      <c r="A51" s="19" t="inlineStr">
        <is>
          <t>BV-USR-015</t>
        </is>
      </c>
      <c r="B51" s="19" t="inlineStr">
        <is>
          <t>User and role administration</t>
        </is>
      </c>
      <c r="C51" s="19" t="inlineStr">
        <is>
          <t>Dormant accounts deactivated, administrator kept</t>
        </is>
      </c>
      <c r="D51" s="19" t="inlineStr">
        <is>
          <t>Pass</t>
        </is>
      </c>
      <c r="E51" s="19" t="inlineStr">
        <is>
          <t>backend/test/access-control.test.js</t>
        </is>
      </c>
      <c r="F51" s="19" t="inlineStr">
        <is>
          <t>deactivates accounts with no sign-in for the dormant period, never the built-in administrator</t>
        </is>
      </c>
      <c r="G51" s="19" t="inlineStr"/>
      <c r="H51" s="19" t="inlineStr"/>
      <c r="I51" s="19" t="inlineStr"/>
      <c r="J51" s="19" t="inlineStr"/>
    </row>
    <row r="52">
      <c r="A52" s="19" t="inlineStr">
        <is>
          <t>BV-USR-016</t>
        </is>
      </c>
      <c r="B52" s="19" t="inlineStr">
        <is>
          <t>User and role administration</t>
        </is>
      </c>
      <c r="C52" s="19" t="inlineStr">
        <is>
          <t>Account Executive in a scoped role sees only own book</t>
        </is>
      </c>
      <c r="D52" s="19" t="inlineStr">
        <is>
          <t>Pass</t>
        </is>
      </c>
      <c r="E52" s="19" t="inlineStr">
        <is>
          <t>backend/test/scope.test.js
backend/test/scope.test.js
backend/test/scope.test.js
backend/test/scope.test.js</t>
        </is>
      </c>
      <c r="F52" s="19" t="inlineStr">
        <is>
          <t>leads: each agent lists, reads and updates only their own; admin sees all
quotations: own list and stats; someone else's quote (or lead) answers 404
policies and clients: own book only; admin sees both agents' policies
scoped roles come from security.scoped_roles</t>
        </is>
      </c>
      <c r="G52" s="19" t="inlineStr"/>
      <c r="H52" s="19" t="inlineStr"/>
      <c r="I52" s="19" t="inlineStr"/>
      <c r="J52" s="19" t="inlineStr"/>
    </row>
    <row r="53">
      <c r="A53" s="19" t="inlineStr">
        <is>
          <t>BV-MST-001</t>
        </is>
      </c>
      <c r="B53" s="19" t="inlineStr">
        <is>
          <t>Masters</t>
        </is>
      </c>
      <c r="C53" s="19" t="inlineStr">
        <is>
          <t>Add an insurer with credit terms</t>
        </is>
      </c>
      <c r="D53" s="19" t="inlineStr">
        <is>
          <t>Pass</t>
        </is>
      </c>
      <c r="E53" s="19" t="inlineStr">
        <is>
          <t>backend/test/masters.test.js
backend/test/numbering.test.js</t>
        </is>
      </c>
      <c r="F53" s="19" t="inlineStr">
        <is>
          <t>creates, reads, searches, updates and deactivates
are edited on the insurer master and fall back to the settings</t>
        </is>
      </c>
      <c r="G53" s="19" t="inlineStr">
        <is>
          <t>Set-up</t>
        </is>
      </c>
      <c r="H53" s="19" t="inlineStr">
        <is>
          <t>46 passed, 0 failed</t>
        </is>
      </c>
      <c r="I53" s="19" t="inlineStr">
        <is>
          <t>/master/generals/insurancemanagement/insurancecompany</t>
        </is>
      </c>
      <c r="J53" s="19" t="inlineStr">
        <is>
          <t>opened clean</t>
        </is>
      </c>
    </row>
    <row r="54">
      <c r="A54" s="19" t="inlineStr">
        <is>
          <t>BV-MST-002</t>
        </is>
      </c>
      <c r="B54" s="19" t="inlineStr">
        <is>
          <t>Masters</t>
        </is>
      </c>
      <c r="C54" s="19" t="inlineStr">
        <is>
          <t>Required fields and duplicate code on a master</t>
        </is>
      </c>
      <c r="D54" s="19" t="inlineStr">
        <is>
          <t>Pass</t>
        </is>
      </c>
      <c r="E54" s="19" t="inlineStr">
        <is>
          <t>backend/test/masters.test.js</t>
        </is>
      </c>
      <c r="F54" s="19" t="inlineStr">
        <is>
          <t>validates required fields, types and duplicate codes</t>
        </is>
      </c>
      <c r="G54" s="19" t="inlineStr"/>
      <c r="H54" s="19" t="inlineStr"/>
      <c r="I54" s="19" t="inlineStr"/>
      <c r="J54" s="19" t="inlineStr"/>
    </row>
    <row r="55">
      <c r="A55" s="19" t="inlineStr">
        <is>
          <t>BV-MST-003</t>
        </is>
      </c>
      <c r="B55" s="19" t="inlineStr">
        <is>
          <t>Masters</t>
        </is>
      </c>
      <c r="C55" s="19" t="inlineStr">
        <is>
          <t>Product master shows package / non-package classification</t>
        </is>
      </c>
      <c r="D55" s="19" t="inlineStr">
        <is>
          <t>Pass</t>
        </is>
      </c>
      <c r="E55" s="19" t="inlineStr">
        <is>
          <t>backend/test/product-classification.test.js
backend/test/product-classification.test.js</t>
        </is>
      </c>
      <c r="F55" s="19" t="inlineStr">
        <is>
          <t>seeds package and non-package products with their customer segment
shows and filters the classification on the placement options and the product master</t>
        </is>
      </c>
      <c r="G55" s="19" t="inlineStr"/>
      <c r="H55" s="19" t="inlineStr"/>
      <c r="I55" s="19" t="inlineStr">
        <is>
          <t>/master/generals/insurancemanagement/productmaster</t>
        </is>
      </c>
      <c r="J55" s="19" t="inlineStr">
        <is>
          <t>opened clean</t>
        </is>
      </c>
    </row>
    <row r="56">
      <c r="A56" s="19" t="inlineStr">
        <is>
          <t>BV-MST-004</t>
        </is>
      </c>
      <c r="B56" s="19" t="inlineStr">
        <is>
          <t>Masters</t>
        </is>
      </c>
      <c r="C56" s="19" t="inlineStr">
        <is>
          <t>Reclassifying a product changes its placement journey</t>
        </is>
      </c>
      <c r="D56" s="19" t="inlineStr">
        <is>
          <t>Pass</t>
        </is>
      </c>
      <c r="E56" s="19" t="inlineStr">
        <is>
          <t>backend/test/product-classification.test.js</t>
        </is>
      </c>
      <c r="F56" s="19" t="inlineStr">
        <is>
          <t>reclassifying a product on the Product master changes its journey without a code change</t>
        </is>
      </c>
      <c r="G56" s="19" t="inlineStr"/>
      <c r="H56" s="19" t="inlineStr"/>
      <c r="I56" s="19" t="inlineStr"/>
      <c r="J56" s="19" t="inlineStr"/>
    </row>
    <row r="57">
      <c r="A57" s="19" t="inlineStr">
        <is>
          <t>BV-MST-005</t>
        </is>
      </c>
      <c r="B57" s="19" t="inlineStr">
        <is>
          <t>Masters</t>
        </is>
      </c>
      <c r="C57" s="19" t="inlineStr">
        <is>
          <t>Cover master: code issued, several covers per line</t>
        </is>
      </c>
      <c r="D57" s="19" t="inlineStr">
        <is>
          <t>Pass</t>
        </is>
      </c>
      <c r="E57" s="19" t="inlineStr">
        <is>
          <t>backend/test/masters.test.js
backend/test/masters.test.js</t>
        </is>
      </c>
      <c r="F57" s="19" t="inlineStr">
        <is>
          <t>issues the code, leaves Effective To open, keeps several covers and matches every sales person when none is set
offers the covers of a line and those without a line</t>
        </is>
      </c>
      <c r="G57" s="19" t="inlineStr"/>
      <c r="H57" s="19" t="inlineStr"/>
      <c r="I57" s="19" t="inlineStr">
        <is>
          <t>/master/generals/insurancemanagement/cover</t>
        </is>
      </c>
      <c r="J57" s="19" t="inlineStr">
        <is>
          <t>opened clean</t>
        </is>
      </c>
    </row>
    <row r="58">
      <c r="A58" s="19" t="inlineStr">
        <is>
          <t>BV-MST-006</t>
        </is>
      </c>
      <c r="B58" s="19" t="inlineStr">
        <is>
          <t>Masters</t>
        </is>
      </c>
      <c r="C58" s="19" t="inlineStr">
        <is>
          <t>Signatory added is offered on quotations; inactive is not</t>
        </is>
      </c>
      <c r="D58" s="19" t="inlineStr">
        <is>
          <t>Pass</t>
        </is>
      </c>
      <c r="E58" s="19" t="inlineStr">
        <is>
          <t>backend/test/masters.test.js
backend/test/quote-to-policy.test.js</t>
        </is>
      </c>
      <c r="F58" s="19" t="inlineStr">
        <is>
          <t>a signatory added under Master is offered; an inactive one is not
the quotation PDF prints the chosen signatory with the designation</t>
        </is>
      </c>
      <c r="G58" s="19" t="inlineStr"/>
      <c r="H58" s="19" t="inlineStr"/>
      <c r="I58" s="19" t="inlineStr">
        <is>
          <t>/master/generals/insurancemanagement/signatories</t>
        </is>
      </c>
      <c r="J58" s="19" t="inlineStr">
        <is>
          <t>opened clean</t>
        </is>
      </c>
    </row>
    <row r="59">
      <c r="A59" s="19" t="inlineStr">
        <is>
          <t>BV-MST-007</t>
        </is>
      </c>
      <c r="B59" s="19" t="inlineStr">
        <is>
          <t>Masters</t>
        </is>
      </c>
      <c r="C59" s="19" t="inlineStr">
        <is>
          <t>Country, province and city drop-downs follow the hierarchy</t>
        </is>
      </c>
      <c r="D59" s="19" t="inlineStr">
        <is>
          <t>Pass</t>
        </is>
      </c>
      <c r="E59" s="19" t="inlineStr">
        <is>
          <t>backend/test/addresses.test.js
backend/test/addresses.test.js</t>
        </is>
      </c>
      <c r="F59" s="19" t="inlineStr">
        <is>
          <t>serves the Philippine hierarchy used by the claim screens: Metro Manila (NCR) -&gt; Makati
looks up postal codes for auto-fill</t>
        </is>
      </c>
      <c r="G59" s="19" t="inlineStr"/>
      <c r="H59" s="19" t="inlineStr"/>
      <c r="I59" s="19" t="inlineStr">
        <is>
          <t>/master/generals/location/country
/master/generals/location/state
/master/generals/location/city</t>
        </is>
      </c>
      <c r="J59" s="19" t="inlineStr">
        <is>
          <t>opened clean
opened clean
opened clean</t>
        </is>
      </c>
    </row>
    <row r="60">
      <c r="A60" s="19" t="inlineStr">
        <is>
          <t>BV-MST-008</t>
        </is>
      </c>
      <c r="B60" s="19" t="inlineStr">
        <is>
          <t>Masters</t>
        </is>
      </c>
      <c r="C60" s="19" t="inlineStr">
        <is>
          <t>Upload cities from the master template</t>
        </is>
      </c>
      <c r="D60" s="19" t="inlineStr">
        <is>
          <t>Pass</t>
        </is>
      </c>
      <c r="E60" s="19" t="inlineStr">
        <is>
          <t>backend/test/upload-templates.test.js</t>
        </is>
      </c>
      <c r="F60" s="19" t="inlineStr">
        <is>
          <t>downloads a master template and creates the uploaded records, reporting the rows that fail</t>
        </is>
      </c>
      <c r="G60" s="19" t="inlineStr"/>
      <c r="H60" s="19" t="inlineStr"/>
      <c r="I60" s="19" t="inlineStr"/>
      <c r="J60" s="19" t="inlineStr"/>
    </row>
    <row r="61">
      <c r="A61" s="19" t="inlineStr">
        <is>
          <t>BV-MST-009</t>
        </is>
      </c>
      <c r="B61" s="19" t="inlineStr">
        <is>
          <t>Masters</t>
        </is>
      </c>
      <c r="C61" s="19" t="inlineStr">
        <is>
          <t>Primary company prints on documents</t>
        </is>
      </c>
      <c r="D61" s="19" t="inlineStr">
        <is>
          <t>Pass</t>
        </is>
      </c>
      <c r="E61" s="19" t="inlineStr">
        <is>
          <t>backend/test/printing.test.js
backend/test/printing.test.js</t>
        </is>
      </c>
      <c r="F61" s="19" t="inlineStr">
        <is>
          <t>reads the primary company of the Company master (iorta TechNXT Corp. out of the box) with its logo
allows one primary company only, and prints follow the primary company</t>
        </is>
      </c>
      <c r="G61" s="19" t="inlineStr"/>
      <c r="H61" s="19" t="inlineStr"/>
      <c r="I61" s="19" t="inlineStr">
        <is>
          <t>/master/generals/organization/companymaster</t>
        </is>
      </c>
      <c r="J61" s="19" t="inlineStr">
        <is>
          <t>opened clean</t>
        </is>
      </c>
    </row>
    <row r="62">
      <c r="A62" s="19" t="inlineStr">
        <is>
          <t>BV-MST-010</t>
        </is>
      </c>
      <c r="B62" s="19" t="inlineStr">
        <is>
          <t>Masters</t>
        </is>
      </c>
      <c r="C62" s="19" t="inlineStr">
        <is>
          <t>Branch, designation and employee masters open and save</t>
        </is>
      </c>
      <c r="D62" s="19" t="inlineStr">
        <is>
          <t>Pass</t>
        </is>
      </c>
      <c r="E62" s="19" t="inlineStr">
        <is>
          <t>backend/test/masters.test.js</t>
        </is>
      </c>
      <c r="F62" s="19" t="inlineStr">
        <is>
          <t>creates, reads, searches, updates and deactivates</t>
        </is>
      </c>
      <c r="G62" s="19" t="inlineStr"/>
      <c r="H62" s="19" t="inlineStr"/>
      <c r="I62" s="19" t="inlineStr">
        <is>
          <t>/master/generals/organization/branchmaster
/master/generals/employeemanagement/designation
/master/generals/employeemanagement/employee</t>
        </is>
      </c>
      <c r="J62" s="19" t="inlineStr">
        <is>
          <t>opened clean
opened clean
opened clean</t>
        </is>
      </c>
    </row>
    <row r="63">
      <c r="A63" s="19" t="inlineStr">
        <is>
          <t>BV-MST-011</t>
        </is>
      </c>
      <c r="B63" s="19" t="inlineStr">
        <is>
          <t>Masters</t>
        </is>
      </c>
      <c r="C63" s="19" t="inlineStr">
        <is>
          <t>Sales reads masters but cannot change them</t>
        </is>
      </c>
      <c r="D63" s="19" t="inlineStr">
        <is>
          <t>Pass</t>
        </is>
      </c>
      <c r="E63" s="19" t="inlineStr">
        <is>
          <t>backend/test/masters.test.js</t>
        </is>
      </c>
      <c r="F63" s="19" t="inlineStr">
        <is>
          <t>enforces permissions: sales may read but not write</t>
        </is>
      </c>
      <c r="G63" s="19" t="inlineStr"/>
      <c r="H63" s="19" t="inlineStr"/>
      <c r="I63" s="19" t="inlineStr"/>
      <c r="J63" s="19" t="inlineStr"/>
    </row>
    <row r="64">
      <c r="A64" s="19" t="inlineStr">
        <is>
          <t>BV-MST-012</t>
        </is>
      </c>
      <c r="B64" s="19" t="inlineStr">
        <is>
          <t>Masters</t>
        </is>
      </c>
      <c r="C64" s="19" t="inlineStr">
        <is>
          <t>Administrator adds a new master type without code change</t>
        </is>
      </c>
      <c r="D64" s="19" t="inlineStr">
        <is>
          <t>Pass</t>
        </is>
      </c>
      <c r="E64" s="19" t="inlineStr">
        <is>
          <t>backend/test/masters.test.js</t>
        </is>
      </c>
      <c r="F64" s="19" t="inlineStr">
        <is>
          <t>administrators add a new master type and edit field definitions without code changes</t>
        </is>
      </c>
      <c r="G64" s="19" t="inlineStr"/>
      <c r="H64" s="19" t="inlineStr"/>
      <c r="I64" s="19" t="inlineStr"/>
      <c r="J64" s="19" t="inlineStr"/>
    </row>
    <row r="65">
      <c r="A65" s="19" t="inlineStr">
        <is>
          <t>BV-MST-013</t>
        </is>
      </c>
      <c r="B65" s="19" t="inlineStr">
        <is>
          <t>Masters</t>
        </is>
      </c>
      <c r="C65" s="19" t="inlineStr">
        <is>
          <t>Currency, exchange rate and bank masters</t>
        </is>
      </c>
      <c r="D65" s="19" t="inlineStr">
        <is>
          <t>Pass</t>
        </is>
      </c>
      <c r="E65" s="19" t="inlineStr">
        <is>
          <t>backend/test/masters.test.js
brokerverse/src/module/FinanceMastersModule/BankMaster/AccountDataView/bankAccountErrors.test.js</t>
        </is>
      </c>
      <c r="F65" s="19" t="inlineStr">
        <is>
          <t>currency and seeded insurance companies expose front-end field names
checks the formats of number, e-mail, phone and SWIFT code</t>
        </is>
      </c>
      <c r="G65" s="19" t="inlineStr">
        <is>
          <t>Set-up</t>
        </is>
      </c>
      <c r="H65" s="19" t="inlineStr">
        <is>
          <t>46 passed, 0 failed</t>
        </is>
      </c>
      <c r="I65" s="19" t="inlineStr">
        <is>
          <t>/master/finance/currency
/master/finance/exchangerate
/master/finance/bank</t>
        </is>
      </c>
      <c r="J65" s="19" t="inlineStr">
        <is>
          <t>opened clean
opened clean
opened clean</t>
        </is>
      </c>
    </row>
    <row r="66">
      <c r="A66" s="19" t="inlineStr">
        <is>
          <t>BV-MST-014</t>
        </is>
      </c>
      <c r="B66" s="19" t="inlineStr">
        <is>
          <t>Masters</t>
        </is>
      </c>
      <c r="C66" s="19" t="inlineStr">
        <is>
          <t>Chart of accounts is a complete Philippine broker chart</t>
        </is>
      </c>
      <c r="D66" s="19" t="inlineStr">
        <is>
          <t>Pass</t>
        </is>
      </c>
      <c r="E66" s="19" t="inlineStr">
        <is>
          <t>backend/test/chart-of-accounts.test.js
backend/test/chart-of-accounts.test.js
backend/test/chart-of-accounts.test.js</t>
        </is>
      </c>
      <c r="F66" s="19" t="inlineStr">
        <is>
          <t>every GL account the system posts to (settings, payee and payment-mode maps) exists and is active
is a complete Philippine broker chart, grouped for the statements
is maintained from the chart of accounts screen (type grouping, statement group, system accounts protected)</t>
        </is>
      </c>
      <c r="G66" s="19" t="inlineStr"/>
      <c r="H66" s="19" t="inlineStr"/>
      <c r="I66" s="19" t="inlineStr">
        <is>
          <t>/master/finance/mainaccount
/master/finance/subaccount
/master/finance/accountcategory</t>
        </is>
      </c>
      <c r="J66" s="19" t="inlineStr">
        <is>
          <t>opened clean
opened clean
opened clean</t>
        </is>
      </c>
    </row>
    <row r="67">
      <c r="A67" s="19" t="inlineStr">
        <is>
          <t>BV-MST-015</t>
        </is>
      </c>
      <c r="B67" s="19" t="inlineStr">
        <is>
          <t>Masters</t>
        </is>
      </c>
      <c r="C67" s="19" t="inlineStr">
        <is>
          <t>Upload chart of accounts adds and updates accounts</t>
        </is>
      </c>
      <c r="D67" s="19" t="inlineStr">
        <is>
          <t>Pass</t>
        </is>
      </c>
      <c r="E67" s="19" t="inlineStr">
        <is>
          <t>backend/test/upload-templates.test.js</t>
        </is>
      </c>
      <c r="F67" s="19" t="inlineStr">
        <is>
          <t>chart of accounts upload adds new accounts and updates existing ones</t>
        </is>
      </c>
      <c r="G67" s="19" t="inlineStr"/>
      <c r="H67" s="19" t="inlineStr"/>
      <c r="I67" s="19" t="inlineStr"/>
      <c r="J67" s="19" t="inlineStr"/>
    </row>
    <row r="68">
      <c r="A68" s="19" t="inlineStr">
        <is>
          <t>BV-MST-016</t>
        </is>
      </c>
      <c r="B68" s="19" t="inlineStr">
        <is>
          <t>Masters</t>
        </is>
      </c>
      <c r="C68" s="19" t="inlineStr">
        <is>
          <t>Commission rate per insurer and product with renewal row</t>
        </is>
      </c>
      <c r="D68" s="19" t="inlineStr">
        <is>
          <t>Pass</t>
        </is>
      </c>
      <c r="E68" s="19" t="inlineStr">
        <is>
          <t>backend/test/numbering.test.js
backend/test/numbering.test.js</t>
        </is>
      </c>
      <c r="F68" s="19" t="inlineStr">
        <is>
          <t>picks the most specific active row effective on the date
falls back to the insurer rate, then commission.default_rate</t>
        </is>
      </c>
      <c r="G68" s="19" t="inlineStr">
        <is>
          <t>Set-up</t>
        </is>
      </c>
      <c r="H68" s="19" t="inlineStr">
        <is>
          <t>46 passed, 0 failed</t>
        </is>
      </c>
      <c r="I68" s="19" t="inlineStr">
        <is>
          <t>/master/finance/commission-rate-matrix</t>
        </is>
      </c>
      <c r="J68" s="19" t="inlineStr">
        <is>
          <t>opened clean</t>
        </is>
      </c>
    </row>
    <row r="69">
      <c r="A69" s="19" t="inlineStr">
        <is>
          <t>BV-MST-017</t>
        </is>
      </c>
      <c r="B69" s="19" t="inlineStr">
        <is>
          <t>Masters</t>
        </is>
      </c>
      <c r="C69" s="19" t="inlineStr">
        <is>
          <t>Overlapping active commission rows refused</t>
        </is>
      </c>
      <c r="D69" s="19" t="inlineStr">
        <is>
          <t>Pass</t>
        </is>
      </c>
      <c r="E69" s="19" t="inlineStr">
        <is>
          <t>backend/test/numbering.test.js</t>
        </is>
      </c>
      <c r="F69" s="19" t="inlineStr">
        <is>
          <t>rejects overlapping active rows with the same keys; inactive rows do not count</t>
        </is>
      </c>
      <c r="G69" s="19" t="inlineStr"/>
      <c r="H69" s="19" t="inlineStr"/>
      <c r="I69" s="19" t="inlineStr"/>
      <c r="J69" s="19" t="inlineStr"/>
    </row>
    <row r="70">
      <c r="A70" s="19" t="inlineStr">
        <is>
          <t>BV-MST-018</t>
        </is>
      </c>
      <c r="B70" s="19" t="inlineStr">
        <is>
          <t>Masters</t>
        </is>
      </c>
      <c r="C70" s="19" t="inlineStr">
        <is>
          <t>Tax codes master holds the PH codes with ATCs</t>
        </is>
      </c>
      <c r="D70" s="19" t="inlineStr">
        <is>
          <t>Pass</t>
        </is>
      </c>
      <c r="E70" s="19" t="inlineStr">
        <is>
          <t>backend/test/period-end.test.js
backend/test/masters.test.js</t>
        </is>
      </c>
      <c r="F70" s="19" t="inlineStr">
        <is>
          <t>tax codes master holds the PH codes with ATCs and is editable
taxation records linked to a setting keep the configuration key in step</t>
        </is>
      </c>
      <c r="G70" s="19" t="inlineStr">
        <is>
          <t>Set-up</t>
        </is>
      </c>
      <c r="H70" s="19" t="inlineStr">
        <is>
          <t>46 passed, 0 failed</t>
        </is>
      </c>
      <c r="I70" s="19" t="inlineStr">
        <is>
          <t>/master/finance/taxation</t>
        </is>
      </c>
      <c r="J70" s="19" t="inlineStr">
        <is>
          <t>opened clean</t>
        </is>
      </c>
    </row>
    <row r="71">
      <c r="A71" s="19" t="inlineStr">
        <is>
          <t>BV-MST-019</t>
        </is>
      </c>
      <c r="B71" s="19" t="inlineStr">
        <is>
          <t>Masters</t>
        </is>
      </c>
      <c r="C71" s="19" t="inlineStr">
        <is>
          <t>Premium taxes and LGU rates maintained by Accounting</t>
        </is>
      </c>
      <c r="D71" s="19" t="inlineStr">
        <is>
          <t>Pass</t>
        </is>
      </c>
      <c r="E71" s="19" t="inlineStr">
        <is>
          <t>backend/test/premium-charges.test.js
backend/test/premium-charges.test.js
backend/test/premium-charges.test.js</t>
        </is>
      </c>
      <c r="F71" s="19" t="inlineStr">
        <is>
          <t>lets Accounting maintain rules and LGU rates; Sales cannot
lists the seeded rules and Metro Manila LGU rates
calculates the charges of a product premium at a location</t>
        </is>
      </c>
      <c r="G71" s="19" t="inlineStr"/>
      <c r="H71" s="19" t="inlineStr"/>
      <c r="I71" s="19" t="inlineStr">
        <is>
          <t>/master/finance/premium-taxes</t>
        </is>
      </c>
      <c r="J71" s="19" t="inlineStr">
        <is>
          <t>opened clean</t>
        </is>
      </c>
    </row>
    <row r="72">
      <c r="A72" s="19" t="inlineStr">
        <is>
          <t>BV-MST-020</t>
        </is>
      </c>
      <c r="B72" s="19" t="inlineStr">
        <is>
          <t>Masters</t>
        </is>
      </c>
      <c r="C72" s="19" t="inlineStr">
        <is>
          <t>DST, VAT, FST and LGT computed on a fire premium</t>
        </is>
      </c>
      <c r="D72" s="19" t="inlineStr">
        <is>
          <t>Pass</t>
        </is>
      </c>
      <c r="E72" s="19" t="inlineStr">
        <is>
          <t>backend/test/premium-charges.test.js
backend/test/premium-charges.test.js
backend/test/premium-charges.test.js</t>
        </is>
      </c>
      <c r="F72" s="19" t="inlineStr">
        <is>
          <t>prices VAT, DST per P4.00, FST on fire and LGT for a fire premium
charges DST on every P4.00 or fractional part (round up) or proportionally (prorate)
rounds every amount to 2 decimals half away from zero and totals the rounded lines</t>
        </is>
      </c>
      <c r="G72" s="19" t="inlineStr"/>
      <c r="H72" s="19" t="inlineStr"/>
      <c r="I72" s="19" t="inlineStr"/>
      <c r="J72" s="19" t="inlineStr"/>
    </row>
    <row r="73">
      <c r="A73" s="19" t="inlineStr">
        <is>
          <t>BV-MST-021</t>
        </is>
      </c>
      <c r="B73" s="19" t="inlineStr">
        <is>
          <t>Masters</t>
        </is>
      </c>
      <c r="C73" s="19" t="inlineStr">
        <is>
          <t>Money rounding half away from zero</t>
        </is>
      </c>
      <c r="D73" s="19" t="inlineStr">
        <is>
          <t>Pass</t>
        </is>
      </c>
      <c r="E73" s="19" t="inlineStr">
        <is>
          <t>backend/test/configuration.test.js
backend/test/configuration.test.js
backend/test/configuration.test.js</t>
        </is>
      </c>
      <c r="F73" s="19" t="inlineStr">
        <is>
          <t>round2(1.005) = 1.01
round2(2.675) = 2.68
treats empty and invalid input as 0 (never -0 or NaN)</t>
        </is>
      </c>
      <c r="G73" s="19" t="inlineStr"/>
      <c r="H73" s="19" t="inlineStr"/>
      <c r="I73" s="19" t="inlineStr"/>
      <c r="J73" s="19" t="inlineStr"/>
    </row>
    <row r="74">
      <c r="A74" s="19" t="inlineStr">
        <is>
          <t>BV-CFG-001</t>
        </is>
      </c>
      <c r="B74" s="19" t="inlineStr">
        <is>
          <t>Configuration and numbering</t>
        </is>
      </c>
      <c r="C74" s="19" t="inlineStr">
        <is>
          <t>Every setting is listed with a label and group</t>
        </is>
      </c>
      <c r="D74" s="19" t="inlineStr">
        <is>
          <t>Pass</t>
        </is>
      </c>
      <c r="E74" s="19" t="inlineStr">
        <is>
          <t>backend/test/configuration.test.js
backend/test/configuration.test.js</t>
        </is>
      </c>
      <c r="F74" s="19" t="inlineStr">
        <is>
          <t>every key read by the code is seeded, with a label and a group (so Master &gt; Configuration shows it)
scripts/check-settings.js: every key read in code exists and only documented keys are left unread</t>
        </is>
      </c>
      <c r="G74" s="19" t="inlineStr"/>
      <c r="H74" s="19" t="inlineStr"/>
      <c r="I74" s="19" t="inlineStr">
        <is>
          <t>/master/configuration/settings</t>
        </is>
      </c>
      <c r="J74" s="19" t="inlineStr">
        <is>
          <t>opened clean</t>
        </is>
      </c>
    </row>
    <row r="75">
      <c r="A75" s="19" t="inlineStr">
        <is>
          <t>BV-CFG-002</t>
        </is>
      </c>
      <c r="B75" s="19" t="inlineStr">
        <is>
          <t>Configuration and numbering</t>
        </is>
      </c>
      <c r="C75" s="19" t="inlineStr">
        <is>
          <t>Change a setting; it is saved and audited</t>
        </is>
      </c>
      <c r="D75" s="19" t="inlineStr">
        <is>
          <t>Pass</t>
        </is>
      </c>
      <c r="E75" s="19" t="inlineStr">
        <is>
          <t>backend/test/core.test.js
backend/test/core.test.js</t>
        </is>
      </c>
      <c r="F75" s="19" t="inlineStr">
        <is>
          <t>settings are read from the database and editable by admins
writes an audit trail</t>
        </is>
      </c>
      <c r="G75" s="19" t="inlineStr"/>
      <c r="H75" s="19" t="inlineStr"/>
      <c r="I75" s="19" t="inlineStr"/>
      <c r="J75" s="19" t="inlineStr"/>
    </row>
    <row r="76">
      <c r="A76" s="19" t="inlineStr">
        <is>
          <t>BV-CFG-003</t>
        </is>
      </c>
      <c r="B76" s="19" t="inlineStr">
        <is>
          <t>Configuration and numbering</t>
        </is>
      </c>
      <c r="C76" s="19" t="inlineStr">
        <is>
          <t>Invalid setting value refused</t>
        </is>
      </c>
      <c r="D76" s="19" t="inlineStr">
        <is>
          <t>Pass</t>
        </is>
      </c>
      <c r="E76" s="19" t="inlineStr">
        <is>
          <t>backend/test/system-settings.test.js</t>
        </is>
      </c>
      <c r="F76" s="19" t="inlineStr">
        <is>
          <t>rejects invalid values and unauthorised users</t>
        </is>
      </c>
      <c r="G76" s="19" t="inlineStr"/>
      <c r="H76" s="19" t="inlineStr"/>
      <c r="I76" s="19" t="inlineStr"/>
      <c r="J76" s="19" t="inlineStr"/>
    </row>
    <row r="77">
      <c r="A77" s="19" t="inlineStr">
        <is>
          <t>BV-CFG-004</t>
        </is>
      </c>
      <c r="B77" s="19" t="inlineStr">
        <is>
          <t>Configuration and numbering</t>
        </is>
      </c>
      <c r="C77" s="19" t="inlineStr">
        <is>
          <t>Settings change on one server is picked up by the others</t>
        </is>
      </c>
      <c r="D77" s="19" t="inlineStr">
        <is>
          <t>Pass</t>
        </is>
      </c>
      <c r="E77" s="19" t="inlineStr">
        <is>
          <t>backend/test/operations.test.js</t>
        </is>
      </c>
      <c r="F77" s="19" t="inlineStr">
        <is>
          <t>picks up a setting changed by another instance at the next version check</t>
        </is>
      </c>
      <c r="G77" s="19" t="inlineStr"/>
      <c r="H77" s="19" t="inlineStr"/>
      <c r="I77" s="19" t="inlineStr"/>
      <c r="J77" s="19" t="inlineStr"/>
    </row>
    <row r="78">
      <c r="A78" s="19" t="inlineStr">
        <is>
          <t>BV-CFG-005</t>
        </is>
      </c>
      <c r="B78" s="19" t="inlineStr">
        <is>
          <t>Configuration and numbering</t>
        </is>
      </c>
      <c r="C78" s="19" t="inlineStr">
        <is>
          <t>Business date is Manila time, not UTC</t>
        </is>
      </c>
      <c r="D78" s="19" t="inlineStr">
        <is>
          <t>Pass</t>
        </is>
      </c>
      <c r="E78" s="19" t="inlineStr">
        <is>
          <t>backend/test/configuration.test.js
backend/test/dashboard.test.js
backend/test/operations.test.js</t>
        </is>
      </c>
      <c r="F78" s="19" t="inlineStr">
        <is>
          <t>is Manila time near midnight UTC, not the UTC date
"This Month" runs from the 1st of the Manila month; a policy at 00:30 Manila on the 1st counts, 23:30 the day before does not
defaults business-date columns to the Manila date (numbering_business_date)</t>
        </is>
      </c>
      <c r="G78" s="19" t="inlineStr"/>
      <c r="H78" s="19" t="inlineStr"/>
      <c r="I78" s="19" t="inlineStr"/>
      <c r="J78" s="19" t="inlineStr"/>
    </row>
    <row r="79">
      <c r="A79" s="19" t="inlineStr">
        <is>
          <t>BV-CFG-006</t>
        </is>
      </c>
      <c r="B79" s="19" t="inlineStr">
        <is>
          <t>Configuration and numbering</t>
        </is>
      </c>
      <c r="C79" s="19" t="inlineStr">
        <is>
          <t>Company logo and favicon on System Settings</t>
        </is>
      </c>
      <c r="D79" s="19" t="inlineStr">
        <is>
          <t>Pass</t>
        </is>
      </c>
      <c r="E79" s="19" t="inlineStr">
        <is>
          <t>backend/test/system-settings.test.js
backend/test/system-settings.test.js</t>
        </is>
      </c>
      <c r="F79" s="19" t="inlineStr">
        <is>
          <t>adds a logo preset by URL and by file upload, then removes it
uploads a favicon and rejects a disallowed type</t>
        </is>
      </c>
      <c r="G79" s="19" t="inlineStr"/>
      <c r="H79" s="19" t="inlineStr"/>
      <c r="I79" s="19" t="inlineStr">
        <is>
          <t>/master/configuration/system-settings</t>
        </is>
      </c>
      <c r="J79" s="19" t="inlineStr">
        <is>
          <t>opened clean</t>
        </is>
      </c>
    </row>
    <row r="80">
      <c r="A80" s="19" t="inlineStr">
        <is>
          <t>BV-CFG-007</t>
        </is>
      </c>
      <c r="B80" s="19" t="inlineStr">
        <is>
          <t>Configuration and numbering</t>
        </is>
      </c>
      <c r="C80" s="19" t="inlineStr">
        <is>
          <t>Numbering series listed with next-number preview</t>
        </is>
      </c>
      <c r="D80" s="19" t="inlineStr">
        <is>
          <t>Pass</t>
        </is>
      </c>
      <c r="E80" s="19" t="inlineStr">
        <is>
          <t>backend/test/numbering.test.js
backend/test/numbering.test.js</t>
        </is>
      </c>
      <c r="F80" s="19" t="inlineStr">
        <is>
          <t>seeds a series for every code the application uses, with unique active prefixes and the default pattern
lists series with the current counter and next-number preview</t>
        </is>
      </c>
      <c r="G80" s="19" t="inlineStr"/>
      <c r="H80" s="19" t="inlineStr"/>
      <c r="I80" s="19" t="inlineStr">
        <is>
          <t>/master/configuration/document-numbering</t>
        </is>
      </c>
      <c r="J80" s="19" t="inlineStr">
        <is>
          <t>opened clean</t>
        </is>
      </c>
    </row>
    <row r="81">
      <c r="A81" s="19" t="inlineStr">
        <is>
          <t>BV-CFG-008</t>
        </is>
      </c>
      <c r="B81" s="19" t="inlineStr">
        <is>
          <t>Configuration and numbering</t>
        </is>
      </c>
      <c r="C81" s="19" t="inlineStr">
        <is>
          <t>Set the next official receipt number forward</t>
        </is>
      </c>
      <c r="D81" s="19" t="inlineStr">
        <is>
          <t>Pass</t>
        </is>
      </c>
      <c r="E81" s="19" t="inlineStr">
        <is>
          <t>backend/test/numbering.test.js
backend/test/numbering.test.js</t>
        </is>
      </c>
      <c r="F81" s="19" t="inlineStr">
        <is>
          <t>sets the next number forward only
updates a series with validation, unique prefixes and an audit entry</t>
        </is>
      </c>
      <c r="G81" s="19" t="inlineStr"/>
      <c r="H81" s="19" t="inlineStr"/>
      <c r="I81" s="19" t="inlineStr"/>
      <c r="J81" s="19" t="inlineStr"/>
    </row>
    <row r="82">
      <c r="A82" s="19" t="inlineStr">
        <is>
          <t>BV-CFG-009</t>
        </is>
      </c>
      <c r="B82" s="19" t="inlineStr">
        <is>
          <t>Configuration and numbering</t>
        </is>
      </c>
      <c r="C82" s="19" t="inlineStr">
        <is>
          <t>Pattern errors shown in the preview</t>
        </is>
      </c>
      <c r="D82" s="19" t="inlineStr">
        <is>
          <t>Pass</t>
        </is>
      </c>
      <c r="E82" s="19" t="inlineStr">
        <is>
          <t>backend/test/numbering.test.js
backend/test/numbering.test.js</t>
        </is>
      </c>
      <c r="F82" s="19" t="inlineStr">
        <is>
          <t>previews unsaved changes and reports pattern errors
formats every token; optional {BRANCH} / {LOB} drop with their separator</t>
        </is>
      </c>
      <c r="G82" s="19" t="inlineStr"/>
      <c r="H82" s="19" t="inlineStr"/>
      <c r="I82" s="19" t="inlineStr"/>
      <c r="J82" s="19" t="inlineStr"/>
    </row>
    <row r="83">
      <c r="A83" s="19" t="inlineStr">
        <is>
          <t>BV-CFG-010</t>
        </is>
      </c>
      <c r="B83" s="19" t="inlineStr">
        <is>
          <t>Configuration and numbering</t>
        </is>
      </c>
      <c r="C83" s="19" t="inlineStr">
        <is>
          <t>Counter resets yearly, monthly or by fiscal year</t>
        </is>
      </c>
      <c r="D83" s="19" t="inlineStr">
        <is>
          <t>Pass</t>
        </is>
      </c>
      <c r="E83" s="19" t="inlineStr">
        <is>
          <t>backend/test/numbering.test.js</t>
        </is>
      </c>
      <c r="F83" s="19" t="inlineStr">
        <is>
          <t>yearly, monthly, fiscal-year and never reset the counter at the right boundary</t>
        </is>
      </c>
      <c r="G83" s="19" t="inlineStr"/>
      <c r="H83" s="19" t="inlineStr"/>
      <c r="I83" s="19" t="inlineStr"/>
      <c r="J83" s="19" t="inlineStr"/>
    </row>
    <row r="84">
      <c r="A84" s="19" t="inlineStr">
        <is>
          <t>BV-CFG-011</t>
        </is>
      </c>
      <c r="B84" s="19" t="inlineStr">
        <is>
          <t>Configuration and numbering</t>
        </is>
      </c>
      <c r="C84" s="19" t="inlineStr">
        <is>
          <t>No duplicate numbers under concurrent saves</t>
        </is>
      </c>
      <c r="D84" s="19" t="inlineStr">
        <is>
          <t>Pass</t>
        </is>
      </c>
      <c r="E84" s="19" t="inlineStr">
        <is>
          <t>backend/test/numbering.test.js
backend/test/numbering.test.js</t>
        </is>
      </c>
      <c r="F84" s="19" t="inlineStr">
        <is>
          <t>parallel callers (pool and transactions) never receive the same number
a rolled-back transaction gives its number back; a number already in the target table is skipped</t>
        </is>
      </c>
      <c r="G84" s="19" t="inlineStr"/>
      <c r="H84" s="19" t="inlineStr"/>
      <c r="I84" s="19" t="inlineStr"/>
      <c r="J84" s="19" t="inlineStr"/>
    </row>
    <row r="85">
      <c r="A85" s="19" t="inlineStr">
        <is>
          <t>BV-CFG-012</t>
        </is>
      </c>
      <c r="B85" s="19" t="inlineStr">
        <is>
          <t>Configuration and numbering</t>
        </is>
      </c>
      <c r="C85" s="19" t="inlineStr">
        <is>
          <t>Inactive series refuses to issue</t>
        </is>
      </c>
      <c r="D85" s="19" t="inlineStr">
        <is>
          <t>Pass</t>
        </is>
      </c>
      <c r="E85" s="19" t="inlineStr">
        <is>
          <t>backend/test/numbering.test.js</t>
        </is>
      </c>
      <c r="F85" s="19" t="inlineStr">
        <is>
          <t>an inactive or unknown series refuses to issue numbers</t>
        </is>
      </c>
      <c r="G85" s="19" t="inlineStr"/>
      <c r="H85" s="19" t="inlineStr"/>
      <c r="I85" s="19" t="inlineStr"/>
      <c r="J85" s="19" t="inlineStr"/>
    </row>
    <row r="86">
      <c r="A86" s="19" t="inlineStr">
        <is>
          <t>BV-CFG-013</t>
        </is>
      </c>
      <c r="B86" s="19" t="inlineStr">
        <is>
          <t>Configuration and numbering</t>
        </is>
      </c>
      <c r="C86" s="19" t="inlineStr">
        <is>
          <t>Numbering is restricted to system configuration</t>
        </is>
      </c>
      <c r="D86" s="19" t="inlineStr">
        <is>
          <t>Pass</t>
        </is>
      </c>
      <c r="E86" s="19" t="inlineStr">
        <is>
          <t>backend/test/numbering.test.js</t>
        </is>
      </c>
      <c r="F86" s="19" t="inlineStr">
        <is>
          <t>is restricted to system configuration</t>
        </is>
      </c>
      <c r="G86" s="19" t="inlineStr"/>
      <c r="H86" s="19" t="inlineStr"/>
      <c r="I86" s="19" t="inlineStr"/>
      <c r="J86" s="19" t="inlineStr"/>
    </row>
    <row r="87">
      <c r="A87" s="19" t="inlineStr">
        <is>
          <t>BV-CFG-014</t>
        </is>
      </c>
      <c r="B87" s="19" t="inlineStr">
        <is>
          <t>Configuration and numbering</t>
        </is>
      </c>
      <c r="C87" s="19" t="inlineStr">
        <is>
          <t>Scheduled jobs list and run now</t>
        </is>
      </c>
      <c r="D87" s="19" t="inlineStr">
        <is>
          <t>Pass</t>
        </is>
      </c>
      <c r="E87" s="19" t="inlineStr">
        <is>
          <t>backend/test/core.test.js
backend/test/operations.test.js
backend/test/dependencies.test.js</t>
        </is>
      </c>
      <c r="F87" s="19" t="inlineStr">
        <is>
          <t>runs a scheduled job and records the run
schedules every job in general.timezone (06:00 Manila, not 06:00 UTC) and shows the zone
node-cron 4 validates every seeded job schedule and schedules / stops tasks</t>
        </is>
      </c>
      <c r="G87" s="19" t="inlineStr"/>
      <c r="H87" s="19" t="inlineStr"/>
      <c r="I87" s="19" t="inlineStr">
        <is>
          <t>/master/configuration/schedules</t>
        </is>
      </c>
      <c r="J87" s="19" t="inlineStr">
        <is>
          <t>opened clean</t>
        </is>
      </c>
    </row>
    <row r="88">
      <c r="A88" s="19" t="inlineStr">
        <is>
          <t>BV-CFG-015</t>
        </is>
      </c>
      <c r="B88" s="19" t="inlineStr">
        <is>
          <t>Configuration and numbering</t>
        </is>
      </c>
      <c r="C88" s="19" t="inlineStr">
        <is>
          <t>A job runs once when several servers fire it</t>
        </is>
      </c>
      <c r="D88" s="19" t="inlineStr">
        <is>
          <t>Pass</t>
        </is>
      </c>
      <c r="E88" s="19" t="inlineStr">
        <is>
          <t>backend/test/go-live.test.js
backend/test/go-live.test.js</t>
        </is>
      </c>
      <c r="F88" s="19" t="inlineStr">
        <is>
          <t>skips a run while another instance holds the job advisory lock
runs a scheduled slot once when several instances fire it at the same time</t>
        </is>
      </c>
      <c r="G88" s="19" t="inlineStr"/>
      <c r="H88" s="19" t="inlineStr"/>
      <c r="I88" s="19" t="inlineStr"/>
      <c r="J88" s="19" t="inlineStr"/>
    </row>
    <row r="89">
      <c r="A89" s="19" t="inlineStr">
        <is>
          <t>BV-CFG-016</t>
        </is>
      </c>
      <c r="B89" s="19" t="inlineStr">
        <is>
          <t>Configuration and numbering</t>
        </is>
      </c>
      <c r="C89" s="19" t="inlineStr">
        <is>
          <t>Data retention purge keeps audit trail at least 7 years</t>
        </is>
      </c>
      <c r="D89" s="19" t="inlineStr">
        <is>
          <t>Pass</t>
        </is>
      </c>
      <c r="E89" s="19" t="inlineStr">
        <is>
          <t>backend/test/operations.test.js
backend/test/operations.test.js</t>
        </is>
      </c>
      <c r="F89" s="19" t="inlineStr">
        <is>
          <t>purges rows past their retention and keeps recent, unresolved and audit rows
keeps a table forever at 0 days and never purges the audit trail below 7 years</t>
        </is>
      </c>
      <c r="G89" s="19" t="inlineStr"/>
      <c r="H89" s="19" t="inlineStr"/>
      <c r="I89" s="19" t="inlineStr"/>
      <c r="J89" s="19" t="inlineStr"/>
    </row>
    <row r="90">
      <c r="A90" s="19" t="inlineStr">
        <is>
          <t>BV-CFG-017</t>
        </is>
      </c>
      <c r="B90" s="19" t="inlineStr">
        <is>
          <t>Configuration and numbering</t>
        </is>
      </c>
      <c r="C90" s="19" t="inlineStr">
        <is>
          <t>Health check and version endpoints</t>
        </is>
      </c>
      <c r="D90" s="19" t="inlineStr">
        <is>
          <t>Pass</t>
        </is>
      </c>
      <c r="E90" s="19" t="inlineStr">
        <is>
          <t>backend/test/go-live.test.js
backend/test/security.test.js</t>
        </is>
      </c>
      <c r="F90" s="19" t="inlineStr">
        <is>
          <t>GET /api/health reports database connectivity and readiness; 503 while starting or when the database is down
GET /api/version reports build and runtime information without sign-in</t>
        </is>
      </c>
      <c r="G90" s="19" t="inlineStr"/>
      <c r="H90" s="19" t="inlineStr"/>
      <c r="I90" s="19" t="inlineStr"/>
      <c r="J90" s="19" t="inlineStr"/>
    </row>
    <row r="91">
      <c r="A91" s="19" t="inlineStr">
        <is>
          <t>BV-PCF-001</t>
        </is>
      </c>
      <c r="B91" s="19" t="inlineStr">
        <is>
          <t>Product configurator</t>
        </is>
      </c>
      <c r="C91" s="19" t="inlineStr">
        <is>
          <t>Templates listed and opened</t>
        </is>
      </c>
      <c r="D91" s="19" t="inlineStr">
        <is>
          <t>Pass</t>
        </is>
      </c>
      <c r="E91" s="19" t="inlineStr">
        <is>
          <t>backend/test/product-configurator.test.js
backend/test/motor-tariff.test.js</t>
        </is>
      </c>
      <c r="F91" s="19" t="inlineStr">
        <is>
          <t>lists seeded templates in the captured shape
lists the Insurance Commission vehicle classes with the CTPL tariff and the APPA limits</t>
        </is>
      </c>
      <c r="G91" s="19" t="inlineStr"/>
      <c r="H91" s="19" t="inlineStr"/>
      <c r="I91" s="19" t="inlineStr">
        <is>
          <t>/product-configurator/templates</t>
        </is>
      </c>
      <c r="J91" s="19" t="inlineStr">
        <is>
          <t>opened clean</t>
        </is>
      </c>
    </row>
    <row r="92">
      <c r="A92" s="19" t="inlineStr">
        <is>
          <t>BV-PCF-002</t>
        </is>
      </c>
      <c r="B92" s="19" t="inlineStr">
        <is>
          <t>Product configurator</t>
        </is>
      </c>
      <c r="C92" s="19" t="inlineStr">
        <is>
          <t>Create, version, retire and reactivate a template</t>
        </is>
      </c>
      <c r="D92" s="19" t="inlineStr">
        <is>
          <t>Pass</t>
        </is>
      </c>
      <c r="E92" s="19" t="inlineStr">
        <is>
          <t>backend/test/product-configurator.test.js</t>
        </is>
      </c>
      <c r="F92" s="19" t="inlineStr">
        <is>
          <t>creates, updates, versions, retires and reactivates a template</t>
        </is>
      </c>
      <c r="G92" s="19" t="inlineStr"/>
      <c r="H92" s="19" t="inlineStr"/>
      <c r="I92" s="19" t="inlineStr"/>
      <c r="J92" s="19" t="inlineStr"/>
    </row>
    <row r="93">
      <c r="A93" s="19" t="inlineStr">
        <is>
          <t>BV-PCF-003</t>
        </is>
      </c>
      <c r="B93" s="19" t="inlineStr">
        <is>
          <t>Product configurator</t>
        </is>
      </c>
      <c r="C93" s="19" t="inlineStr">
        <is>
          <t>Users without products permission cannot change templates</t>
        </is>
      </c>
      <c r="D93" s="19" t="inlineStr">
        <is>
          <t>Pass</t>
        </is>
      </c>
      <c r="E93" s="19" t="inlineStr">
        <is>
          <t>backend/test/product-configurator.test.js</t>
        </is>
      </c>
      <c r="F93" s="19" t="inlineStr">
        <is>
          <t>denies writes without products permission</t>
        </is>
      </c>
      <c r="G93" s="19" t="inlineStr"/>
      <c r="H93" s="19" t="inlineStr"/>
      <c r="I93" s="19" t="inlineStr"/>
      <c r="J93" s="19" t="inlineStr"/>
    </row>
    <row r="94">
      <c r="A94" s="19" t="inlineStr">
        <is>
          <t>BV-PCF-004</t>
        </is>
      </c>
      <c r="B94" s="19" t="inlineStr">
        <is>
          <t>Product configurator</t>
        </is>
      </c>
      <c r="C94" s="19" t="inlineStr">
        <is>
          <t>Rate tables and insurer panel give a premium illustration</t>
        </is>
      </c>
      <c r="D94" s="19" t="inlineStr">
        <is>
          <t>Pass</t>
        </is>
      </c>
      <c r="E94" s="19" t="inlineStr">
        <is>
          <t>backend/test/product-configurator.test.js
backend/test/product-configurator.test.js</t>
        </is>
      </c>
      <c r="F94" s="19" t="inlineStr">
        <is>
          <t>manages the insurer panel and calculates a premium illustration
CRUD for every component kind used by the mock-only screens</t>
        </is>
      </c>
      <c r="G94" s="19" t="inlineStr"/>
      <c r="H94" s="19" t="inlineStr"/>
      <c r="I94" s="19" t="inlineStr">
        <is>
          <t>/product-configurator/rating</t>
        </is>
      </c>
      <c r="J94" s="19" t="inlineStr">
        <is>
          <t>opened clean</t>
        </is>
      </c>
    </row>
    <row r="95">
      <c r="A95" s="19" t="inlineStr">
        <is>
          <t>BV-PCF-005</t>
        </is>
      </c>
      <c r="B95" s="19" t="inlineStr">
        <is>
          <t>Product configurator</t>
        </is>
      </c>
      <c r="C95" s="19" t="inlineStr">
        <is>
          <t>Rating factors list shows which template each factor belongs to</t>
        </is>
      </c>
      <c r="D95" s="19" t="inlineStr">
        <is>
          <t>Pass</t>
        </is>
      </c>
      <c r="E95" s="19" t="inlineStr"/>
      <c r="F95" s="19" t="inlineStr"/>
      <c r="G95" s="19" t="inlineStr"/>
      <c r="H95" s="19" t="inlineStr"/>
      <c r="I95" s="19" t="inlineStr">
        <is>
          <t>/product-configurator/rating</t>
        </is>
      </c>
      <c r="J95" s="19" t="inlineStr">
        <is>
          <t>opened clean</t>
        </is>
      </c>
    </row>
    <row r="96">
      <c r="A96" s="19" t="inlineStr">
        <is>
          <t>BV-PCF-006</t>
        </is>
      </c>
      <c r="B96" s="19" t="inlineStr">
        <is>
          <t>Product configurator</t>
        </is>
      </c>
      <c r="C96" s="19" t="inlineStr">
        <is>
          <t>Coverage Builder, Acceptance Rules, Document Manager, Approval Workflows</t>
        </is>
      </c>
      <c r="D96" s="19" t="inlineStr">
        <is>
          <t>Pass</t>
        </is>
      </c>
      <c r="E96" s="19" t="inlineStr">
        <is>
          <t>backend/test/product-configurator.test.js</t>
        </is>
      </c>
      <c r="F96" s="19" t="inlineStr">
        <is>
          <t>CRUD for every component kind used by the mock-only screens</t>
        </is>
      </c>
      <c r="G96" s="19" t="inlineStr"/>
      <c r="H96" s="19" t="inlineStr"/>
      <c r="I96" s="19" t="inlineStr">
        <is>
          <t>/product-configurator/coverages
/product-configurator/underwriting
/product-configurator/documents
/product-configurator/workflows</t>
        </is>
      </c>
      <c r="J96" s="19" t="inlineStr">
        <is>
          <t>opened clean
opened clean
opened clean
opened clean</t>
        </is>
      </c>
    </row>
    <row r="97">
      <c r="A97" s="19" t="inlineStr">
        <is>
          <t>BV-PCF-007</t>
        </is>
      </c>
      <c r="B97" s="19" t="inlineStr">
        <is>
          <t>Product configurator</t>
        </is>
      </c>
      <c r="C97" s="19" t="inlineStr">
        <is>
          <t>IAR sections added, deactivated and re-added</t>
        </is>
      </c>
      <c r="D97" s="19" t="inlineStr">
        <is>
          <t>Pass</t>
        </is>
      </c>
      <c r="E97" s="19" t="inlineStr">
        <is>
          <t>backend/test/product-configurator.test.js</t>
        </is>
      </c>
      <c r="F97" s="19" t="inlineStr">
        <is>
          <t>adds, updates, deactivates and re-adds IAR sections</t>
        </is>
      </c>
      <c r="G97" s="19" t="inlineStr"/>
      <c r="H97" s="19" t="inlineStr"/>
      <c r="I97" s="19" t="inlineStr">
        <is>
          <t>/product-configurator/risk-mapping</t>
        </is>
      </c>
      <c r="J97" s="19" t="inlineStr">
        <is>
          <t>opened clean</t>
        </is>
      </c>
    </row>
    <row r="98">
      <c r="A98" s="19" t="inlineStr">
        <is>
          <t>BV-PCF-008</t>
        </is>
      </c>
      <c r="B98" s="19" t="inlineStr">
        <is>
          <t>Product configurator</t>
        </is>
      </c>
      <c r="C98" s="19" t="inlineStr">
        <is>
          <t>CTPL tariff change in the configurator is used by quotations</t>
        </is>
      </c>
      <c r="D98" s="19" t="inlineStr">
        <is>
          <t>Pass</t>
        </is>
      </c>
      <c r="E98" s="19" t="inlineStr">
        <is>
          <t>backend/test/motor-tariff.test.js
backend/test/motor-tariff.test.js</t>
        </is>
      </c>
      <c r="F98" s="19" t="inlineStr">
        <is>
          <t>follows tariff changes made in the Product Configurator
offers a 3-year CTPL and a new vehicle class once they are configured</t>
        </is>
      </c>
      <c r="G98" s="19" t="inlineStr"/>
      <c r="H98" s="19" t="inlineStr"/>
      <c r="I98" s="19" t="inlineStr"/>
      <c r="J98" s="19" t="inlineStr"/>
    </row>
    <row r="99">
      <c r="A99" s="19" t="inlineStr">
        <is>
          <t>BV-PCF-009</t>
        </is>
      </c>
      <c r="B99" s="19" t="inlineStr">
        <is>
          <t>Product configurator</t>
        </is>
      </c>
      <c r="C99" s="19" t="inlineStr">
        <is>
          <t>Invalid tariff amounts, seats and duplicate class codes refused</t>
        </is>
      </c>
      <c r="D99" s="19" t="inlineStr">
        <is>
          <t>Pass</t>
        </is>
      </c>
      <c r="E99" s="19" t="inlineStr">
        <is>
          <t>backend/test/motor-tariff.test.js</t>
        </is>
      </c>
      <c r="F99" s="19" t="inlineStr">
        <is>
          <t>refuses invalid amounts, seats and duplicate class codes</t>
        </is>
      </c>
      <c r="G99" s="19" t="inlineStr"/>
      <c r="H99" s="19" t="inlineStr"/>
      <c r="I99" s="19" t="inlineStr"/>
      <c r="J99" s="19" t="inlineStr"/>
    </row>
    <row r="100">
      <c r="A100" s="19" t="inlineStr">
        <is>
          <t>BV-PCF-010</t>
        </is>
      </c>
      <c r="B100" s="19" t="inlineStr">
        <is>
          <t>Product configurator</t>
        </is>
      </c>
      <c r="C100" s="19" t="inlineStr">
        <is>
          <t>Product configurator dashboard and analytics</t>
        </is>
      </c>
      <c r="D100" s="19" t="inlineStr">
        <is>
          <t>Pass</t>
        </is>
      </c>
      <c r="E100" s="19" t="inlineStr">
        <is>
          <t>backend/test/product-configurator.test.js</t>
        </is>
      </c>
      <c r="F100" s="19" t="inlineStr">
        <is>
          <t>analytics and dashboard return the screen shapes</t>
        </is>
      </c>
      <c r="G100" s="19" t="inlineStr">
        <is>
          <t>Reports and dashboards</t>
        </is>
      </c>
      <c r="H100" s="19" t="inlineStr">
        <is>
          <t>58 passed, 0 failed</t>
        </is>
      </c>
      <c r="I100" s="19" t="inlineStr">
        <is>
          <t>/product-configurator/dashboard
/product-configurator/analytics</t>
        </is>
      </c>
      <c r="J100" s="19" t="inlineStr">
        <is>
          <t>opened clean
opened clean</t>
        </is>
      </c>
    </row>
    <row r="101">
      <c r="A101" s="19" t="inlineStr">
        <is>
          <t>BV-GOL-001</t>
        </is>
      </c>
      <c r="B101" s="19" t="inlineStr">
        <is>
          <t>Go-live data load</t>
        </is>
      </c>
      <c r="C101" s="19" t="inlineStr">
        <is>
          <t>Production install seeds reference data only</t>
        </is>
      </c>
      <c r="D101" s="19" t="inlineStr">
        <is>
          <t>Pass</t>
        </is>
      </c>
      <c r="E101" s="19" t="inlineStr">
        <is>
          <t>backend/test/go-live.test.js
backend/test/go-live.test.js
backend/test/go-live.test.js</t>
        </is>
      </c>
      <c r="F101" s="19" t="inlineStr">
        <is>
          <t>the API starts with NODE_ENV=production, seeds reference data only and answers the health check
the database holds reference data and the administrator, and no demo transactions
a second production seed is idempotent</t>
        </is>
      </c>
      <c r="G101" s="19" t="inlineStr"/>
      <c r="H101" s="19" t="inlineStr"/>
      <c r="I101" s="19" t="inlineStr"/>
      <c r="J101" s="19" t="inlineStr"/>
    </row>
    <row r="102">
      <c r="A102" s="19" t="inlineStr">
        <is>
          <t>BV-GOL-002</t>
        </is>
      </c>
      <c r="B102" s="19" t="inlineStr">
        <is>
          <t>Go-live data load</t>
        </is>
      </c>
      <c r="C102" s="19" t="inlineStr">
        <is>
          <t>Purge of demo data needs confirmation and is a dry run by default</t>
        </is>
      </c>
      <c r="D102" s="19" t="inlineStr">
        <is>
          <t>Pass</t>
        </is>
      </c>
      <c r="E102" s="19" t="inlineStr">
        <is>
          <t>backend/test/go-live.test.js
backend/test/go-live.test.js</t>
        </is>
      </c>
      <c r="F102" s="19" t="inlineStr">
        <is>
          <t>the purge command refuses to run without CONFIRM_PURGE=yes and is a dry run by default
the purge keeps only the users chosen with --keep-users and rolls back on error</t>
        </is>
      </c>
      <c r="G102" s="19" t="inlineStr"/>
      <c r="H102" s="19" t="inlineStr"/>
      <c r="I102" s="19" t="inlineStr"/>
      <c r="J102" s="19" t="inlineStr"/>
    </row>
    <row r="103">
      <c r="A103" s="19" t="inlineStr">
        <is>
          <t>BV-GOL-003</t>
        </is>
      </c>
      <c r="B103" s="19" t="inlineStr">
        <is>
          <t>Go-live data load</t>
        </is>
      </c>
      <c r="C103" s="19" t="inlineStr">
        <is>
          <t>Upload in-force policies of the old system in go-live mode</t>
        </is>
      </c>
      <c r="D103" s="19" t="inlineStr">
        <is>
          <t>Pass</t>
        </is>
      </c>
      <c r="E103" s="19" t="inlineStr">
        <is>
          <t>backend/test/upload-templates.test.js</t>
        </is>
      </c>
      <c r="F103" s="19" t="inlineStr">
        <is>
          <t>go-live policy upload creates in-force policies without bill, journal or commission; open items load against them once</t>
        </is>
      </c>
      <c r="G103" s="19" t="inlineStr">
        <is>
          <t>Go-live migration</t>
        </is>
      </c>
      <c r="H103" s="19" t="inlineStr">
        <is>
          <t>1 passed, 0 failed</t>
        </is>
      </c>
      <c r="I103" s="19" t="inlineStr"/>
      <c r="J103" s="19" t="inlineStr"/>
    </row>
    <row r="104">
      <c r="A104" s="19" t="inlineStr">
        <is>
          <t>BV-GOL-004</t>
        </is>
      </c>
      <c r="B104" s="19" t="inlineStr">
        <is>
          <t>Go-live data load</t>
        </is>
      </c>
      <c r="C104" s="19" t="inlineStr">
        <is>
          <t>Load open premium items against migrated policies and receipt them</t>
        </is>
      </c>
      <c r="D104" s="19" t="inlineStr">
        <is>
          <t>Pass</t>
        </is>
      </c>
      <c r="E104" s="19" t="inlineStr">
        <is>
          <t>backend/test/upload-templates.test.js
backend/test/upload-templates.test.js</t>
        </is>
      </c>
      <c r="F104" s="19" t="inlineStr">
        <is>
          <t>go-live policy upload creates in-force policies without bill, journal or commission; open items load against them once
a receipt against an open item credits the receivable without booking the bill again</t>
        </is>
      </c>
      <c r="G104" s="19" t="inlineStr"/>
      <c r="H104" s="19" t="inlineStr"/>
      <c r="I104" s="19" t="inlineStr"/>
      <c r="J104" s="19" t="inlineStr"/>
    </row>
    <row r="105">
      <c r="A105" s="19" t="inlineStr">
        <is>
          <t>BV-GOL-005</t>
        </is>
      </c>
      <c r="B105" s="19" t="inlineStr">
        <is>
          <t>Go-live data load</t>
        </is>
      </c>
      <c r="C105" s="19" t="inlineStr">
        <is>
          <t>Load a balanced opening trial balance</t>
        </is>
      </c>
      <c r="D105" s="19" t="inlineStr">
        <is>
          <t>Pass</t>
        </is>
      </c>
      <c r="E105" s="19" t="inlineStr">
        <is>
          <t>backend/test/upload-templates.test.js
backend/test/upload-templates.test.js
backend/test/upload-templates.test.js</t>
        </is>
      </c>
      <c r="F105" s="19" t="inlineStr">
        <is>
          <t>refuses an unbalanced or invalid trial balance and loads nothing
loads a balanced trial balance into the fiscal year of the go-live date; the same date replaces it, another date is refused
refuses a go-live date after journals already posted in its fiscal year</t>
        </is>
      </c>
      <c r="G105" s="19" t="inlineStr"/>
      <c r="H105" s="19" t="inlineStr"/>
      <c r="I105" s="19" t="inlineStr"/>
      <c r="J105" s="19" t="inlineStr"/>
    </row>
    <row r="106">
      <c r="A106" s="19" t="inlineStr">
        <is>
          <t>BV-GOL-006</t>
        </is>
      </c>
      <c r="B106" s="19" t="inlineStr">
        <is>
          <t>Go-live data load</t>
        </is>
      </c>
      <c r="C106" s="19" t="inlineStr">
        <is>
          <t>Upload templates match the importers</t>
        </is>
      </c>
      <c r="D106" s="19" t="inlineStr">
        <is>
          <t>Pass</t>
        </is>
      </c>
      <c r="E106" s="19" t="inlineStr">
        <is>
          <t>backend/test/upload-templates.test.js
backend/test/upload-templates.test.js</t>
        </is>
      </c>
      <c r="F106" s="19" t="inlineStr">
        <is>
          <t>builds one workbook per upload, Data sheet first, with the importer headers and no duplicate header
every sample value is read back by the importer's own parser and column list</t>
        </is>
      </c>
      <c r="G106" s="19" t="inlineStr"/>
      <c r="H106" s="19" t="inlineStr"/>
      <c r="I106" s="19" t="inlineStr"/>
      <c r="J106" s="19" t="inlineStr"/>
    </row>
    <row r="107">
      <c r="A107" s="19" t="inlineStr">
        <is>
          <t>BV-GOL-007</t>
        </is>
      </c>
      <c r="B107" s="19" t="inlineStr">
        <is>
          <t>Go-live data load</t>
        </is>
      </c>
      <c r="C107" s="19" t="inlineStr">
        <is>
          <t>Workbook decompression and row limits</t>
        </is>
      </c>
      <c r="D107" s="19" t="inlineStr">
        <is>
          <t>Pass</t>
        </is>
      </c>
      <c r="E107" s="19" t="inlineStr">
        <is>
          <t>backend/test/hardening.test.js</t>
        </is>
      </c>
      <c r="F107" s="19" t="inlineStr">
        <is>
          <t>caps workbook decompression and import rows</t>
        </is>
      </c>
      <c r="G107" s="19" t="inlineStr"/>
      <c r="H107" s="19" t="inlineStr"/>
      <c r="I107" s="19" t="inlineStr"/>
      <c r="J107" s="19" t="inlineStr"/>
    </row>
    <row r="108">
      <c r="A108" s="19" t="inlineStr">
        <is>
          <t>BV-GOL-008</t>
        </is>
      </c>
      <c r="B108" s="19" t="inlineStr">
        <is>
          <t>Go-live data load</t>
        </is>
      </c>
      <c r="C108" s="19" t="inlineStr">
        <is>
          <t>Year-end close carries the go-live opening balances</t>
        </is>
      </c>
      <c r="D108" s="19" t="inlineStr">
        <is>
          <t>Pass</t>
        </is>
      </c>
      <c r="E108" s="19" t="inlineStr">
        <is>
          <t>backend/test/upload-templates.test.js</t>
        </is>
      </c>
      <c r="F108" s="19" t="inlineStr">
        <is>
          <t>the year-end close carries the go-live opening balances forward with the year's journals</t>
        </is>
      </c>
      <c r="G108" s="19" t="inlineStr"/>
      <c r="H108" s="19" t="inlineStr"/>
      <c r="I108" s="19" t="inlineStr"/>
      <c r="J108" s="19" t="inlineStr"/>
    </row>
    <row r="109">
      <c r="A109" s="19" t="inlineStr">
        <is>
          <t>BV-PRS-001</t>
        </is>
      </c>
      <c r="B109" s="19" t="inlineStr">
        <is>
          <t>Prospects and clients</t>
        </is>
      </c>
      <c r="C109" s="19" t="inlineStr">
        <is>
          <t>Create a retail motor prospect</t>
        </is>
      </c>
      <c r="D109" s="19" t="inlineStr">
        <is>
          <t>Pass</t>
        </is>
      </c>
      <c r="E109" s="19" t="inlineStr">
        <is>
          <t>backend/test/leads.test.js
backend/test/dashboard.test.js</t>
        </is>
      </c>
      <c r="F109" s="19" t="inlineStr">
        <is>
          <t>creates a lead and returns it at the top level and in data
sales funnel, processing workbench and claims summary</t>
        </is>
      </c>
      <c r="G109" s="19" t="inlineStr">
        <is>
          <t>Retail package business</t>
        </is>
      </c>
      <c r="H109" s="19" t="inlineStr">
        <is>
          <t>84 passed, 0 failed</t>
        </is>
      </c>
      <c r="I109" s="19" t="inlineStr">
        <is>
          <t>/agent/leadlisting</t>
        </is>
      </c>
      <c r="J109" s="19" t="inlineStr">
        <is>
          <t>opened clean</t>
        </is>
      </c>
    </row>
    <row r="110">
      <c r="A110" s="19" t="inlineStr">
        <is>
          <t>BV-PRS-002</t>
        </is>
      </c>
      <c r="B110" s="19" t="inlineStr">
        <is>
          <t>Prospects and clients</t>
        </is>
      </c>
      <c r="C110" s="19" t="inlineStr">
        <is>
          <t>Prospect validation: e-mail, mobile and required fields</t>
        </is>
      </c>
      <c r="D110" s="19" t="inlineStr">
        <is>
          <t>Pass</t>
        </is>
      </c>
      <c r="E110" s="19" t="inlineStr">
        <is>
          <t>backend/test/leads.test.js
brokerverse/src/services/__tests__/leadService.test.js</t>
        </is>
      </c>
      <c r="F110" s="19" t="inlineStr">
        <is>
          <t>validates input
createLead should handle API errors</t>
        </is>
      </c>
      <c r="G110" s="19" t="inlineStr"/>
      <c r="H110" s="19" t="inlineStr"/>
      <c r="I110" s="19" t="inlineStr"/>
      <c r="J110" s="19" t="inlineStr"/>
    </row>
    <row r="111">
      <c r="A111" s="19" t="inlineStr">
        <is>
          <t>BV-PRS-003</t>
        </is>
      </c>
      <c r="B111" s="19" t="inlineStr">
        <is>
          <t>Prospects and clients</t>
        </is>
      </c>
      <c r="C111" s="19" t="inlineStr">
        <is>
          <t>Date of birth outside the configured age range refused</t>
        </is>
      </c>
      <c r="D111" s="19" t="inlineStr">
        <is>
          <t>Pass</t>
        </is>
      </c>
      <c r="E111" s="19" t="inlineStr">
        <is>
          <t>backend/test/leads.test.js
backend/test/clients.test.js</t>
        </is>
      </c>
      <c r="F111" s="19" t="inlineStr">
        <is>
          <t>checks the date of birth against the configured age range
refuses an implausible date of birth</t>
        </is>
      </c>
      <c r="G111" s="19" t="inlineStr"/>
      <c r="H111" s="19" t="inlineStr"/>
      <c r="I111" s="19" t="inlineStr"/>
      <c r="J111" s="19" t="inlineStr"/>
    </row>
    <row r="112">
      <c r="A112" s="19" t="inlineStr">
        <is>
          <t>BV-PRS-004</t>
        </is>
      </c>
      <c r="B112" s="19" t="inlineStr">
        <is>
          <t>Prospects and clients</t>
        </is>
      </c>
      <c r="C112" s="19" t="inlineStr">
        <is>
          <t>Search, filter and page the prospect list</t>
        </is>
      </c>
      <c r="D112" s="19" t="inlineStr">
        <is>
          <t>Pass</t>
        </is>
      </c>
      <c r="E112" s="19" t="inlineStr">
        <is>
          <t>backend/test/leads.test.js</t>
        </is>
      </c>
      <c r="F112" s="19" t="inlineStr">
        <is>
          <t>lists with paging, filters and search</t>
        </is>
      </c>
      <c r="G112" s="19" t="inlineStr"/>
      <c r="H112" s="19" t="inlineStr"/>
      <c r="I112" s="19" t="inlineStr"/>
      <c r="J112" s="19" t="inlineStr"/>
    </row>
    <row r="113">
      <c r="A113" s="19" t="inlineStr">
        <is>
          <t>BV-PRS-005</t>
        </is>
      </c>
      <c r="B113" s="19" t="inlineStr">
        <is>
          <t>Prospects and clients</t>
        </is>
      </c>
      <c r="C113" s="19" t="inlineStr">
        <is>
          <t>Bulk upload prospects from CSV and XLSX</t>
        </is>
      </c>
      <c r="D113" s="19" t="inlineStr">
        <is>
          <t>Pass</t>
        </is>
      </c>
      <c r="E113" s="19" t="inlineStr">
        <is>
          <t>backend/test/leads.test.js</t>
        </is>
      </c>
      <c r="F113" s="19" t="inlineStr">
        <is>
          <t>bulk uploads CSV and XLSX files</t>
        </is>
      </c>
      <c r="G113" s="19" t="inlineStr"/>
      <c r="H113" s="19" t="inlineStr"/>
      <c r="I113" s="19" t="inlineStr"/>
      <c r="J113" s="19" t="inlineStr"/>
    </row>
    <row r="114">
      <c r="A114" s="19" t="inlineStr">
        <is>
          <t>BV-PRS-006</t>
        </is>
      </c>
      <c r="B114" s="19" t="inlineStr">
        <is>
          <t>Prospects and clients</t>
        </is>
      </c>
      <c r="C114" s="19" t="inlineStr">
        <is>
          <t>Download the prospect report</t>
        </is>
      </c>
      <c r="D114" s="19" t="inlineStr">
        <is>
          <t>Pass</t>
        </is>
      </c>
      <c r="E114" s="19" t="inlineStr">
        <is>
          <t>backend/test/leads.test.js</t>
        </is>
      </c>
      <c r="F114" s="19" t="inlineStr">
        <is>
          <t>downloads the report as XLSX and CSV</t>
        </is>
      </c>
      <c r="G114" s="19" t="inlineStr"/>
      <c r="H114" s="19" t="inlineStr"/>
      <c r="I114" s="19" t="inlineStr"/>
      <c r="J114" s="19" t="inlineStr"/>
    </row>
    <row r="115">
      <c r="A115" s="19" t="inlineStr">
        <is>
          <t>BV-PRS-007</t>
        </is>
      </c>
      <c r="B115" s="19" t="inlineStr">
        <is>
          <t>Prospects and clients</t>
        </is>
      </c>
      <c r="C115" s="19" t="inlineStr">
        <is>
          <t>A prospect with an issued policy cannot be deleted</t>
        </is>
      </c>
      <c r="D115" s="19" t="inlineStr">
        <is>
          <t>Pass</t>
        </is>
      </c>
      <c r="E115" s="19" t="inlineStr">
        <is>
          <t>backend/test/leads.test.js</t>
        </is>
      </c>
      <c r="F115" s="19" t="inlineStr">
        <is>
          <t>soft-deletes a lead, but not one with an issued policy</t>
        </is>
      </c>
      <c r="G115" s="19" t="inlineStr"/>
      <c r="H115" s="19" t="inlineStr"/>
      <c r="I115" s="19" t="inlineStr"/>
      <c r="J115" s="19" t="inlineStr"/>
    </row>
    <row r="116">
      <c r="A116" s="19" t="inlineStr">
        <is>
          <t>BV-PRS-008</t>
        </is>
      </c>
      <c r="B116" s="19" t="inlineStr">
        <is>
          <t>Prospects and clients</t>
        </is>
      </c>
      <c r="C116" s="19" t="inlineStr">
        <is>
          <t>Claims officer does not list prospects</t>
        </is>
      </c>
      <c r="D116" s="19" t="inlineStr">
        <is>
          <t>Pass</t>
        </is>
      </c>
      <c r="E116" s="19" t="inlineStr">
        <is>
          <t>backend/test/hardening.test.js
backend/test/leads.test.js</t>
        </is>
      </c>
      <c r="F116" s="19" t="inlineStr">
        <is>
          <t>claims officers do not list leads; sales and operations do not read the receipt register
enforces permissions</t>
        </is>
      </c>
      <c r="G116" s="19" t="inlineStr"/>
      <c r="H116" s="19" t="inlineStr"/>
      <c r="I116" s="19" t="inlineStr"/>
      <c r="J116" s="19" t="inlineStr"/>
    </row>
    <row r="117">
      <c r="A117" s="19" t="inlineStr">
        <is>
          <t>BV-PRS-009</t>
        </is>
      </c>
      <c r="B117" s="19" t="inlineStr">
        <is>
          <t>Prospects and clients</t>
        </is>
      </c>
      <c r="C117" s="19" t="inlineStr">
        <is>
          <t>Find a client and see policies and open bills</t>
        </is>
      </c>
      <c r="D117" s="19" t="inlineStr">
        <is>
          <t>Pass</t>
        </is>
      </c>
      <c r="E117" s="19" t="inlineStr">
        <is>
          <t>backend/test/clients.test.js
backend/test/clients.test.js</t>
        </is>
      </c>
      <c r="F117" s="19" t="inlineStr">
        <is>
          <t>lists clients in the { data: { clients, pagination } } shape
returns a client with its policies (by id or code)</t>
        </is>
      </c>
      <c r="G117" s="19" t="inlineStr">
        <is>
          <t>Retail package business</t>
        </is>
      </c>
      <c r="H117" s="19" t="inlineStr">
        <is>
          <t>84 passed, 0 failed</t>
        </is>
      </c>
      <c r="I117" s="19" t="inlineStr">
        <is>
          <t>/agent/clientlisting</t>
        </is>
      </c>
      <c r="J117" s="19" t="inlineStr">
        <is>
          <t>opened clean</t>
        </is>
      </c>
    </row>
    <row r="118">
      <c r="A118" s="19" t="inlineStr">
        <is>
          <t>BV-PRS-010</t>
        </is>
      </c>
      <c r="B118" s="19" t="inlineStr">
        <is>
          <t>Prospects and clients</t>
        </is>
      </c>
      <c r="C118" s="19" t="inlineStr">
        <is>
          <t>Create and update a client</t>
        </is>
      </c>
      <c r="D118" s="19" t="inlineStr">
        <is>
          <t>Pass</t>
        </is>
      </c>
      <c r="E118" s="19" t="inlineStr">
        <is>
          <t>backend/test/clients.test.js</t>
        </is>
      </c>
      <c r="F118" s="19" t="inlineStr">
        <is>
          <t>creates and updates a client</t>
        </is>
      </c>
      <c r="G118" s="19" t="inlineStr"/>
      <c r="H118" s="19" t="inlineStr"/>
      <c r="I118" s="19" t="inlineStr"/>
      <c r="J118" s="19" t="inlineStr"/>
    </row>
    <row r="119">
      <c r="A119" s="19" t="inlineStr">
        <is>
          <t>BV-PRS-011</t>
        </is>
      </c>
      <c r="B119" s="19" t="inlineStr">
        <is>
          <t>Prospects and clients</t>
        </is>
      </c>
      <c r="C119" s="19" t="inlineStr">
        <is>
          <t>A prospect converts to one client only</t>
        </is>
      </c>
      <c r="D119" s="19" t="inlineStr">
        <is>
          <t>Pass</t>
        </is>
      </c>
      <c r="E119" s="19" t="inlineStr">
        <is>
          <t>backend/test/clients.test.js
backend/test/leads.test.js</t>
        </is>
      </c>
      <c r="F119" s="19" t="inlineStr">
        <is>
          <t>converts a lead into a client once
links the prospect to the client and converts without a second client</t>
        </is>
      </c>
      <c r="G119" s="19" t="inlineStr"/>
      <c r="H119" s="19" t="inlineStr"/>
      <c r="I119" s="19" t="inlineStr"/>
      <c r="J119" s="19" t="inlineStr"/>
    </row>
    <row r="120">
      <c r="A120" s="19" t="inlineStr">
        <is>
          <t>BV-PRS-012</t>
        </is>
      </c>
      <c r="B120" s="19" t="inlineStr">
        <is>
          <t>Prospects and clients</t>
        </is>
      </c>
      <c r="C120" s="19" t="inlineStr">
        <is>
          <t>Global search returns typed results with links</t>
        </is>
      </c>
      <c r="D120" s="19" t="inlineStr">
        <is>
          <t>Pass</t>
        </is>
      </c>
      <c r="E120" s="19" t="inlineStr">
        <is>
          <t>backend/test/scope.test.js</t>
        </is>
      </c>
      <c r="F120" s="19" t="inlineStr">
        <is>
          <t>global search returns typed results with front-end links and respects scoping</t>
        </is>
      </c>
      <c r="G120" s="19" t="inlineStr"/>
      <c r="H120" s="19" t="inlineStr"/>
      <c r="I120" s="19" t="inlineStr"/>
      <c r="J120" s="19" t="inlineStr"/>
    </row>
    <row r="121">
      <c r="A121" s="19" t="inlineStr">
        <is>
          <t>BV-QQT-001</t>
        </is>
      </c>
      <c r="B121" s="19" t="inlineStr">
        <is>
          <t>Quick quote and compare insurers</t>
        </is>
      </c>
      <c r="C121" s="19" t="inlineStr">
        <is>
          <t>Motor quick quote from the tariff with CTPL and APPA</t>
        </is>
      </c>
      <c r="D121" s="19" t="inlineStr">
        <is>
          <t>Pass</t>
        </is>
      </c>
      <c r="E121" s="19" t="inlineStr">
        <is>
          <t>backend/test/motor-tariff.test.js
backend/test/motor-tariff.test.js</t>
        </is>
      </c>
      <c r="F121" s="19" t="inlineStr">
        <is>
          <t>prices CTPL at the tariff of the vehicle class, whatever amount the browser sends
prices Auto Passenger PA as limit per person x seats x rate and counts the cover in the sum insured</t>
        </is>
      </c>
      <c r="G121" s="19" t="inlineStr">
        <is>
          <t>Retail package business</t>
        </is>
      </c>
      <c r="H121" s="19" t="inlineStr">
        <is>
          <t>84 passed, 0 failed</t>
        </is>
      </c>
      <c r="I121" s="19" t="inlineStr">
        <is>
          <t>/sales/quick-quote</t>
        </is>
      </c>
      <c r="J121" s="19" t="inlineStr">
        <is>
          <t>opened clean</t>
        </is>
      </c>
    </row>
    <row r="122">
      <c r="A122" s="19" t="inlineStr">
        <is>
          <t>BV-QQT-002</t>
        </is>
      </c>
      <c r="B122" s="19" t="inlineStr">
        <is>
          <t>Quick quote and compare insurers</t>
        </is>
      </c>
      <c r="C122" s="19" t="inlineStr">
        <is>
          <t>CTPL premium ignores any amount sent by the browser</t>
        </is>
      </c>
      <c r="D122" s="19" t="inlineStr">
        <is>
          <t>Pass</t>
        </is>
      </c>
      <c r="E122" s="19" t="inlineStr">
        <is>
          <t>backend/test/motor-tariff.test.js</t>
        </is>
      </c>
      <c r="F122" s="19" t="inlineStr">
        <is>
          <t>prices CTPL at the tariff of the vehicle class, whatever amount the browser sends</t>
        </is>
      </c>
      <c r="G122" s="19" t="inlineStr"/>
      <c r="H122" s="19" t="inlineStr"/>
      <c r="I122" s="19" t="inlineStr"/>
      <c r="J122" s="19" t="inlineStr"/>
    </row>
    <row r="123">
      <c r="A123" s="19" t="inlineStr">
        <is>
          <t>BV-QQT-003</t>
        </is>
      </c>
      <c r="B123" s="19" t="inlineStr">
        <is>
          <t>Quick quote and compare insurers</t>
        </is>
      </c>
      <c r="C123" s="19" t="inlineStr">
        <is>
          <t>3-year CTPL for a brand-new private car only</t>
        </is>
      </c>
      <c r="D123" s="19" t="inlineStr">
        <is>
          <t>Pass</t>
        </is>
      </c>
      <c r="E123" s="19" t="inlineStr">
        <is>
          <t>backend/test/motor-tariff.test.js</t>
        </is>
      </c>
      <c r="F123" s="19" t="inlineStr">
        <is>
          <t>prices the 3-year CTPL for a brand-new private car and refuses it where the tariff has none</t>
        </is>
      </c>
      <c r="G123" s="19" t="inlineStr"/>
      <c r="H123" s="19" t="inlineStr"/>
      <c r="I123" s="19" t="inlineStr"/>
      <c r="J123" s="19" t="inlineStr"/>
    </row>
    <row r="124">
      <c r="A124" s="19" t="inlineStr">
        <is>
          <t>BV-QQT-004</t>
        </is>
      </c>
      <c r="B124" s="19" t="inlineStr">
        <is>
          <t>Quick quote and compare insurers</t>
        </is>
      </c>
      <c r="C124" s="19" t="inlineStr">
        <is>
          <t>CTPL without a vehicle class and APPA outside the tariff refused</t>
        </is>
      </c>
      <c r="D124" s="19" t="inlineStr">
        <is>
          <t>Pass</t>
        </is>
      </c>
      <c r="E124" s="19" t="inlineStr">
        <is>
          <t>backend/test/motor-tariff.test.js
backend/test/motor-tariff.test.js</t>
        </is>
      </c>
      <c r="F124" s="19" t="inlineStr">
        <is>
          <t>leaves CTPL out when it is not included and refuses CTPL without a vehicle class
refuses an APPA limit outside the tariff</t>
        </is>
      </c>
      <c r="G124" s="19" t="inlineStr"/>
      <c r="H124" s="19" t="inlineStr"/>
      <c r="I124" s="19" t="inlineStr"/>
      <c r="J124" s="19" t="inlineStr"/>
    </row>
    <row r="125">
      <c r="A125" s="19" t="inlineStr">
        <is>
          <t>BV-QQT-005</t>
        </is>
      </c>
      <c r="B125" s="19" t="inlineStr">
        <is>
          <t>Quick quote and compare insurers</t>
        </is>
      </c>
      <c r="C125" s="19" t="inlineStr">
        <is>
          <t>Discount never reduces the CTPL tariff premium</t>
        </is>
      </c>
      <c r="D125" s="19" t="inlineStr">
        <is>
          <t>Pass</t>
        </is>
      </c>
      <c r="E125" s="19" t="inlineStr">
        <is>
          <t>backend/test/uat-disconnects.test.js</t>
        </is>
      </c>
      <c r="F125" s="19" t="inlineStr">
        <is>
          <t>a discount never reduces the CTPL tariff premium</t>
        </is>
      </c>
      <c r="G125" s="19" t="inlineStr"/>
      <c r="H125" s="19" t="inlineStr"/>
      <c r="I125" s="19" t="inlineStr"/>
      <c r="J125" s="19" t="inlineStr"/>
    </row>
    <row r="126">
      <c r="A126" s="19" t="inlineStr">
        <is>
          <t>BV-QQT-006</t>
        </is>
      </c>
      <c r="B126" s="19" t="inlineStr">
        <is>
          <t>Quick quote and compare insurers</t>
        </is>
      </c>
      <c r="C126" s="19" t="inlineStr">
        <is>
          <t>Quick quote and saved quotation give the same premium</t>
        </is>
      </c>
      <c r="D126" s="19" t="inlineStr">
        <is>
          <t>Pass</t>
        </is>
      </c>
      <c r="E126" s="19" t="inlineStr">
        <is>
          <t>backend/test/motor-tariff.test.js</t>
        </is>
      </c>
      <c r="F126" s="19" t="inlineStr">
        <is>
          <t>stores the server-priced CTPL and Auto Passenger PA in the quotation</t>
        </is>
      </c>
      <c r="G126" s="19" t="inlineStr">
        <is>
          <t>Retail package business</t>
        </is>
      </c>
      <c r="H126" s="19" t="inlineStr">
        <is>
          <t>84 passed, 0 failed</t>
        </is>
      </c>
      <c r="I126" s="19" t="inlineStr"/>
      <c r="J126" s="19" t="inlineStr"/>
    </row>
    <row r="127">
      <c r="A127" s="19" t="inlineStr">
        <is>
          <t>BV-QQT-007</t>
        </is>
      </c>
      <c r="B127" s="19" t="inlineStr">
        <is>
          <t>Quick quote and compare insurers</t>
        </is>
      </c>
      <c r="C127" s="19" t="inlineStr">
        <is>
          <t>Compare insurers of a product side by side</t>
        </is>
      </c>
      <c r="D127" s="19" t="inlineStr">
        <is>
          <t>Pass</t>
        </is>
      </c>
      <c r="E127" s="19" t="inlineStr">
        <is>
          <t>backend/test/packages.test.js
backend/test/packages.test.js</t>
        </is>
      </c>
      <c r="F127" s="19" t="inlineStr">
        <is>
          <t>compares the insurers of a product side by side, cheapest total first
prints the comparison for the client and proceeds to a quotation priced with the engine</t>
        </is>
      </c>
      <c r="G127" s="19" t="inlineStr"/>
      <c r="H127" s="19" t="inlineStr"/>
      <c r="I127" s="19" t="inlineStr">
        <is>
          <t>/sales/compare-insurers</t>
        </is>
      </c>
      <c r="J127" s="19" t="inlineStr">
        <is>
          <t>opened clean</t>
        </is>
      </c>
    </row>
    <row r="128">
      <c r="A128" s="19" t="inlineStr">
        <is>
          <t>BV-QQT-008</t>
        </is>
      </c>
      <c r="B128" s="19" t="inlineStr">
        <is>
          <t>Quick quote and compare insurers</t>
        </is>
      </c>
      <c r="C128" s="19" t="inlineStr">
        <is>
          <t>Processing maintains insurer rate tables; Sales reads them</t>
        </is>
      </c>
      <c r="D128" s="19" t="inlineStr">
        <is>
          <t>Pass</t>
        </is>
      </c>
      <c r="E128" s="19" t="inlineStr">
        <is>
          <t>backend/test/packages.test.js
backend/test/packages.test.js</t>
        </is>
      </c>
      <c r="F128" s="19" t="inlineStr">
        <is>
          <t>lets the Processing Team maintain rate tables; Sales reads them
prices percent, per mille and flat rates with the minimum premium</t>
        </is>
      </c>
      <c r="G128" s="19" t="inlineStr"/>
      <c r="H128" s="19" t="inlineStr"/>
      <c r="I128" s="19" t="inlineStr">
        <is>
          <t>/master/finance/insurer-rate-tables</t>
        </is>
      </c>
      <c r="J128" s="19" t="inlineStr">
        <is>
          <t>opened clean</t>
        </is>
      </c>
    </row>
    <row r="129">
      <c r="A129" s="19" t="inlineStr">
        <is>
          <t>BV-QQT-009</t>
        </is>
      </c>
      <c r="B129" s="19" t="inlineStr">
        <is>
          <t>Quick quote and compare insurers</t>
        </is>
      </c>
      <c r="C129" s="19" t="inlineStr">
        <is>
          <t>Bundle product priced per section and insurer</t>
        </is>
      </c>
      <c r="D129" s="19" t="inlineStr">
        <is>
          <t>Pass</t>
        </is>
      </c>
      <c r="E129" s="19" t="inlineStr">
        <is>
          <t>backend/test/packages.test.js
backend/test/packages.test.js
backend/test/packages.test.js</t>
        </is>
      </c>
      <c r="F129" s="19" t="inlineStr">
        <is>
          <t>maintains bundle products (Processing Team)
prices a bundle per section: insurer rate, discount spread, taxes per section
groups sections per insurer with the largest gross as lead and shares totalling 100</t>
        </is>
      </c>
      <c r="G129" s="19" t="inlineStr"/>
      <c r="H129" s="19" t="inlineStr"/>
      <c r="I129" s="19" t="inlineStr">
        <is>
          <t>/master/finance/package-bundles</t>
        </is>
      </c>
      <c r="J129" s="19" t="inlineStr">
        <is>
          <t>opened clean</t>
        </is>
      </c>
    </row>
    <row r="130">
      <c r="A130" s="19" t="inlineStr">
        <is>
          <t>BV-QUO-001</t>
        </is>
      </c>
      <c r="B130" s="19" t="inlineStr">
        <is>
          <t>Quotations and customer response</t>
        </is>
      </c>
      <c r="C130" s="19" t="inlineStr">
        <is>
          <t>Create a motor quotation from a prospect</t>
        </is>
      </c>
      <c r="D130" s="19" t="inlineStr">
        <is>
          <t>Pass</t>
        </is>
      </c>
      <c r="E130" s="19" t="inlineStr">
        <is>
          <t>backend/test/quotations.test.js</t>
        </is>
      </c>
      <c r="F130" s="19" t="inlineStr">
        <is>
          <t>creates a quotation with a server-side premium breakdown from settings</t>
        </is>
      </c>
      <c r="G130" s="19" t="inlineStr">
        <is>
          <t>Retail package business</t>
        </is>
      </c>
      <c r="H130" s="19" t="inlineStr">
        <is>
          <t>84 passed, 0 failed</t>
        </is>
      </c>
      <c r="I130" s="19" t="inlineStr">
        <is>
          <t>/agent/Quotation</t>
        </is>
      </c>
      <c r="J130" s="19" t="inlineStr">
        <is>
          <t>opened clean</t>
        </is>
      </c>
    </row>
    <row r="131">
      <c r="A131" s="19" t="inlineStr">
        <is>
          <t>BV-QUO-002</t>
        </is>
      </c>
      <c r="B131" s="19" t="inlineStr">
        <is>
          <t>Quotations and customer response</t>
        </is>
      </c>
      <c r="C131" s="19" t="inlineStr">
        <is>
          <t>Quotation without a prospect refused</t>
        </is>
      </c>
      <c r="D131" s="19" t="inlineStr">
        <is>
          <t>Pass</t>
        </is>
      </c>
      <c r="E131" s="19" t="inlineStr">
        <is>
          <t>backend/test/quotations.test.js
backend/test/request-for-quotation.test.js</t>
        </is>
      </c>
      <c r="F131" s="19" t="inlineStr">
        <is>
          <t>rejects a quotation without a lead and blocks personas without the permission
needs a lead, a client or a prospect with a name, and saves nothing on failure</t>
        </is>
      </c>
      <c r="G131" s="19" t="inlineStr"/>
      <c r="H131" s="19" t="inlineStr"/>
      <c r="I131" s="19" t="inlineStr"/>
      <c r="J131" s="19" t="inlineStr"/>
    </row>
    <row r="132">
      <c r="A132" s="19" t="inlineStr">
        <is>
          <t>BV-QUO-003</t>
        </is>
      </c>
      <c r="B132" s="19" t="inlineStr">
        <is>
          <t>Quotations and customer response</t>
        </is>
      </c>
      <c r="C132" s="19" t="inlineStr">
        <is>
          <t>Motor sum insured and rate checks on the coverage card</t>
        </is>
      </c>
      <c r="D132" s="19" t="inlineStr">
        <is>
          <t>Pass</t>
        </is>
      </c>
      <c r="E132" s="19" t="inlineStr">
        <is>
          <t>brokerverse/src/agentModule/quoteModule/coverageDetails/coverageDetailsCard/coverageInputErrors.test.js
brokerverse/src/agentModule/quoteModule/coverageDetails/coverageDetailsCard/coverageInputErrors.test.js
brokerverse/src/agentModule/quoteModule/coverageDetails/coverageDetailsCard/coverageInputErrors.test.js</t>
        </is>
      </c>
      <c r="F132" s="19" t="inlineStr">
        <is>
          <t>rejects an empty, zero or negative sum insured
accepts a positive sum insured and rates from 0 to 100
checks the rates of the covers that are included only</t>
        </is>
      </c>
      <c r="G132" s="19" t="inlineStr"/>
      <c r="H132" s="19" t="inlineStr"/>
      <c r="I132" s="19" t="inlineStr"/>
      <c r="J132" s="19" t="inlineStr"/>
    </row>
    <row r="133">
      <c r="A133" s="19" t="inlineStr">
        <is>
          <t>BV-QUO-004</t>
        </is>
      </c>
      <c r="B133" s="19" t="inlineStr">
        <is>
          <t>Quotations and customer response</t>
        </is>
      </c>
      <c r="C133" s="19" t="inlineStr">
        <is>
          <t>Edit a quotation; premium recalculates</t>
        </is>
      </c>
      <c r="D133" s="19" t="inlineStr">
        <is>
          <t>Pass</t>
        </is>
      </c>
      <c r="E133" s="19" t="inlineStr">
        <is>
          <t>backend/test/quotations.test.js</t>
        </is>
      </c>
      <c r="F133" s="19" t="inlineStr">
        <is>
          <t>reads back, lists, searches and updates (premium recalculated)</t>
        </is>
      </c>
      <c r="G133" s="19" t="inlineStr"/>
      <c r="H133" s="19" t="inlineStr"/>
      <c r="I133" s="19" t="inlineStr"/>
      <c r="J133" s="19" t="inlineStr"/>
    </row>
    <row r="134">
      <c r="A134" s="19" t="inlineStr">
        <is>
          <t>BV-QUO-005</t>
        </is>
      </c>
      <c r="B134" s="19" t="inlineStr">
        <is>
          <t>Quotations and customer response</t>
        </is>
      </c>
      <c r="C134" s="19" t="inlineStr">
        <is>
          <t>Quotation PDF prints the breakdown and signatory</t>
        </is>
      </c>
      <c r="D134" s="19" t="inlineStr">
        <is>
          <t>Pass</t>
        </is>
      </c>
      <c r="E134" s="19" t="inlineStr">
        <is>
          <t>backend/test/printing.test.js
backend/test/quote-to-policy.test.js
backend/test/quotations.test.js</t>
        </is>
      </c>
      <c r="F134" s="19" t="inlineStr">
        <is>
          <t>motor quotation with CTPL: net + taxes + CTPL = gross
the quotation names its insured from the client
stats, compare, vehicle info, quote PDF and customer e-mail</t>
        </is>
      </c>
      <c r="G134" s="19" t="inlineStr"/>
      <c r="H134" s="19" t="inlineStr"/>
      <c r="I134" s="19" t="inlineStr"/>
      <c r="J134" s="19" t="inlineStr"/>
    </row>
    <row r="135">
      <c r="A135" s="19" t="inlineStr">
        <is>
          <t>BV-QUO-006</t>
        </is>
      </c>
      <c r="B135" s="19" t="inlineStr">
        <is>
          <t>Quotations and customer response</t>
        </is>
      </c>
      <c r="C135" s="19" t="inlineStr">
        <is>
          <t>Send for customer approval when e-mail is off</t>
        </is>
      </c>
      <c r="D135" s="19" t="inlineStr">
        <is>
          <t>Pass</t>
        </is>
      </c>
      <c r="E135" s="19" t="inlineStr">
        <is>
          <t>backend/test/customer-response.test.js
backend/test/customer-response.test.js</t>
        </is>
      </c>
      <c r="F135" s="19" t="inlineStr">
        <is>
          <t>moves to PendingCustomer and says plainly that e-mail is not configured
returns the current link again, so the e-mailed one keeps working</t>
        </is>
      </c>
      <c r="G135" s="19" t="inlineStr">
        <is>
          <t>Retail package business</t>
        </is>
      </c>
      <c r="H135" s="19" t="inlineStr">
        <is>
          <t>84 passed, 0 failed</t>
        </is>
      </c>
      <c r="I135" s="19" t="inlineStr"/>
      <c r="J135" s="19" t="inlineStr"/>
    </row>
    <row r="136">
      <c r="A136" s="19" t="inlineStr">
        <is>
          <t>BV-QUO-007</t>
        </is>
      </c>
      <c r="B136" s="19" t="inlineStr">
        <is>
          <t>Quotations and customer response</t>
        </is>
      </c>
      <c r="C136" s="19" t="inlineStr">
        <is>
          <t>Record customer response: accepted with evidence</t>
        </is>
      </c>
      <c r="D136" s="19" t="inlineStr">
        <is>
          <t>Pass</t>
        </is>
      </c>
      <c r="E136" s="19" t="inlineStr">
        <is>
          <t>backend/test/customer-response.test.js</t>
        </is>
      </c>
      <c r="F136" s="19" t="inlineStr">
        <is>
          <t>accepted: CustomerAccepted with the evidence stored, audited and listed</t>
        </is>
      </c>
      <c r="G136" s="19" t="inlineStr">
        <is>
          <t>Retail package business</t>
        </is>
      </c>
      <c r="H136" s="19" t="inlineStr">
        <is>
          <t>84 passed, 0 failed</t>
        </is>
      </c>
      <c r="I136" s="19" t="inlineStr"/>
      <c r="J136" s="19" t="inlineStr"/>
    </row>
    <row r="137">
      <c r="A137" s="19" t="inlineStr">
        <is>
          <t>BV-QUO-008</t>
        </is>
      </c>
      <c r="B137" s="19" t="inlineStr">
        <is>
          <t>Quotations and customer response</t>
        </is>
      </c>
      <c r="C137" s="19" t="inlineStr">
        <is>
          <t>Record response: declined and revise</t>
        </is>
      </c>
      <c r="D137" s="19" t="inlineStr">
        <is>
          <t>Pass</t>
        </is>
      </c>
      <c r="E137" s="19" t="inlineStr">
        <is>
          <t>backend/test/customer-response.test.js</t>
        </is>
      </c>
      <c r="F137" s="19" t="inlineStr">
        <is>
          <t>declined: Rejected; revise: back to Draft and the old link stops working</t>
        </is>
      </c>
      <c r="G137" s="19" t="inlineStr">
        <is>
          <t>Retail package business</t>
        </is>
      </c>
      <c r="H137" s="19" t="inlineStr">
        <is>
          <t>84 passed, 0 failed</t>
        </is>
      </c>
      <c r="I137" s="19" t="inlineStr"/>
      <c r="J137" s="19" t="inlineStr"/>
    </row>
    <row r="138">
      <c r="A138" s="19" t="inlineStr">
        <is>
          <t>BV-QUO-009</t>
        </is>
      </c>
      <c r="B138" s="19" t="inlineStr">
        <is>
          <t>Quotations and customer response</t>
        </is>
      </c>
      <c r="C138" s="19" t="inlineStr">
        <is>
          <t>Customer response evidence validation</t>
        </is>
      </c>
      <c r="D138" s="19" t="inlineStr">
        <is>
          <t>Pass</t>
        </is>
      </c>
      <c r="E138" s="19" t="inlineStr">
        <is>
          <t>backend/test/customer-response.test.js</t>
        </is>
      </c>
      <c r="F138" s="19" t="inlineStr">
        <is>
          <t>validates the evidence: channel, date, reference or remarks</t>
        </is>
      </c>
      <c r="G138" s="19" t="inlineStr"/>
      <c r="H138" s="19" t="inlineStr"/>
      <c r="I138" s="19" t="inlineStr"/>
      <c r="J138" s="19" t="inlineStr"/>
    </row>
    <row r="139">
      <c r="A139" s="19" t="inlineStr">
        <is>
          <t>BV-QUO-010</t>
        </is>
      </c>
      <c r="B139" s="19" t="inlineStr">
        <is>
          <t>Quotations and customer response</t>
        </is>
      </c>
      <c r="C139" s="19" t="inlineStr">
        <is>
          <t>Customer approves through the link</t>
        </is>
      </c>
      <c r="D139" s="19" t="inlineStr">
        <is>
          <t>Blocked</t>
        </is>
      </c>
      <c r="E139" s="19" t="inlineStr">
        <is>
          <t>backend/test/quotations.test.js
backend/test/quotations.test.js</t>
        </is>
      </c>
      <c r="F139" s="19" t="inlineStr">
        <is>
          <t>public approve-by-customer: preview, accept, invalid token
sends for approval: e-mail with signed link, underwriting notified, PendingCustomer</t>
        </is>
      </c>
      <c r="G139" s="19" t="inlineStr"/>
      <c r="H139" s="19" t="inlineStr"/>
      <c r="I139" s="19" t="inlineStr"/>
      <c r="J139" s="19" t="inlineStr"/>
    </row>
    <row r="140">
      <c r="A140" s="19" t="inlineStr">
        <is>
          <t>BV-QUO-011</t>
        </is>
      </c>
      <c r="B140" s="19" t="inlineStr">
        <is>
          <t>Quotations and customer response</t>
        </is>
      </c>
      <c r="C140" s="19" t="inlineStr">
        <is>
          <t>Response refused on a quotation not pending</t>
        </is>
      </c>
      <c r="D140" s="19" t="inlineStr">
        <is>
          <t>Pass</t>
        </is>
      </c>
      <c r="E140" s="19" t="inlineStr">
        <is>
          <t>backend/test/customer-response.test.js
backend/test/customer-response.test.js</t>
        </is>
      </c>
      <c r="F140" s="19" t="inlineStr">
        <is>
          <t>issues a new link when the stored one is gone and refuses a quotation that is not pending
follows the configured outcome status and the transition map</t>
        </is>
      </c>
      <c r="G140" s="19" t="inlineStr"/>
      <c r="H140" s="19" t="inlineStr"/>
      <c r="I140" s="19" t="inlineStr"/>
      <c r="J140" s="19" t="inlineStr"/>
    </row>
    <row r="141">
      <c r="A141" s="19" t="inlineStr">
        <is>
          <t>BV-QUO-012</t>
        </is>
      </c>
      <c r="B141" s="19" t="inlineStr">
        <is>
          <t>Quotations and customer response</t>
        </is>
      </c>
      <c r="C141" s="19" t="inlineStr">
        <is>
          <t>Maker cannot approve own quotation slip</t>
        </is>
      </c>
      <c r="D141" s="19" t="inlineStr">
        <is>
          <t>Pass</t>
        </is>
      </c>
      <c r="E141" s="19" t="inlineStr">
        <is>
          <t>backend/test/quotations.test.js</t>
        </is>
      </c>
      <c r="F141" s="19" t="inlineStr">
        <is>
          <t>submits to the insurer, enforces maker-checker on approval and the transition map</t>
        </is>
      </c>
      <c r="G141" s="19" t="inlineStr"/>
      <c r="H141" s="19" t="inlineStr"/>
      <c r="I141" s="19" t="inlineStr"/>
      <c r="J141" s="19" t="inlineStr"/>
    </row>
    <row r="142">
      <c r="A142" s="19" t="inlineStr">
        <is>
          <t>BV-QUO-013</t>
        </is>
      </c>
      <c r="B142" s="19" t="inlineStr">
        <is>
          <t>Quotations and customer response</t>
        </is>
      </c>
      <c r="C142" s="19" t="inlineStr">
        <is>
          <t>Convert or delete in the wrong status refused</t>
        </is>
      </c>
      <c r="D142" s="19" t="inlineStr">
        <is>
          <t>Pass</t>
        </is>
      </c>
      <c r="E142" s="19" t="inlineStr">
        <is>
          <t>backend/test/quotations.test.js</t>
        </is>
      </c>
      <c r="F142" s="19" t="inlineStr">
        <is>
          <t>refuses to convert or delete quotations in the wrong status</t>
        </is>
      </c>
      <c r="G142" s="19" t="inlineStr"/>
      <c r="H142" s="19" t="inlineStr"/>
      <c r="I142" s="19" t="inlineStr"/>
      <c r="J142" s="19" t="inlineStr"/>
    </row>
    <row r="143">
      <c r="A143" s="19" t="inlineStr">
        <is>
          <t>BV-QUO-014</t>
        </is>
      </c>
      <c r="B143" s="19" t="inlineStr">
        <is>
          <t>Quotations and customer response</t>
        </is>
      </c>
      <c r="C143" s="19" t="inlineStr">
        <is>
          <t>Bulk upload quotations from CSV</t>
        </is>
      </c>
      <c r="D143" s="19" t="inlineStr">
        <is>
          <t>Pass</t>
        </is>
      </c>
      <c r="E143" s="19" t="inlineStr">
        <is>
          <t>backend/test/quotations.test.js</t>
        </is>
      </c>
      <c r="F143" s="19" t="inlineStr">
        <is>
          <t>bulk uploads quotations from CSV</t>
        </is>
      </c>
      <c r="G143" s="19" t="inlineStr"/>
      <c r="H143" s="19" t="inlineStr"/>
      <c r="I143" s="19" t="inlineStr"/>
      <c r="J143" s="19" t="inlineStr"/>
    </row>
    <row r="144">
      <c r="A144" s="19" t="inlineStr">
        <is>
          <t>BV-QUO-015</t>
        </is>
      </c>
      <c r="B144" s="19" t="inlineStr">
        <is>
          <t>Quotations and customer response</t>
        </is>
      </c>
      <c r="C144" s="19" t="inlineStr">
        <is>
          <t>Quotation by another user on own prospect appears in list and funnel</t>
        </is>
      </c>
      <c r="D144" s="19" t="inlineStr">
        <is>
          <t>Pass</t>
        </is>
      </c>
      <c r="E144" s="19" t="inlineStr">
        <is>
          <t>backend/test/role-access.test.js</t>
        </is>
      </c>
      <c r="F144" s="19" t="inlineStr">
        <is>
          <t>a quotation another user creates on the agent's lead is in both the quotation list and the dashboard funnel</t>
        </is>
      </c>
      <c r="G144" s="19" t="inlineStr"/>
      <c r="H144" s="19" t="inlineStr"/>
      <c r="I144" s="19" t="inlineStr"/>
      <c r="J144" s="19" t="inlineStr"/>
    </row>
    <row r="145">
      <c r="A145" s="19" t="inlineStr">
        <is>
          <t>BV-QUO-016</t>
        </is>
      </c>
      <c r="B145" s="19" t="inlineStr">
        <is>
          <t>Quotations and customer response</t>
        </is>
      </c>
      <c r="C145" s="19" t="inlineStr">
        <is>
          <t>Quotation statistics</t>
        </is>
      </c>
      <c r="D145" s="19" t="inlineStr">
        <is>
          <t>Pass</t>
        </is>
      </c>
      <c r="E145" s="19" t="inlineStr">
        <is>
          <t>backend/test/quotations.test.js</t>
        </is>
      </c>
      <c r="F145" s="19" t="inlineStr">
        <is>
          <t>stats, compare, vehicle info, quote PDF and customer e-mail</t>
        </is>
      </c>
      <c r="G145" s="19" t="inlineStr">
        <is>
          <t>Reports and dashboards</t>
        </is>
      </c>
      <c r="H145" s="19" t="inlineStr">
        <is>
          <t>58 passed, 0 failed</t>
        </is>
      </c>
      <c r="I145" s="19" t="inlineStr"/>
      <c r="J145" s="19" t="inlineStr"/>
    </row>
    <row r="146">
      <c r="A146" s="19" t="inlineStr">
        <is>
          <t>BV-RFQ-001</t>
        </is>
      </c>
      <c r="B146" s="19" t="inlineStr">
        <is>
          <t>Request for quotation and placement</t>
        </is>
      </c>
      <c r="C146" s="19" t="inlineStr">
        <is>
          <t>Retail RFQ to two insurers (PA)</t>
        </is>
      </c>
      <c r="D146" s="19" t="inlineStr">
        <is>
          <t>Pass</t>
        </is>
      </c>
      <c r="E146" s="19" t="inlineStr">
        <is>
          <t>backend/test/placement.test.js</t>
        </is>
      </c>
      <c r="F146" s="19" t="inlineStr">
        <is>
          <t>creates a broker slip with the market and submits it (one queued request per insurer)</t>
        </is>
      </c>
      <c r="G146" s="19" t="inlineStr">
        <is>
          <t>Retail package business</t>
        </is>
      </c>
      <c r="H146" s="19" t="inlineStr">
        <is>
          <t>84 passed, 0 failed</t>
        </is>
      </c>
      <c r="I146" s="19" t="inlineStr">
        <is>
          <t>/placement/broker-slips</t>
        </is>
      </c>
      <c r="J146" s="19" t="inlineStr">
        <is>
          <t>opened clean</t>
        </is>
      </c>
    </row>
    <row r="147">
      <c r="A147" s="19" t="inlineStr">
        <is>
          <t>BV-RFQ-002</t>
        </is>
      </c>
      <c r="B147" s="19" t="inlineStr">
        <is>
          <t>Request for quotation and placement</t>
        </is>
      </c>
      <c r="C147" s="19" t="inlineStr">
        <is>
          <t>RFQ saves a new prospect in one step</t>
        </is>
      </c>
      <c r="D147" s="19" t="inlineStr">
        <is>
          <t>Pass</t>
        </is>
      </c>
      <c r="E147" s="19" t="inlineStr">
        <is>
          <t>backend/test/request-for-quotation.test.js
backend/test/request-for-quotation.test.js</t>
        </is>
      </c>
      <c r="F147" s="19" t="inlineStr">
        <is>
          <t>saves the prospect as a lead and the slip against it in one step
needs a lead, a client or a prospect with a name, and saves nothing on failure</t>
        </is>
      </c>
      <c r="G147" s="19" t="inlineStr"/>
      <c r="H147" s="19" t="inlineStr"/>
      <c r="I147" s="19" t="inlineStr"/>
      <c r="J147" s="19" t="inlineStr"/>
    </row>
    <row r="148">
      <c r="A148" s="19" t="inlineStr">
        <is>
          <t>BV-RFQ-003</t>
        </is>
      </c>
      <c r="B148" s="19" t="inlineStr">
        <is>
          <t>Request for quotation and placement</t>
        </is>
      </c>
      <c r="C148" s="19" t="inlineStr">
        <is>
          <t>Record offers and declines, compare and prepare a quotation slip</t>
        </is>
      </c>
      <c r="D148" s="19" t="inlineStr">
        <is>
          <t>Pass</t>
        </is>
      </c>
      <c r="E148" s="19" t="inlineStr">
        <is>
          <t>backend/test/placement.test.js</t>
        </is>
      </c>
      <c r="F148" s="19" t="inlineStr">
        <is>
          <t>records the offers and declines, compares them and prepares a co-insurance Quotation Slip from two lines</t>
        </is>
      </c>
      <c r="G148" s="19" t="inlineStr">
        <is>
          <t>Corporate non-package business</t>
        </is>
      </c>
      <c r="H148" s="19" t="inlineStr">
        <is>
          <t>45 passed, 0 failed</t>
        </is>
      </c>
      <c r="I148" s="19" t="inlineStr"/>
      <c r="J148" s="19" t="inlineStr"/>
    </row>
    <row r="149">
      <c r="A149" s="19" t="inlineStr">
        <is>
          <t>BV-RFQ-004</t>
        </is>
      </c>
      <c r="B149" s="19" t="inlineStr">
        <is>
          <t>Request for quotation and placement</t>
        </is>
      </c>
      <c r="C149" s="19" t="inlineStr">
        <is>
          <t>Shares must total 100% with one lead</t>
        </is>
      </c>
      <c r="D149" s="19" t="inlineStr">
        <is>
          <t>Pass</t>
        </is>
      </c>
      <c r="E149" s="19" t="inlineStr">
        <is>
          <t>backend/test/placement.test.js</t>
        </is>
      </c>
      <c r="F149" s="19" t="inlineStr">
        <is>
          <t>rejects shares that do not total 100%, two leads and unknown insurers with a clear message</t>
        </is>
      </c>
      <c r="G149" s="19" t="inlineStr"/>
      <c r="H149" s="19" t="inlineStr"/>
      <c r="I149" s="19" t="inlineStr"/>
      <c r="J149" s="19" t="inlineStr"/>
    </row>
    <row r="150">
      <c r="A150" s="19" t="inlineStr">
        <is>
          <t>BV-RFQ-005</t>
        </is>
      </c>
      <c r="B150" s="19" t="inlineStr">
        <is>
          <t>Request for quotation and placement</t>
        </is>
      </c>
      <c r="C150" s="19" t="inlineStr">
        <is>
          <t>Participant amounts split with the remainder on the lead</t>
        </is>
      </c>
      <c r="D150" s="19" t="inlineStr">
        <is>
          <t>Pass</t>
        </is>
      </c>
      <c r="E150" s="19" t="inlineStr">
        <is>
          <t>backend/test/placement.test.js
backend/test/placement.test.js</t>
        </is>
      </c>
      <c r="F150" s="19" t="inlineStr">
        <is>
          <t>splits with round2 and puts the remainder on the lead (unit)
writes participants by insurer id, splits by share with the remainder on the lead and keeps the legacy participantDetails</t>
        </is>
      </c>
      <c r="G150" s="19" t="inlineStr"/>
      <c r="H150" s="19" t="inlineStr"/>
      <c r="I150" s="19" t="inlineStr"/>
      <c r="J150" s="19" t="inlineStr"/>
    </row>
    <row r="151">
      <c r="A151" s="19" t="inlineStr">
        <is>
          <t>BV-RFQ-006</t>
        </is>
      </c>
      <c r="B151" s="19" t="inlineStr">
        <is>
          <t>Request for quotation and placement</t>
        </is>
      </c>
      <c r="C151" s="19" t="inlineStr">
        <is>
          <t>Placement slip, firm order and insurer bindings</t>
        </is>
      </c>
      <c r="D151" s="19" t="inlineStr">
        <is>
          <t>Pass</t>
        </is>
      </c>
      <c r="E151" s="19" t="inlineStr">
        <is>
          <t>backend/test/placement.test.js
backend/test/placement.test.js
backend/test/placement.test.js</t>
        </is>
      </c>
      <c r="F151" s="19" t="inlineStr">
        <is>
          <t>creates the Placement Slip from the quotation, sends it and records each insurer's binding
sends the firm order per participant and binds when every insurer confirms
issues the policy from the bound placement: participants copied, lead insurer on the policy, quotation converted</t>
        </is>
      </c>
      <c r="G151" s="19" t="inlineStr">
        <is>
          <t>Corporate non-package business</t>
        </is>
      </c>
      <c r="H151" s="19" t="inlineStr">
        <is>
          <t>45 passed, 0 failed</t>
        </is>
      </c>
      <c r="I151" s="19" t="inlineStr">
        <is>
          <t>/placement/placement-slips</t>
        </is>
      </c>
      <c r="J151" s="19" t="inlineStr">
        <is>
          <t>opened clean</t>
        </is>
      </c>
    </row>
    <row r="152">
      <c r="A152" s="19" t="inlineStr">
        <is>
          <t>BV-RFQ-007</t>
        </is>
      </c>
      <c r="B152" s="19" t="inlineStr">
        <is>
          <t>Request for quotation and placement</t>
        </is>
      </c>
      <c r="C152" s="19" t="inlineStr">
        <is>
          <t>Non-package product cannot skip the placement slip</t>
        </is>
      </c>
      <c r="D152" s="19" t="inlineStr">
        <is>
          <t>Pass</t>
        </is>
      </c>
      <c r="E152" s="19" t="inlineStr">
        <is>
          <t>backend/test/placement.test.js
backend/test/product-classification.test.js</t>
        </is>
      </c>
      <c r="F152" s="19" t="inlineStr">
        <is>
          <t>refuses the direct conversion when the journey requires a Placement Slip
non-package: placement slip required</t>
        </is>
      </c>
      <c r="G152" s="19" t="inlineStr"/>
      <c r="H152" s="19" t="inlineStr"/>
      <c r="I152" s="19" t="inlineStr"/>
      <c r="J152" s="19" t="inlineStr"/>
    </row>
    <row r="153">
      <c r="A153" s="19" t="inlineStr">
        <is>
          <t>BV-RFQ-008</t>
        </is>
      </c>
      <c r="B153" s="19" t="inlineStr">
        <is>
          <t>Request for quotation and placement</t>
        </is>
      </c>
      <c r="C153" s="19" t="inlineStr">
        <is>
          <t>Direct motor placement refused; optional placement allowed</t>
        </is>
      </c>
      <c r="D153" s="19" t="inlineStr">
        <is>
          <t>Pass</t>
        </is>
      </c>
      <c r="E153" s="19" t="inlineStr">
        <is>
          <t>backend/test/placement.test.js
backend/test/placement.test.js</t>
        </is>
      </c>
      <c r="F153" s="19" t="inlineStr">
        <is>
          <t>refuses a direct motor placement (the motor journey requires a Quotation Slip)
a motor quotation can still go through an optional placement slip</t>
        </is>
      </c>
      <c r="G153" s="19" t="inlineStr"/>
      <c r="H153" s="19" t="inlineStr"/>
      <c r="I153" s="19" t="inlineStr"/>
      <c r="J153" s="19" t="inlineStr"/>
    </row>
    <row r="154">
      <c r="A154" s="19" t="inlineStr">
        <is>
          <t>BV-RFQ-009</t>
        </is>
      </c>
      <c r="B154" s="19" t="inlineStr">
        <is>
          <t>Request for quotation and placement</t>
        </is>
      </c>
      <c r="C154" s="19" t="inlineStr">
        <is>
          <t>Marine cargo placed directly with co-insurers</t>
        </is>
      </c>
      <c r="D154" s="19" t="inlineStr">
        <is>
          <t>Pass</t>
        </is>
      </c>
      <c r="E154" s="19" t="inlineStr">
        <is>
          <t>backend/test/placement.test.js</t>
        </is>
      </c>
      <c r="F154" s="19" t="inlineStr">
        <is>
          <t>places a marine cargo risk directly with co-insurers, binds and issues</t>
        </is>
      </c>
      <c r="G154" s="19" t="inlineStr">
        <is>
          <t>Corporate non-package business</t>
        </is>
      </c>
      <c r="H154" s="19" t="inlineStr">
        <is>
          <t>45 passed, 0 failed</t>
        </is>
      </c>
      <c r="I154" s="19" t="inlineStr"/>
      <c r="J154" s="19" t="inlineStr"/>
    </row>
    <row r="155">
      <c r="A155" s="19" t="inlineStr">
        <is>
          <t>BV-RFQ-010</t>
        </is>
      </c>
      <c r="B155" s="19" t="inlineStr">
        <is>
          <t>Request for quotation and placement</t>
        </is>
      </c>
      <c r="C155" s="19" t="inlineStr">
        <is>
          <t>Close an RFQ not taken up</t>
        </is>
      </c>
      <c r="D155" s="19" t="inlineStr">
        <is>
          <t>Pass</t>
        </is>
      </c>
      <c r="E155" s="19" t="inlineStr">
        <is>
          <t>backend/test/placement.test.js</t>
        </is>
      </c>
      <c r="F155" s="19" t="inlineStr">
        <is>
          <t>placementSlip skip / brokerSlip required / directPolicy skip are enforced</t>
        </is>
      </c>
      <c r="G155" s="19" t="inlineStr">
        <is>
          <t>Corporate non-package business</t>
        </is>
      </c>
      <c r="H155" s="19" t="inlineStr">
        <is>
          <t>45 passed, 0 failed</t>
        </is>
      </c>
      <c r="I155" s="19" t="inlineStr"/>
      <c r="J155" s="19" t="inlineStr"/>
    </row>
    <row r="156">
      <c r="A156" s="19" t="inlineStr">
        <is>
          <t>BV-RFQ-011</t>
        </is>
      </c>
      <c r="B156" s="19" t="inlineStr">
        <is>
          <t>Request for quotation and placement</t>
        </is>
      </c>
      <c r="C156" s="19" t="inlineStr">
        <is>
          <t>Record a policy the insurer already issued</t>
        </is>
      </c>
      <c r="D156" s="19" t="inlineStr">
        <is>
          <t>Pass</t>
        </is>
      </c>
      <c r="E156" s="19" t="inlineStr">
        <is>
          <t>backend/test/placement.test.js</t>
        </is>
      </c>
      <c r="F156" s="19" t="inlineStr">
        <is>
          <t>records a policy the insurer already issued, with a new insured, in one step</t>
        </is>
      </c>
      <c r="G156" s="19" t="inlineStr">
        <is>
          <t>Corporate non-package business</t>
        </is>
      </c>
      <c r="H156" s="19" t="inlineStr">
        <is>
          <t>45 passed, 0 failed</t>
        </is>
      </c>
      <c r="I156" s="19" t="inlineStr"/>
      <c r="J156" s="19" t="inlineStr"/>
    </row>
    <row r="157">
      <c r="A157" s="19" t="inlineStr">
        <is>
          <t>BV-RFQ-012</t>
        </is>
      </c>
      <c r="B157" s="19" t="inlineStr">
        <is>
          <t>Request for quotation and placement</t>
        </is>
      </c>
      <c r="C157" s="19" t="inlineStr">
        <is>
          <t>Placement journey per line from settings</t>
        </is>
      </c>
      <c r="D157" s="19" t="inlineStr">
        <is>
          <t>Pass</t>
        </is>
      </c>
      <c r="E157" s="19" t="inlineStr">
        <is>
          <t>backend/test/placement.test.js
backend/test/product-classification.test.js
backend/test/product-classification.test.js</t>
        </is>
      </c>
      <c r="F157" s="19" t="inlineStr">
        <is>
          <t>resolves the journey per LOB and product type from placement.journey
a placement.journey entry for the line or product type still overrides the business type
the business-type journey is itself a setting</t>
        </is>
      </c>
      <c r="G157" s="19" t="inlineStr"/>
      <c r="H157" s="19" t="inlineStr"/>
      <c r="I157" s="19" t="inlineStr"/>
      <c r="J157" s="19" t="inlineStr"/>
    </row>
    <row r="158">
      <c r="A158" s="19" t="inlineStr">
        <is>
          <t>BV-RFQ-013</t>
        </is>
      </c>
      <c r="B158" s="19" t="inlineStr">
        <is>
          <t>Request for quotation and placement</t>
        </is>
      </c>
      <c r="C158" s="19" t="inlineStr">
        <is>
          <t>Placement Pipeline and Market Response reports</t>
        </is>
      </c>
      <c r="D158" s="19" t="inlineStr">
        <is>
          <t>Pass</t>
        </is>
      </c>
      <c r="E158" s="19" t="inlineStr">
        <is>
          <t>backend/test/placement.test.js</t>
        </is>
      </c>
      <c r="F158" s="19" t="inlineStr">
        <is>
          <t>runs the Placement Pipeline and Market Response reports</t>
        </is>
      </c>
      <c r="G158" s="19" t="inlineStr">
        <is>
          <t>Reports and dashboards</t>
        </is>
      </c>
      <c r="H158" s="19" t="inlineStr">
        <is>
          <t>58 passed, 0 failed</t>
        </is>
      </c>
      <c r="I158" s="19" t="inlineStr"/>
      <c r="J158" s="19" t="inlineStr"/>
    </row>
    <row r="159">
      <c r="A159" s="19" t="inlineStr">
        <is>
          <t>BV-POL-001</t>
        </is>
      </c>
      <c r="B159" s="19" t="inlineStr">
        <is>
          <t>Policy issuance</t>
        </is>
      </c>
      <c r="C159" s="19" t="inlineStr">
        <is>
          <t>Issue a motor policy with CTPL</t>
        </is>
      </c>
      <c r="D159" s="19" t="inlineStr">
        <is>
          <t>Pass</t>
        </is>
      </c>
      <c r="E159" s="19" t="inlineStr">
        <is>
          <t>backend/test/quotations.test.js</t>
        </is>
      </c>
      <c r="F159" s="19" t="inlineStr">
        <is>
          <t>converts to policy: client, policy, receivable with bill number, commission accrual, owner notified</t>
        </is>
      </c>
      <c r="G159" s="19" t="inlineStr">
        <is>
          <t>Retail package business</t>
        </is>
      </c>
      <c r="H159" s="19" t="inlineStr">
        <is>
          <t>84 passed, 0 failed</t>
        </is>
      </c>
      <c r="I159" s="19" t="inlineStr">
        <is>
          <t>/agent/policy</t>
        </is>
      </c>
      <c r="J159" s="19" t="inlineStr">
        <is>
          <t>opened clean</t>
        </is>
      </c>
    </row>
    <row r="160">
      <c r="A160" s="19" t="inlineStr">
        <is>
          <t>BV-POL-002</t>
        </is>
      </c>
      <c r="B160" s="19" t="inlineStr">
        <is>
          <t>Policy issuance</t>
        </is>
      </c>
      <c r="C160" s="19" t="inlineStr">
        <is>
          <t>Motor policy refused without KYC and vehicle identifiers</t>
        </is>
      </c>
      <c r="D160" s="19" t="inlineStr">
        <is>
          <t>Pass</t>
        </is>
      </c>
      <c r="E160" s="19" t="inlineStr">
        <is>
          <t>backend/test/quotations.test.js</t>
        </is>
      </c>
      <c r="F160" s="19" t="inlineStr">
        <is>
          <t>refuses to issue a motor policy without KYC and vehicle identifiers (policy.kyc_required_fields)</t>
        </is>
      </c>
      <c r="G160" s="19" t="inlineStr"/>
      <c r="H160" s="19" t="inlineStr"/>
      <c r="I160" s="19" t="inlineStr"/>
      <c r="J160" s="19" t="inlineStr"/>
    </row>
    <row r="161">
      <c r="A161" s="19" t="inlineStr">
        <is>
          <t>BV-POL-003</t>
        </is>
      </c>
      <c r="B161" s="19" t="inlineStr">
        <is>
          <t>Policy issuance</t>
        </is>
      </c>
      <c r="C161" s="19" t="inlineStr">
        <is>
          <t>ID from an earlier policy proposed</t>
        </is>
      </c>
      <c r="D161" s="19" t="inlineStr">
        <is>
          <t>Pass</t>
        </is>
      </c>
      <c r="E161" s="19" t="inlineStr">
        <is>
          <t>backend/test/quote-to-policy.test.js</t>
        </is>
      </c>
      <c r="F161" s="19" t="inlineStr">
        <is>
          <t>the ID captured on an earlier policy of the client is proposed for the new policy</t>
        </is>
      </c>
      <c r="G161" s="19" t="inlineStr"/>
      <c r="H161" s="19" t="inlineStr"/>
      <c r="I161" s="19" t="inlineStr"/>
      <c r="J161" s="19" t="inlineStr"/>
    </row>
    <row r="162">
      <c r="A162" s="19" t="inlineStr">
        <is>
          <t>BV-POL-004</t>
        </is>
      </c>
      <c r="B162" s="19" t="inlineStr">
        <is>
          <t>Policy issuance</t>
        </is>
      </c>
      <c r="C162" s="19" t="inlineStr">
        <is>
          <t>Issue a package policy with sections per insurer</t>
        </is>
      </c>
      <c r="D162" s="19" t="inlineStr">
        <is>
          <t>Pass</t>
        </is>
      </c>
      <c r="E162" s="19" t="inlineStr">
        <is>
          <t>backend/test/packages.test.js
backend/test/packages.test.js</t>
        </is>
      </c>
      <c r="F162" s="19" t="inlineStr">
        <is>
          <t>creates, updates and accepts a package quotation
issues ONE policy with sections per insurer, exact participant amounts and a booking per carrier</t>
        </is>
      </c>
      <c r="G162" s="19" t="inlineStr"/>
      <c r="H162" s="19" t="inlineStr"/>
      <c r="I162" s="19" t="inlineStr"/>
      <c r="J162" s="19" t="inlineStr"/>
    </row>
    <row r="163">
      <c r="A163" s="19" t="inlineStr">
        <is>
          <t>BV-POL-005</t>
        </is>
      </c>
      <c r="B163" s="19" t="inlineStr">
        <is>
          <t>Policy issuance</t>
        </is>
      </c>
      <c r="C163" s="19" t="inlineStr">
        <is>
          <t>Retail PA, Travel and Householder from RFQ</t>
        </is>
      </c>
      <c r="D163" s="19" t="inlineStr">
        <is>
          <t>Pass</t>
        </is>
      </c>
      <c r="E163" s="19" t="inlineStr">
        <is>
          <t>backend/test/uat-disconnects.test.js
backend/test/product-classification.test.js</t>
        </is>
      </c>
      <c r="F163" s="19" t="inlineStr">
        <is>
          <t>a Householder quotation prepared from a broker slip stays a package product and converts without a placement slip
package: quotation required, broker and placement slips optional</t>
        </is>
      </c>
      <c r="G163" s="19" t="inlineStr">
        <is>
          <t>Retail package business</t>
        </is>
      </c>
      <c r="H163" s="19" t="inlineStr">
        <is>
          <t>84 passed, 0 failed</t>
        </is>
      </c>
      <c r="I163" s="19" t="inlineStr"/>
      <c r="J163" s="19" t="inlineStr"/>
    </row>
    <row r="164">
      <c r="A164" s="19" t="inlineStr">
        <is>
          <t>BV-POL-006</t>
        </is>
      </c>
      <c r="B164" s="19" t="inlineStr">
        <is>
          <t>Policy issuance</t>
        </is>
      </c>
      <c r="C164" s="19" t="inlineStr">
        <is>
          <t>Booking at issuance</t>
        </is>
      </c>
      <c r="D164" s="19" t="inlineStr">
        <is>
          <t>Pass</t>
        </is>
      </c>
      <c r="E164" s="19" t="inlineStr">
        <is>
          <t>backend/test/posting-rules.test.js
backend/test/commission-taxes.test.js
backend/test/uat-disconnects.test.js</t>
        </is>
      </c>
      <c r="F164" s="19" t="inlineStr">
        <is>
          <t>policy booking and receipt: same accounts, amounts, memos and order (premium taxes not split)
the booking journal books output VAT on the commission and the EWT the insurer withholds (rule version 2)
books a policy on its issue date; its credit days run from the issue (or later inception)</t>
        </is>
      </c>
      <c r="G164" s="19" t="inlineStr"/>
      <c r="H164" s="19" t="inlineStr"/>
      <c r="I164" s="19" t="inlineStr"/>
      <c r="J164" s="19" t="inlineStr"/>
    </row>
    <row r="165">
      <c r="A165" s="19" t="inlineStr">
        <is>
          <t>BV-POL-007</t>
        </is>
      </c>
      <c r="B165" s="19" t="inlineStr">
        <is>
          <t>Policy issuance</t>
        </is>
      </c>
      <c r="C165" s="19" t="inlineStr">
        <is>
          <t>Co-insured policy books one receivable and per insurer payables</t>
        </is>
      </c>
      <c r="D165" s="19" t="inlineStr">
        <is>
          <t>Pass</t>
        </is>
      </c>
      <c r="E165" s="19" t="inlineStr">
        <is>
          <t>backend/test/posting-rules.test.js</t>
        </is>
      </c>
      <c r="F165" s="19" t="inlineStr">
        <is>
          <t>books one receivable at the gross and the premium and commission per insurer (3 insurers, rounding)</t>
        </is>
      </c>
      <c r="G165" s="19" t="inlineStr"/>
      <c r="H165" s="19" t="inlineStr"/>
      <c r="I165" s="19" t="inlineStr"/>
      <c r="J165" s="19" t="inlineStr"/>
    </row>
    <row r="166">
      <c r="A166" s="19" t="inlineStr">
        <is>
          <t>BV-POL-008</t>
        </is>
      </c>
      <c r="B166" s="19" t="inlineStr">
        <is>
          <t>Policy issuance</t>
        </is>
      </c>
      <c r="C166" s="19" t="inlineStr">
        <is>
          <t>Policy list paging, filters and detail</t>
        </is>
      </c>
      <c r="D166" s="19" t="inlineStr">
        <is>
          <t>Pass</t>
        </is>
      </c>
      <c r="E166" s="19" t="inlineStr">
        <is>
          <t>backend/test/policies.test.js
backend/test/policies.test.js</t>
        </is>
      </c>
      <c r="F166" s="19" t="inlineStr">
        <is>
          <t>lists with paging and filters
reads one policy with client, lead and quotation</t>
        </is>
      </c>
      <c r="G166" s="19" t="inlineStr"/>
      <c r="H166" s="19" t="inlineStr"/>
      <c r="I166" s="19" t="inlineStr"/>
      <c r="J166" s="19" t="inlineStr"/>
    </row>
    <row r="167">
      <c r="A167" s="19" t="inlineStr">
        <is>
          <t>BV-POL-009</t>
        </is>
      </c>
      <c r="B167" s="19" t="inlineStr">
        <is>
          <t>Policy issuance</t>
        </is>
      </c>
      <c r="C167" s="19" t="inlineStr">
        <is>
          <t>Policy schedule and billing statement PDFs</t>
        </is>
      </c>
      <c r="D167" s="19" t="inlineStr">
        <is>
          <t>Pass</t>
        </is>
      </c>
      <c r="E167" s="19" t="inlineStr">
        <is>
          <t>backend/test/policies.test.js
backend/test/printing.test.js
backend/test/receipts.test.js
backend/test/printing.test.js</t>
        </is>
      </c>
      <c r="F167" s="19" t="inlineStr">
        <is>
          <t>lists documents and renders PDFs
a policy schedule uses the policy columns, and prints only the gross when there is no breakdown
billing statement PDF for a policy
formats dates in the configured pattern, never as JS Date strings</t>
        </is>
      </c>
      <c r="G167" s="19" t="inlineStr"/>
      <c r="H167" s="19" t="inlineStr"/>
      <c r="I167" s="19" t="inlineStr"/>
      <c r="J167" s="19" t="inlineStr"/>
    </row>
    <row r="168">
      <c r="A168" s="19" t="inlineStr">
        <is>
          <t>BV-POL-010</t>
        </is>
      </c>
      <c r="B168" s="19" t="inlineStr">
        <is>
          <t>Policy issuance</t>
        </is>
      </c>
      <c r="C168" s="19" t="inlineStr">
        <is>
          <t>New business policy upload creates bills and commission</t>
        </is>
      </c>
      <c r="D168" s="19" t="inlineStr">
        <is>
          <t>Pass</t>
        </is>
      </c>
      <c r="E168" s="19" t="inlineStr">
        <is>
          <t>backend/test/policies.test.js
backend/test/placement.test.js</t>
        </is>
      </c>
      <c r="F168" s="19" t="inlineStr">
        <is>
          <t>bulk uploads policies with client, receivable and commission
bulk import writes 100% of the insurer</t>
        </is>
      </c>
      <c r="G168" s="19" t="inlineStr"/>
      <c r="H168" s="19" t="inlineStr"/>
      <c r="I168" s="19" t="inlineStr"/>
      <c r="J168" s="19" t="inlineStr"/>
    </row>
    <row r="169">
      <c r="A169" s="19" t="inlineStr">
        <is>
          <t>BV-POL-011</t>
        </is>
      </c>
      <c r="B169" s="19" t="inlineStr">
        <is>
          <t>Policy issuance</t>
        </is>
      </c>
      <c r="C169" s="19" t="inlineStr">
        <is>
          <t>Claims users not offered Create Policy or Bulk Upload</t>
        </is>
      </c>
      <c r="D169" s="19" t="inlineStr">
        <is>
          <t>Pass</t>
        </is>
      </c>
      <c r="E169" s="19" t="inlineStr">
        <is>
          <t>brokerverse/src/utils/canOpen.test.js
backend/test/policies.test.js</t>
        </is>
      </c>
      <c r="F169" s="19" t="inlineStr">
        <is>
          <t>claims users are not offered Create Policy (Leads) nor Bulk Upload (write:policies)
enforces permissions</t>
        </is>
      </c>
      <c r="G169" s="19" t="inlineStr"/>
      <c r="H169" s="19" t="inlineStr"/>
      <c r="I169" s="19" t="inlineStr"/>
      <c r="J169" s="19" t="inlineStr"/>
    </row>
    <row r="170">
      <c r="A170" s="19" t="inlineStr">
        <is>
          <t>BV-POL-012</t>
        </is>
      </c>
      <c r="B170" s="19" t="inlineStr">
        <is>
          <t>Policy issuance</t>
        </is>
      </c>
      <c r="C170" s="19" t="inlineStr">
        <is>
          <t>Policy over the client credit limit is issued with a warning</t>
        </is>
      </c>
      <c r="D170" s="19" t="inlineStr">
        <is>
          <t>Pass</t>
        </is>
      </c>
      <c r="E170" s="19" t="inlineStr">
        <is>
          <t>backend/test/credit-control.test.js</t>
        </is>
      </c>
      <c r="F170" s="19" t="inlineStr">
        <is>
          <t>only an approver sets the limit; a broker-billed policy over it is issued with a warning</t>
        </is>
      </c>
      <c r="G170" s="19" t="inlineStr"/>
      <c r="H170" s="19" t="inlineStr"/>
      <c r="I170" s="19" t="inlineStr"/>
      <c r="J170" s="19" t="inlineStr"/>
    </row>
    <row r="171">
      <c r="A171" s="19" t="inlineStr">
        <is>
          <t>BV-POL-013</t>
        </is>
      </c>
      <c r="B171" s="19" t="inlineStr">
        <is>
          <t>Policy issuance</t>
        </is>
      </c>
      <c r="C171" s="19" t="inlineStr">
        <is>
          <t>Default billing mode from settings; switch to direct bill</t>
        </is>
      </c>
      <c r="D171" s="19" t="inlineStr">
        <is>
          <t>Pass</t>
        </is>
      </c>
      <c r="E171" s="19" t="inlineStr">
        <is>
          <t>backend/test/direct-bill.test.js
backend/test/direct-bill.test.js
backend/test/direct-bill.test.js</t>
        </is>
      </c>
      <c r="F171" s="19" t="inlineStr">
        <is>
          <t>a broker-billed policy with nothing collected becomes direct bill and back
refuses the change once premium was collected or the commission is on a debit note
default billing mode comes from the settings</t>
        </is>
      </c>
      <c r="G171" s="19" t="inlineStr"/>
      <c r="H171" s="19" t="inlineStr"/>
      <c r="I171" s="19" t="inlineStr"/>
      <c r="J171" s="19" t="inlineStr"/>
    </row>
    <row r="172">
      <c r="A172" s="19" t="inlineStr">
        <is>
          <t>BV-POL-014</t>
        </is>
      </c>
      <c r="B172" s="19" t="inlineStr">
        <is>
          <t>Policy issuance</t>
        </is>
      </c>
      <c r="C172" s="19" t="inlineStr">
        <is>
          <t>No commission line for an administrator issuing a policy</t>
        </is>
      </c>
      <c r="D172" s="19" t="inlineStr">
        <is>
          <t>Pass</t>
        </is>
      </c>
      <c r="E172" s="19" t="inlineStr">
        <is>
          <t>backend/test/policy-payments.test.js</t>
        </is>
      </c>
      <c r="F172" s="19" t="inlineStr">
        <is>
          <t>no commission line for an administrator who issues a policy; an Account Executive earns one</t>
        </is>
      </c>
      <c r="G172" s="19" t="inlineStr"/>
      <c r="H172" s="19" t="inlineStr"/>
      <c r="I172" s="19" t="inlineStr"/>
      <c r="J172" s="19" t="inlineStr"/>
    </row>
    <row r="173">
      <c r="A173" s="19" t="inlineStr">
        <is>
          <t>BV-POL-015</t>
        </is>
      </c>
      <c r="B173" s="19" t="inlineStr">
        <is>
          <t>Policy issuance</t>
        </is>
      </c>
      <c r="C173" s="19" t="inlineStr">
        <is>
          <t>Online payment link issues the package policy</t>
        </is>
      </c>
      <c r="D173" s="19" t="inlineStr">
        <is>
          <t>Pass</t>
        </is>
      </c>
      <c r="E173" s="19" t="inlineStr">
        <is>
          <t>backend/test/payments.test.js
backend/test/payments.test.js</t>
        </is>
      </c>
      <c r="F173" s="19" t="inlineStr">
        <is>
          <t>pays a package quotation in the sandbox: policy issued, receipt created, policy PDF available
rejects a notification with a bad signature and logs it</t>
        </is>
      </c>
      <c r="G173" s="19" t="inlineStr"/>
      <c r="H173" s="19" t="inlineStr"/>
      <c r="I173" s="19" t="inlineStr"/>
      <c r="J173" s="19" t="inlineStr"/>
    </row>
    <row r="174">
      <c r="A174" s="19" t="inlineStr">
        <is>
          <t>BV-END-001</t>
        </is>
      </c>
      <c r="B174" s="19" t="inlineStr">
        <is>
          <t>Endorsements and cancellations</t>
        </is>
      </c>
      <c r="C174" s="19" t="inlineStr">
        <is>
          <t>Additional premium endorsement on a motor policy</t>
        </is>
      </c>
      <c r="D174" s="19" t="inlineStr">
        <is>
          <t>Pass</t>
        </is>
      </c>
      <c r="E174" s="19" t="inlineStr">
        <is>
          <t>backend/test/endorsements.test.js
backend/test/endorsements.test.js</t>
        </is>
      </c>
      <c r="F174" s="19" t="inlineStr">
        <is>
          <t>prices the screen payload of a motor policy with BI / PD / APPA (own damage 1,200,000 -&gt; 1,400,000 at 2%)
bills a positive delta as a new receivable with a balanced journal and a collection item, and updates the policy premium</t>
        </is>
      </c>
      <c r="G174" s="19" t="inlineStr">
        <is>
          <t>Servicing: endorsements, renewals, claims</t>
        </is>
      </c>
      <c r="H174" s="19" t="inlineStr">
        <is>
          <t>31 passed, 0 failed</t>
        </is>
      </c>
      <c r="I174" s="19" t="inlineStr"/>
      <c r="J174" s="19" t="inlineStr"/>
    </row>
    <row r="175">
      <c r="A175" s="19" t="inlineStr">
        <is>
          <t>BV-END-002</t>
        </is>
      </c>
      <c r="B175" s="19" t="inlineStr">
        <is>
          <t>Endorsements and cancellations</t>
        </is>
      </c>
      <c r="C175" s="19" t="inlineStr">
        <is>
          <t>Premium delta that does not match the coverage change refused</t>
        </is>
      </c>
      <c r="D175" s="19" t="inlineStr">
        <is>
          <t>Pass</t>
        </is>
      </c>
      <c r="E175" s="19" t="inlineStr">
        <is>
          <t>backend/test/endorsements.test.js</t>
        </is>
      </c>
      <c r="F175" s="19" t="inlineStr">
        <is>
          <t>refuses a premiumDelta that does not match new gross - current gross</t>
        </is>
      </c>
      <c r="G175" s="19" t="inlineStr"/>
      <c r="H175" s="19" t="inlineStr"/>
      <c r="I175" s="19" t="inlineStr"/>
      <c r="J175" s="19" t="inlineStr"/>
    </row>
    <row r="176">
      <c r="A176" s="19" t="inlineStr">
        <is>
          <t>BV-END-003</t>
        </is>
      </c>
      <c r="B176" s="19" t="inlineStr">
        <is>
          <t>Endorsements and cancellations</t>
        </is>
      </c>
      <c r="C176" s="19" t="inlineStr">
        <is>
          <t>Zero delta is not billed</t>
        </is>
      </c>
      <c r="D176" s="19" t="inlineStr">
        <is>
          <t>Pass</t>
        </is>
      </c>
      <c r="E176" s="19" t="inlineStr">
        <is>
          <t>backend/test/endorsements.test.js</t>
        </is>
      </c>
      <c r="F176" s="19" t="inlineStr">
        <is>
          <t>does not bill a zero delta</t>
        </is>
      </c>
      <c r="G176" s="19" t="inlineStr"/>
      <c r="H176" s="19" t="inlineStr"/>
      <c r="I176" s="19" t="inlineStr"/>
      <c r="J176" s="19" t="inlineStr"/>
    </row>
    <row r="177">
      <c r="A177" s="19" t="inlineStr">
        <is>
          <t>BV-END-004</t>
        </is>
      </c>
      <c r="B177" s="19" t="inlineStr">
        <is>
          <t>Endorsements and cancellations</t>
        </is>
      </c>
      <c r="C177" s="19" t="inlineStr">
        <is>
          <t>Return premium on a paid policy raises a client refund</t>
        </is>
      </c>
      <c r="D177" s="19" t="inlineStr">
        <is>
          <t>Pass</t>
        </is>
      </c>
      <c r="E177" s="19" t="inlineStr">
        <is>
          <t>backend/test/posting-rules.test.js
backend/test/commission-taxes.test.js
backend/test/endorsements.test.js</t>
        </is>
      </c>
      <c r="F177" s="19" t="inlineStr">
        <is>
          <t>return premium credits the open bill and makes the paid part a client refund payable
a return premium reverses the commission taxes at the rates booked; bills booked without them return none
records a negative delta (return premium) without billing it</t>
        </is>
      </c>
      <c r="G177" s="19" t="inlineStr">
        <is>
          <t>Servicing: endorsements, renewals, claims</t>
        </is>
      </c>
      <c r="H177" s="19" t="inlineStr">
        <is>
          <t>31 passed, 0 failed</t>
        </is>
      </c>
      <c r="I177" s="19" t="inlineStr"/>
      <c r="J177" s="19" t="inlineStr"/>
    </row>
    <row r="178">
      <c r="A178" s="19" t="inlineStr">
        <is>
          <t>BV-END-005</t>
        </is>
      </c>
      <c r="B178" s="19" t="inlineStr">
        <is>
          <t>Endorsements and cancellations</t>
        </is>
      </c>
      <c r="C178" s="19" t="inlineStr">
        <is>
          <t>Return premium claws back sub-agent commission</t>
        </is>
      </c>
      <c r="D178" s="19" t="inlineStr">
        <is>
          <t>Pass</t>
        </is>
      </c>
      <c r="E178" s="19" t="inlineStr">
        <is>
          <t>backend/test/accounting-followups.test.js
backend/test/accounting-followups.test.js</t>
        </is>
      </c>
      <c r="F178" s="19" t="inlineStr">
        <is>
          <t>a 25% return claws back 25% of the paid line and reverses 25% of the approved accrual through the posting rules
a later cancellation of the rest claws back only what is left and reverses the lines</t>
        </is>
      </c>
      <c r="G178" s="19" t="inlineStr"/>
      <c r="H178" s="19" t="inlineStr"/>
      <c r="I178" s="19" t="inlineStr"/>
      <c r="J178" s="19" t="inlineStr"/>
    </row>
    <row r="179">
      <c r="A179" s="19" t="inlineStr">
        <is>
          <t>BV-END-006</t>
        </is>
      </c>
      <c r="B179" s="19" t="inlineStr">
        <is>
          <t>Endorsements and cancellations</t>
        </is>
      </c>
      <c r="C179" s="19" t="inlineStr">
        <is>
          <t>Section endorsement on a package bills that insurer only</t>
        </is>
      </c>
      <c r="D179" s="19" t="inlineStr">
        <is>
          <t>Pass</t>
        </is>
      </c>
      <c r="E179" s="19" t="inlineStr">
        <is>
          <t>backend/test/packages.test.js</t>
        </is>
      </c>
      <c r="F179" s="19" t="inlineStr">
        <is>
          <t>endorses one section: the additional premium is billed and due to that insurer only</t>
        </is>
      </c>
      <c r="G179" s="19" t="inlineStr"/>
      <c r="H179" s="19" t="inlineStr"/>
      <c r="I179" s="19" t="inlineStr"/>
      <c r="J179" s="19" t="inlineStr"/>
    </row>
    <row r="180">
      <c r="A180" s="19" t="inlineStr">
        <is>
          <t>BV-END-007</t>
        </is>
      </c>
      <c r="B180" s="19" t="inlineStr">
        <is>
          <t>Endorsements and cancellations</t>
        </is>
      </c>
      <c r="C180" s="19" t="inlineStr">
        <is>
          <t>Direct-bill endorsement books commission due from insurer</t>
        </is>
      </c>
      <c r="D180" s="19" t="inlineStr">
        <is>
          <t>Pass</t>
        </is>
      </c>
      <c r="E180" s="19" t="inlineStr">
        <is>
          <t>backend/test/endorsements.test.js
backend/test/direct-bill.test.js</t>
        </is>
      </c>
      <c r="F180" s="19" t="inlineStr">
        <is>
          <t>a premium change marked direct bill books the commission due from the insurer instead of a client bill
a return premium on a direct-bill policy returns the commission (reverse booking)</t>
        </is>
      </c>
      <c r="G180" s="19" t="inlineStr"/>
      <c r="H180" s="19" t="inlineStr"/>
      <c r="I180" s="19" t="inlineStr"/>
      <c r="J180" s="19" t="inlineStr"/>
    </row>
    <row r="181">
      <c r="A181" s="19" t="inlineStr">
        <is>
          <t>BV-END-008</t>
        </is>
      </c>
      <c r="B181" s="19" t="inlineStr">
        <is>
          <t>Endorsements and cancellations</t>
        </is>
      </c>
      <c r="C181" s="19" t="inlineStr">
        <is>
          <t>Endorsement list, permissions and numbering</t>
        </is>
      </c>
      <c r="D181" s="19" t="inlineStr">
        <is>
          <t>Pass</t>
        </is>
      </c>
      <c r="E181" s="19" t="inlineStr">
        <is>
          <t>backend/test/endorsements.test.js
backend/test/endorsements.test.js
backend/test/numbering.test.js</t>
        </is>
      </c>
      <c r="F181" s="19" t="inlineStr">
        <is>
          <t>reads back and lists (by policy and client)
validates and enforces permissions
endorsements take their number inside the transaction</t>
        </is>
      </c>
      <c r="G181" s="19" t="inlineStr"/>
      <c r="H181" s="19" t="inlineStr"/>
      <c r="I181" s="19" t="inlineStr"/>
      <c r="J181" s="19" t="inlineStr"/>
    </row>
    <row r="182">
      <c r="A182" s="19" t="inlineStr">
        <is>
          <t>BV-END-009</t>
        </is>
      </c>
      <c r="B182" s="19" t="inlineStr">
        <is>
          <t>Endorsements and cancellations</t>
        </is>
      </c>
      <c r="C182" s="19" t="inlineStr">
        <is>
          <t>Endorsement booked on its issue date</t>
        </is>
      </c>
      <c r="D182" s="19" t="inlineStr">
        <is>
          <t>Pass</t>
        </is>
      </c>
      <c r="E182" s="19" t="inlineStr">
        <is>
          <t>backend/test/uat-disconnects.test.js</t>
        </is>
      </c>
      <c r="F182" s="19" t="inlineStr">
        <is>
          <t>books an endorsement premium on the endorsement issue date</t>
        </is>
      </c>
      <c r="G182" s="19" t="inlineStr"/>
      <c r="H182" s="19" t="inlineStr"/>
      <c r="I182" s="19" t="inlineStr"/>
      <c r="J182" s="19" t="inlineStr"/>
    </row>
    <row r="183">
      <c r="A183" s="19" t="inlineStr">
        <is>
          <t>BV-END-010</t>
        </is>
      </c>
      <c r="B183" s="19" t="inlineStr">
        <is>
          <t>Endorsements and cancellations</t>
        </is>
      </c>
      <c r="C183" s="19" t="inlineStr">
        <is>
          <t>Agent endorses own policies only</t>
        </is>
      </c>
      <c r="D183" s="19" t="inlineStr">
        <is>
          <t>Pass</t>
        </is>
      </c>
      <c r="E183" s="19" t="inlineStr">
        <is>
          <t>backend/test/scope.test.js</t>
        </is>
      </c>
      <c r="F183" s="19" t="inlineStr">
        <is>
          <t>endorsements: agents endorse their own policies only</t>
        </is>
      </c>
      <c r="G183" s="19" t="inlineStr"/>
      <c r="H183" s="19" t="inlineStr"/>
      <c r="I183" s="19" t="inlineStr"/>
      <c r="J183" s="19" t="inlineStr"/>
    </row>
    <row r="184">
      <c r="A184" s="19" t="inlineStr">
        <is>
          <t>BV-END-011</t>
        </is>
      </c>
      <c r="B184" s="19" t="inlineStr">
        <is>
          <t>Endorsements and cancellations</t>
        </is>
      </c>
      <c r="C184" s="19" t="inlineStr">
        <is>
          <t>Cancel a policy at the client request with pro-rata return</t>
        </is>
      </c>
      <c r="D184" s="19" t="inlineStr">
        <is>
          <t>Pass</t>
        </is>
      </c>
      <c r="E184" s="19" t="inlineStr">
        <is>
          <t>backend/test/endorsements.test.js</t>
        </is>
      </c>
      <c r="F184" s="19" t="inlineStr">
        <is>
          <t>cancels a policy through a cancellation endorsement</t>
        </is>
      </c>
      <c r="G184" s="19" t="inlineStr">
        <is>
          <t>Servicing: endorsements, renewals, claims</t>
        </is>
      </c>
      <c r="H184" s="19" t="inlineStr">
        <is>
          <t>31 passed, 0 failed</t>
        </is>
      </c>
      <c r="I184" s="19" t="inlineStr"/>
      <c r="J184" s="19" t="inlineStr"/>
    </row>
    <row r="185">
      <c r="A185" s="19" t="inlineStr">
        <is>
          <t>BV-END-012</t>
        </is>
      </c>
      <c r="B185" s="19" t="inlineStr">
        <is>
          <t>Endorsements and cancellations</t>
        </is>
      </c>
      <c r="C185" s="19" t="inlineStr">
        <is>
          <t>Cancellation without return reverses the open bill</t>
        </is>
      </c>
      <c r="D185" s="19" t="inlineStr">
        <is>
          <t>Pass</t>
        </is>
      </c>
      <c r="E185" s="19" t="inlineStr">
        <is>
          <t>backend/test/posting-rules.test.js</t>
        </is>
      </c>
      <c r="F185" s="19" t="inlineStr">
        <is>
          <t>cancellation without a return amount reverses the open bill exactly as booked</t>
        </is>
      </c>
      <c r="G185" s="19" t="inlineStr"/>
      <c r="H185" s="19" t="inlineStr"/>
      <c r="I185" s="19" t="inlineStr"/>
      <c r="J185" s="19" t="inlineStr"/>
    </row>
    <row r="186">
      <c r="A186" s="19" t="inlineStr">
        <is>
          <t>BV-END-013</t>
        </is>
      </c>
      <c r="B186" s="19" t="inlineStr">
        <is>
          <t>Endorsements and cancellations</t>
        </is>
      </c>
      <c r="C186" s="19" t="inlineStr">
        <is>
          <t>Cancellation for non-payment from credit control</t>
        </is>
      </c>
      <c r="D186" s="19" t="inlineStr">
        <is>
          <t>Pass</t>
        </is>
      </c>
      <c r="E186" s="19" t="inlineStr">
        <is>
          <t>backend/test/credit-control.test.js</t>
        </is>
      </c>
      <c r="F186" s="19" t="inlineStr">
        <is>
          <t>raises a cancellation request for Operations without cancelling the policy</t>
        </is>
      </c>
      <c r="G186" s="19" t="inlineStr">
        <is>
          <t>Billing and collection</t>
        </is>
      </c>
      <c r="H186" s="19" t="inlineStr">
        <is>
          <t>61 passed, 0 failed</t>
        </is>
      </c>
      <c r="I186" s="19" t="inlineStr"/>
      <c r="J186" s="19" t="inlineStr"/>
    </row>
    <row r="187">
      <c r="A187" s="19" t="inlineStr">
        <is>
          <t>BV-CLM-001</t>
        </is>
      </c>
      <c r="B187" s="19" t="inlineStr">
        <is>
          <t>Claims</t>
        </is>
      </c>
      <c r="C187" s="19" t="inlineStr">
        <is>
          <t>Register a motor claim with documents</t>
        </is>
      </c>
      <c r="D187" s="19" t="inlineStr">
        <is>
          <t>Pass</t>
        </is>
      </c>
      <c r="E187" s="19" t="inlineStr">
        <is>
          <t>backend/test/claims.test.js</t>
        </is>
      </c>
      <c r="F187" s="19" t="inlineStr">
        <is>
          <t>registers a claim (multipart), sends the Preliminary Loss Advice and notifies the handler and policy owner</t>
        </is>
      </c>
      <c r="G187" s="19" t="inlineStr">
        <is>
          <t>Servicing: endorsements, renewals, claims</t>
        </is>
      </c>
      <c r="H187" s="19" t="inlineStr">
        <is>
          <t>31 passed, 0 failed</t>
        </is>
      </c>
      <c r="I187" s="19" t="inlineStr">
        <is>
          <t>/agent/claim</t>
        </is>
      </c>
      <c r="J187" s="19" t="inlineStr">
        <is>
          <t>opened clean</t>
        </is>
      </c>
    </row>
    <row r="188">
      <c r="A188" s="19" t="inlineStr">
        <is>
          <t>BV-CLM-002</t>
        </is>
      </c>
      <c r="B188" s="19" t="inlineStr">
        <is>
          <t>Claims</t>
        </is>
      </c>
      <c r="C188" s="19" t="inlineStr">
        <is>
          <t>Loss date outside the policy period refused</t>
        </is>
      </c>
      <c r="D188" s="19" t="inlineStr">
        <is>
          <t>Pass</t>
        </is>
      </c>
      <c r="E188" s="19" t="inlineStr">
        <is>
          <t>backend/test/claims.test.js</t>
        </is>
      </c>
      <c r="F188" s="19" t="inlineStr">
        <is>
          <t>rejects invalid registrations (validation, loss date outside the period, unpaid premium) and honours the setting</t>
        </is>
      </c>
      <c r="G188" s="19" t="inlineStr"/>
      <c r="H188" s="19" t="inlineStr"/>
      <c r="I188" s="19" t="inlineStr"/>
      <c r="J188" s="19" t="inlineStr"/>
    </row>
    <row r="189">
      <c r="A189" s="19" t="inlineStr">
        <is>
          <t>BV-CLM-003</t>
        </is>
      </c>
      <c r="B189" s="19" t="inlineStr">
        <is>
          <t>Claims</t>
        </is>
      </c>
      <c r="C189" s="19" t="inlineStr">
        <is>
          <t>Claim refused while premium unpaid (rule on)</t>
        </is>
      </c>
      <c r="D189" s="19" t="inlineStr">
        <is>
          <t>Pass</t>
        </is>
      </c>
      <c r="E189" s="19" t="inlineStr">
        <is>
          <t>backend/test/claims.test.js</t>
        </is>
      </c>
      <c r="F189" s="19" t="inlineStr">
        <is>
          <t>rejects invalid registrations (validation, loss date outside the period, unpaid premium) and honours the setting</t>
        </is>
      </c>
      <c r="G189" s="19" t="inlineStr"/>
      <c r="H189" s="19" t="inlineStr"/>
      <c r="I189" s="19" t="inlineStr"/>
      <c r="J189" s="19" t="inlineStr"/>
    </row>
    <row r="190">
      <c r="A190" s="19" t="inlineStr">
        <is>
          <t>BV-CLM-004</t>
        </is>
      </c>
      <c r="B190" s="19" t="inlineStr">
        <is>
          <t>Claims</t>
        </is>
      </c>
      <c r="C190" s="19" t="inlineStr">
        <is>
          <t>Reported date before the date of loss refused</t>
        </is>
      </c>
      <c r="D190" s="19" t="inlineStr">
        <is>
          <t>Pass</t>
        </is>
      </c>
      <c r="E190" s="19" t="inlineStr">
        <is>
          <t>backend/test/role-access.test.js</t>
        </is>
      </c>
      <c r="F190" s="19" t="inlineStr">
        <is>
          <t>refuses a reported date before the date of loss, on registration and on update</t>
        </is>
      </c>
      <c r="G190" s="19" t="inlineStr"/>
      <c r="H190" s="19" t="inlineStr"/>
      <c r="I190" s="19" t="inlineStr"/>
      <c r="J190" s="19" t="inlineStr"/>
    </row>
    <row r="191">
      <c r="A191" s="19" t="inlineStr">
        <is>
          <t>BV-CLM-005</t>
        </is>
      </c>
      <c r="B191" s="19" t="inlineStr">
        <is>
          <t>Claims</t>
        </is>
      </c>
      <c r="C191" s="19" t="inlineStr">
        <is>
          <t>Review with insurer claim number and adjuster report</t>
        </is>
      </c>
      <c r="D191" s="19" t="inlineStr">
        <is>
          <t>Pass</t>
        </is>
      </c>
      <c r="E191" s="19" t="inlineStr">
        <is>
          <t>backend/test/claims.test.js</t>
        </is>
      </c>
      <c r="F191" s="19" t="inlineStr">
        <is>
          <t>moves through review, adjuster report, settlement maker-checker to settled and closed</t>
        </is>
      </c>
      <c r="G191" s="19" t="inlineStr">
        <is>
          <t>Servicing: endorsements, renewals, claims</t>
        </is>
      </c>
      <c r="H191" s="19" t="inlineStr">
        <is>
          <t>31 passed, 0 failed</t>
        </is>
      </c>
      <c r="I191" s="19" t="inlineStr"/>
      <c r="J191" s="19" t="inlineStr"/>
    </row>
    <row r="192">
      <c r="A192" s="19" t="inlineStr">
        <is>
          <t>BV-CLM-006</t>
        </is>
      </c>
      <c r="B192" s="19" t="inlineStr">
        <is>
          <t>Claims</t>
        </is>
      </c>
      <c r="C192" s="19" t="inlineStr">
        <is>
          <t>Settlement needs a second claims user</t>
        </is>
      </c>
      <c r="D192" s="19" t="inlineStr">
        <is>
          <t>Pass</t>
        </is>
      </c>
      <c r="E192" s="19" t="inlineStr">
        <is>
          <t>backend/test/claims.test.js</t>
        </is>
      </c>
      <c r="F192" s="19" t="inlineStr">
        <is>
          <t>moves through review, adjuster report, settlement maker-checker to settled and closed</t>
        </is>
      </c>
      <c r="G192" s="19" t="inlineStr">
        <is>
          <t>Servicing: endorsements, renewals, claims</t>
        </is>
      </c>
      <c r="H192" s="19" t="inlineStr">
        <is>
          <t>31 passed, 0 failed</t>
        </is>
      </c>
      <c r="I192" s="19" t="inlineStr"/>
      <c r="J192" s="19" t="inlineStr"/>
    </row>
    <row r="193">
      <c r="A193" s="19" t="inlineStr">
        <is>
          <t>BV-CLM-007</t>
        </is>
      </c>
      <c r="B193" s="19" t="inlineStr">
        <is>
          <t>Claims</t>
        </is>
      </c>
      <c r="C193" s="19" t="inlineStr">
        <is>
          <t>Settlement type outside the master refused</t>
        </is>
      </c>
      <c r="D193" s="19" t="inlineStr">
        <is>
          <t>Pass</t>
        </is>
      </c>
      <c r="E193" s="19" t="inlineStr">
        <is>
          <t>backend/test/claims.test.js</t>
        </is>
      </c>
      <c r="F193" s="19" t="inlineStr">
        <is>
          <t>serves the claim masters and rejects a settlement type outside the master</t>
        </is>
      </c>
      <c r="G193" s="19" t="inlineStr"/>
      <c r="H193" s="19" t="inlineStr"/>
      <c r="I193" s="19" t="inlineStr"/>
      <c r="J193" s="19" t="inlineStr"/>
    </row>
    <row r="194">
      <c r="A194" s="19" t="inlineStr">
        <is>
          <t>BV-CLM-008</t>
        </is>
      </c>
      <c r="B194" s="19" t="inlineStr">
        <is>
          <t>Claims</t>
        </is>
      </c>
      <c r="C194" s="19" t="inlineStr">
        <is>
          <t>Settle date before issue date refused on screen</t>
        </is>
      </c>
      <c r="D194" s="19" t="inlineStr">
        <is>
          <t>Not Run</t>
        </is>
      </c>
      <c r="E194" s="19" t="inlineStr"/>
      <c r="F194" s="19" t="inlineStr"/>
      <c r="G194" s="19" t="inlineStr"/>
      <c r="H194" s="19" t="inlineStr"/>
      <c r="I194" s="19" t="inlineStr"/>
      <c r="J194" s="19" t="inlineStr"/>
    </row>
    <row r="195">
      <c r="A195" s="19" t="inlineStr">
        <is>
          <t>BV-CLM-009</t>
        </is>
      </c>
      <c r="B195" s="19" t="inlineStr">
        <is>
          <t>Claims</t>
        </is>
      </c>
      <c r="C195" s="19" t="inlineStr">
        <is>
          <t>Settlement paid through the broker</t>
        </is>
      </c>
      <c r="D195" s="19" t="inlineStr">
        <is>
          <t>Pass</t>
        </is>
      </c>
      <c r="E195" s="19" t="inlineStr">
        <is>
          <t>backend/test/accounting-followups.test.js
backend/test/accounting-followups.test.js
backend/test/accounting-followups.test.js
backend/test/uat-disconnects.test.js</t>
        </is>
      </c>
      <c r="F195" s="19" t="inlineStr">
        <is>
          <t>books the settlement through the broker
records funds received from the insurer into a bank account (claim.funds_received), never more than due
records the payment to the claimant (claim.paid_to_claimant), never more than payable
the claim is settled on its settlement date and the broker settlement journal is dated with it</t>
        </is>
      </c>
      <c r="G195" s="19" t="inlineStr">
        <is>
          <t>Servicing: endorsements, renewals, claims</t>
        </is>
      </c>
      <c r="H195" s="19" t="inlineStr">
        <is>
          <t>31 passed, 0 failed</t>
        </is>
      </c>
      <c r="I195" s="19" t="inlineStr"/>
      <c r="J195" s="19" t="inlineStr"/>
    </row>
    <row r="196">
      <c r="A196" s="19" t="inlineStr">
        <is>
          <t>BV-CLM-010</t>
        </is>
      </c>
      <c r="B196" s="19" t="inlineStr">
        <is>
          <t>Claims</t>
        </is>
      </c>
      <c r="C196" s="19" t="inlineStr">
        <is>
          <t>Reject a claim and close without payment</t>
        </is>
      </c>
      <c r="D196" s="19" t="inlineStr">
        <is>
          <t>Pass</t>
        </is>
      </c>
      <c r="E196" s="19" t="inlineStr">
        <is>
          <t>backend/test/claims.test.js</t>
        </is>
      </c>
      <c r="F196" s="19" t="inlineStr">
        <is>
          <t>rejects a claim and returns the field-level audit trail</t>
        </is>
      </c>
      <c r="G196" s="19" t="inlineStr">
        <is>
          <t>Servicing: endorsements, renewals, claims</t>
        </is>
      </c>
      <c r="H196" s="19" t="inlineStr">
        <is>
          <t>31 passed, 0 failed</t>
        </is>
      </c>
      <c r="I196" s="19" t="inlineStr"/>
      <c r="J196" s="19" t="inlineStr"/>
    </row>
    <row r="197">
      <c r="A197" s="19" t="inlineStr">
        <is>
          <t>BV-CLM-011</t>
        </is>
      </c>
      <c r="B197" s="19" t="inlineStr">
        <is>
          <t>Claims</t>
        </is>
      </c>
      <c r="C197" s="19" t="inlineStr">
        <is>
          <t>Find a claim by search and status</t>
        </is>
      </c>
      <c r="D197" s="19" t="inlineStr">
        <is>
          <t>Pass</t>
        </is>
      </c>
      <c r="E197" s="19" t="inlineStr">
        <is>
          <t>backend/test/claims.test.js</t>
        </is>
      </c>
      <c r="F197" s="19" t="inlineStr">
        <is>
          <t>reads the claim back and finds it in the list by search and status</t>
        </is>
      </c>
      <c r="G197" s="19" t="inlineStr"/>
      <c r="H197" s="19" t="inlineStr"/>
      <c r="I197" s="19" t="inlineStr"/>
      <c r="J197" s="19" t="inlineStr"/>
    </row>
    <row r="198">
      <c r="A198" s="19" t="inlineStr">
        <is>
          <t>BV-CLM-012</t>
        </is>
      </c>
      <c r="B198" s="19" t="inlineStr">
        <is>
          <t>Claims</t>
        </is>
      </c>
      <c r="C198" s="19" t="inlineStr">
        <is>
          <t>Claims dashboard report and Excel download</t>
        </is>
      </c>
      <c r="D198" s="19" t="inlineStr">
        <is>
          <t>Pass</t>
        </is>
      </c>
      <c r="E198" s="19" t="inlineStr">
        <is>
          <t>backend/test/claims.test.js</t>
        </is>
      </c>
      <c r="F198" s="19" t="inlineStr">
        <is>
          <t>builds the dashboard report and the Excel downloads</t>
        </is>
      </c>
      <c r="G198" s="19" t="inlineStr">
        <is>
          <t>Reports and dashboards</t>
        </is>
      </c>
      <c r="H198" s="19" t="inlineStr">
        <is>
          <t>58 passed, 0 failed</t>
        </is>
      </c>
      <c r="I198" s="19" t="inlineStr">
        <is>
          <t>/claims/dashboard</t>
        </is>
      </c>
      <c r="J198" s="19" t="inlineStr">
        <is>
          <t>opened clean</t>
        </is>
      </c>
    </row>
    <row r="199">
      <c r="A199" s="19" t="inlineStr">
        <is>
          <t>BV-CLM-013</t>
        </is>
      </c>
      <c r="B199" s="19" t="inlineStr">
        <is>
          <t>Claims</t>
        </is>
      </c>
      <c r="C199" s="19" t="inlineStr">
        <is>
          <t>Agent registers FNOL on own policies; decisions need claims role</t>
        </is>
      </c>
      <c r="D199" s="19" t="inlineStr">
        <is>
          <t>Pass</t>
        </is>
      </c>
      <c r="E199" s="19" t="inlineStr">
        <is>
          <t>backend/test/scope.test.js
backend/test/scope.test.js
backend/test/claims.test.js</t>
        </is>
      </c>
      <c r="F199" s="19" t="inlineStr">
        <is>
          <t>claims: agents register first notice of loss on their own policies only and see only those claims
agents may update their claim but claim decisions need the claims (or admin) role
enforces permissions per persona</t>
        </is>
      </c>
      <c r="G199" s="19" t="inlineStr"/>
      <c r="H199" s="19" t="inlineStr"/>
      <c r="I199" s="19" t="inlineStr"/>
      <c r="J199" s="19" t="inlineStr"/>
    </row>
    <row r="200">
      <c r="A200" s="19" t="inlineStr">
        <is>
          <t>BV-CLM-014</t>
        </is>
      </c>
      <c r="B200" s="19" t="inlineStr">
        <is>
          <t>Claims</t>
        </is>
      </c>
      <c r="C200" s="19" t="inlineStr">
        <is>
          <t>No seeded claim is reported before its loss</t>
        </is>
      </c>
      <c r="D200" s="19" t="inlineStr">
        <is>
          <t>Pass</t>
        </is>
      </c>
      <c r="E200" s="19" t="inlineStr">
        <is>
          <t>backend/test/role-access.test.js</t>
        </is>
      </c>
      <c r="F200" s="19" t="inlineStr">
        <is>
          <t>no seeded claim is reported before its loss</t>
        </is>
      </c>
      <c r="G200" s="19" t="inlineStr"/>
      <c r="H200" s="19" t="inlineStr"/>
      <c r="I200" s="19" t="inlineStr"/>
      <c r="J200" s="19" t="inlineStr"/>
    </row>
    <row r="201">
      <c r="A201" s="19" t="inlineStr">
        <is>
          <t>BV-CLM-015</t>
        </is>
      </c>
      <c r="B201" s="19" t="inlineStr">
        <is>
          <t>Claims</t>
        </is>
      </c>
      <c r="C201" s="19" t="inlineStr">
        <is>
          <t>Claims show participants and their shares</t>
        </is>
      </c>
      <c r="D201" s="19" t="inlineStr">
        <is>
          <t>Pass</t>
        </is>
      </c>
      <c r="E201" s="19" t="inlineStr">
        <is>
          <t>backend/test/posting-rules.test.js</t>
        </is>
      </c>
      <c r="F201" s="19" t="inlineStr">
        <is>
          <t>collections and claims show the participants and their shares</t>
        </is>
      </c>
      <c r="G201" s="19" t="inlineStr"/>
      <c r="H201" s="19" t="inlineStr"/>
      <c r="I201" s="19" t="inlineStr"/>
      <c r="J201" s="19" t="inlineStr"/>
    </row>
    <row r="202">
      <c r="A202" s="19" t="inlineStr">
        <is>
          <t>BV-REN-001</t>
        </is>
      </c>
      <c r="B202" s="19" t="inlineStr">
        <is>
          <t>Renewals</t>
        </is>
      </c>
      <c r="C202" s="19" t="inlineStr">
        <is>
          <t>Put an expiring policy into the renewal pipeline</t>
        </is>
      </c>
      <c r="D202" s="19" t="inlineStr">
        <is>
          <t>Pass</t>
        </is>
      </c>
      <c r="E202" s="19" t="inlineStr">
        <is>
          <t>backend/test/renewals.test.js</t>
        </is>
      </c>
      <c r="F202" s="19" t="inlineStr">
        <is>
          <t>puts a policy into the pipeline and lists it for the client</t>
        </is>
      </c>
      <c r="G202" s="19" t="inlineStr">
        <is>
          <t>Servicing: endorsements, renewals, claims</t>
        </is>
      </c>
      <c r="H202" s="19" t="inlineStr">
        <is>
          <t>31 passed, 0 failed</t>
        </is>
      </c>
      <c r="I202" s="19" t="inlineStr">
        <is>
          <t>/agent/expired-policies</t>
        </is>
      </c>
      <c r="J202" s="19" t="inlineStr">
        <is>
          <t>opened clean</t>
        </is>
      </c>
    </row>
    <row r="203">
      <c r="A203" s="19" t="inlineStr">
        <is>
          <t>BV-REN-002</t>
        </is>
      </c>
      <c r="B203" s="19" t="inlineStr">
        <is>
          <t>Renewals</t>
        </is>
      </c>
      <c r="C203" s="19" t="inlineStr">
        <is>
          <t>Renewal notices strictly in order with e-mail to the client</t>
        </is>
      </c>
      <c r="D203" s="19" t="inlineStr">
        <is>
          <t>Pass</t>
        </is>
      </c>
      <c r="E203" s="19" t="inlineStr">
        <is>
          <t>backend/test/renewals.test.js</t>
        </is>
      </c>
      <c r="F203" s="19" t="inlineStr">
        <is>
          <t>sends notices strictly in order and e-mails the client</t>
        </is>
      </c>
      <c r="G203" s="19" t="inlineStr">
        <is>
          <t>Servicing: endorsements, renewals, claims</t>
        </is>
      </c>
      <c r="H203" s="19" t="inlineStr">
        <is>
          <t>31 passed, 0 failed</t>
        </is>
      </c>
      <c r="I203" s="19" t="inlineStr"/>
      <c r="J203" s="19" t="inlineStr"/>
    </row>
    <row r="204">
      <c r="A204" s="19" t="inlineStr">
        <is>
          <t>BV-REN-003</t>
        </is>
      </c>
      <c r="B204" s="19" t="inlineStr">
        <is>
          <t>Renewals</t>
        </is>
      </c>
      <c r="C204" s="19" t="inlineStr">
        <is>
          <t>Re-rate the renewal at current rates with claims loading</t>
        </is>
      </c>
      <c r="D204" s="19" t="inlineStr">
        <is>
          <t>Pass</t>
        </is>
      </c>
      <c r="E204" s="19" t="inlineStr">
        <is>
          <t>backend/test/renewals.test.js</t>
        </is>
      </c>
      <c r="F204" s="19" t="inlineStr">
        <is>
          <t>re-rates the renewal at current rates with claims loading, taxes and premium variance</t>
        </is>
      </c>
      <c r="G204" s="19" t="inlineStr"/>
      <c r="H204" s="19" t="inlineStr"/>
      <c r="I204" s="19" t="inlineStr"/>
      <c r="J204" s="19" t="inlineStr"/>
    </row>
    <row r="205">
      <c r="A205" s="19" t="inlineStr">
        <is>
          <t>BV-REN-004</t>
        </is>
      </c>
      <c r="B205" s="19" t="inlineStr">
        <is>
          <t>Renewals</t>
        </is>
      </c>
      <c r="C205" s="19" t="inlineStr">
        <is>
          <t>Wizard prefilled from the expiring policy</t>
        </is>
      </c>
      <c r="D205" s="19" t="inlineStr">
        <is>
          <t>Pass</t>
        </is>
      </c>
      <c r="E205" s="19" t="inlineStr">
        <is>
          <t>backend/test/renewals.test.js
backend/test/renewals.test.js</t>
        </is>
      </c>
      <c r="F205" s="19" t="inlineStr">
        <is>
          <t>prefills the wizard from the expiring policy only (quotation data; blank accessories)
prefills a policy without a quotation from the policy row (sum insured, insurer, client)</t>
        </is>
      </c>
      <c r="G205" s="19" t="inlineStr"/>
      <c r="H205" s="19" t="inlineStr"/>
      <c r="I205" s="19" t="inlineStr"/>
      <c r="J205" s="19" t="inlineStr"/>
    </row>
    <row r="206">
      <c r="A206" s="19" t="inlineStr">
        <is>
          <t>BV-REN-005</t>
        </is>
      </c>
      <c r="B206" s="19" t="inlineStr">
        <is>
          <t>Renewals</t>
        </is>
      </c>
      <c r="C206" s="19" t="inlineStr">
        <is>
          <t>Renewal needs approval by a different user</t>
        </is>
      </c>
      <c r="D206" s="19" t="inlineStr">
        <is>
          <t>Pass</t>
        </is>
      </c>
      <c r="E206" s="19" t="inlineStr">
        <is>
          <t>backend/test/renewals.test.js</t>
        </is>
      </c>
      <c r="F206" s="19" t="inlineStr">
        <is>
          <t>requires checker approval by a different user and then renews into a new policy term</t>
        </is>
      </c>
      <c r="G206" s="19" t="inlineStr">
        <is>
          <t>Servicing: endorsements, renewals, claims</t>
        </is>
      </c>
      <c r="H206" s="19" t="inlineStr">
        <is>
          <t>31 passed, 0 failed</t>
        </is>
      </c>
      <c r="I206" s="19" t="inlineStr"/>
      <c r="J206" s="19" t="inlineStr"/>
    </row>
    <row r="207">
      <c r="A207" s="19" t="inlineStr">
        <is>
          <t>BV-REN-006</t>
        </is>
      </c>
      <c r="B207" s="19" t="inlineStr">
        <is>
          <t>Renewals</t>
        </is>
      </c>
      <c r="C207" s="19" t="inlineStr">
        <is>
          <t>Renewal through a renewal quotation (motor)</t>
        </is>
      </c>
      <c r="D207" s="19" t="inlineStr">
        <is>
          <t>Pass</t>
        </is>
      </c>
      <c r="E207" s="19" t="inlineStr">
        <is>
          <t>backend/test/renewals.test.js
backend/test/renewals.test.js</t>
        </is>
      </c>
      <c r="F207" s="19" t="inlineStr">
        <is>
          <t>creates the renewal quotation linked to the expiring policy (insurer, client, lead, vehicle, product carried)
issues the accepted renewal quotation as the new term: old policy renewed, receivable and balanced journal, commission</t>
        </is>
      </c>
      <c r="G207" s="19" t="inlineStr">
        <is>
          <t>Servicing: endorsements, renewals, claims</t>
        </is>
      </c>
      <c r="H207" s="19" t="inlineStr">
        <is>
          <t>31 passed, 0 failed</t>
        </is>
      </c>
      <c r="I207" s="19" t="inlineStr"/>
      <c r="J207" s="19" t="inlineStr"/>
    </row>
    <row r="208">
      <c r="A208" s="19" t="inlineStr">
        <is>
          <t>BV-REN-007</t>
        </is>
      </c>
      <c r="B208" s="19" t="inlineStr">
        <is>
          <t>Renewals</t>
        </is>
      </c>
      <c r="C208" s="19" t="inlineStr">
        <is>
          <t>Fire renewal priced on the expiring net premium</t>
        </is>
      </c>
      <c r="D208" s="19" t="inlineStr">
        <is>
          <t>Pass</t>
        </is>
      </c>
      <c r="E208" s="19" t="inlineStr">
        <is>
          <t>backend/test/uat-disconnects.test.js</t>
        </is>
      </c>
      <c r="F208" s="19" t="inlineStr">
        <is>
          <t>a renewal quotation of a fire policy is priced on the expiring net premium; a quotation without premium is not sent</t>
        </is>
      </c>
      <c r="G208" s="19" t="inlineStr"/>
      <c r="H208" s="19" t="inlineStr"/>
      <c r="I208" s="19" t="inlineStr"/>
      <c r="J208" s="19" t="inlineStr"/>
    </row>
    <row r="209">
      <c r="A209" s="19" t="inlineStr">
        <is>
          <t>BV-REN-008</t>
        </is>
      </c>
      <c r="B209" s="19" t="inlineStr">
        <is>
          <t>Renewals</t>
        </is>
      </c>
      <c r="C209" s="19" t="inlineStr">
        <is>
          <t>Renewal completed in the workspace carries bill and commission</t>
        </is>
      </c>
      <c r="D209" s="19" t="inlineStr">
        <is>
          <t>Pass</t>
        </is>
      </c>
      <c r="E209" s="19" t="inlineStr">
        <is>
          <t>backend/test/uat-disconnects.test.js</t>
        </is>
      </c>
      <c r="F209" s="19" t="inlineStr">
        <is>
          <t>a renewal completed in the renewal workspace is a full policy term with its bill and the producer's commission</t>
        </is>
      </c>
      <c r="G209" s="19" t="inlineStr">
        <is>
          <t>Servicing: endorsements, renewals, claims</t>
        </is>
      </c>
      <c r="H209" s="19" t="inlineStr">
        <is>
          <t>31 passed, 0 failed</t>
        </is>
      </c>
      <c r="I209" s="19" t="inlineStr"/>
      <c r="J209" s="19" t="inlineStr"/>
    </row>
    <row r="210">
      <c r="A210" s="19" t="inlineStr">
        <is>
          <t>BV-REN-009</t>
        </is>
      </c>
      <c r="B210" s="19" t="inlineStr">
        <is>
          <t>Renewals</t>
        </is>
      </c>
      <c r="C210" s="19" t="inlineStr">
        <is>
          <t>Lapse with a reason and reinstate</t>
        </is>
      </c>
      <c r="D210" s="19" t="inlineStr">
        <is>
          <t>Pass</t>
        </is>
      </c>
      <c r="E210" s="19" t="inlineStr">
        <is>
          <t>backend/test/renewals.test.js</t>
        </is>
      </c>
      <c r="F210" s="19" t="inlineStr">
        <is>
          <t>lapses and reinstates a renewal; validates the lapse reason</t>
        </is>
      </c>
      <c r="G210" s="19" t="inlineStr">
        <is>
          <t>Servicing: endorsements, renewals, claims</t>
        </is>
      </c>
      <c r="H210" s="19" t="inlineStr">
        <is>
          <t>31 passed, 0 failed</t>
        </is>
      </c>
      <c r="I210" s="19" t="inlineStr">
        <is>
          <t>/renewal/lapse-management</t>
        </is>
      </c>
      <c r="J210" s="19" t="inlineStr">
        <is>
          <t>opened clean</t>
        </is>
      </c>
    </row>
    <row r="211">
      <c r="A211" s="19" t="inlineStr">
        <is>
          <t>BV-REN-010</t>
        </is>
      </c>
      <c r="B211" s="19" t="inlineStr">
        <is>
          <t>Renewals</t>
        </is>
      </c>
      <c r="C211" s="19" t="inlineStr">
        <is>
          <t>Renewal of a policy expired beyond grace plus lapsed window refused</t>
        </is>
      </c>
      <c r="D211" s="19" t="inlineStr">
        <is>
          <t>Pass</t>
        </is>
      </c>
      <c r="E211" s="19" t="inlineStr"/>
      <c r="F211" s="19" t="inlineStr"/>
      <c r="G211" s="19" t="inlineStr">
        <is>
          <t>Servicing: endorsements, renewals, claims</t>
        </is>
      </c>
      <c r="H211" s="19" t="inlineStr">
        <is>
          <t>31 passed, 0 failed</t>
        </is>
      </c>
      <c r="I211" s="19" t="inlineStr"/>
      <c r="J211" s="19" t="inlineStr"/>
    </row>
    <row r="212">
      <c r="A212" s="19" t="inlineStr">
        <is>
          <t>BV-REN-011</t>
        </is>
      </c>
      <c r="B212" s="19" t="inlineStr">
        <is>
          <t>Renewals</t>
        </is>
      </c>
      <c r="C212" s="19" t="inlineStr">
        <is>
          <t>Batch renewal run with retry</t>
        </is>
      </c>
      <c r="D212" s="19" t="inlineStr">
        <is>
          <t>Pass</t>
        </is>
      </c>
      <c r="E212" s="19" t="inlineStr">
        <is>
          <t>backend/test/renewals.test.js</t>
        </is>
      </c>
      <c r="F212" s="19" t="inlineStr">
        <is>
          <t>runs a renewal batch through the PostgreSQL job queue (sent, failed, retry, report)</t>
        </is>
      </c>
      <c r="G212" s="19" t="inlineStr"/>
      <c r="H212" s="19" t="inlineStr"/>
      <c r="I212" s="19" t="inlineStr">
        <is>
          <t>/agent/renewal-batch</t>
        </is>
      </c>
      <c r="J212" s="19" t="inlineStr">
        <is>
          <t>opened clean</t>
        </is>
      </c>
    </row>
    <row r="213">
      <c r="A213" s="19" t="inlineStr">
        <is>
          <t>BV-REN-012</t>
        </is>
      </c>
      <c r="B213" s="19" t="inlineStr">
        <is>
          <t>Renewals</t>
        </is>
      </c>
      <c r="C213" s="19" t="inlineStr">
        <is>
          <t>Renewal queue, at-risk, negotiations, performance</t>
        </is>
      </c>
      <c r="D213" s="19" t="inlineStr">
        <is>
          <t>Pass</t>
        </is>
      </c>
      <c r="E213" s="19" t="inlineStr">
        <is>
          <t>backend/test/renewals.test.js</t>
        </is>
      </c>
      <c r="F213" s="19" t="inlineStr">
        <is>
          <t>serves the workspace read models (queue, at-risk, negotiations, performance, campaigns)</t>
        </is>
      </c>
      <c r="G213" s="19" t="inlineStr">
        <is>
          <t>Reports and dashboards</t>
        </is>
      </c>
      <c r="H213" s="19" t="inlineStr">
        <is>
          <t>58 passed, 0 failed</t>
        </is>
      </c>
      <c r="I213" s="19" t="inlineStr">
        <is>
          <t>/renewal/queue
/renewal/at-risk
/renewal/negotiations
/renewal/performance
/renewal/analytics</t>
        </is>
      </c>
      <c r="J213" s="19" t="inlineStr">
        <is>
          <t>opened clean
opened clean
opened clean
opened clean
opened clean</t>
        </is>
      </c>
    </row>
    <row r="214">
      <c r="A214" s="19" t="inlineStr">
        <is>
          <t>BV-REN-013</t>
        </is>
      </c>
      <c r="B214" s="19" t="inlineStr">
        <is>
          <t>Renewals</t>
        </is>
      </c>
      <c r="C214" s="19" t="inlineStr">
        <is>
          <t>Renew a whole package</t>
        </is>
      </c>
      <c r="D214" s="19" t="inlineStr">
        <is>
          <t>Pass</t>
        </is>
      </c>
      <c r="E214" s="19" t="inlineStr">
        <is>
          <t>backend/test/packages.test.js</t>
        </is>
      </c>
      <c r="F214" s="19" t="inlineStr">
        <is>
          <t>renews the whole package into a quotation for the next term and marks the policy renewed on issue</t>
        </is>
      </c>
      <c r="G214" s="19" t="inlineStr"/>
      <c r="H214" s="19" t="inlineStr"/>
      <c r="I214" s="19" t="inlineStr"/>
      <c r="J214" s="19" t="inlineStr"/>
    </row>
    <row r="215">
      <c r="A215" s="19" t="inlineStr">
        <is>
          <t>BV-REN-014</t>
        </is>
      </c>
      <c r="B215" s="19" t="inlineStr">
        <is>
          <t>Renewals</t>
        </is>
      </c>
      <c r="C215" s="19" t="inlineStr">
        <is>
          <t>Renew a policy without quotation or prospect</t>
        </is>
      </c>
      <c r="D215" s="19" t="inlineStr">
        <is>
          <t>Pass</t>
        </is>
      </c>
      <c r="E215" s="19" t="inlineStr">
        <is>
          <t>backend/test/renewals.test.js</t>
        </is>
      </c>
      <c r="F215" s="19" t="inlineStr">
        <is>
          <t>renews a seeded policy without quotation or lead (client e-mail, client-based conversion)</t>
        </is>
      </c>
      <c r="G215" s="19" t="inlineStr"/>
      <c r="H215" s="19" t="inlineStr"/>
      <c r="I215" s="19" t="inlineStr"/>
      <c r="J215" s="19" t="inlineStr"/>
    </row>
    <row r="216">
      <c r="A216" s="19" t="inlineStr">
        <is>
          <t>BV-REN-015</t>
        </is>
      </c>
      <c r="B216" s="19" t="inlineStr">
        <is>
          <t>Renewals</t>
        </is>
      </c>
      <c r="C216" s="19" t="inlineStr">
        <is>
          <t>Renewal permissions per persona</t>
        </is>
      </c>
      <c r="D216" s="19" t="inlineStr">
        <is>
          <t>Pass</t>
        </is>
      </c>
      <c r="E216" s="19" t="inlineStr">
        <is>
          <t>backend/test/renewals.test.js
backend/test/role-access.test.js
brokerverse/src/utils/menuPermissions.test.js</t>
        </is>
      </c>
      <c r="F216" s="19" t="inlineStr">
        <is>
          <t>enforces permissions per persona
prefills and saves the renewal wizard of an own policy; another agent's policy answers 404
operations and processing get the renewals workspace; accounting does not</t>
        </is>
      </c>
      <c r="G216" s="19" t="inlineStr"/>
      <c r="H216" s="19" t="inlineStr"/>
      <c r="I216" s="19" t="inlineStr"/>
      <c r="J216" s="19" t="inlineStr"/>
    </row>
    <row r="217">
      <c r="A217" s="19" t="inlineStr">
        <is>
          <t>BV-REN-016</t>
        </is>
      </c>
      <c r="B217" s="19" t="inlineStr">
        <is>
          <t>Renewals</t>
        </is>
      </c>
      <c r="C217" s="19" t="inlineStr">
        <is>
          <t>Renewal notice job follows the reminder setting and Manila date</t>
        </is>
      </c>
      <c r="D217" s="19" t="inlineStr">
        <is>
          <t>Pass</t>
        </is>
      </c>
      <c r="E217" s="19" t="inlineStr">
        <is>
          <t>backend/test/configuration.test.js
backend/test/operations.test.js</t>
        </is>
      </c>
      <c r="F217" s="19" t="inlineStr">
        <is>
          <t>the renewal notice job honours notification.renewal_reminder
uses the Manila business date, not the database current_date, in the expiry and renewal-notice jobs</t>
        </is>
      </c>
      <c r="G217" s="19" t="inlineStr"/>
      <c r="H217" s="19" t="inlineStr"/>
      <c r="I217" s="19" t="inlineStr"/>
      <c r="J217" s="19" t="inlineStr"/>
    </row>
    <row r="218">
      <c r="A218" s="19" t="inlineStr">
        <is>
          <t>BV-PAY-001</t>
        </is>
      </c>
      <c r="B218" s="19" t="inlineStr">
        <is>
          <t>Open items and payments</t>
        </is>
      </c>
      <c r="C218" s="19" t="inlineStr">
        <is>
          <t>Sales captures a client bank transfer for verification</t>
        </is>
      </c>
      <c r="D218" s="19" t="inlineStr">
        <is>
          <t>Pass</t>
        </is>
      </c>
      <c r="E218" s="19" t="inlineStr">
        <is>
          <t>backend/test/policy-payments.test.js
backend/test/policy-payments.test.js
backend/test/payment-segregation.test.js</t>
        </is>
      </c>
      <c r="F218" s="19" t="inlineStr">
        <is>
          <t>a non-finance user's capture is recorded for verification and posts no receipt or journal
every capture has an acknowledgement receipt number and a printable acknowledgement receipt
sales, underwriting and agents record a pending payment (no receipt, no journal); finance verifies it</t>
        </is>
      </c>
      <c r="G218" s="19" t="inlineStr">
        <is>
          <t>Billing and collection</t>
        </is>
      </c>
      <c r="H218" s="19" t="inlineStr">
        <is>
          <t>61 passed, 0 failed</t>
        </is>
      </c>
      <c r="I218" s="19" t="inlineStr">
        <is>
          <t>/agent/payments</t>
        </is>
      </c>
      <c r="J218" s="19" t="inlineStr">
        <is>
          <t>opened clean</t>
        </is>
      </c>
    </row>
    <row r="219">
      <c r="A219" s="19" t="inlineStr">
        <is>
          <t>BV-PAY-002</t>
        </is>
      </c>
      <c r="B219" s="19" t="inlineStr">
        <is>
          <t>Open items and payments</t>
        </is>
      </c>
      <c r="C219" s="19" t="inlineStr">
        <is>
          <t>Accounting confirms a captured payment</t>
        </is>
      </c>
      <c r="D219" s="19" t="inlineStr">
        <is>
          <t>Pass</t>
        </is>
      </c>
      <c r="E219" s="19" t="inlineStr">
        <is>
          <t>backend/test/policy-payments.test.js</t>
        </is>
      </c>
      <c r="F219" s="19" t="inlineStr">
        <is>
          <t>finance confirms the capture: official receipt against the bill, journal posted, policy Completed</t>
        </is>
      </c>
      <c r="G219" s="19" t="inlineStr">
        <is>
          <t>Billing and collection</t>
        </is>
      </c>
      <c r="H219" s="19" t="inlineStr">
        <is>
          <t>61 passed, 0 failed</t>
        </is>
      </c>
      <c r="I219" s="19" t="inlineStr"/>
      <c r="J219" s="19" t="inlineStr"/>
    </row>
    <row r="220">
      <c r="A220" s="19" t="inlineStr">
        <is>
          <t>BV-PAY-003</t>
        </is>
      </c>
      <c r="B220" s="19" t="inlineStr">
        <is>
          <t>Open items and payments</t>
        </is>
      </c>
      <c r="C220" s="19" t="inlineStr">
        <is>
          <t>Accounting rejects a capture</t>
        </is>
      </c>
      <c r="D220" s="19" t="inlineStr">
        <is>
          <t>Pass</t>
        </is>
      </c>
      <c r="E220" s="19" t="inlineStr">
        <is>
          <t>backend/test/policy-payments.test.js</t>
        </is>
      </c>
      <c r="F220" s="19" t="inlineStr">
        <is>
          <t>finance can reject a capture; a finance capture is confirmed at once</t>
        </is>
      </c>
      <c r="G220" s="19" t="inlineStr"/>
      <c r="H220" s="19" t="inlineStr"/>
      <c r="I220" s="19" t="inlineStr"/>
      <c r="J220" s="19" t="inlineStr"/>
    </row>
    <row r="221">
      <c r="A221" s="19" t="inlineStr">
        <is>
          <t>BV-PAY-004</t>
        </is>
      </c>
      <c r="B221" s="19" t="inlineStr">
        <is>
          <t>Open items and payments</t>
        </is>
      </c>
      <c r="C221" s="19" t="inlineStr">
        <is>
          <t>Capture validation: reference, amount within balance, date</t>
        </is>
      </c>
      <c r="D221" s="19" t="inlineStr">
        <is>
          <t>Pass</t>
        </is>
      </c>
      <c r="E221" s="19" t="inlineStr">
        <is>
          <t>backend/test/policy-payments.test.js</t>
        </is>
      </c>
      <c r="F221" s="19" t="inlineStr">
        <is>
          <t>validates the capture: reference, amount within the balance, date not in the future</t>
        </is>
      </c>
      <c r="G221" s="19" t="inlineStr"/>
      <c r="H221" s="19" t="inlineStr"/>
      <c r="I221" s="19" t="inlineStr"/>
      <c r="J221" s="19" t="inlineStr"/>
    </row>
    <row r="222">
      <c r="A222" s="19" t="inlineStr">
        <is>
          <t>BV-PAY-005</t>
        </is>
      </c>
      <c r="B222" s="19" t="inlineStr">
        <is>
          <t>Open items and payments</t>
        </is>
      </c>
      <c r="C222" s="19" t="inlineStr">
        <is>
          <t>Bill stays open until payment confirmed</t>
        </is>
      </c>
      <c r="D222" s="19" t="inlineStr">
        <is>
          <t>Pass</t>
        </is>
      </c>
      <c r="E222" s="19" t="inlineStr">
        <is>
          <t>backend/test/policy-payments.test.js</t>
        </is>
      </c>
      <c r="F222" s="19" t="inlineStr">
        <is>
          <t>the bill raised at issuance stays open until a payment is confirmed</t>
        </is>
      </c>
      <c r="G222" s="19" t="inlineStr"/>
      <c r="H222" s="19" t="inlineStr"/>
      <c r="I222" s="19" t="inlineStr"/>
      <c r="J222" s="19" t="inlineStr"/>
    </row>
    <row r="223">
      <c r="A223" s="19" t="inlineStr">
        <is>
          <t>BV-PAY-006</t>
        </is>
      </c>
      <c r="B223" s="19" t="inlineStr">
        <is>
          <t>Open items and payments</t>
        </is>
      </c>
      <c r="C223" s="19" t="inlineStr">
        <is>
          <t>Sales cannot post receipts or change payment status</t>
        </is>
      </c>
      <c r="D223" s="19" t="inlineStr">
        <is>
          <t>Pass</t>
        </is>
      </c>
      <c r="E223" s="19" t="inlineStr">
        <is>
          <t>backend/test/payment-segregation.test.js
backend/test/payment-segregation.test.js
backend/test/payment-segregation.test.js</t>
        </is>
      </c>
      <c r="F223" s="19" t="inlineStr">
        <is>
          <t>sales, underwriting, customer services and agents get 403 on POST /receipts; finance posts it
payment-entries, PATCH payment-status and PUT paymentStatus are refused to sales, underwriting, customer services and agents
only Accounting (and the System Administrator) hold write:receipts; migration 0084 revokes it from sales on existing databases</t>
        </is>
      </c>
      <c r="G223" s="19" t="inlineStr"/>
      <c r="H223" s="19" t="inlineStr"/>
      <c r="I223" s="19" t="inlineStr"/>
      <c r="J223" s="19" t="inlineStr"/>
    </row>
    <row r="224">
      <c r="A224" s="19" t="inlineStr">
        <is>
          <t>BV-PAY-007</t>
        </is>
      </c>
      <c r="B224" s="19" t="inlineStr">
        <is>
          <t>Open items and payments</t>
        </is>
      </c>
      <c r="C224" s="19" t="inlineStr">
        <is>
          <t>Endorsement bill paid through a capture</t>
        </is>
      </c>
      <c r="D224" s="19" t="inlineStr">
        <is>
          <t>Pass</t>
        </is>
      </c>
      <c r="E224" s="19" t="inlineStr">
        <is>
          <t>backend/test/payment-segregation.test.js</t>
        </is>
      </c>
      <c r="F224" s="19" t="inlineStr">
        <is>
          <t>the endorsement bill is paid through a pending capture that finance verifies</t>
        </is>
      </c>
      <c r="G224" s="19" t="inlineStr">
        <is>
          <t>Servicing: endorsements, renewals, claims</t>
        </is>
      </c>
      <c r="H224" s="19" t="inlineStr">
        <is>
          <t>31 passed, 0 failed</t>
        </is>
      </c>
      <c r="I224" s="19" t="inlineStr"/>
      <c r="J224" s="19" t="inlineStr"/>
    </row>
    <row r="225">
      <c r="A225" s="19" t="inlineStr">
        <is>
          <t>BV-PAY-008</t>
        </is>
      </c>
      <c r="B225" s="19" t="inlineStr">
        <is>
          <t>Open items and payments</t>
        </is>
      </c>
      <c r="C225" s="19" t="inlineStr">
        <is>
          <t>Payment link held when amount differs; cancel a link</t>
        </is>
      </c>
      <c r="D225" s="19" t="inlineStr">
        <is>
          <t>Pass</t>
        </is>
      </c>
      <c r="E225" s="19" t="inlineStr">
        <is>
          <t>backend/test/payments.test.js
backend/test/payments.test.js</t>
        </is>
      </c>
      <c r="F225" s="19" t="inlineStr">
        <is>
          <t>holds a payment whose amount differs for review
cancels a pending link and lists links</t>
        </is>
      </c>
      <c r="G225" s="19" t="inlineStr"/>
      <c r="H225" s="19" t="inlineStr"/>
      <c r="I225" s="19" t="inlineStr"/>
      <c r="J225" s="19" t="inlineStr"/>
    </row>
    <row r="226">
      <c r="A226" s="19" t="inlineStr">
        <is>
          <t>BV-PAY-009</t>
        </is>
      </c>
      <c r="B226" s="19" t="inlineStr">
        <is>
          <t>Open items and payments</t>
        </is>
      </c>
      <c r="C226" s="19" t="inlineStr">
        <is>
          <t>Gateways listed without secrets; live needs credentials</t>
        </is>
      </c>
      <c r="D226" s="19" t="inlineStr">
        <is>
          <t>Pass</t>
        </is>
      </c>
      <c r="E226" s="19" t="inlineStr">
        <is>
          <t>backend/test/payments.test.js</t>
        </is>
      </c>
      <c r="F226" s="19" t="inlineStr">
        <is>
          <t>lists the gateways without secrets; only the administrator changes them and live needs credentials</t>
        </is>
      </c>
      <c r="G226" s="19" t="inlineStr"/>
      <c r="H226" s="19" t="inlineStr"/>
      <c r="I226" s="19" t="inlineStr">
        <is>
          <t>/master/finance/payment-gateways</t>
        </is>
      </c>
      <c r="J226" s="19" t="inlineStr">
        <is>
          <t>opened clean</t>
        </is>
      </c>
    </row>
    <row r="227">
      <c r="A227" s="19" t="inlineStr">
        <is>
          <t>BV-PAY-010</t>
        </is>
      </c>
      <c r="B227" s="19" t="inlineStr">
        <is>
          <t>Open items and payments</t>
        </is>
      </c>
      <c r="C227" s="19" t="inlineStr">
        <is>
          <t>Open items list of expiring policies and pending quotations</t>
        </is>
      </c>
      <c r="D227" s="19" t="inlineStr">
        <is>
          <t>Pass</t>
        </is>
      </c>
      <c r="E227" s="19" t="inlineStr"/>
      <c r="F227" s="19" t="inlineStr"/>
      <c r="G227" s="19" t="inlineStr"/>
      <c r="H227" s="19" t="inlineStr"/>
      <c r="I227" s="19" t="inlineStr">
        <is>
          <t>/agent/openitemslistdata</t>
        </is>
      </c>
      <c r="J227" s="19" t="inlineStr">
        <is>
          <t>opened clean</t>
        </is>
      </c>
    </row>
    <row r="228">
      <c r="A228" s="19" t="inlineStr">
        <is>
          <t>BV-RCT-001</t>
        </is>
      </c>
      <c r="B228" s="19" t="inlineStr">
        <is>
          <t>Billing and receipts</t>
        </is>
      </c>
      <c r="C228" s="19" t="inlineStr">
        <is>
          <t>Official receipt for a full payment</t>
        </is>
      </c>
      <c r="D228" s="19" t="inlineStr">
        <is>
          <t>Pass</t>
        </is>
      </c>
      <c r="E228" s="19" t="inlineStr">
        <is>
          <t>backend/test/receipts.test.js
backend/test/uat-disconnects.test.js</t>
        </is>
      </c>
      <c r="F228" s="19" t="inlineStr">
        <is>
          <t>official receipt against a receivable: partial then full payment, overpayment rejected
a receipt deposited to a bank account linked for reconciliation debits that GL account</t>
        </is>
      </c>
      <c r="G228" s="19" t="inlineStr">
        <is>
          <t>Billing and collection</t>
        </is>
      </c>
      <c r="H228" s="19" t="inlineStr">
        <is>
          <t>61 passed, 0 failed</t>
        </is>
      </c>
      <c r="I228" s="19" t="inlineStr">
        <is>
          <t>/accounts/receipts</t>
        </is>
      </c>
      <c r="J228" s="19" t="inlineStr">
        <is>
          <t>opened clean</t>
        </is>
      </c>
    </row>
    <row r="229">
      <c r="A229" s="19" t="inlineStr">
        <is>
          <t>BV-RCT-002</t>
        </is>
      </c>
      <c r="B229" s="19" t="inlineStr">
        <is>
          <t>Billing and receipts</t>
        </is>
      </c>
      <c r="C229" s="19" t="inlineStr">
        <is>
          <t>Partial payment then the balance</t>
        </is>
      </c>
      <c r="D229" s="19" t="inlineStr">
        <is>
          <t>Pass</t>
        </is>
      </c>
      <c r="E229" s="19" t="inlineStr">
        <is>
          <t>backend/test/receipts.test.js</t>
        </is>
      </c>
      <c r="F229" s="19" t="inlineStr">
        <is>
          <t>add receipt against an open endorsement bill: open-receivables lists it, partial 2,000 then 3,010, excess refused, journals balanced</t>
        </is>
      </c>
      <c r="G229" s="19" t="inlineStr">
        <is>
          <t>Billing and collection</t>
        </is>
      </c>
      <c r="H229" s="19" t="inlineStr">
        <is>
          <t>61 passed, 0 failed</t>
        </is>
      </c>
      <c r="I229" s="19" t="inlineStr"/>
      <c r="J229" s="19" t="inlineStr"/>
    </row>
    <row r="230">
      <c r="A230" s="19" t="inlineStr">
        <is>
          <t>BV-RCT-003</t>
        </is>
      </c>
      <c r="B230" s="19" t="inlineStr">
        <is>
          <t>Billing and receipts</t>
        </is>
      </c>
      <c r="C230" s="19" t="inlineStr">
        <is>
          <t>Overpayment refused</t>
        </is>
      </c>
      <c r="D230" s="19" t="inlineStr">
        <is>
          <t>Pass</t>
        </is>
      </c>
      <c r="E230" s="19" t="inlineStr">
        <is>
          <t>backend/test/receipts.test.js
backend/test/receipts.test.js</t>
        </is>
      </c>
      <c r="F230" s="19" t="inlineStr">
        <is>
          <t>official receipt against a receivable: partial then full payment, overpayment rejected
add receipt against an open endorsement bill: open-receivables lists it, partial 2,000 then 3,010, excess refused, journals balanced</t>
        </is>
      </c>
      <c r="G230" s="19" t="inlineStr"/>
      <c r="H230" s="19" t="inlineStr"/>
      <c r="I230" s="19" t="inlineStr"/>
      <c r="J230" s="19" t="inlineStr"/>
    </row>
    <row r="231">
      <c r="A231" s="19" t="inlineStr">
        <is>
          <t>BV-RCT-004</t>
        </is>
      </c>
      <c r="B231" s="19" t="inlineStr">
        <is>
          <t>Billing and receipts</t>
        </is>
      </c>
      <c r="C231" s="19" t="inlineStr">
        <is>
          <t>Receipt printing</t>
        </is>
      </c>
      <c r="D231" s="19" t="inlineStr">
        <is>
          <t>Pass</t>
        </is>
      </c>
      <c r="E231" s="19" t="inlineStr">
        <is>
          <t>backend/test/receipts.test.js
backend/test/printing.test.js</t>
        </is>
      </c>
      <c r="F231" s="19" t="inlineStr">
        <is>
          <t>add-payment appends a paid line; search, print and bulk upload work
humanises keys and writes amounts in words</t>
        </is>
      </c>
      <c r="G231" s="19" t="inlineStr"/>
      <c r="H231" s="19" t="inlineStr"/>
      <c r="I231" s="19" t="inlineStr"/>
      <c r="J231" s="19" t="inlineStr"/>
    </row>
    <row r="232">
      <c r="A232" s="19" t="inlineStr">
        <is>
          <t>BV-RCT-005</t>
        </is>
      </c>
      <c r="B232" s="19" t="inlineStr">
        <is>
          <t>Billing and receipts</t>
        </is>
      </c>
      <c r="C232" s="19" t="inlineStr">
        <is>
          <t>Pay-later draft receipt approved</t>
        </is>
      </c>
      <c r="D232" s="19" t="inlineStr">
        <is>
          <t>Pass</t>
        </is>
      </c>
      <c r="E232" s="19" t="inlineStr">
        <is>
          <t>backend/test/receipts.test.js</t>
        </is>
      </c>
      <c r="F232" s="19" t="inlineStr">
        <is>
          <t>pay-later draft receipt bills the policy, then approval (PUT) collects it and posts Dr Cash / Cr Premium Receivable</t>
        </is>
      </c>
      <c r="G232" s="19" t="inlineStr"/>
      <c r="H232" s="19" t="inlineStr"/>
      <c r="I232" s="19" t="inlineStr"/>
      <c r="J232" s="19" t="inlineStr"/>
    </row>
    <row r="233">
      <c r="A233" s="19" t="inlineStr">
        <is>
          <t>BV-RCT-006</t>
        </is>
      </c>
      <c r="B233" s="19" t="inlineStr">
        <is>
          <t>Billing and receipts</t>
        </is>
      </c>
      <c r="C233" s="19" t="inlineStr">
        <is>
          <t>Receipt validation and permissions</t>
        </is>
      </c>
      <c r="D233" s="19" t="inlineStr">
        <is>
          <t>Pass</t>
        </is>
      </c>
      <c r="E233" s="19" t="inlineStr">
        <is>
          <t>backend/test/receipts.test.js
backend/test/hardening.test.js</t>
        </is>
      </c>
      <c r="F233" s="19" t="inlineStr">
        <is>
          <t>validates input and enforces permissions
claims officers do not list leads; sales and operations do not read the receipt register</t>
        </is>
      </c>
      <c r="G233" s="19" t="inlineStr"/>
      <c r="H233" s="19" t="inlineStr"/>
      <c r="I233" s="19" t="inlineStr"/>
      <c r="J233" s="19" t="inlineStr"/>
    </row>
    <row r="234">
      <c r="A234" s="19" t="inlineStr">
        <is>
          <t>BV-RCT-007</t>
        </is>
      </c>
      <c r="B234" s="19" t="inlineStr">
        <is>
          <t>Billing and receipts</t>
        </is>
      </c>
      <c r="C234" s="19" t="inlineStr">
        <is>
          <t>Search and bulk upload receipts</t>
        </is>
      </c>
      <c r="D234" s="19" t="inlineStr">
        <is>
          <t>Pass</t>
        </is>
      </c>
      <c r="E234" s="19" t="inlineStr">
        <is>
          <t>backend/test/receipts.test.js
backend/test/receipts.test.js</t>
        </is>
      </c>
      <c r="F234" s="19" t="inlineStr">
        <is>
          <t>add-payment appends a paid line; search, print and bulk upload work
lists seeded receipts with pagination</t>
        </is>
      </c>
      <c r="G234" s="19" t="inlineStr"/>
      <c r="H234" s="19" t="inlineStr"/>
      <c r="I234" s="19" t="inlineStr"/>
      <c r="J234" s="19" t="inlineStr"/>
    </row>
    <row r="235">
      <c r="A235" s="19" t="inlineStr">
        <is>
          <t>BV-RCT-008</t>
        </is>
      </c>
      <c r="B235" s="19" t="inlineStr">
        <is>
          <t>Billing and receipts</t>
        </is>
      </c>
      <c r="C235" s="19" t="inlineStr">
        <is>
          <t>Returned cheque cancels the OR and reopens the bill</t>
        </is>
      </c>
      <c r="D235" s="19" t="inlineStr">
        <is>
          <t>Pass</t>
        </is>
      </c>
      <c r="E235" s="19" t="inlineStr">
        <is>
          <t>backend/test/bank-reconciliation.test.js</t>
        </is>
      </c>
      <c r="F235" s="19" t="inlineStr">
        <is>
          <t>a returned cheque cancels the official receipt, re-opens the receivable and matches the reversal to the bank debit</t>
        </is>
      </c>
      <c r="G235" s="19" t="inlineStr"/>
      <c r="H235" s="19" t="inlineStr"/>
      <c r="I235" s="19" t="inlineStr"/>
      <c r="J235" s="19" t="inlineStr"/>
    </row>
    <row r="236">
      <c r="A236" s="19" t="inlineStr">
        <is>
          <t>BV-RCT-009</t>
        </is>
      </c>
      <c r="B236" s="19" t="inlineStr">
        <is>
          <t>Billing and receipts</t>
        </is>
      </c>
      <c r="C236" s="19" t="inlineStr">
        <is>
          <t>Write-off with a reason code</t>
        </is>
      </c>
      <c r="D236" s="19" t="inlineStr">
        <is>
          <t>Pass</t>
        </is>
      </c>
      <c r="E236" s="19" t="inlineStr">
        <is>
          <t>backend/test/posting-rules.test.js</t>
        </is>
      </c>
      <c r="F236" s="19" t="inlineStr">
        <is>
          <t>write-off with a reason code posts to the reason account and closes the bill</t>
        </is>
      </c>
      <c r="G236" s="19" t="inlineStr"/>
      <c r="H236" s="19" t="inlineStr"/>
      <c r="I236" s="19" t="inlineStr"/>
      <c r="J236" s="19" t="inlineStr"/>
    </row>
    <row r="237">
      <c r="A237" s="19" t="inlineStr">
        <is>
          <t>BV-RCT-010</t>
        </is>
      </c>
      <c r="B237" s="19" t="inlineStr">
        <is>
          <t>Billing and receipts</t>
        </is>
      </c>
      <c r="C237" s="19" t="inlineStr">
        <is>
          <t>Billing statement PDF for a policy</t>
        </is>
      </c>
      <c r="D237" s="19" t="inlineStr">
        <is>
          <t>Pass</t>
        </is>
      </c>
      <c r="E237" s="19" t="inlineStr">
        <is>
          <t>backend/test/receipts.test.js</t>
        </is>
      </c>
      <c r="F237" s="19" t="inlineStr">
        <is>
          <t>billing statement PDF for a policy</t>
        </is>
      </c>
      <c r="G237" s="19" t="inlineStr"/>
      <c r="H237" s="19" t="inlineStr"/>
      <c r="I237" s="19" t="inlineStr"/>
      <c r="J237" s="19" t="inlineStr"/>
    </row>
    <row r="238">
      <c r="A238" s="19" t="inlineStr">
        <is>
          <t>BV-RCT-011</t>
        </is>
      </c>
      <c r="B238" s="19" t="inlineStr">
        <is>
          <t>Billing and receipts</t>
        </is>
      </c>
      <c r="C238" s="19" t="inlineStr">
        <is>
          <t>Instalment plan: even instalments, down payment first</t>
        </is>
      </c>
      <c r="D238" s="19" t="inlineStr">
        <is>
          <t>Pass</t>
        </is>
      </c>
      <c r="E238" s="19" t="inlineStr">
        <is>
          <t>backend/test/credit-control.test.js</t>
        </is>
      </c>
      <c r="F238" s="19" t="inlineStr">
        <is>
          <t>generates even instalments (down payment first, rounding on the first instalment) on month ends</t>
        </is>
      </c>
      <c r="G238" s="19" t="inlineStr">
        <is>
          <t>Billing and collection</t>
        </is>
      </c>
      <c r="H238" s="19" t="inlineStr">
        <is>
          <t>61 passed, 0 failed</t>
        </is>
      </c>
      <c r="I238" s="19" t="inlineStr">
        <is>
          <t>/accounts/credit-control/instalments</t>
        </is>
      </c>
      <c r="J238" s="19" t="inlineStr">
        <is>
          <t>opened clean</t>
        </is>
      </c>
    </row>
    <row r="239">
      <c r="A239" s="19" t="inlineStr">
        <is>
          <t>BV-RCT-012</t>
        </is>
      </c>
      <c r="B239" s="19" t="inlineStr">
        <is>
          <t>Billing and receipts</t>
        </is>
      </c>
      <c r="C239" s="19" t="inlineStr">
        <is>
          <t>Edited schedule must add up to the bill</t>
        </is>
      </c>
      <c r="D239" s="19" t="inlineStr">
        <is>
          <t>Pass</t>
        </is>
      </c>
      <c r="E239" s="19" t="inlineStr">
        <is>
          <t>backend/test/credit-control.test.js</t>
        </is>
      </c>
      <c r="F239" s="19" t="inlineStr">
        <is>
          <t>edits the schedule (must add up to the bill) and ages the instalments</t>
        </is>
      </c>
      <c r="G239" s="19" t="inlineStr"/>
      <c r="H239" s="19" t="inlineStr"/>
      <c r="I239" s="19" t="inlineStr"/>
      <c r="J239" s="19" t="inlineStr"/>
    </row>
    <row r="240">
      <c r="A240" s="19" t="inlineStr">
        <is>
          <t>BV-RCT-013</t>
        </is>
      </c>
      <c r="B240" s="19" t="inlineStr">
        <is>
          <t>Billing and receipts</t>
        </is>
      </c>
      <c r="C240" s="19" t="inlineStr">
        <is>
          <t>Payment entries book once with the receipt flow</t>
        </is>
      </c>
      <c r="D240" s="19" t="inlineStr">
        <is>
          <t>Pass</t>
        </is>
      </c>
      <c r="E240" s="19" t="inlineStr">
        <is>
          <t>backend/test/accounting.test.js</t>
        </is>
      </c>
      <c r="F240" s="19" t="inlineStr">
        <is>
          <t>payment-entries books and collects once (idempotent with the receipt flow)</t>
        </is>
      </c>
      <c r="G240" s="19" t="inlineStr"/>
      <c r="H240" s="19" t="inlineStr"/>
      <c r="I240" s="19" t="inlineStr"/>
      <c r="J240" s="19" t="inlineStr"/>
    </row>
    <row r="241">
      <c r="A241" s="19" t="inlineStr">
        <is>
          <t>BV-COL-001</t>
        </is>
      </c>
      <c r="B241" s="19" t="inlineStr">
        <is>
          <t>Collections and credit control</t>
        </is>
      </c>
      <c r="C241" s="19" t="inlineStr">
        <is>
          <t>Collections list built from receivables</t>
        </is>
      </c>
      <c r="D241" s="19" t="inlineStr">
        <is>
          <t>Pass</t>
        </is>
      </c>
      <c r="E241" s="19" t="inlineStr">
        <is>
          <t>backend/test/collections.test.js
backend/test/collections.test.js</t>
        </is>
      </c>
      <c r="F241" s="19" t="inlineStr">
        <is>
          <t>sync builds items from receivables (and books receivables created elsewhere)
filters by status / level, sorts and pages</t>
        </is>
      </c>
      <c r="G241" s="19" t="inlineStr">
        <is>
          <t>Billing and collection</t>
        </is>
      </c>
      <c r="H241" s="19" t="inlineStr">
        <is>
          <t>61 passed, 0 failed</t>
        </is>
      </c>
      <c r="I241" s="19" t="inlineStr">
        <is>
          <t>/agent/collections</t>
        </is>
      </c>
      <c r="J241" s="19" t="inlineStr">
        <is>
          <t>opened clean</t>
        </is>
      </c>
    </row>
    <row r="242">
      <c r="A242" s="19" t="inlineStr">
        <is>
          <t>BV-COL-002</t>
        </is>
      </c>
      <c r="B242" s="19" t="inlineStr">
        <is>
          <t>Collections and credit control</t>
        </is>
      </c>
      <c r="C242" s="19" t="inlineStr">
        <is>
          <t>Follow-up, commitment and reminder e-mail</t>
        </is>
      </c>
      <c r="D242" s="19" t="inlineStr">
        <is>
          <t>Pass</t>
        </is>
      </c>
      <c r="E242" s="19" t="inlineStr">
        <is>
          <t>backend/test/collections.test.js</t>
        </is>
      </c>
      <c r="F242" s="19" t="inlineStr">
        <is>
          <t>detail, follow-up, commitment, e-mail and payment history</t>
        </is>
      </c>
      <c r="G242" s="19" t="inlineStr"/>
      <c r="H242" s="19" t="inlineStr"/>
      <c r="I242" s="19" t="inlineStr"/>
      <c r="J242" s="19" t="inlineStr"/>
    </row>
    <row r="243">
      <c r="A243" s="19" t="inlineStr">
        <is>
          <t>BV-COL-003</t>
        </is>
      </c>
      <c r="B243" s="19" t="inlineStr">
        <is>
          <t>Collections and credit control</t>
        </is>
      </c>
      <c r="C243" s="19" t="inlineStr">
        <is>
          <t>Ageing report, dashboard and due-date reminders</t>
        </is>
      </c>
      <c r="D243" s="19" t="inlineStr">
        <is>
          <t>Pass</t>
        </is>
      </c>
      <c r="E243" s="19" t="inlineStr">
        <is>
          <t>backend/test/collections.test.js</t>
        </is>
      </c>
      <c r="F243" s="19" t="inlineStr">
        <is>
          <t>aging report, dashboard stats and due-date reminders</t>
        </is>
      </c>
      <c r="G243" s="19" t="inlineStr">
        <is>
          <t>Reports and dashboards</t>
        </is>
      </c>
      <c r="H243" s="19" t="inlineStr">
        <is>
          <t>58 passed, 0 failed</t>
        </is>
      </c>
      <c r="I243" s="19" t="inlineStr"/>
      <c r="J243" s="19" t="inlineStr"/>
    </row>
    <row r="244">
      <c r="A244" s="19" t="inlineStr">
        <is>
          <t>BV-COL-004</t>
        </is>
      </c>
      <c r="B244" s="19" t="inlineStr">
        <is>
          <t>Collections and credit control</t>
        </is>
      </c>
      <c r="C244" s="19" t="inlineStr">
        <is>
          <t>Collections validation and permissions</t>
        </is>
      </c>
      <c r="D244" s="19" t="inlineStr">
        <is>
          <t>Pass</t>
        </is>
      </c>
      <c r="E244" s="19" t="inlineStr">
        <is>
          <t>backend/test/collections.test.js</t>
        </is>
      </c>
      <c r="F244" s="19" t="inlineStr">
        <is>
          <t>validation and permissions</t>
        </is>
      </c>
      <c r="G244" s="19" t="inlineStr"/>
      <c r="H244" s="19" t="inlineStr"/>
      <c r="I244" s="19" t="inlineStr"/>
      <c r="J244" s="19" t="inlineStr"/>
    </row>
    <row r="245">
      <c r="A245" s="19" t="inlineStr">
        <is>
          <t>BV-COL-005</t>
        </is>
      </c>
      <c r="B245" s="19" t="inlineStr">
        <is>
          <t>Collections and credit control</t>
        </is>
      </c>
      <c r="C245" s="19" t="inlineStr">
        <is>
          <t>Premium warranty monitor and reminder</t>
        </is>
      </c>
      <c r="D245" s="19" t="inlineStr">
        <is>
          <t>Pass</t>
        </is>
      </c>
      <c r="E245" s="19" t="inlineStr">
        <is>
          <t>backend/test/credit-control.test.js</t>
        </is>
      </c>
      <c r="F245" s="19" t="inlineStr">
        <is>
          <t>lists broker-billed policies past their premium warranty and sends a reminder</t>
        </is>
      </c>
      <c r="G245" s="19" t="inlineStr">
        <is>
          <t>Billing and collection</t>
        </is>
      </c>
      <c r="H245" s="19" t="inlineStr">
        <is>
          <t>61 passed, 0 failed</t>
        </is>
      </c>
      <c r="I245" s="19" t="inlineStr">
        <is>
          <t>/accounts/credit-control/warranty</t>
        </is>
      </c>
      <c r="J245" s="19" t="inlineStr">
        <is>
          <t>opened clean</t>
        </is>
      </c>
    </row>
    <row r="246">
      <c r="A246" s="19" t="inlineStr">
        <is>
          <t>BV-COL-006</t>
        </is>
      </c>
      <c r="B246" s="19" t="inlineStr">
        <is>
          <t>Collections and credit control</t>
        </is>
      </c>
      <c r="C246" s="19" t="inlineStr">
        <is>
          <t>Warranty extension needs another user with approval right</t>
        </is>
      </c>
      <c r="D246" s="19" t="inlineStr">
        <is>
          <t>Pass</t>
        </is>
      </c>
      <c r="E246" s="19" t="inlineStr">
        <is>
          <t>backend/test/credit-control.test.js</t>
        </is>
      </c>
      <c r="F246" s="19" t="inlineStr">
        <is>
          <t>extends the warranty only with the approval of another user holding approve:credit-control</t>
        </is>
      </c>
      <c r="G246" s="19" t="inlineStr">
        <is>
          <t>Billing and collection</t>
        </is>
      </c>
      <c r="H246" s="19" t="inlineStr">
        <is>
          <t>61 passed, 0 failed</t>
        </is>
      </c>
      <c r="I246" s="19" t="inlineStr"/>
      <c r="J246" s="19" t="inlineStr"/>
    </row>
    <row r="247">
      <c r="A247" s="19" t="inlineStr">
        <is>
          <t>BV-COL-007</t>
        </is>
      </c>
      <c r="B247" s="19" t="inlineStr">
        <is>
          <t>Collections and credit control</t>
        </is>
      </c>
      <c r="C247" s="19" t="inlineStr">
        <is>
          <t>Cancellation request to Operations</t>
        </is>
      </c>
      <c r="D247" s="19" t="inlineStr">
        <is>
          <t>Pass</t>
        </is>
      </c>
      <c r="E247" s="19" t="inlineStr">
        <is>
          <t>backend/test/credit-control.test.js</t>
        </is>
      </c>
      <c r="F247" s="19" t="inlineStr">
        <is>
          <t>raises a cancellation request for Operations without cancelling the policy</t>
        </is>
      </c>
      <c r="G247" s="19" t="inlineStr">
        <is>
          <t>Billing and collection</t>
        </is>
      </c>
      <c r="H247" s="19" t="inlineStr">
        <is>
          <t>61 passed, 0 failed</t>
        </is>
      </c>
      <c r="I247" s="19" t="inlineStr"/>
      <c r="J247" s="19" t="inlineStr"/>
    </row>
    <row r="248">
      <c r="A248" s="19" t="inlineStr">
        <is>
          <t>BV-COL-008</t>
        </is>
      </c>
      <c r="B248" s="19" t="inlineStr">
        <is>
          <t>Collections and credit control</t>
        </is>
      </c>
      <c r="C248" s="19" t="inlineStr">
        <is>
          <t>Only an approver sets a client credit limit</t>
        </is>
      </c>
      <c r="D248" s="19" t="inlineStr">
        <is>
          <t>Pass</t>
        </is>
      </c>
      <c r="E248" s="19" t="inlineStr">
        <is>
          <t>backend/test/credit-control.test.js</t>
        </is>
      </c>
      <c r="F248" s="19" t="inlineStr">
        <is>
          <t>only an approver sets the limit; a broker-billed policy over it is issued with a warning</t>
        </is>
      </c>
      <c r="G248" s="19" t="inlineStr">
        <is>
          <t>Billing and collection</t>
        </is>
      </c>
      <c r="H248" s="19" t="inlineStr">
        <is>
          <t>61 passed, 0 failed</t>
        </is>
      </c>
      <c r="I248" s="19" t="inlineStr">
        <is>
          <t>/accounts/credit-control/limits</t>
        </is>
      </c>
      <c r="J248" s="19" t="inlineStr">
        <is>
          <t>opened clean</t>
        </is>
      </c>
    </row>
    <row r="249">
      <c r="A249" s="19" t="inlineStr">
        <is>
          <t>BV-COL-009</t>
        </is>
      </c>
      <c r="B249" s="19" t="inlineStr">
        <is>
          <t>Collections and credit control</t>
        </is>
      </c>
      <c r="C249" s="19" t="inlineStr">
        <is>
          <t>Collected premium aged on insurer remittance terms</t>
        </is>
      </c>
      <c r="D249" s="19" t="inlineStr">
        <is>
          <t>Pass</t>
        </is>
      </c>
      <c r="E249" s="19" t="inlineStr">
        <is>
          <t>backend/test/credit-control.test.js
backend/test/uat-disconnects.test.js</t>
        </is>
      </c>
      <c r="F249" s="19" t="inlineStr">
        <is>
          <t>ages collected premium on the insurer remittance terms until the voucher is approved
the remittance ageing dates a collection with its receipt, not with the day it was keyed in</t>
        </is>
      </c>
      <c r="G249" s="19" t="inlineStr">
        <is>
          <t>Money: remittances, commission, petty cash</t>
        </is>
      </c>
      <c r="H249" s="19" t="inlineStr">
        <is>
          <t>27 passed, 0 failed</t>
        </is>
      </c>
      <c r="I249" s="19" t="inlineStr">
        <is>
          <t>/accounts/credit-control/remittance-ageing</t>
        </is>
      </c>
      <c r="J249" s="19" t="inlineStr">
        <is>
          <t>opened clean</t>
        </is>
      </c>
    </row>
    <row r="250">
      <c r="A250" s="19" t="inlineStr">
        <is>
          <t>BV-COL-010</t>
        </is>
      </c>
      <c r="B250" s="19" t="inlineStr">
        <is>
          <t>Collections and credit control</t>
        </is>
      </c>
      <c r="C250" s="19" t="inlineStr">
        <is>
          <t>Bill due date follows insurer warranty days</t>
        </is>
      </c>
      <c r="D250" s="19" t="inlineStr">
        <is>
          <t>Pass</t>
        </is>
      </c>
      <c r="E250" s="19" t="inlineStr">
        <is>
          <t>backend/test/numbering.test.js
backend/test/uat-disconnects.test.js</t>
        </is>
      </c>
      <c r="F250" s="19" t="inlineStr">
        <is>
          <t>sets the receivable due date from the insurer premium warranty days
books a policy on its issue date; its credit days run from the issue (or later inception)</t>
        </is>
      </c>
      <c r="G250" s="19" t="inlineStr"/>
      <c r="H250" s="19" t="inlineStr"/>
      <c r="I250" s="19" t="inlineStr"/>
      <c r="J250" s="19" t="inlineStr"/>
    </row>
    <row r="251">
      <c r="A251" s="19" t="inlineStr">
        <is>
          <t>BV-DSB-001</t>
        </is>
      </c>
      <c r="B251" s="19" t="inlineStr">
        <is>
          <t>Disbursement and payment vouchers</t>
        </is>
      </c>
      <c r="C251" s="19" t="inlineStr">
        <is>
          <t>Create a supplier payment voucher</t>
        </is>
      </c>
      <c r="D251" s="19" t="inlineStr">
        <is>
          <t>Pass</t>
        </is>
      </c>
      <c r="E251" s="19" t="inlineStr">
        <is>
          <t>backend/test/disbursements.test.js</t>
        </is>
      </c>
      <c r="F251" s="19" t="inlineStr">
        <is>
          <t>creates a voucher, records a payable (invoice list) and reads them back</t>
        </is>
      </c>
      <c r="G251" s="19" t="inlineStr"/>
      <c r="H251" s="19" t="inlineStr"/>
      <c r="I251" s="19" t="inlineStr">
        <is>
          <t>/accounts/paymentvoucher</t>
        </is>
      </c>
      <c r="J251" s="19" t="inlineStr">
        <is>
          <t>opened clean</t>
        </is>
      </c>
    </row>
    <row r="252">
      <c r="A252" s="19" t="inlineStr">
        <is>
          <t>BV-DSB-002</t>
        </is>
      </c>
      <c r="B252" s="19" t="inlineStr">
        <is>
          <t>Disbursement and payment vouchers</t>
        </is>
      </c>
      <c r="C252" s="19" t="inlineStr">
        <is>
          <t>Maker cannot approve own cheque; checker approval posts</t>
        </is>
      </c>
      <c r="D252" s="19" t="inlineStr">
        <is>
          <t>Pass</t>
        </is>
      </c>
      <c r="E252" s="19" t="inlineStr">
        <is>
          <t>backend/test/disbursements.test.js</t>
        </is>
      </c>
      <c r="F252" s="19" t="inlineStr">
        <is>
          <t>cheque: maker cannot approve own cheque; checker approval posts Dr Refund Payable / Cr Cash; printing pays the voucher</t>
        </is>
      </c>
      <c r="G252" s="19" t="inlineStr">
        <is>
          <t>Servicing: endorsements, renewals, claims</t>
        </is>
      </c>
      <c r="H252" s="19" t="inlineStr">
        <is>
          <t>31 passed, 0 failed</t>
        </is>
      </c>
      <c r="I252" s="19" t="inlineStr"/>
      <c r="J252" s="19" t="inlineStr"/>
    </row>
    <row r="253">
      <c r="A253" s="19" t="inlineStr">
        <is>
          <t>BV-DSB-003</t>
        </is>
      </c>
      <c r="B253" s="19" t="inlineStr">
        <is>
          <t>Disbursement and payment vouchers</t>
        </is>
      </c>
      <c r="C253" s="19" t="inlineStr">
        <is>
          <t>Insurer remittance voucher net of commission</t>
        </is>
      </c>
      <c r="D253" s="19" t="inlineStr">
        <is>
          <t>Pass</t>
        </is>
      </c>
      <c r="E253" s="19" t="inlineStr">
        <is>
          <t>backend/test/disbursements.test.js
backend/test/commission-taxes.test.js</t>
        </is>
      </c>
      <c r="F253" s="19" t="inlineStr">
        <is>
          <t>insurer remittance voucher from collected premium (net of commission)
the insurer voucher pays the premium net of commission and VAT plus the EWT, which clears the premium due to the insurer</t>
        </is>
      </c>
      <c r="G253" s="19" t="inlineStr">
        <is>
          <t>Money: remittances, commission, petty cash</t>
        </is>
      </c>
      <c r="H253" s="19" t="inlineStr">
        <is>
          <t>27 passed, 0 failed</t>
        </is>
      </c>
      <c r="I253" s="19" t="inlineStr"/>
      <c r="J253" s="19" t="inlineStr"/>
    </row>
    <row r="254">
      <c r="A254" s="19" t="inlineStr">
        <is>
          <t>BV-DSB-004</t>
        </is>
      </c>
      <c r="B254" s="19" t="inlineStr">
        <is>
          <t>Disbursement and payment vouchers</t>
        </is>
      </c>
      <c r="C254" s="19" t="inlineStr">
        <is>
          <t>Filters, print and bulk upload</t>
        </is>
      </c>
      <c r="D254" s="19" t="inlineStr">
        <is>
          <t>Pass</t>
        </is>
      </c>
      <c r="E254" s="19" t="inlineStr">
        <is>
          <t>backend/test/disbursements.test.js
backend/test/disbursements.test.js</t>
        </is>
      </c>
      <c r="F254" s="19" t="inlineStr">
        <is>
          <t>lists seeded vouchers with filters
print and bulk upload</t>
        </is>
      </c>
      <c r="G254" s="19" t="inlineStr"/>
      <c r="H254" s="19" t="inlineStr"/>
      <c r="I254" s="19" t="inlineStr"/>
      <c r="J254" s="19" t="inlineStr"/>
    </row>
    <row r="255">
      <c r="A255" s="19" t="inlineStr">
        <is>
          <t>BV-DSB-005</t>
        </is>
      </c>
      <c r="B255" s="19" t="inlineStr">
        <is>
          <t>Disbursement and payment vouchers</t>
        </is>
      </c>
      <c r="C255" s="19" t="inlineStr">
        <is>
          <t>Disbursement validation and permissions</t>
        </is>
      </c>
      <c r="D255" s="19" t="inlineStr">
        <is>
          <t>Pass</t>
        </is>
      </c>
      <c r="E255" s="19" t="inlineStr">
        <is>
          <t>backend/test/disbursements.test.js</t>
        </is>
      </c>
      <c r="F255" s="19" t="inlineStr">
        <is>
          <t>validation and permissions</t>
        </is>
      </c>
      <c r="G255" s="19" t="inlineStr"/>
      <c r="H255" s="19" t="inlineStr"/>
      <c r="I255" s="19" t="inlineStr"/>
      <c r="J255" s="19" t="inlineStr"/>
    </row>
    <row r="256">
      <c r="A256" s="19" t="inlineStr">
        <is>
          <t>BV-DSB-006</t>
        </is>
      </c>
      <c r="B256" s="19" t="inlineStr">
        <is>
          <t>Disbursement and payment vouchers</t>
        </is>
      </c>
      <c r="C256" s="19" t="inlineStr">
        <is>
          <t>Refund netted against the next remittance</t>
        </is>
      </c>
      <c r="D256" s="19" t="inlineStr">
        <is>
          <t>Pass</t>
        </is>
      </c>
      <c r="E256" s="19" t="inlineStr">
        <is>
          <t>backend/test/accounting-followups.test.js
backend/test/accounting-followups.test.js</t>
        </is>
      </c>
      <c r="F256" s="19" t="inlineStr">
        <is>
          <t>raises a refund receivable for the remitted share of a return on paid premium
nets the refund against the next remittance voucher to the insurer</t>
        </is>
      </c>
      <c r="G256" s="19" t="inlineStr"/>
      <c r="H256" s="19" t="inlineStr"/>
      <c r="I256" s="19" t="inlineStr"/>
      <c r="J256" s="19" t="inlineStr"/>
    </row>
    <row r="257">
      <c r="A257" s="19" t="inlineStr">
        <is>
          <t>BV-REM-001</t>
        </is>
      </c>
      <c r="B257" s="19" t="inlineStr">
        <is>
          <t>Remittance to insurers</t>
        </is>
      </c>
      <c r="C257" s="19" t="inlineStr">
        <is>
          <t>Create and process a monthly remittance to an insurer</t>
        </is>
      </c>
      <c r="D257" s="19" t="inlineStr">
        <is>
          <t>Pass</t>
        </is>
      </c>
      <c r="E257" s="19" t="inlineStr">
        <is>
          <t>backend/test/remittance.test.js</t>
        </is>
      </c>
      <c r="F257" s="19" t="inlineStr">
        <is>
          <t>creates a remittance, validates and processes it, and enforces maker-checker</t>
        </is>
      </c>
      <c r="G257" s="19" t="inlineStr">
        <is>
          <t>Money: remittances, commission, petty cash</t>
        </is>
      </c>
      <c r="H257" s="19" t="inlineStr">
        <is>
          <t>27 passed, 0 failed</t>
        </is>
      </c>
      <c r="I257" s="19" t="inlineStr">
        <is>
          <t>/finance/remittance/tracking/status</t>
        </is>
      </c>
      <c r="J257" s="19" t="inlineStr">
        <is>
          <t>opened clean</t>
        </is>
      </c>
    </row>
    <row r="258">
      <c r="A258" s="19" t="inlineStr">
        <is>
          <t>BV-REM-002</t>
        </is>
      </c>
      <c r="B258" s="19" t="inlineStr">
        <is>
          <t>Remittance to insurers</t>
        </is>
      </c>
      <c r="C258" s="19" t="inlineStr">
        <is>
          <t>Approval levels by amount, each by a different user</t>
        </is>
      </c>
      <c r="D258" s="19" t="inlineStr">
        <is>
          <t>Pass</t>
        </is>
      </c>
      <c r="E258" s="19" t="inlineStr">
        <is>
          <t>backend/test/remittance.test.js
backend/test/role-access.test.js</t>
        </is>
      </c>
      <c r="F258" s="19" t="inlineStr">
        <is>
          <t>creates a remittance, validates and processes it, and enforces maker-checker
GET /remittance/approvals/approvers lists the other users who may approve remittances</t>
        </is>
      </c>
      <c r="G258" s="19" t="inlineStr">
        <is>
          <t>Money: remittances, commission, petty cash</t>
        </is>
      </c>
      <c r="H258" s="19" t="inlineStr">
        <is>
          <t>27 passed, 0 failed</t>
        </is>
      </c>
      <c r="I258" s="19" t="inlineStr">
        <is>
          <t>/finance/remittance/approval</t>
        </is>
      </c>
      <c r="J258" s="19" t="inlineStr">
        <is>
          <t>opened clean</t>
        </is>
      </c>
    </row>
    <row r="259">
      <c r="A259" s="19" t="inlineStr">
        <is>
          <t>BV-REM-003</t>
        </is>
      </c>
      <c r="B259" s="19" t="inlineStr">
        <is>
          <t>Remittance to insurers</t>
        </is>
      </c>
      <c r="C259" s="19" t="inlineStr">
        <is>
          <t>Settlement approved by a second user raises the voucher</t>
        </is>
      </c>
      <c r="D259" s="19" t="inlineStr">
        <is>
          <t>Pass</t>
        </is>
      </c>
      <c r="E259" s="19" t="inlineStr">
        <is>
          <t>backend/test/remittance.test.js
backend/test/remittance.test.js
backend/test/uat-disconnects.test.js</t>
        </is>
      </c>
      <c r="F259" s="19" t="inlineStr">
        <is>
          <t>settles through a settlement approved by a second user
an approved settlement raises the insurer payment voucher for the collected premium
a settlement voucher pays only what was collected up to the end of the settlement period; its cheque pays the voucher's payables</t>
        </is>
      </c>
      <c r="G259" s="19" t="inlineStr">
        <is>
          <t>Money: remittances, commission, petty cash</t>
        </is>
      </c>
      <c r="H259" s="19" t="inlineStr">
        <is>
          <t>27 passed, 0 failed</t>
        </is>
      </c>
      <c r="I259" s="19" t="inlineStr">
        <is>
          <t>/finance/remittance/settlement/process</t>
        </is>
      </c>
      <c r="J259" s="19" t="inlineStr">
        <is>
          <t>opened clean</t>
        </is>
      </c>
    </row>
    <row r="260">
      <c r="A260" s="19" t="inlineStr">
        <is>
          <t>BV-REM-004</t>
        </is>
      </c>
      <c r="B260" s="19" t="inlineStr">
        <is>
          <t>Remittance to insurers</t>
        </is>
      </c>
      <c r="C260" s="19" t="inlineStr">
        <is>
          <t>Settlement below minimum amount held</t>
        </is>
      </c>
      <c r="D260" s="19" t="inlineStr">
        <is>
          <t>Not Run</t>
        </is>
      </c>
      <c r="E260" s="19" t="inlineStr"/>
      <c r="F260" s="19" t="inlineStr"/>
      <c r="G260" s="19" t="inlineStr"/>
      <c r="H260" s="19" t="inlineStr"/>
      <c r="I260" s="19" t="inlineStr"/>
      <c r="J260" s="19" t="inlineStr"/>
    </row>
    <row r="261">
      <c r="A261" s="19" t="inlineStr">
        <is>
          <t>BV-REM-005</t>
        </is>
      </c>
      <c r="B261" s="19" t="inlineStr">
        <is>
          <t>Remittance to insurers</t>
        </is>
      </c>
      <c r="C261" s="19" t="inlineStr">
        <is>
          <t>Direct-bill policies never remitted</t>
        </is>
      </c>
      <c r="D261" s="19" t="inlineStr">
        <is>
          <t>Pass</t>
        </is>
      </c>
      <c r="E261" s="19" t="inlineStr">
        <is>
          <t>backend/test/remittance.test.js
backend/test/remittance.test.js
backend/test/direct-bill.test.js</t>
        </is>
      </c>
      <c r="F261" s="19" t="inlineStr">
        <is>
          <t>direct-bill policies are never remitted to the insurer (the client paid the insurer)
broker-billed policies are not offered for direct-bill commission debit notes
shows no premium to collect, refuses premium capture and is never remitted to the insurer</t>
        </is>
      </c>
      <c r="G261" s="19" t="inlineStr"/>
      <c r="H261" s="19" t="inlineStr"/>
      <c r="I261" s="19" t="inlineStr"/>
      <c r="J261" s="19" t="inlineStr"/>
    </row>
    <row r="262">
      <c r="A262" s="19" t="inlineStr">
        <is>
          <t>BV-REM-006</t>
        </is>
      </c>
      <c r="B262" s="19" t="inlineStr">
        <is>
          <t>Remittance to insurers</t>
        </is>
      </c>
      <c r="C262" s="19" t="inlineStr">
        <is>
          <t>Remit each co-insurer its share less its commission</t>
        </is>
      </c>
      <c r="D262" s="19" t="inlineStr">
        <is>
          <t>Pass</t>
        </is>
      </c>
      <c r="E262" s="19" t="inlineStr">
        <is>
          <t>backend/test/posting-rules.test.js</t>
        </is>
      </c>
      <c r="F262" s="19" t="inlineStr">
        <is>
          <t>remits to each co-insurer its share of the premium less its own commission</t>
        </is>
      </c>
      <c r="G262" s="19" t="inlineStr"/>
      <c r="H262" s="19" t="inlineStr"/>
      <c r="I262" s="19" t="inlineStr"/>
      <c r="J262" s="19" t="inlineStr"/>
    </row>
    <row r="263">
      <c r="A263" s="19" t="inlineStr">
        <is>
          <t>BV-REM-007</t>
        </is>
      </c>
      <c r="B263" s="19" t="inlineStr">
        <is>
          <t>Remittance to insurers</t>
        </is>
      </c>
      <c r="C263" s="19" t="inlineStr">
        <is>
          <t>Remittance adjustment follows type master and approval</t>
        </is>
      </c>
      <c r="D263" s="19" t="inlineStr">
        <is>
          <t>Pass</t>
        </is>
      </c>
      <c r="E263" s="19" t="inlineStr">
        <is>
          <t>backend/test/remittance.test.js</t>
        </is>
      </c>
      <c r="F263" s="19" t="inlineStr">
        <is>
          <t>adjustments follow the adjustment-type master and approval</t>
        </is>
      </c>
      <c r="G263" s="19" t="inlineStr"/>
      <c r="H263" s="19" t="inlineStr"/>
      <c r="I263" s="19" t="inlineStr">
        <is>
          <t>/finance/remittance/adjustments</t>
        </is>
      </c>
      <c r="J263" s="19" t="inlineStr">
        <is>
          <t>opened clean</t>
        </is>
      </c>
    </row>
    <row r="264">
      <c r="A264" s="19" t="inlineStr">
        <is>
          <t>BV-REM-008</t>
        </is>
      </c>
      <c r="B264" s="19" t="inlineStr">
        <is>
          <t>Remittance to insurers</t>
        </is>
      </c>
      <c r="C264" s="19" t="inlineStr">
        <is>
          <t>Electronic transfer limits and approval</t>
        </is>
      </c>
      <c r="D264" s="19" t="inlineStr">
        <is>
          <t>Pass</t>
        </is>
      </c>
      <c r="E264" s="19" t="inlineStr">
        <is>
          <t>backend/test/remittance.test.js</t>
        </is>
      </c>
      <c r="F264" s="19" t="inlineStr">
        <is>
          <t>electronic transfers check method limits and need approval before execution</t>
        </is>
      </c>
      <c r="G264" s="19" t="inlineStr"/>
      <c r="H264" s="19" t="inlineStr"/>
      <c r="I264" s="19" t="inlineStr">
        <is>
          <t>/finance/remittance/electronictransfer</t>
        </is>
      </c>
      <c r="J264" s="19" t="inlineStr">
        <is>
          <t>opened clean</t>
        </is>
      </c>
    </row>
    <row r="265">
      <c r="A265" s="19" t="inlineStr">
        <is>
          <t>BV-REM-009</t>
        </is>
      </c>
      <c r="B265" s="19" t="inlineStr">
        <is>
          <t>Remittance to insurers</t>
        </is>
      </c>
      <c r="C265" s="19" t="inlineStr">
        <is>
          <t>Agency bills per agent with previous balance</t>
        </is>
      </c>
      <c r="D265" s="19" t="inlineStr">
        <is>
          <t>Pass</t>
        </is>
      </c>
      <c r="E265" s="19" t="inlineStr">
        <is>
          <t>backend/test/remittance.test.js</t>
        </is>
      </c>
      <c r="F265" s="19" t="inlineStr">
        <is>
          <t>agency bills per agent with previous balance</t>
        </is>
      </c>
      <c r="G265" s="19" t="inlineStr"/>
      <c r="H265" s="19" t="inlineStr"/>
      <c r="I265" s="19" t="inlineStr">
        <is>
          <t>/finance/remittance/agencybill</t>
        </is>
      </c>
      <c r="J265" s="19" t="inlineStr">
        <is>
          <t>opened clean</t>
        </is>
      </c>
    </row>
    <row r="266">
      <c r="A266" s="19" t="inlineStr">
        <is>
          <t>BV-REM-010</t>
        </is>
      </c>
      <c r="B266" s="19" t="inlineStr">
        <is>
          <t>Remittance to insurers</t>
        </is>
      </c>
      <c r="C266" s="19" t="inlineStr">
        <is>
          <t>Bulk upload validates rows</t>
        </is>
      </c>
      <c r="D266" s="19" t="inlineStr">
        <is>
          <t>Pass</t>
        </is>
      </c>
      <c r="E266" s="19" t="inlineStr">
        <is>
          <t>backend/test/remittance.test.js</t>
        </is>
      </c>
      <c r="F266" s="19" t="inlineStr">
        <is>
          <t>bulk upload validates rows against the configuration and processes valid ones</t>
        </is>
      </c>
      <c r="G266" s="19" t="inlineStr"/>
      <c r="H266" s="19" t="inlineStr"/>
      <c r="I266" s="19" t="inlineStr">
        <is>
          <t>/finance/remittance/bulkprocessing</t>
        </is>
      </c>
      <c r="J266" s="19" t="inlineStr">
        <is>
          <t>opened clean</t>
        </is>
      </c>
    </row>
    <row r="267">
      <c r="A267" s="19" t="inlineStr">
        <is>
          <t>BV-REM-011</t>
        </is>
      </c>
      <c r="B267" s="19" t="inlineStr">
        <is>
          <t>Remittance to insurers</t>
        </is>
      </c>
      <c r="C267" s="19" t="inlineStr">
        <is>
          <t>Statements, reports, exceptions, history, analytics</t>
        </is>
      </c>
      <c r="D267" s="19" t="inlineStr">
        <is>
          <t>Pass</t>
        </is>
      </c>
      <c r="E267" s="19" t="inlineStr">
        <is>
          <t>backend/test/remittance.test.js
backend/test/remittance.test.js</t>
        </is>
      </c>
      <c r="F267" s="19" t="inlineStr">
        <is>
          <t>statements, reports and exceptions
analytics, history, audit, logs and master overview</t>
        </is>
      </c>
      <c r="G267" s="19" t="inlineStr">
        <is>
          <t>Reports and dashboards</t>
        </is>
      </c>
      <c r="H267" s="19" t="inlineStr">
        <is>
          <t>58 passed, 0 failed</t>
        </is>
      </c>
      <c r="I267" s="19" t="inlineStr">
        <is>
          <t>/finance/remittance/statements/generate
/finance/remittance/exceptions
/finance/remittance/history
/finance/remittance/analytics</t>
        </is>
      </c>
      <c r="J267" s="19" t="inlineStr">
        <is>
          <t>opened clean
opened clean
opened clean
opened clean</t>
        </is>
      </c>
    </row>
    <row r="268">
      <c r="A268" s="19" t="inlineStr">
        <is>
          <t>BV-REM-012</t>
        </is>
      </c>
      <c r="B268" s="19" t="inlineStr">
        <is>
          <t>Remittance to insurers</t>
        </is>
      </c>
      <c r="C268" s="19" t="inlineStr">
        <is>
          <t>Notifications, schedules and delegations</t>
        </is>
      </c>
      <c r="D268" s="19" t="inlineStr">
        <is>
          <t>Pass</t>
        </is>
      </c>
      <c r="E268" s="19" t="inlineStr">
        <is>
          <t>backend/test/remittance.test.js</t>
        </is>
      </c>
      <c r="F268" s="19" t="inlineStr">
        <is>
          <t>notifications, schedules and delegations</t>
        </is>
      </c>
      <c r="G268" s="19" t="inlineStr"/>
      <c r="H268" s="19" t="inlineStr"/>
      <c r="I268" s="19" t="inlineStr">
        <is>
          <t>/finance/remittance/scheduling
/finance/remittance/notifications</t>
        </is>
      </c>
      <c r="J268" s="19" t="inlineStr">
        <is>
          <t>opened clean
opened clean</t>
        </is>
      </c>
    </row>
    <row r="269">
      <c r="A269" s="19" t="inlineStr">
        <is>
          <t>BV-REM-013</t>
        </is>
      </c>
      <c r="B269" s="19" t="inlineStr">
        <is>
          <t>Remittance to insurers</t>
        </is>
      </c>
      <c r="C269" s="19" t="inlineStr">
        <is>
          <t>Remittance reconciliation with partial match and exception</t>
        </is>
      </c>
      <c r="D269" s="19" t="inlineStr">
        <is>
          <t>Pass</t>
        </is>
      </c>
      <c r="E269" s="19" t="inlineStr">
        <is>
          <t>backend/test/remittance.test.js
backend/test/bank-reconciliation.test.js</t>
        </is>
      </c>
      <c r="F269" s="19" t="inlineStr">
        <is>
          <t>bank reconciliation: auto-match, manual partial match with exception, unmatch
the remittance reconciliation reads the bank statement line table and keeps its API</t>
        </is>
      </c>
      <c r="G269" s="19" t="inlineStr"/>
      <c r="H269" s="19" t="inlineStr"/>
      <c r="I269" s="19" t="inlineStr">
        <is>
          <t>/finance/remittance/reconciliation</t>
        </is>
      </c>
      <c r="J269" s="19" t="inlineStr">
        <is>
          <t>opened clean</t>
        </is>
      </c>
    </row>
    <row r="270">
      <c r="A270" s="19" t="inlineStr">
        <is>
          <t>BV-REM-014</t>
        </is>
      </c>
      <c r="B270" s="19" t="inlineStr">
        <is>
          <t>Remittance to insurers</t>
        </is>
      </c>
      <c r="C270" s="19" t="inlineStr">
        <is>
          <t>Users without remittance permission refused</t>
        </is>
      </c>
      <c r="D270" s="19" t="inlineStr">
        <is>
          <t>Pass</t>
        </is>
      </c>
      <c r="E270" s="19" t="inlineStr">
        <is>
          <t>backend/test/remittance.test.js</t>
        </is>
      </c>
      <c r="F270" s="19" t="inlineStr">
        <is>
          <t>denies users without remittance permission</t>
        </is>
      </c>
      <c r="G270" s="19" t="inlineStr"/>
      <c r="H270" s="19" t="inlineStr"/>
      <c r="I270" s="19" t="inlineStr"/>
      <c r="J270" s="19" t="inlineStr"/>
    </row>
    <row r="271">
      <c r="A271" s="19" t="inlineStr">
        <is>
          <t>BV-REM-015</t>
        </is>
      </c>
      <c r="B271" s="19" t="inlineStr">
        <is>
          <t>Remittance to insurers</t>
        </is>
      </c>
      <c r="C271" s="19" t="inlineStr">
        <is>
          <t>New remittance dated on insurer terms</t>
        </is>
      </c>
      <c r="D271" s="19" t="inlineStr">
        <is>
          <t>Pass</t>
        </is>
      </c>
      <c r="E271" s="19" t="inlineStr">
        <is>
          <t>backend/test/credit-control.test.js</t>
        </is>
      </c>
      <c r="F271" s="19" t="inlineStr">
        <is>
          <t>dates a new remittance on the insurer remittance terms, else remittance.default_due_days</t>
        </is>
      </c>
      <c r="G271" s="19" t="inlineStr"/>
      <c r="H271" s="19" t="inlineStr"/>
      <c r="I271" s="19" t="inlineStr"/>
      <c r="J271" s="19" t="inlineStr"/>
    </row>
    <row r="272">
      <c r="A272" s="19" t="inlineStr">
        <is>
          <t>BV-DBL-001</t>
        </is>
      </c>
      <c r="B272" s="19" t="inlineStr">
        <is>
          <t>Direct bill</t>
        </is>
      </c>
      <c r="C272" s="19" t="inlineStr">
        <is>
          <t>Direct-bill policy books commission receivable only</t>
        </is>
      </c>
      <c r="D272" s="19" t="inlineStr">
        <is>
          <t>Pass</t>
        </is>
      </c>
      <c r="E272" s="19" t="inlineStr">
        <is>
          <t>backend/test/direct-bill.test.js
backend/test/uat-disconnects.test.js</t>
        </is>
      </c>
      <c r="F272" s="19" t="inlineStr">
        <is>
          <t>books commission receivable / commission income / output VAT and no premium receivable or payable
books the commission of a direct-bill policy on its issue date</t>
        </is>
      </c>
      <c r="G272" s="19" t="inlineStr">
        <is>
          <t>Billing and collection</t>
        </is>
      </c>
      <c r="H272" s="19" t="inlineStr">
        <is>
          <t>61 passed, 0 failed</t>
        </is>
      </c>
      <c r="I272" s="19" t="inlineStr"/>
      <c r="J272" s="19" t="inlineStr"/>
    </row>
    <row r="273">
      <c r="A273" s="19" t="inlineStr">
        <is>
          <t>BV-DBL-002</t>
        </is>
      </c>
      <c r="B273" s="19" t="inlineStr">
        <is>
          <t>Direct bill</t>
        </is>
      </c>
      <c r="C273" s="19" t="inlineStr">
        <is>
          <t>Record the client payment to the insurer</t>
        </is>
      </c>
      <c r="D273" s="19" t="inlineStr">
        <is>
          <t>Pass</t>
        </is>
      </c>
      <c r="E273" s="19" t="inlineStr">
        <is>
          <t>backend/test/direct-bill-client-payments.test.js
backend/test/direct-bill-client-payments.test.js</t>
        </is>
      </c>
      <c r="F273" s="19" t="inlineStr">
        <is>
          <t>records a payment with the insurer reference and proof, without posting anything, and shows the payment status
validates the entry</t>
        </is>
      </c>
      <c r="G273" s="19" t="inlineStr">
        <is>
          <t>Billing and collection</t>
        </is>
      </c>
      <c r="H273" s="19" t="inlineStr">
        <is>
          <t>61 passed, 0 failed</t>
        </is>
      </c>
      <c r="I273" s="19" t="inlineStr">
        <is>
          <t>/finance/remittance/directbill</t>
        </is>
      </c>
      <c r="J273" s="19" t="inlineStr">
        <is>
          <t>opened clean</t>
        </is>
      </c>
    </row>
    <row r="274">
      <c r="A274" s="19" t="inlineStr">
        <is>
          <t>BV-DBL-003</t>
        </is>
      </c>
      <c r="B274" s="19" t="inlineStr">
        <is>
          <t>Direct bill</t>
        </is>
      </c>
      <c r="C274" s="19" t="inlineStr">
        <is>
          <t>Debit note waits for full client payment when set to full</t>
        </is>
      </c>
      <c r="D274" s="19" t="inlineStr">
        <is>
          <t>Pass</t>
        </is>
      </c>
      <c r="E274" s="19" t="inlineStr">
        <is>
          <t>backend/test/direct-bill-client-payments.test.js
backend/test/direct-bill-client-payments.test.js</t>
        </is>
      </c>
      <c r="F274" s="19" t="inlineStr">
        <is>
          <t>with client_payment_required = full a debit note waits until its policies are paid in full
with any, one recorded payment is enough; a voided payment no longer counts</t>
        </is>
      </c>
      <c r="G274" s="19" t="inlineStr"/>
      <c r="H274" s="19" t="inlineStr"/>
      <c r="I274" s="19" t="inlineStr"/>
      <c r="J274" s="19" t="inlineStr"/>
    </row>
    <row r="275">
      <c r="A275" s="19" t="inlineStr">
        <is>
          <t>BV-DBL-004</t>
        </is>
      </c>
      <c r="B275" s="19" t="inlineStr">
        <is>
          <t>Direct bill</t>
        </is>
      </c>
      <c r="C275" s="19" t="inlineStr">
        <is>
          <t>Commission debit note with maker-checker</t>
        </is>
      </c>
      <c r="D275" s="19" t="inlineStr">
        <is>
          <t>Pass</t>
        </is>
      </c>
      <c r="E275" s="19" t="inlineStr">
        <is>
          <t>backend/test/direct-bill.test.js
backend/test/direct-bill.test.js</t>
        </is>
      </c>
      <c r="F275" s="19" t="inlineStr">
        <is>
          <t>lists unbilled commission insurer-wise with product, commission, VAT, total due and EWT
raise, maker-checker, reject (items released) and approve without a second posting</t>
        </is>
      </c>
      <c r="G275" s="19" t="inlineStr">
        <is>
          <t>Billing and collection</t>
        </is>
      </c>
      <c r="H275" s="19" t="inlineStr">
        <is>
          <t>61 passed, 0 failed</t>
        </is>
      </c>
      <c r="I275" s="19" t="inlineStr"/>
      <c r="J275" s="19" t="inlineStr"/>
    </row>
    <row r="276">
      <c r="A276" s="19" t="inlineStr">
        <is>
          <t>BV-DBL-005</t>
        </is>
      </c>
      <c r="B276" s="19" t="inlineStr">
        <is>
          <t>Direct bill</t>
        </is>
      </c>
      <c r="C276" s="19" t="inlineStr">
        <is>
          <t>Print and send the debit note</t>
        </is>
      </c>
      <c r="D276" s="19" t="inlineStr">
        <is>
          <t>Pass</t>
        </is>
      </c>
      <c r="E276" s="19" t="inlineStr">
        <is>
          <t>backend/test/direct-bill.test.js</t>
        </is>
      </c>
      <c r="F276" s="19" t="inlineStr">
        <is>
          <t>prints and sends the debit note</t>
        </is>
      </c>
      <c r="G276" s="19" t="inlineStr"/>
      <c r="H276" s="19" t="inlineStr"/>
      <c r="I276" s="19" t="inlineStr"/>
      <c r="J276" s="19" t="inlineStr"/>
    </row>
    <row r="277">
      <c r="A277" s="19" t="inlineStr">
        <is>
          <t>BV-DBL-006</t>
        </is>
      </c>
      <c r="B277" s="19" t="inlineStr">
        <is>
          <t>Direct bill</t>
        </is>
      </c>
      <c r="C277" s="19" t="inlineStr">
        <is>
          <t>Collect partial and full commission with CWT</t>
        </is>
      </c>
      <c r="D277" s="19" t="inlineStr">
        <is>
          <t>Pass</t>
        </is>
      </c>
      <c r="E277" s="19" t="inlineStr">
        <is>
          <t>backend/test/direct-bill.test.js</t>
        </is>
      </c>
      <c r="F277" s="19" t="inlineStr">
        <is>
          <t>partial and full collection from the insurer with creditable withholding tax</t>
        </is>
      </c>
      <c r="G277" s="19" t="inlineStr">
        <is>
          <t>Billing and collection</t>
        </is>
      </c>
      <c r="H277" s="19" t="inlineStr">
        <is>
          <t>61 passed, 0 failed</t>
        </is>
      </c>
      <c r="I277" s="19" t="inlineStr"/>
      <c r="J277" s="19" t="inlineStr"/>
    </row>
    <row r="278">
      <c r="A278" s="19" t="inlineStr">
        <is>
          <t>BV-DBL-007</t>
        </is>
      </c>
      <c r="B278" s="19" t="inlineStr">
        <is>
          <t>Direct bill</t>
        </is>
      </c>
      <c r="C278" s="19" t="inlineStr">
        <is>
          <t>Reverse a collection entered in error</t>
        </is>
      </c>
      <c r="D278" s="19" t="inlineStr">
        <is>
          <t>Pass</t>
        </is>
      </c>
      <c r="E278" s="19" t="inlineStr">
        <is>
          <t>backend/test/direct-bill.test.js</t>
        </is>
      </c>
      <c r="F278" s="19" t="inlineStr">
        <is>
          <t>a collection entered in error is reversed and the note reopens</t>
        </is>
      </c>
      <c r="G278" s="19" t="inlineStr"/>
      <c r="H278" s="19" t="inlineStr"/>
      <c r="I278" s="19" t="inlineStr"/>
      <c r="J278" s="19" t="inlineStr"/>
    </row>
    <row r="279">
      <c r="A279" s="19" t="inlineStr">
        <is>
          <t>BV-DBL-008</t>
        </is>
      </c>
      <c r="B279" s="19" t="inlineStr">
        <is>
          <t>Direct bill</t>
        </is>
      </c>
      <c r="C279" s="19" t="inlineStr">
        <is>
          <t>VAT inclusive commission and non-VAT broker</t>
        </is>
      </c>
      <c r="D279" s="19" t="inlineStr">
        <is>
          <t>Pass</t>
        </is>
      </c>
      <c r="E279" s="19" t="inlineStr">
        <is>
          <t>backend/test/direct-bill.test.js</t>
        </is>
      </c>
      <c r="F279" s="19" t="inlineStr">
        <is>
          <t>VAT follows the settings: inclusive commission, broker not VAT-registered</t>
        </is>
      </c>
      <c r="G279" s="19" t="inlineStr"/>
      <c r="H279" s="19" t="inlineStr"/>
      <c r="I279" s="19" t="inlineStr"/>
      <c r="J279" s="19" t="inlineStr"/>
    </row>
    <row r="280">
      <c r="A280" s="19" t="inlineStr">
        <is>
          <t>BV-DBL-009</t>
        </is>
      </c>
      <c r="B280" s="19" t="inlineStr">
        <is>
          <t>Direct bill</t>
        </is>
      </c>
      <c r="C280" s="19" t="inlineStr">
        <is>
          <t>Commission receivable report and trial balance</t>
        </is>
      </c>
      <c r="D280" s="19" t="inlineStr">
        <is>
          <t>Pass</t>
        </is>
      </c>
      <c r="E280" s="19" t="inlineStr">
        <is>
          <t>backend/test/direct-bill.test.js
backend/test/direct-bill.test.js</t>
        </is>
      </c>
      <c r="F280" s="19" t="inlineStr">
        <is>
          <t>commission receivable report and trial balance show it as due from the insurer
dashboards count it as commission receivable from the insurer, not premium receivable from the client</t>
        </is>
      </c>
      <c r="G280" s="19" t="inlineStr">
        <is>
          <t>Reports and dashboards</t>
        </is>
      </c>
      <c r="H280" s="19" t="inlineStr">
        <is>
          <t>58 passed, 0 failed</t>
        </is>
      </c>
      <c r="I280" s="19" t="inlineStr"/>
      <c r="J280" s="19" t="inlineStr"/>
    </row>
    <row r="281">
      <c r="A281" s="19" t="inlineStr">
        <is>
          <t>BV-DBL-010</t>
        </is>
      </c>
      <c r="B281" s="19" t="inlineStr">
        <is>
          <t>Direct bill</t>
        </is>
      </c>
      <c r="C281" s="19" t="inlineStr">
        <is>
          <t>Direct-bill commission per co-insurer</t>
        </is>
      </c>
      <c r="D281" s="19" t="inlineStr">
        <is>
          <t>Pass</t>
        </is>
      </c>
      <c r="E281" s="19" t="inlineStr">
        <is>
          <t>backend/test/posting-rules.test.js</t>
        </is>
      </c>
      <c r="F281" s="19" t="inlineStr">
        <is>
          <t>books direct-bill commission per co-insurer so each gets its own debit note</t>
        </is>
      </c>
      <c r="G281" s="19" t="inlineStr"/>
      <c r="H281" s="19" t="inlineStr"/>
      <c r="I281" s="19" t="inlineStr"/>
      <c r="J281" s="19" t="inlineStr"/>
    </row>
    <row r="282">
      <c r="A282" s="19" t="inlineStr">
        <is>
          <t>BV-COM-001</t>
        </is>
      </c>
      <c r="B282" s="19" t="inlineStr">
        <is>
          <t>Commission and referrers</t>
        </is>
      </c>
      <c r="C282" s="19" t="inlineStr">
        <is>
          <t>Create a referrer account</t>
        </is>
      </c>
      <c r="D282" s="19" t="inlineStr">
        <is>
          <t>Pass</t>
        </is>
      </c>
      <c r="E282" s="19" t="inlineStr">
        <is>
          <t>backend/test/commission.test.js</t>
        </is>
      </c>
      <c r="F282" s="19" t="inlineStr">
        <is>
          <t>creates a referrer and accrues lines from policy commission details</t>
        </is>
      </c>
      <c r="G282" s="19" t="inlineStr">
        <is>
          <t>Set-up</t>
        </is>
      </c>
      <c r="H282" s="19" t="inlineStr">
        <is>
          <t>46 passed, 0 failed</t>
        </is>
      </c>
      <c r="I282" s="19" t="inlineStr">
        <is>
          <t>/commission/referrer-accounts</t>
        </is>
      </c>
      <c r="J282" s="19" t="inlineStr">
        <is>
          <t>opened clean</t>
        </is>
      </c>
    </row>
    <row r="283">
      <c r="A283" s="19" t="inlineStr">
        <is>
          <t>BV-COM-002</t>
        </is>
      </c>
      <c r="B283" s="19" t="inlineStr">
        <is>
          <t>Commission and referrers</t>
        </is>
      </c>
      <c r="C283" s="19" t="inlineStr">
        <is>
          <t>Referrer without bank account cannot be approved or paid</t>
        </is>
      </c>
      <c r="D283" s="19" t="inlineStr">
        <is>
          <t>Pass</t>
        </is>
      </c>
      <c r="E283" s="19" t="inlineStr">
        <is>
          <t>backend/test/policy-payments.test.js</t>
        </is>
      </c>
      <c r="F283" s="19" t="inlineStr">
        <is>
          <t>a referrer without a bank account cannot be approved or paid out; the account shows the configured WHT rate</t>
        </is>
      </c>
      <c r="G283" s="19" t="inlineStr"/>
      <c r="H283" s="19" t="inlineStr"/>
      <c r="I283" s="19" t="inlineStr"/>
      <c r="J283" s="19" t="inlineStr"/>
    </row>
    <row r="284">
      <c r="A284" s="19" t="inlineStr">
        <is>
          <t>BV-COM-003</t>
        </is>
      </c>
      <c r="B284" s="19" t="inlineStr">
        <is>
          <t>Commission and referrers</t>
        </is>
      </c>
      <c r="C284" s="19" t="inlineStr">
        <is>
          <t>Lines eligible only after premium collected</t>
        </is>
      </c>
      <c r="D284" s="19" t="inlineStr">
        <is>
          <t>Pass</t>
        </is>
      </c>
      <c r="E284" s="19" t="inlineStr">
        <is>
          <t>backend/test/commission.test.js</t>
        </is>
      </c>
      <c r="F284" s="19" t="inlineStr">
        <is>
          <t>eligibility requires collected premium; payment makes lines eligible automatically</t>
        </is>
      </c>
      <c r="G284" s="19" t="inlineStr">
        <is>
          <t>Money: remittances, commission, petty cash</t>
        </is>
      </c>
      <c r="H284" s="19" t="inlineStr">
        <is>
          <t>27 passed, 0 failed</t>
        </is>
      </c>
      <c r="I284" s="19" t="inlineStr"/>
      <c r="J284" s="19" t="inlineStr"/>
    </row>
    <row r="285">
      <c r="A285" s="19" t="inlineStr">
        <is>
          <t>BV-COM-004</t>
        </is>
      </c>
      <c r="B285" s="19" t="inlineStr">
        <is>
          <t>Commission and referrers</t>
        </is>
      </c>
      <c r="C285" s="19" t="inlineStr">
        <is>
          <t>Approve (maker-checker), bulk disburse and pay</t>
        </is>
      </c>
      <c r="D285" s="19" t="inlineStr">
        <is>
          <t>Pass</t>
        </is>
      </c>
      <c r="E285" s="19" t="inlineStr">
        <is>
          <t>backend/test/commission.test.js
backend/test/accounting-followups.test.js</t>
        </is>
      </c>
      <c r="F285" s="19" t="inlineStr">
        <is>
          <t>approval is maker-checker; approved lines post the accrual and can be bulk-disbursed and paid
prepares a paid and an approved comsub line</t>
        </is>
      </c>
      <c r="G285" s="19" t="inlineStr">
        <is>
          <t>Money: remittances, commission, petty cash</t>
        </is>
      </c>
      <c r="H285" s="19" t="inlineStr">
        <is>
          <t>27 passed, 0 failed</t>
        </is>
      </c>
      <c r="I285" s="19" t="inlineStr"/>
      <c r="J285" s="19" t="inlineStr"/>
    </row>
    <row r="286">
      <c r="A286" s="19" t="inlineStr">
        <is>
          <t>BV-COM-005</t>
        </is>
      </c>
      <c r="B286" s="19" t="inlineStr">
        <is>
          <t>Commission and referrers</t>
        </is>
      </c>
      <c r="C286" s="19" t="inlineStr">
        <is>
          <t>WHT toggle and clawback after payment</t>
        </is>
      </c>
      <c r="D286" s="19" t="inlineStr">
        <is>
          <t>Pass</t>
        </is>
      </c>
      <c r="E286" s="19" t="inlineStr">
        <is>
          <t>backend/test/commission.test.js</t>
        </is>
      </c>
      <c r="F286" s="19" t="inlineStr">
        <is>
          <t>WHT toggle recomputes open lines; reversal after payment is a clawback; single-line pay</t>
        </is>
      </c>
      <c r="G286" s="19" t="inlineStr"/>
      <c r="H286" s="19" t="inlineStr"/>
      <c r="I286" s="19" t="inlineStr"/>
      <c r="J286" s="19" t="inlineStr"/>
    </row>
    <row r="287">
      <c r="A287" s="19" t="inlineStr">
        <is>
          <t>BV-COM-006</t>
        </is>
      </c>
      <c r="B287" s="19" t="inlineStr">
        <is>
          <t>Commission and referrers</t>
        </is>
      </c>
      <c r="C287" s="19" t="inlineStr">
        <is>
          <t>Commission dashboard and agents ready to pay</t>
        </is>
      </c>
      <c r="D287" s="19" t="inlineStr">
        <is>
          <t>Pass</t>
        </is>
      </c>
      <c r="E287" s="19" t="inlineStr">
        <is>
          <t>backend/test/commission.test.js</t>
        </is>
      </c>
      <c r="F287" s="19" t="inlineStr">
        <is>
          <t>dashboard, referrer list and agents ready to pay (seeded data)</t>
        </is>
      </c>
      <c r="G287" s="19" t="inlineStr">
        <is>
          <t>Reports and dashboards</t>
        </is>
      </c>
      <c r="H287" s="19" t="inlineStr">
        <is>
          <t>58 passed, 0 failed</t>
        </is>
      </c>
      <c r="I287" s="19" t="inlineStr">
        <is>
          <t>/commission/dashboard</t>
        </is>
      </c>
      <c r="J287" s="19" t="inlineStr">
        <is>
          <t>opened clean</t>
        </is>
      </c>
    </row>
    <row r="288">
      <c r="A288" s="19" t="inlineStr">
        <is>
          <t>BV-COM-007</t>
        </is>
      </c>
      <c r="B288" s="19" t="inlineStr">
        <is>
          <t>Commission and referrers</t>
        </is>
      </c>
      <c r="C288" s="19" t="inlineStr">
        <is>
          <t>Commission taxes set-up and simulation</t>
        </is>
      </c>
      <c r="D288" s="19" t="inlineStr">
        <is>
          <t>Pass</t>
        </is>
      </c>
      <c r="E288" s="19" t="inlineStr">
        <is>
          <t>backend/test/commission-taxes.test.js
backend/test/commission-taxes.test.js
backend/test/configuration-controls.test.js</t>
        </is>
      </c>
      <c r="F288" s="19" t="inlineStr">
        <is>
          <t>simulate shows the tax lines; rates and GL accounts follow the tax codes master
the set-up screen reads and changes the switches and tax codes
maps and commission taxes too; the generic settings screens cannot bypass it</t>
        </is>
      </c>
      <c r="G288" s="19" t="inlineStr"/>
      <c r="H288" s="19" t="inlineStr"/>
      <c r="I288" s="19" t="inlineStr"/>
      <c r="J288" s="19" t="inlineStr"/>
    </row>
    <row r="289">
      <c r="A289" s="19" t="inlineStr">
        <is>
          <t>BV-COM-008</t>
        </is>
      </c>
      <c r="B289" s="19" t="inlineStr">
        <is>
          <t>Commission and referrers</t>
        </is>
      </c>
      <c r="C289" s="19" t="inlineStr">
        <is>
          <t>Co-insured: VAT and EWT per insurer commission</t>
        </is>
      </c>
      <c r="D289" s="19" t="inlineStr">
        <is>
          <t>Pass</t>
        </is>
      </c>
      <c r="E289" s="19" t="inlineStr">
        <is>
          <t>backend/test/commission-taxes.test.js</t>
        </is>
      </c>
      <c r="F289" s="19" t="inlineStr">
        <is>
          <t>co-insured: each insurer is billed VAT on, and withholds EWT from, its own commission</t>
        </is>
      </c>
      <c r="G289" s="19" t="inlineStr"/>
      <c r="H289" s="19" t="inlineStr"/>
      <c r="I289" s="19" t="inlineStr"/>
      <c r="J289" s="19" t="inlineStr"/>
    </row>
    <row r="290">
      <c r="A290" s="19" t="inlineStr">
        <is>
          <t>BV-COM-009</t>
        </is>
      </c>
      <c r="B290" s="19" t="inlineStr">
        <is>
          <t>Commission and referrers</t>
        </is>
      </c>
      <c r="C290" s="19" t="inlineStr">
        <is>
          <t>Commission split on the order summary</t>
        </is>
      </c>
      <c r="D290" s="19" t="inlineStr">
        <is>
          <t>Pass</t>
        </is>
      </c>
      <c r="E290" s="19" t="inlineStr">
        <is>
          <t>backend/test/motor-tariff.test.js</t>
        </is>
      </c>
      <c r="F290" s="19" t="inlineStr">
        <is>
          <t>books the brokerage % of the commission rule shown on the order summary</t>
        </is>
      </c>
      <c r="G290" s="19" t="inlineStr">
        <is>
          <t>Retail package business</t>
        </is>
      </c>
      <c r="H290" s="19" t="inlineStr">
        <is>
          <t>84 passed, 0 failed</t>
        </is>
      </c>
      <c r="I290" s="19" t="inlineStr"/>
      <c r="J290" s="19" t="inlineStr"/>
    </row>
    <row r="291">
      <c r="A291" s="19" t="inlineStr">
        <is>
          <t>BV-COM-010</t>
        </is>
      </c>
      <c r="B291" s="19" t="inlineStr">
        <is>
          <t>Commission and referrers</t>
        </is>
      </c>
      <c r="C291" s="19" t="inlineStr">
        <is>
          <t>Commission validation and permissions</t>
        </is>
      </c>
      <c r="D291" s="19" t="inlineStr">
        <is>
          <t>Pass</t>
        </is>
      </c>
      <c r="E291" s="19" t="inlineStr">
        <is>
          <t>backend/test/commission.test.js</t>
        </is>
      </c>
      <c r="F291" s="19" t="inlineStr">
        <is>
          <t>validation and permissions</t>
        </is>
      </c>
      <c r="G291" s="19" t="inlineStr"/>
      <c r="H291" s="19" t="inlineStr"/>
      <c r="I291" s="19" t="inlineStr"/>
      <c r="J291" s="19" t="inlineStr"/>
    </row>
    <row r="292">
      <c r="A292" s="19" t="inlineStr">
        <is>
          <t>BV-PCH-001</t>
        </is>
      </c>
      <c r="B292" s="19" t="inlineStr">
        <is>
          <t>Petty cash</t>
        </is>
      </c>
      <c r="C292" s="19" t="inlineStr">
        <is>
          <t>Set up a petty cash fund</t>
        </is>
      </c>
      <c r="D292" s="19" t="inlineStr">
        <is>
          <t>Pass</t>
        </is>
      </c>
      <c r="E292" s="19" t="inlineStr"/>
      <c r="F292" s="19" t="inlineStr"/>
      <c r="G292" s="19" t="inlineStr">
        <is>
          <t>Money: remittances, commission, petty cash</t>
        </is>
      </c>
      <c r="H292" s="19" t="inlineStr">
        <is>
          <t>27 passed, 0 failed</t>
        </is>
      </c>
      <c r="I292" s="19" t="inlineStr">
        <is>
          <t>/accounts/pettycash/pettycashcodeinitiate</t>
        </is>
      </c>
      <c r="J292" s="19" t="inlineStr">
        <is>
          <t>opened clean</t>
        </is>
      </c>
    </row>
    <row r="293">
      <c r="A293" s="19" t="inlineStr">
        <is>
          <t>BV-PCH-002</t>
        </is>
      </c>
      <c r="B293" s="19" t="inlineStr">
        <is>
          <t>Petty cash</t>
        </is>
      </c>
      <c r="C293" s="19" t="inlineStr">
        <is>
          <t>Petty cash request approved by a second user</t>
        </is>
      </c>
      <c r="D293" s="19" t="inlineStr">
        <is>
          <t>Pass</t>
        </is>
      </c>
      <c r="E293" s="19" t="inlineStr"/>
      <c r="F293" s="19" t="inlineStr"/>
      <c r="G293" s="19" t="inlineStr">
        <is>
          <t>Money: remittances, commission, petty cash</t>
        </is>
      </c>
      <c r="H293" s="19" t="inlineStr">
        <is>
          <t>27 passed, 0 failed</t>
        </is>
      </c>
      <c r="I293" s="19" t="inlineStr">
        <is>
          <t>/accounts/pettycash/pettycashrequest</t>
        </is>
      </c>
      <c r="J293" s="19" t="inlineStr">
        <is>
          <t>opened clean</t>
        </is>
      </c>
    </row>
    <row r="294">
      <c r="A294" s="19" t="inlineStr">
        <is>
          <t>BV-PCH-003</t>
        </is>
      </c>
      <c r="B294" s="19" t="inlineStr">
        <is>
          <t>Petty cash</t>
        </is>
      </c>
      <c r="C294" s="19" t="inlineStr">
        <is>
          <t>Disburse with input VAT</t>
        </is>
      </c>
      <c r="D294" s="19" t="inlineStr">
        <is>
          <t>Pass</t>
        </is>
      </c>
      <c r="E294" s="19" t="inlineStr"/>
      <c r="F294" s="19" t="inlineStr"/>
      <c r="G294" s="19" t="inlineStr">
        <is>
          <t>Money: remittances, commission, petty cash</t>
        </is>
      </c>
      <c r="H294" s="19" t="inlineStr">
        <is>
          <t>27 passed, 0 failed</t>
        </is>
      </c>
      <c r="I294" s="19" t="inlineStr">
        <is>
          <t>/accounts/pettycash/disbursement</t>
        </is>
      </c>
      <c r="J294" s="19" t="inlineStr">
        <is>
          <t>opened clean</t>
        </is>
      </c>
    </row>
    <row r="295">
      <c r="A295" s="19" t="inlineStr">
        <is>
          <t>BV-PCH-004</t>
        </is>
      </c>
      <c r="B295" s="19" t="inlineStr">
        <is>
          <t>Petty cash</t>
        </is>
      </c>
      <c r="C295" s="19" t="inlineStr">
        <is>
          <t>Replenish the fund</t>
        </is>
      </c>
      <c r="D295" s="19" t="inlineStr">
        <is>
          <t>Pass</t>
        </is>
      </c>
      <c r="E295" s="19" t="inlineStr"/>
      <c r="F295" s="19" t="inlineStr"/>
      <c r="G295" s="19" t="inlineStr">
        <is>
          <t>Money: remittances, commission, petty cash</t>
        </is>
      </c>
      <c r="H295" s="19" t="inlineStr">
        <is>
          <t>27 passed, 0 failed</t>
        </is>
      </c>
      <c r="I295" s="19" t="inlineStr">
        <is>
          <t>/accounts/pettycash/replenish</t>
        </is>
      </c>
      <c r="J295" s="19" t="inlineStr">
        <is>
          <t>opened clean</t>
        </is>
      </c>
    </row>
    <row r="296">
      <c r="A296" s="19" t="inlineStr">
        <is>
          <t>BV-PCH-005</t>
        </is>
      </c>
      <c r="B296" s="19" t="inlineStr">
        <is>
          <t>Petty cash</t>
        </is>
      </c>
      <c r="C296" s="19" t="inlineStr">
        <is>
          <t>Petty cash reversal keeps the ledger balanced</t>
        </is>
      </c>
      <c r="D296" s="19" t="inlineStr">
        <is>
          <t>Pass</t>
        </is>
      </c>
      <c r="E296" s="19" t="inlineStr">
        <is>
          <t>backend/test/posting-rules.test.js</t>
        </is>
      </c>
      <c r="F296" s="19" t="inlineStr">
        <is>
          <t>remittance adjustments, petty cash reversal and the ledger stay balanced</t>
        </is>
      </c>
      <c r="G296" s="19" t="inlineStr"/>
      <c r="H296" s="19" t="inlineStr"/>
      <c r="I296" s="19" t="inlineStr"/>
      <c r="J296" s="19" t="inlineStr"/>
    </row>
    <row r="297">
      <c r="A297" s="19" t="inlineStr">
        <is>
          <t>BV-PCH-006</t>
        </is>
      </c>
      <c r="B297" s="19" t="inlineStr">
        <is>
          <t>Petty cash</t>
        </is>
      </c>
      <c r="C297" s="19" t="inlineStr">
        <is>
          <t>Request above the max limit</t>
        </is>
      </c>
      <c r="D297" s="19" t="inlineStr">
        <is>
          <t>Not Run</t>
        </is>
      </c>
      <c r="E297" s="19" t="inlineStr"/>
      <c r="F297" s="19" t="inlineStr"/>
      <c r="G297" s="19" t="inlineStr"/>
      <c r="H297" s="19" t="inlineStr"/>
      <c r="I297" s="19" t="inlineStr"/>
      <c r="J297" s="19" t="inlineStr"/>
    </row>
    <row r="298">
      <c r="A298" s="19" t="inlineStr">
        <is>
          <t>BV-PCH-007</t>
        </is>
      </c>
      <c r="B298" s="19" t="inlineStr">
        <is>
          <t>Petty cash</t>
        </is>
      </c>
      <c r="C298" s="19" t="inlineStr">
        <is>
          <t>Petty cash master and receipts screen open</t>
        </is>
      </c>
      <c r="D298" s="19" t="inlineStr">
        <is>
          <t>Pass</t>
        </is>
      </c>
      <c r="E298" s="19" t="inlineStr"/>
      <c r="F298" s="19" t="inlineStr"/>
      <c r="G298" s="19" t="inlineStr"/>
      <c r="H298" s="19" t="inlineStr"/>
      <c r="I298" s="19" t="inlineStr">
        <is>
          <t>/master/finance/pettycash
/accounts/pettycash/receipts</t>
        </is>
      </c>
      <c r="J298" s="19" t="inlineStr">
        <is>
          <t>opened clean
opened clean</t>
        </is>
      </c>
    </row>
    <row r="299">
      <c r="A299" s="19" t="inlineStr">
        <is>
          <t>BV-JNL-001</t>
        </is>
      </c>
      <c r="B299" s="19" t="inlineStr">
        <is>
          <t>Journal vouchers and ledger</t>
        </is>
      </c>
      <c r="C299" s="19" t="inlineStr">
        <is>
          <t>Manual journal voucher with maker-checker</t>
        </is>
      </c>
      <c r="D299" s="19" t="inlineStr">
        <is>
          <t>Pass</t>
        </is>
      </c>
      <c r="E299" s="19" t="inlineStr">
        <is>
          <t>backend/test/journal.test.js</t>
        </is>
      </c>
      <c r="F299" s="19" t="inlineStr">
        <is>
          <t>maker creates a voucher for approval; maker cannot approve; checker approves and it posts</t>
        </is>
      </c>
      <c r="G299" s="19" t="inlineStr">
        <is>
          <t>Reconciliation: bank and insurer statements</t>
        </is>
      </c>
      <c r="H299" s="19" t="inlineStr">
        <is>
          <t>10 passed, 0 failed</t>
        </is>
      </c>
      <c r="I299" s="19" t="inlineStr">
        <is>
          <t>/accounts/journalvoucher</t>
        </is>
      </c>
      <c r="J299" s="19" t="inlineStr">
        <is>
          <t>opened clean</t>
        </is>
      </c>
    </row>
    <row r="300">
      <c r="A300" s="19" t="inlineStr">
        <is>
          <t>BV-JNL-002</t>
        </is>
      </c>
      <c r="B300" s="19" t="inlineStr">
        <is>
          <t>Journal vouchers and ledger</t>
        </is>
      </c>
      <c r="C300" s="19" t="inlineStr">
        <is>
          <t>Unbalanced or unknown account refused</t>
        </is>
      </c>
      <c r="D300" s="19" t="inlineStr">
        <is>
          <t>Pass</t>
        </is>
      </c>
      <c r="E300" s="19" t="inlineStr">
        <is>
          <t>backend/test/journal.test.js</t>
        </is>
      </c>
      <c r="F300" s="19" t="inlineStr">
        <is>
          <t>foreign currency lines convert at the master rate; unbalanced or unknown accounts are rejected</t>
        </is>
      </c>
      <c r="G300" s="19" t="inlineStr"/>
      <c r="H300" s="19" t="inlineStr"/>
      <c r="I300" s="19" t="inlineStr"/>
      <c r="J300" s="19" t="inlineStr"/>
    </row>
    <row r="301">
      <c r="A301" s="19" t="inlineStr">
        <is>
          <t>BV-JNL-003</t>
        </is>
      </c>
      <c r="B301" s="19" t="inlineStr">
        <is>
          <t>Journal vouchers and ledger</t>
        </is>
      </c>
      <c r="C301" s="19" t="inlineStr">
        <is>
          <t>Foreign currency line converts at master rate</t>
        </is>
      </c>
      <c r="D301" s="19" t="inlineStr">
        <is>
          <t>Pass</t>
        </is>
      </c>
      <c r="E301" s="19" t="inlineStr">
        <is>
          <t>backend/test/journal.test.js</t>
        </is>
      </c>
      <c r="F301" s="19" t="inlineStr">
        <is>
          <t>foreign currency lines convert at the master rate; unbalanced or unknown accounts are rejected</t>
        </is>
      </c>
      <c r="G301" s="19" t="inlineStr"/>
      <c r="H301" s="19" t="inlineStr"/>
      <c r="I301" s="19" t="inlineStr"/>
      <c r="J301" s="19" t="inlineStr"/>
    </row>
    <row r="302">
      <c r="A302" s="19" t="inlineStr">
        <is>
          <t>BV-JNL-004</t>
        </is>
      </c>
      <c r="B302" s="19" t="inlineStr">
        <is>
          <t>Journal vouchers and ledger</t>
        </is>
      </c>
      <c r="C302" s="19" t="inlineStr">
        <is>
          <t>Checker rejects with a reason</t>
        </is>
      </c>
      <c r="D302" s="19" t="inlineStr">
        <is>
          <t>Pass</t>
        </is>
      </c>
      <c r="E302" s="19" t="inlineStr">
        <is>
          <t>backend/test/journal.test.js</t>
        </is>
      </c>
      <c r="F302" s="19" t="inlineStr">
        <is>
          <t>checker rejects with a reason</t>
        </is>
      </c>
      <c r="G302" s="19" t="inlineStr"/>
      <c r="H302" s="19" t="inlineStr"/>
      <c r="I302" s="19" t="inlineStr"/>
      <c r="J302" s="19" t="inlineStr"/>
    </row>
    <row r="303">
      <c r="A303" s="19" t="inlineStr">
        <is>
          <t>BV-JNL-005</t>
        </is>
      </c>
      <c r="B303" s="19" t="inlineStr">
        <is>
          <t>Journal vouchers and ledger</t>
        </is>
      </c>
      <c r="C303" s="19" t="inlineStr">
        <is>
          <t>Correction JV reverses the original and posts corrected lines</t>
        </is>
      </c>
      <c r="D303" s="19" t="inlineStr">
        <is>
          <t>Pass</t>
        </is>
      </c>
      <c r="E303" s="19" t="inlineStr">
        <is>
          <t>backend/test/journal.test.js</t>
        </is>
      </c>
      <c r="F303" s="19" t="inlineStr">
        <is>
          <t>correction JV reverses the original and posts corrected lines on approval; reversal JV of the correction</t>
        </is>
      </c>
      <c r="G303" s="19" t="inlineStr"/>
      <c r="H303" s="19" t="inlineStr"/>
      <c r="I303" s="19" t="inlineStr">
        <is>
          <t>/accounts/correctionsjv/correctionsjvdetails</t>
        </is>
      </c>
      <c r="J303" s="19" t="inlineStr">
        <is>
          <t>opened clean</t>
        </is>
      </c>
    </row>
    <row r="304">
      <c r="A304" s="19" t="inlineStr">
        <is>
          <t>BV-JNL-006</t>
        </is>
      </c>
      <c r="B304" s="19" t="inlineStr">
        <is>
          <t>Journal vouchers and ledger</t>
        </is>
      </c>
      <c r="C304" s="19" t="inlineStr">
        <is>
          <t>Reversal JV of a correction</t>
        </is>
      </c>
      <c r="D304" s="19" t="inlineStr">
        <is>
          <t>Pass</t>
        </is>
      </c>
      <c r="E304" s="19" t="inlineStr">
        <is>
          <t>backend/test/journal.test.js
backend/test/accounting.test.js</t>
        </is>
      </c>
      <c r="F304" s="19" t="inlineStr">
        <is>
          <t>correction JV reverses the original and posts corrected lines on approval; reversal JV of the correction
transactions: post a pending journal, reverse it, cancel another</t>
        </is>
      </c>
      <c r="G304" s="19" t="inlineStr"/>
      <c r="H304" s="19" t="inlineStr"/>
      <c r="I304" s="19" t="inlineStr">
        <is>
          <t>/accounts/reversaljv/reversaljvdetails</t>
        </is>
      </c>
      <c r="J304" s="19" t="inlineStr">
        <is>
          <t>opened clean</t>
        </is>
      </c>
    </row>
    <row r="305">
      <c r="A305" s="19" t="inlineStr">
        <is>
          <t>BV-JNL-007</t>
        </is>
      </c>
      <c r="B305" s="19" t="inlineStr">
        <is>
          <t>Journal vouchers and ledger</t>
        </is>
      </c>
      <c r="C305" s="19" t="inlineStr">
        <is>
          <t>Journal permissions</t>
        </is>
      </c>
      <c r="D305" s="19" t="inlineStr">
        <is>
          <t>Pass</t>
        </is>
      </c>
      <c r="E305" s="19" t="inlineStr">
        <is>
          <t>backend/test/journal.test.js
backend/test/accounting.test.js</t>
        </is>
      </c>
      <c r="F305" s="19" t="inlineStr">
        <is>
          <t>permissions
permissions</t>
        </is>
      </c>
      <c r="G305" s="19" t="inlineStr"/>
      <c r="H305" s="19" t="inlineStr"/>
      <c r="I305" s="19" t="inlineStr"/>
      <c r="J305" s="19" t="inlineStr"/>
    </row>
    <row r="306">
      <c r="A306" s="19" t="inlineStr">
        <is>
          <t>BV-JNL-008</t>
        </is>
      </c>
      <c r="B306" s="19" t="inlineStr">
        <is>
          <t>Journal vouchers and ledger</t>
        </is>
      </c>
      <c r="C306" s="19" t="inlineStr">
        <is>
          <t>Search entries, client ledger and export</t>
        </is>
      </c>
      <c r="D306" s="19" t="inlineStr">
        <is>
          <t>Pass</t>
        </is>
      </c>
      <c r="E306" s="19" t="inlineStr">
        <is>
          <t>backend/test/accounting.test.js</t>
        </is>
      </c>
      <c r="F306" s="19" t="inlineStr">
        <is>
          <t>entries search, client ledger, all-clients view and export</t>
        </is>
      </c>
      <c r="G306" s="19" t="inlineStr"/>
      <c r="H306" s="19" t="inlineStr"/>
      <c r="I306" s="19" t="inlineStr">
        <is>
          <t>/agent/accounting/query
/agent/accounting/all-clients-details</t>
        </is>
      </c>
      <c r="J306" s="19" t="inlineStr">
        <is>
          <t>opened clean
opened clean</t>
        </is>
      </c>
    </row>
    <row r="307">
      <c r="A307" s="19" t="inlineStr">
        <is>
          <t>BV-JNL-009</t>
        </is>
      </c>
      <c r="B307" s="19" t="inlineStr">
        <is>
          <t>Journal vouchers and ledger</t>
        </is>
      </c>
      <c r="C307" s="19" t="inlineStr">
        <is>
          <t>Match and unmatch open entries</t>
        </is>
      </c>
      <c r="D307" s="19" t="inlineStr">
        <is>
          <t>Pass</t>
        </is>
      </c>
      <c r="E307" s="19" t="inlineStr">
        <is>
          <t>backend/test/accounting.test.js</t>
        </is>
      </c>
      <c r="F307" s="19" t="inlineStr">
        <is>
          <t>open-entry matching and unmatching (POST and GET)</t>
        </is>
      </c>
      <c r="G307" s="19" t="inlineStr"/>
      <c r="H307" s="19" t="inlineStr"/>
      <c r="I307" s="19" t="inlineStr">
        <is>
          <t>/accounts/open-entry-matching
/accounts/open-entry-unmatching</t>
        </is>
      </c>
      <c r="J307" s="19" t="inlineStr">
        <is>
          <t>opened clean
opened clean</t>
        </is>
      </c>
    </row>
    <row r="308">
      <c r="A308" s="19" t="inlineStr">
        <is>
          <t>BV-JNL-010</t>
        </is>
      </c>
      <c r="B308" s="19" t="inlineStr">
        <is>
          <t>Journal vouchers and ledger</t>
        </is>
      </c>
      <c r="C308" s="19" t="inlineStr">
        <is>
          <t>Seeded ledger balanced; every event balances</t>
        </is>
      </c>
      <c r="D308" s="19" t="inlineStr">
        <is>
          <t>Pass</t>
        </is>
      </c>
      <c r="E308" s="19" t="inlineStr">
        <is>
          <t>backend/test/accounting.test.js
backend/test/posting-rules.test.js</t>
        </is>
      </c>
      <c r="F308" s="19" t="inlineStr">
        <is>
          <t>seeded ledger is balanced and the trial balance agrees
every event balances on its sample context, single insurer and co-insured</t>
        </is>
      </c>
      <c r="G308" s="19" t="inlineStr">
        <is>
          <t>Reports and dashboards</t>
        </is>
      </c>
      <c r="H308" s="19" t="inlineStr">
        <is>
          <t>58 passed, 0 failed</t>
        </is>
      </c>
      <c r="I308" s="19" t="inlineStr"/>
      <c r="J308" s="19" t="inlineStr"/>
    </row>
    <row r="309">
      <c r="A309" s="19" t="inlineStr">
        <is>
          <t>BV-JNL-011</t>
        </is>
      </c>
      <c r="B309" s="19" t="inlineStr">
        <is>
          <t>Journal vouchers and ledger</t>
        </is>
      </c>
      <c r="C309" s="19" t="inlineStr">
        <is>
          <t>New posting rule version pending until approved</t>
        </is>
      </c>
      <c r="D309" s="19" t="inlineStr">
        <is>
          <t>Pass</t>
        </is>
      </c>
      <c r="E309" s="19" t="inlineStr">
        <is>
          <t>backend/test/configuration-controls.test.js
backend/test/posting-rules.test.js</t>
        </is>
      </c>
      <c r="F309" s="19" t="inlineStr">
        <is>
          <t>a new version is pending and never posts until approved; rejecting leaves the version in force
lists events and rules, simulates, and validates new versions</t>
        </is>
      </c>
      <c r="G309" s="19" t="inlineStr"/>
      <c r="H309" s="19" t="inlineStr"/>
      <c r="I309" s="19" t="inlineStr">
        <is>
          <t>/master/finance/posting-rules
/master/finance/configuration-approvals</t>
        </is>
      </c>
      <c r="J309" s="19" t="inlineStr">
        <is>
          <t>opened clean
opened clean</t>
        </is>
      </c>
    </row>
    <row r="310">
      <c r="A310" s="19" t="inlineStr">
        <is>
          <t>BV-JNL-012</t>
        </is>
      </c>
      <c r="B310" s="19" t="inlineStr">
        <is>
          <t>Journal vouchers and ledger</t>
        </is>
      </c>
      <c r="C310" s="19" t="inlineStr">
        <is>
          <t>Account determination edits the role map</t>
        </is>
      </c>
      <c r="D310" s="19" t="inlineStr">
        <is>
          <t>Pass</t>
        </is>
      </c>
      <c r="E310" s="19" t="inlineStr">
        <is>
          <t>backend/test/posting-rules.test.js</t>
        </is>
      </c>
      <c r="F310" s="19" t="inlineStr">
        <is>
          <t>Account Determination edits the role map posting uses</t>
        </is>
      </c>
      <c r="G310" s="19" t="inlineStr"/>
      <c r="H310" s="19" t="inlineStr"/>
      <c r="I310" s="19" t="inlineStr">
        <is>
          <t>/master/finance/account-determination</t>
        </is>
      </c>
      <c r="J310" s="19" t="inlineStr">
        <is>
          <t>opened clean</t>
        </is>
      </c>
    </row>
    <row r="311">
      <c r="A311" s="19" t="inlineStr">
        <is>
          <t>BV-JNL-013</t>
        </is>
      </c>
      <c r="B311" s="19" t="inlineStr">
        <is>
          <t>Journal vouchers and ledger</t>
        </is>
      </c>
      <c r="C311" s="19" t="inlineStr">
        <is>
          <t>Accounting flow lists every event with GL lines</t>
        </is>
      </c>
      <c r="D311" s="19" t="inlineStr">
        <is>
          <t>Pass</t>
        </is>
      </c>
      <c r="E311" s="19" t="inlineStr">
        <is>
          <t>backend/test/accounting-flow.test.js
backend/test/accounting-flow.test.js
backend/test/accounting-flow.test.js</t>
        </is>
      </c>
      <c r="F311" s="19" t="inlineStr">
        <is>
          <t>documents the trigger and approval of every event
lists every event with the debit and credit lines of the rule in force and their GL accounts
follows a rule change</t>
        </is>
      </c>
      <c r="G311" s="19" t="inlineStr"/>
      <c r="H311" s="19" t="inlineStr"/>
      <c r="I311" s="19" t="inlineStr">
        <is>
          <t>/master/finance/accounting-flow</t>
        </is>
      </c>
      <c r="J311" s="19" t="inlineStr">
        <is>
          <t>opened clean</t>
        </is>
      </c>
    </row>
    <row r="312">
      <c r="A312" s="19" t="inlineStr">
        <is>
          <t>BV-JNL-014</t>
        </is>
      </c>
      <c r="B312" s="19" t="inlineStr">
        <is>
          <t>Journal vouchers and ledger</t>
        </is>
      </c>
      <c r="C312" s="19" t="inlineStr">
        <is>
          <t>Sub-ledger tie-out reports a manual journal on a control account</t>
        </is>
      </c>
      <c r="D312" s="19" t="inlineStr">
        <is>
          <t>Pass</t>
        </is>
      </c>
      <c r="E312" s="19" t="inlineStr">
        <is>
          <t>backend/test/configuration-controls.test.js</t>
        </is>
      </c>
      <c r="F312" s="19" t="inlineStr">
        <is>
          <t>ties out after operations and reports a manual journal on a control account</t>
        </is>
      </c>
      <c r="G312" s="19" t="inlineStr">
        <is>
          <t>Reports and dashboards</t>
        </is>
      </c>
      <c r="H312" s="19" t="inlineStr">
        <is>
          <t>58 passed, 0 failed</t>
        </is>
      </c>
      <c r="I312" s="19" t="inlineStr"/>
      <c r="J312" s="19" t="inlineStr"/>
    </row>
    <row r="313">
      <c r="A313" s="19" t="inlineStr">
        <is>
          <t>BV-JNL-015</t>
        </is>
      </c>
      <c r="B313" s="19" t="inlineStr">
        <is>
          <t>Journal vouchers and ledger</t>
        </is>
      </c>
      <c r="C313" s="19" t="inlineStr">
        <is>
          <t>Receipt debits the GL of the chosen bank account</t>
        </is>
      </c>
      <c r="D313" s="19" t="inlineStr">
        <is>
          <t>Pass</t>
        </is>
      </c>
      <c r="E313" s="19" t="inlineStr">
        <is>
          <t>backend/test/posting-rules.test.js</t>
        </is>
      </c>
      <c r="F313" s="19" t="inlineStr">
        <is>
          <t>debits the GL account of the chosen bank account</t>
        </is>
      </c>
      <c r="G313" s="19" t="inlineStr"/>
      <c r="H313" s="19" t="inlineStr"/>
      <c r="I313" s="19" t="inlineStr"/>
      <c r="J313" s="19" t="inlineStr"/>
    </row>
    <row r="314">
      <c r="A314" s="19" t="inlineStr">
        <is>
          <t>BV-JNL-016</t>
        </is>
      </c>
      <c r="B314" s="19" t="inlineStr">
        <is>
          <t>Journal vouchers and ledger</t>
        </is>
      </c>
      <c r="C314" s="19" t="inlineStr">
        <is>
          <t>VAT, DST and LGT to own accounts</t>
        </is>
      </c>
      <c r="D314" s="19" t="inlineStr">
        <is>
          <t>Pass</t>
        </is>
      </c>
      <c r="E314" s="19" t="inlineStr">
        <is>
          <t>backend/test/posting-rules.test.js</t>
        </is>
      </c>
      <c r="F314" s="19" t="inlineStr">
        <is>
          <t>splits VAT, DST and LGT into their own accounts when the bill carries them</t>
        </is>
      </c>
      <c r="G314" s="19" t="inlineStr"/>
      <c r="H314" s="19" t="inlineStr"/>
      <c r="I314" s="19" t="inlineStr"/>
      <c r="J314" s="19" t="inlineStr"/>
    </row>
    <row r="315">
      <c r="A315" s="19" t="inlineStr">
        <is>
          <t>BV-PER-001</t>
        </is>
      </c>
      <c r="B315" s="19" t="inlineStr">
        <is>
          <t>Period end</t>
        </is>
      </c>
      <c r="C315" s="19" t="inlineStr">
        <is>
          <t>Fiscal years and periods with adjustment period 13</t>
        </is>
      </c>
      <c r="D315" s="19" t="inlineStr">
        <is>
          <t>Pass</t>
        </is>
      </c>
      <c r="E315" s="19" t="inlineStr">
        <is>
          <t>backend/test/period-end.test.js
backend/test/period-end-calendar.test.js</t>
        </is>
      </c>
      <c r="F315" s="19" t="inlineStr">
        <is>
          <t>generates fiscal years from the first journal with 12 periods and adjustment period 13
generates April-March fiscal years named after their end year</t>
        </is>
      </c>
      <c r="G315" s="19" t="inlineStr"/>
      <c r="H315" s="19" t="inlineStr"/>
      <c r="I315" s="19" t="inlineStr">
        <is>
          <t>/accounts/period-end/periods</t>
        </is>
      </c>
      <c r="J315" s="19" t="inlineStr">
        <is>
          <t>opened clean</t>
        </is>
      </c>
    </row>
    <row r="316">
      <c r="A316" s="19" t="inlineStr">
        <is>
          <t>BV-PER-002</t>
        </is>
      </c>
      <c r="B316" s="19" t="inlineStr">
        <is>
          <t>Period end</t>
        </is>
      </c>
      <c r="C316" s="19" t="inlineStr">
        <is>
          <t>Run the month-end close and submit</t>
        </is>
      </c>
      <c r="D316" s="19" t="inlineStr">
        <is>
          <t>Pass</t>
        </is>
      </c>
      <c r="E316" s="19" t="inlineStr">
        <is>
          <t>backend/test/period-end.test.js</t>
        </is>
      </c>
      <c r="F316" s="19" t="inlineStr">
        <is>
          <t>maker-checker: the preparer submits, another user with approve:period-end approves and the period closes</t>
        </is>
      </c>
      <c r="G316" s="19" t="inlineStr">
        <is>
          <t>Month-end close</t>
        </is>
      </c>
      <c r="H316" s="19" t="inlineStr">
        <is>
          <t>6 passed, 0 failed</t>
        </is>
      </c>
      <c r="I316" s="19" t="inlineStr">
        <is>
          <t>/accounts/period-end/close</t>
        </is>
      </c>
      <c r="J316" s="19" t="inlineStr">
        <is>
          <t>opened clean</t>
        </is>
      </c>
    </row>
    <row r="317">
      <c r="A317" s="19" t="inlineStr">
        <is>
          <t>BV-PER-003</t>
        </is>
      </c>
      <c r="B317" s="19" t="inlineStr">
        <is>
          <t>Period end</t>
        </is>
      </c>
      <c r="C317" s="19" t="inlineStr">
        <is>
          <t>Approve the close; maker cannot approve</t>
        </is>
      </c>
      <c r="D317" s="19" t="inlineStr">
        <is>
          <t>Pass</t>
        </is>
      </c>
      <c r="E317" s="19" t="inlineStr">
        <is>
          <t>backend/test/period-end.test.js</t>
        </is>
      </c>
      <c r="F317" s="19" t="inlineStr">
        <is>
          <t>maker-checker: the preparer submits, another user with approve:period-end approves and the period closes</t>
        </is>
      </c>
      <c r="G317" s="19" t="inlineStr">
        <is>
          <t>Month-end close</t>
        </is>
      </c>
      <c r="H317" s="19" t="inlineStr">
        <is>
          <t>6 passed, 0 failed</t>
        </is>
      </c>
      <c r="I317" s="19" t="inlineStr"/>
      <c r="J317" s="19" t="inlineStr"/>
    </row>
    <row r="318">
      <c r="A318" s="19" t="inlineStr">
        <is>
          <t>BV-PER-004</t>
        </is>
      </c>
      <c r="B318" s="19" t="inlineStr">
        <is>
          <t>Period end</t>
        </is>
      </c>
      <c r="C318" s="19" t="inlineStr">
        <is>
          <t>Closed period refuses postings; reopen allows them</t>
        </is>
      </c>
      <c r="D318" s="19" t="inlineStr">
        <is>
          <t>Pass</t>
        </is>
      </c>
      <c r="E318" s="19" t="inlineStr">
        <is>
          <t>backend/test/accounting.test.js</t>
        </is>
      </c>
      <c r="F318" s="19" t="inlineStr">
        <is>
          <t>period close blocks postings into the period; reopen allows them again</t>
        </is>
      </c>
      <c r="G318" s="19" t="inlineStr"/>
      <c r="H318" s="19" t="inlineStr"/>
      <c r="I318" s="19" t="inlineStr"/>
      <c r="J318" s="19" t="inlineStr"/>
    </row>
    <row r="319">
      <c r="A319" s="19" t="inlineStr">
        <is>
          <t>BV-PER-005</t>
        </is>
      </c>
      <c r="B319" s="19" t="inlineStr">
        <is>
          <t>Period end</t>
        </is>
      </c>
      <c r="C319" s="19" t="inlineStr">
        <is>
          <t>Soft-closed period accepts manager postings only</t>
        </is>
      </c>
      <c r="D319" s="19" t="inlineStr">
        <is>
          <t>Pass</t>
        </is>
      </c>
      <c r="E319" s="19" t="inlineStr">
        <is>
          <t>backend/test/period-end.test.js
backend/test/role-inheritance.test.js
backend/test/role-inheritance.test.js</t>
        </is>
      </c>
      <c r="F319" s="19" t="inlineStr">
        <is>
          <t>soft-closed periods accept postings only from finance managers; reopening needs approve:period-end and remarks
holds the finance role and permissions plus the period-end approval
a plain finance user does not get the approval</t>
        </is>
      </c>
      <c r="G319" s="19" t="inlineStr">
        <is>
          <t>Month-end close</t>
        </is>
      </c>
      <c r="H319" s="19" t="inlineStr">
        <is>
          <t>6 passed, 0 failed</t>
        </is>
      </c>
      <c r="I319" s="19" t="inlineStr"/>
      <c r="J319" s="19" t="inlineStr"/>
    </row>
    <row r="320">
      <c r="A320" s="19" t="inlineStr">
        <is>
          <t>BV-PER-006</t>
        </is>
      </c>
      <c r="B320" s="19" t="inlineStr">
        <is>
          <t>Period end</t>
        </is>
      </c>
      <c r="C320" s="19" t="inlineStr">
        <is>
          <t>Blocking checks stop the close</t>
        </is>
      </c>
      <c r="D320" s="19" t="inlineStr">
        <is>
          <t>Pass</t>
        </is>
      </c>
      <c r="E320" s="19" t="inlineStr">
        <is>
          <t>backend/test/period-end.test.js
backend/test/bank-reconciliation.test.js</t>
        </is>
      </c>
      <c r="F320" s="19" t="inlineStr">
        <is>
          <t>blocking checks (unposted journals, manual sign-off) block the close
the unreconciled_bank check fails for accounts with activity and no approved reconciliation; blocking stops the close</t>
        </is>
      </c>
      <c r="G320" s="19" t="inlineStr"/>
      <c r="H320" s="19" t="inlineStr"/>
      <c r="I320" s="19" t="inlineStr"/>
      <c r="J320" s="19" t="inlineStr"/>
    </row>
    <row r="321">
      <c r="A321" s="19" t="inlineStr">
        <is>
          <t>BV-PER-007</t>
        </is>
      </c>
      <c r="B321" s="19" t="inlineStr">
        <is>
          <t>Period end</t>
        </is>
      </c>
      <c r="C321" s="19" t="inlineStr">
        <is>
          <t>Checklist preview for the open month</t>
        </is>
      </c>
      <c r="D321" s="19" t="inlineStr">
        <is>
          <t>Pass</t>
        </is>
      </c>
      <c r="E321" s="19" t="inlineStr">
        <is>
          <t>backend/test/period-end.test.js</t>
        </is>
      </c>
      <c r="F321" s="19" t="inlineStr">
        <is>
          <t>the checklist master is configurable</t>
        </is>
      </c>
      <c r="G321" s="19" t="inlineStr">
        <is>
          <t>Month-end close</t>
        </is>
      </c>
      <c r="H321" s="19" t="inlineStr">
        <is>
          <t>6 passed, 0 failed</t>
        </is>
      </c>
      <c r="I321" s="19" t="inlineStr">
        <is>
          <t>/master/finance/close-checklist</t>
        </is>
      </c>
      <c r="J321" s="19" t="inlineStr">
        <is>
          <t>opened clean</t>
        </is>
      </c>
    </row>
    <row r="322">
      <c r="A322" s="19" t="inlineStr">
        <is>
          <t>BV-PER-008</t>
        </is>
      </c>
      <c r="B322" s="19" t="inlineStr">
        <is>
          <t>Period end</t>
        </is>
      </c>
      <c r="C322" s="19" t="inlineStr">
        <is>
          <t>Accrual templates post at period end and reverse on day 1</t>
        </is>
      </c>
      <c r="D322" s="19" t="inlineStr">
        <is>
          <t>Pass</t>
        </is>
      </c>
      <c r="E322" s="19" t="inlineStr">
        <is>
          <t>backend/test/period-end.test.js</t>
        </is>
      </c>
      <c r="F322" s="19" t="inlineStr">
        <is>
          <t>accrual templates post at the period end and reverse on day 1 of the next period</t>
        </is>
      </c>
      <c r="G322" s="19" t="inlineStr"/>
      <c r="H322" s="19" t="inlineStr"/>
      <c r="I322" s="19" t="inlineStr"/>
      <c r="J322" s="19" t="inlineStr"/>
    </row>
    <row r="323">
      <c r="A323" s="19" t="inlineStr">
        <is>
          <t>BV-PER-009</t>
        </is>
      </c>
      <c r="B323" s="19" t="inlineStr">
        <is>
          <t>Period end</t>
        </is>
      </c>
      <c r="C323" s="19" t="inlineStr">
        <is>
          <t>Recurring journals follow schedule and stop at end date</t>
        </is>
      </c>
      <c r="D323" s="19" t="inlineStr">
        <is>
          <t>Pass</t>
        </is>
      </c>
      <c r="E323" s="19" t="inlineStr">
        <is>
          <t>backend/test/period-end.test.js</t>
        </is>
      </c>
      <c r="F323" s="19" t="inlineStr">
        <is>
          <t>recurring journals follow their schedule (month ends stay month ends), are idempotent and stop at the end date</t>
        </is>
      </c>
      <c r="G323" s="19" t="inlineStr"/>
      <c r="H323" s="19" t="inlineStr"/>
      <c r="I323" s="19" t="inlineStr">
        <is>
          <t>/accounts/period-end/recurring</t>
        </is>
      </c>
      <c r="J323" s="19" t="inlineStr">
        <is>
          <t>opened clean</t>
        </is>
      </c>
    </row>
    <row r="324">
      <c r="A324" s="19" t="inlineStr">
        <is>
          <t>BV-PER-010</t>
        </is>
      </c>
      <c r="B324" s="19" t="inlineStr">
        <is>
          <t>Period end</t>
        </is>
      </c>
      <c r="C324" s="19" t="inlineStr">
        <is>
          <t>Unearned commission deferred pro rata</t>
        </is>
      </c>
      <c r="D324" s="19" t="inlineStr">
        <is>
          <t>Pass</t>
        </is>
      </c>
      <c r="E324" s="19" t="inlineStr">
        <is>
          <t>backend/test/period-end.test.js</t>
        </is>
      </c>
      <c r="F324" s="19" t="inlineStr">
        <is>
          <t>commission deferral moves unearned commission to 2209001 pro rata by days and reverses next period</t>
        </is>
      </c>
      <c r="G324" s="19" t="inlineStr"/>
      <c r="H324" s="19" t="inlineStr"/>
      <c r="I324" s="19" t="inlineStr"/>
      <c r="J324" s="19" t="inlineStr"/>
    </row>
    <row r="325">
      <c r="A325" s="19" t="inlineStr">
        <is>
          <t>BV-PER-011</t>
        </is>
      </c>
      <c r="B325" s="19" t="inlineStr">
        <is>
          <t>Period end</t>
        </is>
      </c>
      <c r="C325" s="19" t="inlineStr">
        <is>
          <t>FX revaluation at month-end rate</t>
        </is>
      </c>
      <c r="D325" s="19" t="inlineStr">
        <is>
          <t>Pass</t>
        </is>
      </c>
      <c r="E325" s="19" t="inlineStr">
        <is>
          <t>backend/test/period-end.test.js</t>
        </is>
      </c>
      <c r="F325" s="19" t="inlineStr">
        <is>
          <t>FX revaluation restates foreign-currency balances at the month-end rate; a rerun gives the same ledger</t>
        </is>
      </c>
      <c r="G325" s="19" t="inlineStr"/>
      <c r="H325" s="19" t="inlineStr"/>
      <c r="I325" s="19" t="inlineStr"/>
      <c r="J325" s="19" t="inlineStr"/>
    </row>
    <row r="326">
      <c r="A326" s="19" t="inlineStr">
        <is>
          <t>BV-PER-012</t>
        </is>
      </c>
      <c r="B326" s="19" t="inlineStr">
        <is>
          <t>Period end</t>
        </is>
      </c>
      <c r="C326" s="19" t="inlineStr">
        <is>
          <t>Income statement ties to TB; balance sheet balances</t>
        </is>
      </c>
      <c r="D326" s="19" t="inlineStr">
        <is>
          <t>Pass</t>
        </is>
      </c>
      <c r="E326" s="19" t="inlineStr">
        <is>
          <t>backend/test/period-end.test.js
backend/test/period-end-calendar.test.js</t>
        </is>
      </c>
      <c r="F326" s="19" t="inlineStr">
        <is>
          <t>income statement net income = trial balance P&amp;L; the balance sheet balances
year to date of the income statement starts at the fiscal year start</t>
        </is>
      </c>
      <c r="G326" s="19" t="inlineStr">
        <is>
          <t>Reports and dashboards</t>
        </is>
      </c>
      <c r="H326" s="19" t="inlineStr">
        <is>
          <t>58 passed, 0 failed</t>
        </is>
      </c>
      <c r="I326" s="19" t="inlineStr">
        <is>
          <t>/accounts/period-end/statements</t>
        </is>
      </c>
      <c r="J326" s="19" t="inlineStr">
        <is>
          <t>opened clean</t>
        </is>
      </c>
    </row>
    <row r="327">
      <c r="A327" s="19" t="inlineStr">
        <is>
          <t>BV-PER-013</t>
        </is>
      </c>
      <c r="B327" s="19" t="inlineStr">
        <is>
          <t>Period end</t>
        </is>
      </c>
      <c r="C327" s="19" t="inlineStr">
        <is>
          <t>Year-end close needs all twelve periods closed</t>
        </is>
      </c>
      <c r="D327" s="19" t="inlineStr">
        <is>
          <t>Pass</t>
        </is>
      </c>
      <c r="E327" s="19" t="inlineStr">
        <is>
          <t>backend/test/period-end.test.js</t>
        </is>
      </c>
      <c r="F327" s="19" t="inlineStr">
        <is>
          <t>pre-checks require all twelve periods closed</t>
        </is>
      </c>
      <c r="G327" s="19" t="inlineStr"/>
      <c r="H327" s="19" t="inlineStr"/>
      <c r="I327" s="19" t="inlineStr">
        <is>
          <t>/accounts/period-end/year-end</t>
        </is>
      </c>
      <c r="J327" s="19" t="inlineStr">
        <is>
          <t>opened clean</t>
        </is>
      </c>
    </row>
    <row r="328">
      <c r="A328" s="19" t="inlineStr">
        <is>
          <t>BV-PER-014</t>
        </is>
      </c>
      <c r="B328" s="19" t="inlineStr">
        <is>
          <t>Period end</t>
        </is>
      </c>
      <c r="C328" s="19" t="inlineStr">
        <is>
          <t>Closing entries and opening balances of next year</t>
        </is>
      </c>
      <c r="D328" s="19" t="inlineStr">
        <is>
          <t>Pass</t>
        </is>
      </c>
      <c r="E328" s="19" t="inlineStr">
        <is>
          <t>backend/test/period-end.test.js
backend/test/period-end.test.js
backend/test/period-end-calendar.test.js</t>
        </is>
      </c>
      <c r="F328" s="19" t="inlineStr">
        <is>
          <t>closing entries zero income and expense, move the result to retained earnings and keep the trial balance balanced
opening balances of the next year equal the closing balance-sheet balances and feed the trial balance
closes the April-March year into adjustment period 2026-13</t>
        </is>
      </c>
      <c r="G328" s="19" t="inlineStr"/>
      <c r="H328" s="19" t="inlineStr"/>
      <c r="I328" s="19" t="inlineStr"/>
      <c r="J328" s="19" t="inlineStr"/>
    </row>
    <row r="329">
      <c r="A329" s="19" t="inlineStr">
        <is>
          <t>BV-PER-015</t>
        </is>
      </c>
      <c r="B329" s="19" t="inlineStr">
        <is>
          <t>Period end</t>
        </is>
      </c>
      <c r="C329" s="19" t="inlineStr">
        <is>
          <t>Locked year refuses postings and reopening</t>
        </is>
      </c>
      <c r="D329" s="19" t="inlineStr">
        <is>
          <t>Pass</t>
        </is>
      </c>
      <c r="E329" s="19" t="inlineStr">
        <is>
          <t>backend/test/period-end.test.js
backend/test/period-end.test.js</t>
        </is>
      </c>
      <c r="F329" s="19" t="inlineStr">
        <is>
          <t>a locked year refuses postings and reopening; the close is reversible until the next year's first period closes
reopening a period locked by the year-end close answers 409 with a clear message</t>
        </is>
      </c>
      <c r="G329" s="19" t="inlineStr"/>
      <c r="H329" s="19" t="inlineStr"/>
      <c r="I329" s="19" t="inlineStr"/>
      <c r="J329" s="19" t="inlineStr"/>
    </row>
    <row r="330">
      <c r="A330" s="19" t="inlineStr">
        <is>
          <t>BV-PER-016</t>
        </is>
      </c>
      <c r="B330" s="19" t="inlineStr">
        <is>
          <t>Period end</t>
        </is>
      </c>
      <c r="C330" s="19" t="inlineStr">
        <is>
          <t>Reminder, recurring, reversal and soft-close jobs</t>
        </is>
      </c>
      <c r="D330" s="19" t="inlineStr">
        <is>
          <t>Pass</t>
        </is>
      </c>
      <c r="E330" s="19" t="inlineStr">
        <is>
          <t>backend/test/period-end.test.js</t>
        </is>
      </c>
      <c r="F330" s="19" t="inlineStr">
        <is>
          <t>run the reminder, recurring, reversal and auto soft-close jobs</t>
        </is>
      </c>
      <c r="G330" s="19" t="inlineStr"/>
      <c r="H330" s="19" t="inlineStr"/>
      <c r="I330" s="19" t="inlineStr"/>
      <c r="J330" s="19" t="inlineStr"/>
    </row>
    <row r="331">
      <c r="A331" s="19" t="inlineStr">
        <is>
          <t>BV-BNK-001</t>
        </is>
      </c>
      <c r="B331" s="19" t="inlineStr">
        <is>
          <t>Bank reconciliation</t>
        </is>
      </c>
      <c r="C331" s="19" t="inlineStr">
        <is>
          <t>Link the bank account to its GL cash account</t>
        </is>
      </c>
      <c r="D331" s="19" t="inlineStr">
        <is>
          <t>Pass</t>
        </is>
      </c>
      <c r="E331" s="19" t="inlineStr">
        <is>
          <t>backend/test/bank-reconciliation.test.js</t>
        </is>
      </c>
      <c r="F331" s="19" t="inlineStr">
        <is>
          <t>links the bank account to its GL cash account; finance reads, agents may not</t>
        </is>
      </c>
      <c r="G331" s="19" t="inlineStr">
        <is>
          <t>Set-up</t>
        </is>
      </c>
      <c r="H331" s="19" t="inlineStr">
        <is>
          <t>46 passed, 0 failed</t>
        </is>
      </c>
      <c r="I331" s="19" t="inlineStr">
        <is>
          <t>/accounts/bank-reconciliation</t>
        </is>
      </c>
      <c r="J331" s="19" t="inlineStr">
        <is>
          <t>opened clean</t>
        </is>
      </c>
    </row>
    <row r="332">
      <c r="A332" s="19" t="inlineStr">
        <is>
          <t>BV-BNK-002</t>
        </is>
      </c>
      <c r="B332" s="19" t="inlineStr">
        <is>
          <t>Bank reconciliation</t>
        </is>
      </c>
      <c r="C332" s="19" t="inlineStr">
        <is>
          <t>Preview and import a BDO statement</t>
        </is>
      </c>
      <c r="D332" s="19" t="inlineStr">
        <is>
          <t>Pass</t>
        </is>
      </c>
      <c r="E332" s="19" t="inlineStr">
        <is>
          <t>backend/test/bank-reconciliation.test.js
backend/test/bank-reconciliation.test.js
backend/test/bank-reconciliation.test.js</t>
        </is>
      </c>
      <c r="F332" s="19" t="inlineStr">
        <is>
          <t>reads Philippine bank date and amount formats
previews a file: lines, totals, balance check and suggested transaction types
imports the statement and auto-matches: reference, amount + date window, 1:many, many:1 and book contra</t>
        </is>
      </c>
      <c r="G332" s="19" t="inlineStr">
        <is>
          <t>Reconciliation: bank and insurer statements</t>
        </is>
      </c>
      <c r="H332" s="19" t="inlineStr">
        <is>
          <t>10 passed, 0 failed</t>
        </is>
      </c>
      <c r="I332" s="19" t="inlineStr"/>
      <c r="J332" s="19" t="inlineStr"/>
    </row>
    <row r="333">
      <c r="A333" s="19" t="inlineStr">
        <is>
          <t>BV-BNK-003</t>
        </is>
      </c>
      <c r="B333" s="19" t="inlineStr">
        <is>
          <t>Bank reconciliation</t>
        </is>
      </c>
      <c r="C333" s="19" t="inlineStr">
        <is>
          <t>Unbalanced statement refused</t>
        </is>
      </c>
      <c r="D333" s="19" t="inlineStr">
        <is>
          <t>Pass</t>
        </is>
      </c>
      <c r="E333" s="19" t="inlineStr">
        <is>
          <t>backend/test/bank-reconciliation.test.js</t>
        </is>
      </c>
      <c r="F333" s="19" t="inlineStr">
        <is>
          <t>refuses a statement that does not balance</t>
        </is>
      </c>
      <c r="G333" s="19" t="inlineStr"/>
      <c r="H333" s="19" t="inlineStr"/>
      <c r="I333" s="19" t="inlineStr"/>
      <c r="J333" s="19" t="inlineStr"/>
    </row>
    <row r="334">
      <c r="A334" s="19" t="inlineStr">
        <is>
          <t>BV-BNK-004</t>
        </is>
      </c>
      <c r="B334" s="19" t="inlineStr">
        <is>
          <t>Bank reconciliation</t>
        </is>
      </c>
      <c r="C334" s="19" t="inlineStr">
        <is>
          <t>Duplicate file and overlapping lines detected</t>
        </is>
      </c>
      <c r="D334" s="19" t="inlineStr">
        <is>
          <t>Pass</t>
        </is>
      </c>
      <c r="E334" s="19" t="inlineStr">
        <is>
          <t>backend/test/bank-reconciliation.test.js</t>
        </is>
      </c>
      <c r="F334" s="19" t="inlineStr">
        <is>
          <t>detects a file imported twice and duplicate lines of an overlapping statement (custom format with title rows)</t>
        </is>
      </c>
      <c r="G334" s="19" t="inlineStr"/>
      <c r="H334" s="19" t="inlineStr"/>
      <c r="I334" s="19" t="inlineStr"/>
      <c r="J334" s="19" t="inlineStr"/>
    </row>
    <row r="335">
      <c r="A335" s="19" t="inlineStr">
        <is>
          <t>BV-BNK-005</t>
        </is>
      </c>
      <c r="B335" s="19" t="inlineStr">
        <is>
          <t>Bank reconciliation</t>
        </is>
      </c>
      <c r="C335" s="19" t="inlineStr">
        <is>
          <t>Manual match and unmatch audited</t>
        </is>
      </c>
      <c r="D335" s="19" t="inlineStr">
        <is>
          <t>Pass</t>
        </is>
      </c>
      <c r="E335" s="19" t="inlineStr">
        <is>
          <t>backend/test/bank-reconciliation.test.js</t>
        </is>
      </c>
      <c r="F335" s="19" t="inlineStr">
        <is>
          <t>manual match and unmatch are recorded and audited</t>
        </is>
      </c>
      <c r="G335" s="19" t="inlineStr">
        <is>
          <t>Reconciliation: bank and insurer statements</t>
        </is>
      </c>
      <c r="H335" s="19" t="inlineStr">
        <is>
          <t>10 passed, 0 failed</t>
        </is>
      </c>
      <c r="I335" s="19" t="inlineStr"/>
      <c r="J335" s="19" t="inlineStr"/>
    </row>
    <row r="336">
      <c r="A336" s="19" t="inlineStr">
        <is>
          <t>BV-BNK-006</t>
        </is>
      </c>
      <c r="B336" s="19" t="inlineStr">
        <is>
          <t>Bank reconciliation</t>
        </is>
      </c>
      <c r="C336" s="19" t="inlineStr">
        <is>
          <t>Bank charge, interest and final tax adjustments</t>
        </is>
      </c>
      <c r="D336" s="19" t="inlineStr">
        <is>
          <t>Pass</t>
        </is>
      </c>
      <c r="E336" s="19" t="inlineStr">
        <is>
          <t>backend/test/bank-reconciliation.test.js
backend/test/bank-reconciliation.test.js</t>
        </is>
      </c>
      <c r="F336" s="19" t="inlineStr">
        <is>
          <t>posts a balanced bank charge journal from the bank line and matches it; the direction must fit the type
a difference is explained by an adjustment journal of a bank transaction type</t>
        </is>
      </c>
      <c r="G336" s="19" t="inlineStr">
        <is>
          <t>Reconciliation: bank and insurer statements</t>
        </is>
      </c>
      <c r="H336" s="19" t="inlineStr">
        <is>
          <t>10 passed, 0 failed</t>
        </is>
      </c>
      <c r="I336" s="19" t="inlineStr"/>
      <c r="J336" s="19" t="inlineStr"/>
    </row>
    <row r="337">
      <c r="A337" s="19" t="inlineStr">
        <is>
          <t>BV-BNK-007</t>
        </is>
      </c>
      <c r="B337" s="19" t="inlineStr">
        <is>
          <t>Bank reconciliation</t>
        </is>
      </c>
      <c r="C337" s="19" t="inlineStr">
        <is>
          <t>Adjustment type needing approval</t>
        </is>
      </c>
      <c r="D337" s="19" t="inlineStr">
        <is>
          <t>Pass</t>
        </is>
      </c>
      <c r="E337" s="19" t="inlineStr">
        <is>
          <t>backend/test/bank-reconciliation.test.js</t>
        </is>
      </c>
      <c r="F337" s="19" t="inlineStr">
        <is>
          <t>a type that requires approval creates the journal for approval; a second user posts it and it is matched</t>
        </is>
      </c>
      <c r="G337" s="19" t="inlineStr"/>
      <c r="H337" s="19" t="inlineStr"/>
      <c r="I337" s="19" t="inlineStr"/>
      <c r="J337" s="19" t="inlineStr"/>
    </row>
    <row r="338">
      <c r="A338" s="19" t="inlineStr">
        <is>
          <t>BV-BNK-008</t>
        </is>
      </c>
      <c r="B338" s="19" t="inlineStr">
        <is>
          <t>Bank reconciliation</t>
        </is>
      </c>
      <c r="C338" s="19" t="inlineStr">
        <is>
          <t>Bank reconciliation statement agrees</t>
        </is>
      </c>
      <c r="D338" s="19" t="inlineStr">
        <is>
          <t>Pass</t>
        </is>
      </c>
      <c r="E338" s="19" t="inlineStr">
        <is>
          <t>backend/test/bank-reconciliation.test.js
backend/test/bank-reconciliation.test.js</t>
        </is>
      </c>
      <c r="F338" s="19" t="inlineStr">
        <is>
          <t>computes the Bank Reconciliation Statement: deposits in transit, outstanding cheques, balances agree
bank errors and unbooked items are reconciling items; the difference must be zero to prepare</t>
        </is>
      </c>
      <c r="G338" s="19" t="inlineStr">
        <is>
          <t>Reconciliation: bank and insurer statements</t>
        </is>
      </c>
      <c r="H338" s="19" t="inlineStr">
        <is>
          <t>10 passed, 0 failed</t>
        </is>
      </c>
      <c r="I338" s="19" t="inlineStr"/>
      <c r="J338" s="19" t="inlineStr"/>
    </row>
    <row r="339">
      <c r="A339" s="19" t="inlineStr">
        <is>
          <t>BV-BNK-009</t>
        </is>
      </c>
      <c r="B339" s="19" t="inlineStr">
        <is>
          <t>Bank reconciliation</t>
        </is>
      </c>
      <c r="C339" s="19" t="inlineStr">
        <is>
          <t>Prepare and approve with maker-checker; approval locks</t>
        </is>
      </c>
      <c r="D339" s="19" t="inlineStr">
        <is>
          <t>Pass</t>
        </is>
      </c>
      <c r="E339" s="19" t="inlineStr">
        <is>
          <t>backend/test/bank-reconciliation.test.js</t>
        </is>
      </c>
      <c r="F339" s="19" t="inlineStr">
        <is>
          <t>prepare -&gt; approve with maker-checker; approval locks the matches; reopen needs an approver and remarks</t>
        </is>
      </c>
      <c r="G339" s="19" t="inlineStr">
        <is>
          <t>Reconciliation: bank and insurer statements</t>
        </is>
      </c>
      <c r="H339" s="19" t="inlineStr">
        <is>
          <t>10 passed, 0 failed</t>
        </is>
      </c>
      <c r="I339" s="19" t="inlineStr">
        <is>
          <t>/accounts/bank-reconciliation/reconciliations</t>
        </is>
      </c>
      <c r="J339" s="19" t="inlineStr">
        <is>
          <t>opened clean</t>
        </is>
      </c>
    </row>
    <row r="340">
      <c r="A340" s="19" t="inlineStr">
        <is>
          <t>BV-BNK-010</t>
        </is>
      </c>
      <c r="B340" s="19" t="inlineStr">
        <is>
          <t>Bank reconciliation</t>
        </is>
      </c>
      <c r="C340" s="19" t="inlineStr">
        <is>
          <t>Print the statement as PDF</t>
        </is>
      </c>
      <c r="D340" s="19" t="inlineStr">
        <is>
          <t>Pass</t>
        </is>
      </c>
      <c r="E340" s="19" t="inlineStr">
        <is>
          <t>backend/test/bank-reconciliation.test.js</t>
        </is>
      </c>
      <c r="F340" s="19" t="inlineStr">
        <is>
          <t>prints the statement as PDF</t>
        </is>
      </c>
      <c r="G340" s="19" t="inlineStr"/>
      <c r="H340" s="19" t="inlineStr"/>
      <c r="I340" s="19" t="inlineStr"/>
      <c r="J340" s="19" t="inlineStr"/>
    </row>
    <row r="341">
      <c r="A341" s="19" t="inlineStr">
        <is>
          <t>BV-BNK-011</t>
        </is>
      </c>
      <c r="B341" s="19" t="inlineStr">
        <is>
          <t>Bank reconciliation</t>
        </is>
      </c>
      <c r="C341" s="19" t="inlineStr">
        <is>
          <t>Stale cheques flagged and cancelled</t>
        </is>
      </c>
      <c r="D341" s="19" t="inlineStr">
        <is>
          <t>Pass</t>
        </is>
      </c>
      <c r="E341" s="19" t="inlineStr">
        <is>
          <t>backend/test/bank-reconciliation.test.js</t>
        </is>
      </c>
      <c r="F341" s="19" t="inlineStr">
        <is>
          <t>flags cheques outstanding beyond the stale period and cancels them (reversal, contra match)</t>
        </is>
      </c>
      <c r="G341" s="19" t="inlineStr"/>
      <c r="H341" s="19" t="inlineStr"/>
      <c r="I341" s="19" t="inlineStr"/>
      <c r="J341" s="19" t="inlineStr"/>
    </row>
    <row r="342">
      <c r="A342" s="19" t="inlineStr">
        <is>
          <t>BV-BNK-012</t>
        </is>
      </c>
      <c r="B342" s="19" t="inlineStr">
        <is>
          <t>Bank reconciliation</t>
        </is>
      </c>
      <c r="C342" s="19" t="inlineStr">
        <is>
          <t>Bank reconciliation reports</t>
        </is>
      </c>
      <c r="D342" s="19" t="inlineStr">
        <is>
          <t>Pass</t>
        </is>
      </c>
      <c r="E342" s="19" t="inlineStr">
        <is>
          <t>backend/test/bank-reconciliation.test.js</t>
        </is>
      </c>
      <c r="F342" s="19" t="inlineStr">
        <is>
          <t>runs the bank reconciliation reports</t>
        </is>
      </c>
      <c r="G342" s="19" t="inlineStr">
        <is>
          <t>Reports and dashboards</t>
        </is>
      </c>
      <c r="H342" s="19" t="inlineStr">
        <is>
          <t>58 passed, 0 failed</t>
        </is>
      </c>
      <c r="I342" s="19" t="inlineStr">
        <is>
          <t>/accounts/bank-reconciliation/reports/bank-reconciliation-statement
/accounts/bank-reconciliation/reports/bank-outstanding-cheques
/accounts/bank-reconciliation/reports/bank-deposits-in-transit
/accounts/bank-reconciliation/reports/bank-unmatched-lines
/accounts/bank-reconciliation/reports/bank-book</t>
        </is>
      </c>
      <c r="J342" s="19" t="inlineStr">
        <is>
          <t>opened clean
opened clean
opened clean
opened clean
opened clean</t>
        </is>
      </c>
    </row>
    <row r="343">
      <c r="A343" s="19" t="inlineStr">
        <is>
          <t>BV-BNK-013</t>
        </is>
      </c>
      <c r="B343" s="19" t="inlineStr">
        <is>
          <t>Bank reconciliation</t>
        </is>
      </c>
      <c r="C343" s="19" t="inlineStr">
        <is>
          <t>Unreconciled bank blocks the close</t>
        </is>
      </c>
      <c r="D343" s="19" t="inlineStr">
        <is>
          <t>Pass</t>
        </is>
      </c>
      <c r="E343" s="19" t="inlineStr">
        <is>
          <t>backend/test/bank-reconciliation.test.js</t>
        </is>
      </c>
      <c r="F343" s="19" t="inlineStr">
        <is>
          <t>the unreconciled_bank check fails for accounts with activity and no approved reconciliation; blocking stops the close</t>
        </is>
      </c>
      <c r="G343" s="19" t="inlineStr"/>
      <c r="H343" s="19" t="inlineStr"/>
      <c r="I343" s="19" t="inlineStr"/>
      <c r="J343" s="19" t="inlineStr"/>
    </row>
    <row r="344">
      <c r="A344" s="19" t="inlineStr">
        <is>
          <t>BV-BNK-014</t>
        </is>
      </c>
      <c r="B344" s="19" t="inlineStr">
        <is>
          <t>Bank reconciliation</t>
        </is>
      </c>
      <c r="C344" s="19" t="inlineStr">
        <is>
          <t>Scheduled auto-match job</t>
        </is>
      </c>
      <c r="D344" s="19" t="inlineStr">
        <is>
          <t>Pass</t>
        </is>
      </c>
      <c r="E344" s="19" t="inlineStr">
        <is>
          <t>backend/test/bank-reconciliation.test.js</t>
        </is>
      </c>
      <c r="F344" s="19" t="inlineStr">
        <is>
          <t>the scheduled auto-match job runs over the linked accounts</t>
        </is>
      </c>
      <c r="G344" s="19" t="inlineStr"/>
      <c r="H344" s="19" t="inlineStr"/>
      <c r="I344" s="19" t="inlineStr"/>
      <c r="J344" s="19" t="inlineStr"/>
    </row>
    <row r="345">
      <c r="A345" s="19" t="inlineStr">
        <is>
          <t>BV-BNK-015</t>
        </is>
      </c>
      <c r="B345" s="19" t="inlineStr">
        <is>
          <t>Bank reconciliation</t>
        </is>
      </c>
      <c r="C345" s="19" t="inlineStr">
        <is>
          <t>Bank statement formats and transaction types</t>
        </is>
      </c>
      <c r="D345" s="19" t="inlineStr">
        <is>
          <t>Pass</t>
        </is>
      </c>
      <c r="E345" s="19" t="inlineStr">
        <is>
          <t>backend/test/bank-reconciliation.test.js</t>
        </is>
      </c>
      <c r="F345" s="19" t="inlineStr">
        <is>
          <t>detects a file imported twice and duplicate lines of an overlapping statement (custom format with title rows)</t>
        </is>
      </c>
      <c r="G345" s="19" t="inlineStr"/>
      <c r="H345" s="19" t="inlineStr"/>
      <c r="I345" s="19" t="inlineStr">
        <is>
          <t>/master/finance/bank-statement-formats
/master/finance/bank-transaction-types</t>
        </is>
      </c>
      <c r="J345" s="19" t="inlineStr">
        <is>
          <t>opened clean
opened clean</t>
        </is>
      </c>
    </row>
    <row r="346">
      <c r="A346" s="19" t="inlineStr">
        <is>
          <t>BV-INR-001</t>
        </is>
      </c>
      <c r="B346" s="19" t="inlineStr">
        <is>
          <t>Insurer reconciliation</t>
        </is>
      </c>
      <c r="C346" s="19" t="inlineStr">
        <is>
          <t>Column mapping per insurer</t>
        </is>
      </c>
      <c r="D346" s="19" t="inlineStr">
        <is>
          <t>Pass</t>
        </is>
      </c>
      <c r="E346" s="19" t="inlineStr">
        <is>
          <t>backend/test/insurer-reconciliation.test.js</t>
        </is>
      </c>
      <c r="F346" s="19" t="inlineStr">
        <is>
          <t>keeps a column mapping per insurer</t>
        </is>
      </c>
      <c r="G346" s="19" t="inlineStr">
        <is>
          <t>Set-up</t>
        </is>
      </c>
      <c r="H346" s="19" t="inlineStr">
        <is>
          <t>46 passed, 0 failed</t>
        </is>
      </c>
      <c r="I346" s="19" t="inlineStr">
        <is>
          <t>/master/finance/insurer-statement-formats</t>
        </is>
      </c>
      <c r="J346" s="19" t="inlineStr">
        <is>
          <t>opened clean</t>
        </is>
      </c>
    </row>
    <row r="347">
      <c r="A347" s="19" t="inlineStr">
        <is>
          <t>BV-INR-002</t>
        </is>
      </c>
      <c r="B347" s="19" t="inlineStr">
        <is>
          <t>Insurer reconciliation</t>
        </is>
      </c>
      <c r="C347" s="19" t="inlineStr">
        <is>
          <t>Import insurer SOA; auto-match by policy number</t>
        </is>
      </c>
      <c r="D347" s="19" t="inlineStr">
        <is>
          <t>Pass</t>
        </is>
      </c>
      <c r="E347" s="19" t="inlineStr">
        <is>
          <t>backend/test/insurer-reconciliation.test.js
backend/test/insurer-reconciliation.test.js</t>
        </is>
      </c>
      <c r="F347" s="19" t="inlineStr">
        <is>
          <t>reads a file with a format and flags rows it cannot read
imports a statement, auto-matches by policy number and reports the differences</t>
        </is>
      </c>
      <c r="G347" s="19" t="inlineStr">
        <is>
          <t>Reconciliation: bank and insurer statements</t>
        </is>
      </c>
      <c r="H347" s="19" t="inlineStr">
        <is>
          <t>10 passed, 0 failed</t>
        </is>
      </c>
      <c r="I347" s="19" t="inlineStr">
        <is>
          <t>/accounts/insurer-reconciliation/statements</t>
        </is>
      </c>
      <c r="J347" s="19" t="inlineStr">
        <is>
          <t>opened clean</t>
        </is>
      </c>
    </row>
    <row r="348">
      <c r="A348" s="19" t="inlineStr">
        <is>
          <t>BV-INR-003</t>
        </is>
      </c>
      <c r="B348" s="19" t="inlineStr">
        <is>
          <t>Insurer reconciliation</t>
        </is>
      </c>
      <c r="C348" s="19" t="inlineStr">
        <is>
          <t>Every difference resolved before submitting</t>
        </is>
      </c>
      <c r="D348" s="19" t="inlineStr">
        <is>
          <t>Pass</t>
        </is>
      </c>
      <c r="E348" s="19" t="inlineStr">
        <is>
          <t>backend/test/insurer-reconciliation.test.js</t>
        </is>
      </c>
      <c r="F348" s="19" t="inlineStr">
        <is>
          <t>matches by hand, and needs every difference resolved before submitting</t>
        </is>
      </c>
      <c r="G348" s="19" t="inlineStr">
        <is>
          <t>Reconciliation: bank and insurer statements</t>
        </is>
      </c>
      <c r="H348" s="19" t="inlineStr">
        <is>
          <t>10 passed, 0 failed</t>
        </is>
      </c>
      <c r="I348" s="19" t="inlineStr"/>
      <c r="J348" s="19" t="inlineStr"/>
    </row>
    <row r="349">
      <c r="A349" s="19" t="inlineStr">
        <is>
          <t>BV-INR-004</t>
        </is>
      </c>
      <c r="B349" s="19" t="inlineStr">
        <is>
          <t>Insurer reconciliation</t>
        </is>
      </c>
      <c r="C349" s="19" t="inlineStr">
        <is>
          <t>Approval by a different user posts the adjustment</t>
        </is>
      </c>
      <c r="D349" s="19" t="inlineStr">
        <is>
          <t>Pass</t>
        </is>
      </c>
      <c r="E349" s="19" t="inlineStr">
        <is>
          <t>backend/test/insurer-reconciliation.test.js</t>
        </is>
      </c>
      <c r="F349" s="19" t="inlineStr">
        <is>
          <t>only a different user with approve:insurer-reconciliation approves; approval posts the adjustment through the posting rule</t>
        </is>
      </c>
      <c r="G349" s="19" t="inlineStr">
        <is>
          <t>Reconciliation: bank and insurer statements</t>
        </is>
      </c>
      <c r="H349" s="19" t="inlineStr">
        <is>
          <t>10 passed, 0 failed</t>
        </is>
      </c>
      <c r="I349" s="19" t="inlineStr"/>
      <c r="J349" s="19" t="inlineStr"/>
    </row>
    <row r="350">
      <c r="A350" s="19" t="inlineStr">
        <is>
          <t>BV-INR-005</t>
        </is>
      </c>
      <c r="B350" s="19" t="inlineStr">
        <is>
          <t>Insurer reconciliation</t>
        </is>
      </c>
      <c r="C350" s="19" t="inlineStr">
        <is>
          <t>Differences report as Excel, CSV and PDF</t>
        </is>
      </c>
      <c r="D350" s="19" t="inlineStr">
        <is>
          <t>Pass</t>
        </is>
      </c>
      <c r="E350" s="19" t="inlineStr">
        <is>
          <t>backend/test/insurer-reconciliation.test.js</t>
        </is>
      </c>
      <c r="F350" s="19" t="inlineStr">
        <is>
          <t>exports the differences report as Excel, CSV and PDF</t>
        </is>
      </c>
      <c r="G350" s="19" t="inlineStr"/>
      <c r="H350" s="19" t="inlineStr"/>
      <c r="I350" s="19" t="inlineStr"/>
      <c r="J350" s="19" t="inlineStr"/>
    </row>
    <row r="351">
      <c r="A351" s="19" t="inlineStr">
        <is>
          <t>BV-INR-006</t>
        </is>
      </c>
      <c r="B351" s="19" t="inlineStr">
        <is>
          <t>Insurer reconciliation</t>
        </is>
      </c>
      <c r="C351" s="19" t="inlineStr">
        <is>
          <t>Finance works reinsurance reconciliation; treaties stay with reinsurance users</t>
        </is>
      </c>
      <c r="D351" s="19" t="inlineStr">
        <is>
          <t>Pass</t>
        </is>
      </c>
      <c r="E351" s="19" t="inlineStr">
        <is>
          <t>backend/test/role-access.test.js</t>
        </is>
      </c>
      <c r="F351" s="19" t="inlineStr">
        <is>
          <t>finance reads and works reconciliations; treaties and cessions stay with reinsurance users</t>
        </is>
      </c>
      <c r="G351" s="19" t="inlineStr"/>
      <c r="H351" s="19" t="inlineStr"/>
      <c r="I351" s="19" t="inlineStr">
        <is>
          <t>/reinsurance/reconciliation</t>
        </is>
      </c>
      <c r="J351" s="19" t="inlineStr">
        <is>
          <t>opened clean</t>
        </is>
      </c>
    </row>
    <row r="352">
      <c r="A352" s="19" t="inlineStr">
        <is>
          <t>BV-TAX-001</t>
        </is>
      </c>
      <c r="B352" s="19" t="inlineStr">
        <is>
          <t>Tax (BIR)</t>
        </is>
      </c>
      <c r="C352" s="19" t="inlineStr">
        <is>
          <t>2307 per payee per quarter by month and ATC</t>
        </is>
      </c>
      <c r="D352" s="19" t="inlineStr">
        <is>
          <t>Pass</t>
        </is>
      </c>
      <c r="E352" s="19" t="inlineStr">
        <is>
          <t>backend/test/period-end.test.js</t>
        </is>
      </c>
      <c r="F352" s="19" t="inlineStr">
        <is>
          <t>BIR Form 2307 per payee per quarter sums the withholding of the quarter by month and ATC</t>
        </is>
      </c>
      <c r="G352" s="19" t="inlineStr"/>
      <c r="H352" s="19" t="inlineStr"/>
      <c r="I352" s="19" t="inlineStr">
        <is>
          <t>/accounts/tax/2307</t>
        </is>
      </c>
      <c r="J352" s="19" t="inlineStr">
        <is>
          <t>opened clean</t>
        </is>
      </c>
    </row>
    <row r="353">
      <c r="A353" s="19" t="inlineStr">
        <is>
          <t>BV-TAX-002</t>
        </is>
      </c>
      <c r="B353" s="19" t="inlineStr">
        <is>
          <t>Tax (BIR)</t>
        </is>
      </c>
      <c r="C353" s="19" t="inlineStr">
        <is>
          <t>VAT summary monthly and quarterly</t>
        </is>
      </c>
      <c r="D353" s="19" t="inlineStr">
        <is>
          <t>Pass</t>
        </is>
      </c>
      <c r="E353" s="19" t="inlineStr">
        <is>
          <t>backend/test/commission-taxes.test.js</t>
        </is>
      </c>
      <c r="F353" s="19" t="inlineStr">
        <is>
          <t>the booking journal books output VAT on the commission and the EWT the insurer withholds (rule version 2)</t>
        </is>
      </c>
      <c r="G353" s="19" t="inlineStr">
        <is>
          <t>Reports and dashboards</t>
        </is>
      </c>
      <c r="H353" s="19" t="inlineStr">
        <is>
          <t>58 passed, 0 failed</t>
        </is>
      </c>
      <c r="I353" s="19" t="inlineStr">
        <is>
          <t>/accounts/tax/reports/bir-vat-summary</t>
        </is>
      </c>
      <c r="J353" s="19" t="inlineStr">
        <is>
          <t>opened clean</t>
        </is>
      </c>
    </row>
    <row r="354">
      <c r="A354" s="19" t="inlineStr">
        <is>
          <t>BV-TAX-003</t>
        </is>
      </c>
      <c r="B354" s="19" t="inlineStr">
        <is>
          <t>Tax (BIR)</t>
        </is>
      </c>
      <c r="C354" s="19" t="inlineStr">
        <is>
          <t>SAWT summary</t>
        </is>
      </c>
      <c r="D354" s="19" t="inlineStr">
        <is>
          <t>Pass</t>
        </is>
      </c>
      <c r="E354" s="19" t="inlineStr"/>
      <c r="F354" s="19" t="inlineStr"/>
      <c r="G354" s="19" t="inlineStr">
        <is>
          <t>Reports and dashboards</t>
        </is>
      </c>
      <c r="H354" s="19" t="inlineStr">
        <is>
          <t>58 passed, 0 failed</t>
        </is>
      </c>
      <c r="I354" s="19" t="inlineStr">
        <is>
          <t>/accounts/tax/reports/bir-sawt</t>
        </is>
      </c>
      <c r="J354" s="19" t="inlineStr">
        <is>
          <t>opened clean</t>
        </is>
      </c>
    </row>
    <row r="355">
      <c r="A355" s="19" t="inlineStr">
        <is>
          <t>BV-TAX-004</t>
        </is>
      </c>
      <c r="B355" s="19" t="inlineStr">
        <is>
          <t>Tax (BIR)</t>
        </is>
      </c>
      <c r="C355" s="19" t="inlineStr">
        <is>
          <t>QAP summary</t>
        </is>
      </c>
      <c r="D355" s="19" t="inlineStr">
        <is>
          <t>Pass</t>
        </is>
      </c>
      <c r="E355" s="19" t="inlineStr"/>
      <c r="F355" s="19" t="inlineStr"/>
      <c r="G355" s="19" t="inlineStr">
        <is>
          <t>Reports and dashboards</t>
        </is>
      </c>
      <c r="H355" s="19" t="inlineStr">
        <is>
          <t>58 passed, 0 failed</t>
        </is>
      </c>
      <c r="I355" s="19" t="inlineStr">
        <is>
          <t>/accounts/tax/reports/bir-qap</t>
        </is>
      </c>
      <c r="J355" s="19" t="inlineStr">
        <is>
          <t>opened clean</t>
        </is>
      </c>
    </row>
    <row r="356">
      <c r="A356" s="19" t="inlineStr">
        <is>
          <t>BV-TAX-005</t>
        </is>
      </c>
      <c r="B356" s="19" t="inlineStr">
        <is>
          <t>Tax (BIR)</t>
        </is>
      </c>
      <c r="C356" s="19" t="inlineStr">
        <is>
          <t>SLSP sales and purchases</t>
        </is>
      </c>
      <c r="D356" s="19" t="inlineStr">
        <is>
          <t>Pass</t>
        </is>
      </c>
      <c r="E356" s="19" t="inlineStr"/>
      <c r="F356" s="19" t="inlineStr"/>
      <c r="G356" s="19" t="inlineStr">
        <is>
          <t>Reports and dashboards</t>
        </is>
      </c>
      <c r="H356" s="19" t="inlineStr">
        <is>
          <t>58 passed, 0 failed</t>
        </is>
      </c>
      <c r="I356" s="19" t="inlineStr">
        <is>
          <t>/accounts/tax/reports/bir-slsp-sales
/accounts/tax/reports/bir-slsp-purchases</t>
        </is>
      </c>
      <c r="J356" s="19" t="inlineStr">
        <is>
          <t>opened clean
opened clean</t>
        </is>
      </c>
    </row>
    <row r="357">
      <c r="A357" s="19" t="inlineStr">
        <is>
          <t>BV-TAX-006</t>
        </is>
      </c>
      <c r="B357" s="19" t="inlineStr">
        <is>
          <t>Tax (BIR)</t>
        </is>
      </c>
      <c r="C357" s="19" t="inlineStr">
        <is>
          <t>Tax codes editable and used by commission taxes</t>
        </is>
      </c>
      <c r="D357" s="19" t="inlineStr">
        <is>
          <t>Pass</t>
        </is>
      </c>
      <c r="E357" s="19" t="inlineStr">
        <is>
          <t>backend/test/commission-taxes.test.js</t>
        </is>
      </c>
      <c r="F357" s="19" t="inlineStr">
        <is>
          <t>simulate shows the tax lines; rates and GL accounts follow the tax codes master</t>
        </is>
      </c>
      <c r="G357" s="19" t="inlineStr">
        <is>
          <t>Set-up</t>
        </is>
      </c>
      <c r="H357" s="19" t="inlineStr">
        <is>
          <t>46 passed, 0 failed</t>
        </is>
      </c>
      <c r="I357" s="19" t="inlineStr"/>
      <c r="J357" s="19" t="inlineStr"/>
    </row>
    <row r="358">
      <c r="A358" s="19" t="inlineStr">
        <is>
          <t>BV-TAX-007</t>
        </is>
      </c>
      <c r="B358" s="19" t="inlineStr">
        <is>
          <t>Tax (BIR)</t>
        </is>
      </c>
      <c r="C358" s="19" t="inlineStr">
        <is>
          <t>Premium tax instead of VAT; exempt products</t>
        </is>
      </c>
      <c r="D358" s="19" t="inlineStr">
        <is>
          <t>Pass</t>
        </is>
      </c>
      <c r="E358" s="19" t="inlineStr">
        <is>
          <t>backend/test/premium-charges.test.js</t>
        </is>
      </c>
      <c r="F358" s="19" t="inlineStr">
        <is>
          <t>uses the premium tax instead of VAT for premium-tax products and neither for exempt ones</t>
        </is>
      </c>
      <c r="G358" s="19" t="inlineStr"/>
      <c r="H358" s="19" t="inlineStr"/>
      <c r="I358" s="19" t="inlineStr"/>
      <c r="J358" s="19" t="inlineStr"/>
    </row>
    <row r="359">
      <c r="A359" s="19" t="inlineStr">
        <is>
          <t>BV-TAX-008</t>
        </is>
      </c>
      <c r="B359" s="19" t="inlineStr">
        <is>
          <t>Tax (BIR)</t>
        </is>
      </c>
      <c r="C359" s="19" t="inlineStr">
        <is>
          <t>Negative charges on a return premium</t>
        </is>
      </c>
      <c r="D359" s="19" t="inlineStr">
        <is>
          <t>Pass</t>
        </is>
      </c>
      <c r="E359" s="19" t="inlineStr">
        <is>
          <t>backend/test/premium-charges.test.js</t>
        </is>
      </c>
      <c r="F359" s="19" t="inlineStr">
        <is>
          <t>skips rules outside their effective dates and gives negative charges on a return premium</t>
        </is>
      </c>
      <c r="G359" s="19" t="inlineStr"/>
      <c r="H359" s="19" t="inlineStr"/>
      <c r="I359" s="19" t="inlineStr"/>
      <c r="J359" s="19" t="inlineStr"/>
    </row>
    <row r="360">
      <c r="A360" s="19" t="inlineStr">
        <is>
          <t>BV-TAX-009</t>
        </is>
      </c>
      <c r="B360" s="19" t="inlineStr">
        <is>
          <t>Tax (BIR)</t>
        </is>
      </c>
      <c r="C360" s="19" t="inlineStr">
        <is>
          <t>EWT withheld by insurer clears premium due</t>
        </is>
      </c>
      <c r="D360" s="19" t="inlineStr">
        <is>
          <t>Pass</t>
        </is>
      </c>
      <c r="E360" s="19" t="inlineStr">
        <is>
          <t>backend/test/commission-taxes.test.js</t>
        </is>
      </c>
      <c r="F360" s="19" t="inlineStr">
        <is>
          <t>the insurer voucher pays the premium net of commission and VAT plus the EWT, which clears the premium due to the insurer</t>
        </is>
      </c>
      <c r="G360" s="19" t="inlineStr"/>
      <c r="H360" s="19" t="inlineStr"/>
      <c r="I360" s="19" t="inlineStr"/>
      <c r="J360" s="19" t="inlineStr"/>
    </row>
    <row r="361">
      <c r="A361" s="19" t="inlineStr">
        <is>
          <t>BV-RIN-001</t>
        </is>
      </c>
      <c r="B361" s="19" t="inlineStr">
        <is>
          <t>Reinsurance</t>
        </is>
      </c>
      <c r="C361" s="19" t="inlineStr">
        <is>
          <t>Reinsurer with rating</t>
        </is>
      </c>
      <c r="D361" s="19" t="inlineStr">
        <is>
          <t>Pass</t>
        </is>
      </c>
      <c r="E361" s="19" t="inlineStr">
        <is>
          <t>backend/test/reinsurance.test.js
backend/test/reinsurance.test.js</t>
        </is>
      </c>
      <c r="F361" s="19" t="inlineStr">
        <is>
          <t>creates and updates a reinsurer; rejects unknown ratings
lists reinsurers against the configured minimum rating</t>
        </is>
      </c>
      <c r="G361" s="19" t="inlineStr">
        <is>
          <t>Reinsurance and incentives</t>
        </is>
      </c>
      <c r="H361" s="19" t="inlineStr">
        <is>
          <t>2 passed, 0 failed</t>
        </is>
      </c>
      <c r="I361" s="19" t="inlineStr"/>
      <c r="J361" s="19" t="inlineStr"/>
    </row>
    <row r="362">
      <c r="A362" s="19" t="inlineStr">
        <is>
          <t>BV-RIN-002</t>
        </is>
      </c>
      <c r="B362" s="19" t="inlineStr">
        <is>
          <t>Reinsurance</t>
        </is>
      </c>
      <c r="C362" s="19" t="inlineStr">
        <is>
          <t>Quota share treaty with maker-checker</t>
        </is>
      </c>
      <c r="D362" s="19" t="inlineStr">
        <is>
          <t>Pass</t>
        </is>
      </c>
      <c r="E362" s="19" t="inlineStr">
        <is>
          <t>backend/test/reinsurance.test.js</t>
        </is>
      </c>
      <c r="F362" s="19" t="inlineStr">
        <is>
          <t>creates a treaty pending approval; maker cannot approve; checker approves</t>
        </is>
      </c>
      <c r="G362" s="19" t="inlineStr">
        <is>
          <t>Reinsurance and incentives</t>
        </is>
      </c>
      <c r="H362" s="19" t="inlineStr">
        <is>
          <t>2 passed, 0 failed</t>
        </is>
      </c>
      <c r="I362" s="19" t="inlineStr">
        <is>
          <t>/master/reinsurance/treaty
/reinsurance/treaties</t>
        </is>
      </c>
      <c r="J362" s="19" t="inlineStr">
        <is>
          <t>opened clean
opened clean</t>
        </is>
      </c>
    </row>
    <row r="363">
      <c r="A363" s="19" t="inlineStr">
        <is>
          <t>BV-RIN-003</t>
        </is>
      </c>
      <c r="B363" s="19" t="inlineStr">
        <is>
          <t>Reinsurance</t>
        </is>
      </c>
      <c r="C363" s="19" t="inlineStr">
        <is>
          <t>Treaty with reinsurer below minimum rating blocked</t>
        </is>
      </c>
      <c r="D363" s="19" t="inlineStr">
        <is>
          <t>Pass</t>
        </is>
      </c>
      <c r="E363" s="19" t="inlineStr">
        <is>
          <t>backend/test/reinsurance.test.js</t>
        </is>
      </c>
      <c r="F363" s="19" t="inlineStr">
        <is>
          <t>blocks treaties with reinsurers below the minimum rating</t>
        </is>
      </c>
      <c r="G363" s="19" t="inlineStr"/>
      <c r="H363" s="19" t="inlineStr"/>
      <c r="I363" s="19" t="inlineStr"/>
      <c r="J363" s="19" t="inlineStr"/>
    </row>
    <row r="364">
      <c r="A364" s="19" t="inlineStr">
        <is>
          <t>BV-RIN-004</t>
        </is>
      </c>
      <c r="B364" s="19" t="inlineStr">
        <is>
          <t>Reinsurance</t>
        </is>
      </c>
      <c r="C364" s="19" t="inlineStr">
        <is>
          <t>Treaty and facultative cessions with confirmation</t>
        </is>
      </c>
      <c r="D364" s="19" t="inlineStr">
        <is>
          <t>Pass</t>
        </is>
      </c>
      <c r="E364" s="19" t="inlineStr">
        <is>
          <t>backend/test/reinsurance.test.js</t>
        </is>
      </c>
      <c r="F364" s="19" t="inlineStr">
        <is>
          <t>cessions: share, capacity check, maker-checker confirmation, facultative gate</t>
        </is>
      </c>
      <c r="G364" s="19" t="inlineStr">
        <is>
          <t>Reinsurance and incentives</t>
        </is>
      </c>
      <c r="H364" s="19" t="inlineStr">
        <is>
          <t>2 passed, 0 failed</t>
        </is>
      </c>
      <c r="I364" s="19" t="inlineStr">
        <is>
          <t>/reinsurance/cessions</t>
        </is>
      </c>
      <c r="J364" s="19" t="inlineStr">
        <is>
          <t>opened clean</t>
        </is>
      </c>
    </row>
    <row r="365">
      <c r="A365" s="19" t="inlineStr">
        <is>
          <t>BV-RIN-005</t>
        </is>
      </c>
      <c r="B365" s="19" t="inlineStr">
        <is>
          <t>Reinsurance</t>
        </is>
      </c>
      <c r="C365" s="19" t="inlineStr">
        <is>
          <t>Recovery: register, submit, settle</t>
        </is>
      </c>
      <c r="D365" s="19" t="inlineStr">
        <is>
          <t>Pass</t>
        </is>
      </c>
      <c r="E365" s="19" t="inlineStr">
        <is>
          <t>backend/test/reinsurance.test.js</t>
        </is>
      </c>
      <c r="F365" s="19" t="inlineStr">
        <is>
          <t>recoveries: register, submit, settle</t>
        </is>
      </c>
      <c r="G365" s="19" t="inlineStr"/>
      <c r="H365" s="19" t="inlineStr"/>
      <c r="I365" s="19" t="inlineStr">
        <is>
          <t>/reinsurance/claims</t>
        </is>
      </c>
      <c r="J365" s="19" t="inlineStr">
        <is>
          <t>opened clean</t>
        </is>
      </c>
    </row>
    <row r="366">
      <c r="A366" s="19" t="inlineStr">
        <is>
          <t>BV-RIN-006</t>
        </is>
      </c>
      <c r="B366" s="19" t="inlineStr">
        <is>
          <t>Reinsurance</t>
        </is>
      </c>
      <c r="C366" s="19" t="inlineStr">
        <is>
          <t>Bordereaux, analytics and reports</t>
        </is>
      </c>
      <c r="D366" s="19" t="inlineStr">
        <is>
          <t>Pass</t>
        </is>
      </c>
      <c r="E366" s="19" t="inlineStr">
        <is>
          <t>backend/test/reinsurance.test.js
backend/test/reinsurance.test.js</t>
        </is>
      </c>
      <c r="F366" s="19" t="inlineStr">
        <is>
          <t>bordereaux, reconciliation, analytics and reports
seeded treaties report premium ceded, claims recovered and utilization</t>
        </is>
      </c>
      <c r="G366" s="19" t="inlineStr">
        <is>
          <t>Reports and dashboards</t>
        </is>
      </c>
      <c r="H366" s="19" t="inlineStr">
        <is>
          <t>58 passed, 0 failed</t>
        </is>
      </c>
      <c r="I366" s="19" t="inlineStr">
        <is>
          <t>/reinsurance/analytics</t>
        </is>
      </c>
      <c r="J366" s="19" t="inlineStr">
        <is>
          <t>opened clean</t>
        </is>
      </c>
    </row>
    <row r="367">
      <c r="A367" s="19" t="inlineStr">
        <is>
          <t>BV-RIN-007</t>
        </is>
      </c>
      <c r="B367" s="19" t="inlineStr">
        <is>
          <t>Reinsurance</t>
        </is>
      </c>
      <c r="C367" s="19" t="inlineStr">
        <is>
          <t>Users without reinsurance permission denied</t>
        </is>
      </c>
      <c r="D367" s="19" t="inlineStr">
        <is>
          <t>Pass</t>
        </is>
      </c>
      <c r="E367" s="19" t="inlineStr">
        <is>
          <t>backend/test/reinsurance.test.js</t>
        </is>
      </c>
      <c r="F367" s="19" t="inlineStr">
        <is>
          <t>denies users without reinsurance permission</t>
        </is>
      </c>
      <c r="G367" s="19" t="inlineStr"/>
      <c r="H367" s="19" t="inlineStr"/>
      <c r="I367" s="19" t="inlineStr"/>
      <c r="J367" s="19" t="inlineStr"/>
    </row>
    <row r="368">
      <c r="A368" s="19" t="inlineStr">
        <is>
          <t>BV-INC-001</t>
        </is>
      </c>
      <c r="B368" s="19" t="inlineStr">
        <is>
          <t>Incentives</t>
        </is>
      </c>
      <c r="C368" s="19" t="inlineStr">
        <is>
          <t>Create an incentive program</t>
        </is>
      </c>
      <c r="D368" s="19" t="inlineStr">
        <is>
          <t>Pass</t>
        </is>
      </c>
      <c r="E368" s="19" t="inlineStr">
        <is>
          <t>backend/test/incentive.test.js</t>
        </is>
      </c>
      <c r="F368" s="19" t="inlineStr">
        <is>
          <t>creates, validates, updates and deletes a program</t>
        </is>
      </c>
      <c r="G368" s="19" t="inlineStr">
        <is>
          <t>Reinsurance and incentives</t>
        </is>
      </c>
      <c r="H368" s="19" t="inlineStr">
        <is>
          <t>2 passed, 0 failed</t>
        </is>
      </c>
      <c r="I368" s="19" t="inlineStr">
        <is>
          <t>/master/incentive/programs/view</t>
        </is>
      </c>
      <c r="J368" s="19" t="inlineStr">
        <is>
          <t>opened clean</t>
        </is>
      </c>
    </row>
    <row r="369">
      <c r="A369" s="19" t="inlineStr">
        <is>
          <t>BV-INC-002</t>
        </is>
      </c>
      <c r="B369" s="19" t="inlineStr">
        <is>
          <t>Incentives</t>
        </is>
      </c>
      <c r="C369" s="19" t="inlineStr">
        <is>
          <t>Calculate achievement and payout</t>
        </is>
      </c>
      <c r="D369" s="19" t="inlineStr">
        <is>
          <t>Pass</t>
        </is>
      </c>
      <c r="E369" s="19" t="inlineStr">
        <is>
          <t>backend/test/incentive.test.js
backend/test/role-access.test.js</t>
        </is>
      </c>
      <c r="F369" s="19" t="inlineStr">
        <is>
          <t>calculates achievement from policies and payout from tiers
finance runs a calculation and a second finance user approves it (maker-checker)</t>
        </is>
      </c>
      <c r="G369" s="19" t="inlineStr">
        <is>
          <t>Reinsurance and incentives</t>
        </is>
      </c>
      <c r="H369" s="19" t="inlineStr">
        <is>
          <t>2 passed, 0 failed</t>
        </is>
      </c>
      <c r="I369" s="19" t="inlineStr">
        <is>
          <t>/incentive/calculations</t>
        </is>
      </c>
      <c r="J369" s="19" t="inlineStr">
        <is>
          <t>opened clean</t>
        </is>
      </c>
    </row>
    <row r="370">
      <c r="A370" s="19" t="inlineStr">
        <is>
          <t>BV-INC-003</t>
        </is>
      </c>
      <c r="B370" s="19" t="inlineStr">
        <is>
          <t>Incentives</t>
        </is>
      </c>
      <c r="C370" s="19" t="inlineStr">
        <is>
          <t>Approve, reject and pay with maker-checker</t>
        </is>
      </c>
      <c r="D370" s="19" t="inlineStr">
        <is>
          <t>Pass</t>
        </is>
      </c>
      <c r="E370" s="19" t="inlineStr">
        <is>
          <t>backend/test/incentive.test.js</t>
        </is>
      </c>
      <c r="F370" s="19" t="inlineStr">
        <is>
          <t>maker-checker approval, rejection and payment</t>
        </is>
      </c>
      <c r="G370" s="19" t="inlineStr">
        <is>
          <t>Reinsurance and incentives</t>
        </is>
      </c>
      <c r="H370" s="19" t="inlineStr">
        <is>
          <t>2 passed, 0 failed</t>
        </is>
      </c>
      <c r="I370" s="19" t="inlineStr">
        <is>
          <t>/incentive/approvals</t>
        </is>
      </c>
      <c r="J370" s="19" t="inlineStr">
        <is>
          <t>opened clean</t>
        </is>
      </c>
    </row>
    <row r="371">
      <c r="A371" s="19" t="inlineStr">
        <is>
          <t>BV-INC-004</t>
        </is>
      </c>
      <c r="B371" s="19" t="inlineStr">
        <is>
          <t>Incentives</t>
        </is>
      </c>
      <c r="C371" s="19" t="inlineStr">
        <is>
          <t>Agent sees own programs and statement only</t>
        </is>
      </c>
      <c r="D371" s="19" t="inlineStr">
        <is>
          <t>Pass</t>
        </is>
      </c>
      <c r="E371" s="19" t="inlineStr">
        <is>
          <t>backend/test/incentive.test.js</t>
        </is>
      </c>
      <c r="F371" s="19" t="inlineStr">
        <is>
          <t>agents see their own programs and statement, not other agents</t>
        </is>
      </c>
      <c r="G371" s="19" t="inlineStr"/>
      <c r="H371" s="19" t="inlineStr"/>
      <c r="I371" s="19" t="inlineStr">
        <is>
          <t>/incentive/my-programs
/incentive/statement</t>
        </is>
      </c>
      <c r="J371" s="19" t="inlineStr">
        <is>
          <t>1 clipped element(s)
opened clean</t>
        </is>
      </c>
    </row>
    <row r="372">
      <c r="A372" s="19" t="inlineStr">
        <is>
          <t>BV-INC-005</t>
        </is>
      </c>
      <c r="B372" s="19" t="inlineStr">
        <is>
          <t>Incentives</t>
        </is>
      </c>
      <c r="C372" s="19" t="inlineStr">
        <is>
          <t>Manager reads statement of a chosen agent</t>
        </is>
      </c>
      <c r="D372" s="19" t="inlineStr">
        <is>
          <t>Pass</t>
        </is>
      </c>
      <c r="E372" s="19" t="inlineStr">
        <is>
          <t>backend/test/role-access.test.js</t>
        </is>
      </c>
      <c r="F372" s="19" t="inlineStr">
        <is>
          <t>GET /incentive/statement answers 200 for a manager who is not an agent (eligible: false) and the chosen agent's statement</t>
        </is>
      </c>
      <c r="G372" s="19" t="inlineStr"/>
      <c r="H372" s="19" t="inlineStr"/>
      <c r="I372" s="19" t="inlineStr"/>
      <c r="J372" s="19" t="inlineStr"/>
    </row>
    <row r="373">
      <c r="A373" s="19" t="inlineStr">
        <is>
          <t>BV-INC-006</t>
        </is>
      </c>
      <c r="B373" s="19" t="inlineStr">
        <is>
          <t>Incentives</t>
        </is>
      </c>
      <c r="C373" s="19" t="inlineStr">
        <is>
          <t>Incentive Results report</t>
        </is>
      </c>
      <c r="D373" s="19" t="inlineStr">
        <is>
          <t>Pass</t>
        </is>
      </c>
      <c r="E373" s="19" t="inlineStr">
        <is>
          <t>backend/test/incentive.test.js</t>
        </is>
      </c>
      <c r="F373" s="19" t="inlineStr">
        <is>
          <t>agent lists, report templates and report generation</t>
        </is>
      </c>
      <c r="G373" s="19" t="inlineStr">
        <is>
          <t>Reports and dashboards</t>
        </is>
      </c>
      <c r="H373" s="19" t="inlineStr">
        <is>
          <t>58 passed, 0 failed</t>
        </is>
      </c>
      <c r="I373" s="19" t="inlineStr"/>
      <c r="J373" s="19" t="inlineStr"/>
    </row>
    <row r="374">
      <c r="A374" s="19" t="inlineStr">
        <is>
          <t>BV-RPT-001</t>
        </is>
      </c>
      <c r="B374" s="19" t="inlineStr">
        <is>
          <t>Reports</t>
        </is>
      </c>
      <c r="C374" s="19" t="inlineStr">
        <is>
          <t>Catalogue lists every report; personas see their own</t>
        </is>
      </c>
      <c r="D374" s="19" t="inlineStr">
        <is>
          <t>Pass</t>
        </is>
      </c>
      <c r="E374" s="19" t="inlineStr">
        <is>
          <t>backend/test/reports.test.js
backend/test/reports.test.js
brokerverse/src/utils/menuPermissions.test.js</t>
        </is>
      </c>
      <c r="F374" s="19" t="inlineStr">
        <is>
          <t>every catalogue entry has its query and every query has a catalogue entry
lists every report for admins and filters by role for personas
accounting gets the financial reports and the catalogue, not the production register</t>
        </is>
      </c>
      <c r="G374" s="19" t="inlineStr"/>
      <c r="H374" s="19" t="inlineStr"/>
      <c r="I374" s="19" t="inlineStr">
        <is>
          <t>/reports/catalogue</t>
        </is>
      </c>
      <c r="J374" s="19" t="inlineStr">
        <is>
          <t>opened clean</t>
        </is>
      </c>
    </row>
    <row r="375">
      <c r="A375" s="19" t="inlineStr">
        <is>
          <t>BV-RPT-002</t>
        </is>
      </c>
      <c r="B375" s="19" t="inlineStr">
        <is>
          <t>Reports</t>
        </is>
      </c>
      <c r="C375" s="19" t="inlineStr">
        <is>
          <t>Invalid parameters refused</t>
        </is>
      </c>
      <c r="D375" s="19" t="inlineStr">
        <is>
          <t>Pass</t>
        </is>
      </c>
      <c r="E375" s="19" t="inlineStr">
        <is>
          <t>backend/test/reports.test.js
backend/test/reports.test.js</t>
        </is>
      </c>
      <c r="F375" s="19" t="inlineStr">
        <is>
          <t>validates parameters and access
returns a definition with the screen filter schema</t>
        </is>
      </c>
      <c r="G375" s="19" t="inlineStr"/>
      <c r="H375" s="19" t="inlineStr"/>
      <c r="I375" s="19" t="inlineStr"/>
      <c r="J375" s="19" t="inlineStr"/>
    </row>
    <row r="376">
      <c r="A376" s="19" t="inlineStr">
        <is>
          <t>BV-RPT-003</t>
        </is>
      </c>
      <c r="B376" s="19" t="inlineStr">
        <is>
          <t>Reports</t>
        </is>
      </c>
      <c r="C376" s="19" t="inlineStr">
        <is>
          <t>CSV, XLSX and PDF outputs with history</t>
        </is>
      </c>
      <c r="D376" s="19" t="inlineStr">
        <is>
          <t>Pass</t>
        </is>
      </c>
      <c r="E376" s="19" t="inlineStr">
        <is>
          <t>backend/test/reports.test.js
backend/test/printing.test.js
backend/test/printing.test.js</t>
        </is>
      </c>
      <c r="F376" s="19" t="inlineStr">
        <is>
          <t>writes CSV, XLSX and PDF files, records history and serves downloads
prints every number, date and policy number in full in a report PDF (totals too)
reports a table that does not fit, and the report layout shrinks the font then moves to A3</t>
        </is>
      </c>
      <c r="G376" s="19" t="inlineStr"/>
      <c r="H376" s="19" t="inlineStr"/>
      <c r="I376" s="19" t="inlineStr"/>
      <c r="J376" s="19" t="inlineStr"/>
    </row>
    <row r="377">
      <c r="A377" s="19" t="inlineStr">
        <is>
          <t>BV-RPT-004</t>
        </is>
      </c>
      <c r="B377" s="19" t="inlineStr">
        <is>
          <t>Reports</t>
        </is>
      </c>
      <c r="C377" s="19" t="inlineStr">
        <is>
          <t>Schedule a report for e-mail delivery</t>
        </is>
      </c>
      <c r="D377" s="19" t="inlineStr">
        <is>
          <t>Pass</t>
        </is>
      </c>
      <c r="E377" s="19" t="inlineStr">
        <is>
          <t>backend/test/reports.test.js
backend/test/reports.test.js
backend/test/reports.test.js
backend/test/reports.test.js</t>
        </is>
      </c>
      <c r="F377" s="19" t="inlineStr">
        <is>
          <t>creates a schedule backed by a scheduledReport job
updates the schedule and its job
runs now: generates the file and queues the e-mail
deletes the schedule and its job</t>
        </is>
      </c>
      <c r="G377" s="19" t="inlineStr"/>
      <c r="H377" s="19" t="inlineStr"/>
      <c r="I377" s="19" t="inlineStr"/>
      <c r="J377" s="19" t="inlineStr"/>
    </row>
    <row r="378">
      <c r="A378" s="19" t="inlineStr">
        <is>
          <t>BV-RPT-005</t>
        </is>
      </c>
      <c r="B378" s="19" t="inlineStr">
        <is>
          <t>Reports</t>
        </is>
      </c>
      <c r="C378" s="19" t="inlineStr">
        <is>
          <t>Agent filter offered to every report reader</t>
        </is>
      </c>
      <c r="D378" s="19" t="inlineStr">
        <is>
          <t>Pass</t>
        </is>
      </c>
      <c r="E378" s="19" t="inlineStr">
        <is>
          <t>backend/test/role-access.test.js</t>
        </is>
      </c>
      <c r="F378" s="19" t="inlineStr">
        <is>
          <t>GET /reports/filters/agents serves the report Agent filter to every report reader</t>
        </is>
      </c>
      <c r="G378" s="19" t="inlineStr"/>
      <c r="H378" s="19" t="inlineStr"/>
      <c r="I378" s="19" t="inlineStr"/>
      <c r="J378" s="19" t="inlineStr"/>
    </row>
    <row r="379">
      <c r="A379" s="19" t="inlineStr">
        <is>
          <t>BV-RPT-006</t>
        </is>
      </c>
      <c r="B379" s="19" t="inlineStr">
        <is>
          <t>Reports</t>
        </is>
      </c>
      <c r="C379" s="19" t="inlineStr">
        <is>
          <t>Own production only for a scoped agent</t>
        </is>
      </c>
      <c r="D379" s="19" t="inlineStr">
        <is>
          <t>Not Run</t>
        </is>
      </c>
      <c r="E379" s="19" t="inlineStr">
        <is>
          <t>backend/test/scope.test.js</t>
        </is>
      </c>
      <c r="F379" s="19" t="inlineStr">
        <is>
          <t>dashboards use the agent's own book</t>
        </is>
      </c>
      <c r="G379" s="19" t="inlineStr"/>
      <c r="H379" s="19" t="inlineStr"/>
      <c r="I379" s="19" t="inlineStr"/>
      <c r="J379" s="19" t="inlineStr"/>
    </row>
    <row r="380">
      <c r="A380" s="19" t="inlineStr">
        <is>
          <t>BV-DSH-001</t>
        </is>
      </c>
      <c r="B380" s="19" t="inlineStr">
        <is>
          <t>Dashboards</t>
        </is>
      </c>
      <c r="C380" s="19" t="inlineStr">
        <is>
          <t>Executive KPIs computed from the books</t>
        </is>
      </c>
      <c r="D380" s="19" t="inlineStr">
        <is>
          <t>Pass</t>
        </is>
      </c>
      <c r="E380" s="19" t="inlineStr">
        <is>
          <t>backend/test/dashboard.test.js
backend/test/dashboard.test.js</t>
        </is>
      </c>
      <c r="F380" s="19" t="inlineStr">
        <is>
          <t>executive KPIs are computed from the tables
calendar periods at month, quarter and year boundaries (Manila vs UTC midnight)</t>
        </is>
      </c>
      <c r="G380" s="19" t="inlineStr">
        <is>
          <t>Reports and dashboards</t>
        </is>
      </c>
      <c r="H380" s="19" t="inlineStr">
        <is>
          <t>58 passed, 0 failed</t>
        </is>
      </c>
      <c r="I380" s="19" t="inlineStr">
        <is>
          <t>/executive/dashboard</t>
        </is>
      </c>
      <c r="J380" s="19" t="inlineStr">
        <is>
          <t>opened clean</t>
        </is>
      </c>
    </row>
    <row r="381">
      <c r="A381" s="19" t="inlineStr">
        <is>
          <t>BV-DSH-002</t>
        </is>
      </c>
      <c r="B381" s="19" t="inlineStr">
        <is>
          <t>Dashboards</t>
        </is>
      </c>
      <c r="C381" s="19" t="inlineStr">
        <is>
          <t>Sales funnel shows the cycle prospects and quotations</t>
        </is>
      </c>
      <c r="D381" s="19" t="inlineStr">
        <is>
          <t>Pass</t>
        </is>
      </c>
      <c r="E381" s="19" t="inlineStr">
        <is>
          <t>backend/test/dashboard.test.js</t>
        </is>
      </c>
      <c r="F381" s="19" t="inlineStr">
        <is>
          <t>sales funnel, processing workbench and claims summary</t>
        </is>
      </c>
      <c r="G381" s="19" t="inlineStr">
        <is>
          <t>Reports and dashboards</t>
        </is>
      </c>
      <c r="H381" s="19" t="inlineStr">
        <is>
          <t>58 passed, 0 failed</t>
        </is>
      </c>
      <c r="I381" s="19" t="inlineStr">
        <is>
          <t>/sales/dashboard</t>
        </is>
      </c>
      <c r="J381" s="19" t="inlineStr">
        <is>
          <t>opened clean</t>
        </is>
      </c>
    </row>
    <row r="382">
      <c r="A382" s="19" t="inlineStr">
        <is>
          <t>BV-DSH-003</t>
        </is>
      </c>
      <c r="B382" s="19" t="inlineStr">
        <is>
          <t>Dashboards</t>
        </is>
      </c>
      <c r="C382" s="19" t="inlineStr">
        <is>
          <t>Account Executive home shows own figures</t>
        </is>
      </c>
      <c r="D382" s="19" t="inlineStr">
        <is>
          <t>Pass</t>
        </is>
      </c>
      <c r="E382" s="19" t="inlineStr">
        <is>
          <t>backend/test/dashboard.test.js
backend/test/role-access.test.js
backend/test/role-access.test.js</t>
        </is>
      </c>
      <c r="F382" s="19" t="inlineStr">
        <is>
          <t>agent home shows the signed-in user's own figures
collected and receivable premium come from the premium bills of the agent's book
a premium bill cancelled because the policy is direct bill shows DIRECT BILL under Paid, not PAID</t>
        </is>
      </c>
      <c r="G382" s="19" t="inlineStr">
        <is>
          <t>Reports and dashboards</t>
        </is>
      </c>
      <c r="H382" s="19" t="inlineStr">
        <is>
          <t>58 passed, 0 failed</t>
        </is>
      </c>
      <c r="I382" s="19" t="inlineStr">
        <is>
          <t>/agent/home</t>
        </is>
      </c>
      <c r="J382" s="19" t="inlineStr">
        <is>
          <t>opened clean</t>
        </is>
      </c>
    </row>
    <row r="383">
      <c r="A383" s="19" t="inlineStr">
        <is>
          <t>BV-DSH-004</t>
        </is>
      </c>
      <c r="B383" s="19" t="inlineStr">
        <is>
          <t>Dashboards</t>
        </is>
      </c>
      <c r="C383" s="19" t="inlineStr">
        <is>
          <t>Processing workbench</t>
        </is>
      </c>
      <c r="D383" s="19" t="inlineStr">
        <is>
          <t>Pass</t>
        </is>
      </c>
      <c r="E383" s="19" t="inlineStr">
        <is>
          <t>backend/test/dashboard.test.js</t>
        </is>
      </c>
      <c r="F383" s="19" t="inlineStr">
        <is>
          <t>sales funnel, processing workbench and claims summary</t>
        </is>
      </c>
      <c r="G383" s="19" t="inlineStr">
        <is>
          <t>Reports and dashboards</t>
        </is>
      </c>
      <c r="H383" s="19" t="inlineStr">
        <is>
          <t>58 passed, 0 failed</t>
        </is>
      </c>
      <c r="I383" s="19" t="inlineStr">
        <is>
          <t>/processing/dashboard</t>
        </is>
      </c>
      <c r="J383" s="19" t="inlineStr">
        <is>
          <t>opened clean</t>
        </is>
      </c>
    </row>
    <row r="384">
      <c r="A384" s="19" t="inlineStr">
        <is>
          <t>BV-DSH-005</t>
        </is>
      </c>
      <c r="B384" s="19" t="inlineStr">
        <is>
          <t>Dashboards</t>
        </is>
      </c>
      <c r="C384" s="19" t="inlineStr">
        <is>
          <t>Claims summary by status</t>
        </is>
      </c>
      <c r="D384" s="19" t="inlineStr">
        <is>
          <t>Pass</t>
        </is>
      </c>
      <c r="E384" s="19" t="inlineStr">
        <is>
          <t>backend/test/dashboard.test.js</t>
        </is>
      </c>
      <c r="F384" s="19" t="inlineStr">
        <is>
          <t>sales funnel, processing workbench and claims summary</t>
        </is>
      </c>
      <c r="G384" s="19" t="inlineStr">
        <is>
          <t>Reports and dashboards</t>
        </is>
      </c>
      <c r="H384" s="19" t="inlineStr">
        <is>
          <t>58 passed, 0 failed</t>
        </is>
      </c>
      <c r="I384" s="19" t="inlineStr">
        <is>
          <t>/claims/dashboard</t>
        </is>
      </c>
      <c r="J384" s="19" t="inlineStr">
        <is>
          <t>opened clean</t>
        </is>
      </c>
    </row>
    <row r="385">
      <c r="A385" s="19" t="inlineStr">
        <is>
          <t>BV-DSH-006</t>
        </is>
      </c>
      <c r="B385" s="19" t="inlineStr">
        <is>
          <t>Dashboards</t>
        </is>
      </c>
      <c r="C385" s="19" t="inlineStr">
        <is>
          <t>Dashboards enforce permissions</t>
        </is>
      </c>
      <c r="D385" s="19" t="inlineStr">
        <is>
          <t>Pass</t>
        </is>
      </c>
      <c r="E385" s="19" t="inlineStr">
        <is>
          <t>backend/test/dashboard.test.js</t>
        </is>
      </c>
      <c r="F385" s="19" t="inlineStr">
        <is>
          <t>enforces permissions</t>
        </is>
      </c>
      <c r="G385" s="19" t="inlineStr"/>
      <c r="H385" s="19" t="inlineStr"/>
      <c r="I385" s="19" t="inlineStr"/>
      <c r="J385" s="19" t="inlineStr"/>
    </row>
    <row r="386">
      <c r="A386" s="19" t="inlineStr">
        <is>
          <t>BV-DSH-007</t>
        </is>
      </c>
      <c r="B386" s="19" t="inlineStr">
        <is>
          <t>Dashboards</t>
        </is>
      </c>
      <c r="C386" s="19" t="inlineStr">
        <is>
          <t>Approval notifications go to the right audience</t>
        </is>
      </c>
      <c r="D386" s="19" t="inlineStr">
        <is>
          <t>Pass</t>
        </is>
      </c>
      <c r="E386" s="19" t="inlineStr">
        <is>
          <t>backend/test/role-access.test.js
backend/test/role-access.test.js</t>
        </is>
      </c>
      <c r="F386" s="19" t="inlineStr">
        <is>
          <t>a finance approval notification is shown to finance, not to customer services or sales
the approval notifications of the modules name their audience</t>
        </is>
      </c>
      <c r="G386" s="19" t="inlineStr"/>
      <c r="H386" s="19" t="inlineStr"/>
      <c r="I386" s="19" t="inlineStr"/>
      <c r="J386" s="19" t="inlineStr"/>
    </row>
    <row r="387">
      <c r="A387" s="19" t="inlineStr">
        <is>
          <t>BV-DSH-008</t>
        </is>
      </c>
      <c r="B387" s="19" t="inlineStr">
        <is>
          <t>Dashboards</t>
        </is>
      </c>
      <c r="C387" s="19" t="inlineStr">
        <is>
          <t>Dashboard trial balance balanced after the cycle</t>
        </is>
      </c>
      <c r="D387" s="19" t="inlineStr">
        <is>
          <t>Pass</t>
        </is>
      </c>
      <c r="E387" s="19" t="inlineStr">
        <is>
          <t>backend/test/reports.test.js</t>
        </is>
      </c>
      <c r="F387" s="19" t="inlineStr">
        <is>
          <t>journal register and a balanced trial balance from approved/posted vouchers only</t>
        </is>
      </c>
      <c r="G387" s="19" t="inlineStr">
        <is>
          <t>Reports and dashboards</t>
        </is>
      </c>
      <c r="H387" s="19" t="inlineStr">
        <is>
          <t>58 passed, 0 failed</t>
        </is>
      </c>
      <c r="I387" s="19" t="inlineStr"/>
      <c r="J387" s="19" t="inlineStr"/>
    </row>
    <row r="388">
      <c r="A388" s="19" t="inlineStr">
        <is>
          <t>BV-EML-001</t>
        </is>
      </c>
      <c r="B388" s="19" t="inlineStr">
        <is>
          <t>E-mail outbox and notifications</t>
        </is>
      </c>
      <c r="C388" s="19" t="inlineStr">
        <is>
          <t>Outbox lists messages and sending status</t>
        </is>
      </c>
      <c r="D388" s="19" t="inlineStr">
        <is>
          <t>Pass</t>
        </is>
      </c>
      <c r="E388" s="19" t="inlineStr">
        <is>
          <t>backend/test/email-outbox.test.js</t>
        </is>
      </c>
      <c r="F388" s="19" t="inlineStr">
        <is>
          <t>lists messages with their status, counts and whether sending is enabled (administrators only)</t>
        </is>
      </c>
      <c r="G388" s="19" t="inlineStr"/>
      <c r="H388" s="19" t="inlineStr"/>
      <c r="I388" s="19" t="inlineStr">
        <is>
          <t>/master/configuration/email-outbox</t>
        </is>
      </c>
      <c r="J388" s="19" t="inlineStr">
        <is>
          <t>opened clean</t>
        </is>
      </c>
    </row>
    <row r="389">
      <c r="A389" s="19" t="inlineStr">
        <is>
          <t>BV-EML-002</t>
        </is>
      </c>
      <c r="B389" s="19" t="inlineStr">
        <is>
          <t>E-mail outbox and notifications</t>
        </is>
      </c>
      <c r="C389" s="19" t="inlineStr">
        <is>
          <t>Retry while sending is off queues again</t>
        </is>
      </c>
      <c r="D389" s="19" t="inlineStr">
        <is>
          <t>Pass</t>
        </is>
      </c>
      <c r="E389" s="19" t="inlineStr">
        <is>
          <t>backend/test/email-outbox.test.js</t>
        </is>
      </c>
      <c r="F389" s="19" t="inlineStr">
        <is>
          <t>retry while sending is off queues the message again and says so</t>
        </is>
      </c>
      <c r="G389" s="19" t="inlineStr"/>
      <c r="H389" s="19" t="inlineStr"/>
      <c r="I389" s="19" t="inlineStr"/>
      <c r="J389" s="19" t="inlineStr"/>
    </row>
    <row r="390">
      <c r="A390" s="19" t="inlineStr">
        <is>
          <t>BV-EML-003</t>
        </is>
      </c>
      <c r="B390" s="19" t="inlineStr">
        <is>
          <t>E-mail outbox and notifications</t>
        </is>
      </c>
      <c r="C390" s="19" t="inlineStr">
        <is>
          <t>Retry while sending is on</t>
        </is>
      </c>
      <c r="D390" s="19" t="inlineStr">
        <is>
          <t>Blocked</t>
        </is>
      </c>
      <c r="E390" s="19" t="inlineStr">
        <is>
          <t>backend/test/email-outbox.test.js</t>
        </is>
      </c>
      <c r="F390" s="19" t="inlineStr">
        <is>
          <t>retry while sending is on tries the message at once and keeps the error of a failed attempt</t>
        </is>
      </c>
      <c r="G390" s="19" t="inlineStr"/>
      <c r="H390" s="19" t="inlineStr"/>
      <c r="I390" s="19" t="inlineStr"/>
      <c r="J390" s="19" t="inlineStr"/>
    </row>
    <row r="391">
      <c r="A391" s="19" t="inlineStr">
        <is>
          <t>BV-EML-004</t>
        </is>
      </c>
      <c r="B391" s="19" t="inlineStr">
        <is>
          <t>E-mail outbox and notifications</t>
        </is>
      </c>
      <c r="C391" s="19" t="inlineStr">
        <is>
          <t>Retry of a sent or unknown message refused</t>
        </is>
      </c>
      <c r="D391" s="19" t="inlineStr">
        <is>
          <t>Pass</t>
        </is>
      </c>
      <c r="E391" s="19" t="inlineStr">
        <is>
          <t>backend/test/email-outbox.test.js</t>
        </is>
      </c>
      <c r="F391" s="19" t="inlineStr">
        <is>
          <t>refuses to retry a sent message or an unknown one</t>
        </is>
      </c>
      <c r="G391" s="19" t="inlineStr"/>
      <c r="H391" s="19" t="inlineStr"/>
      <c r="I391" s="19" t="inlineStr"/>
      <c r="J391" s="19" t="inlineStr"/>
    </row>
    <row r="392">
      <c r="A392" s="19" t="inlineStr">
        <is>
          <t>BV-EML-005</t>
        </is>
      </c>
      <c r="B392" s="19" t="inlineStr">
        <is>
          <t>E-mail outbox and notifications</t>
        </is>
      </c>
      <c r="C392" s="19" t="inlineStr">
        <is>
          <t>Subjects plain text, bodies escaped</t>
        </is>
      </c>
      <c r="D392" s="19" t="inlineStr">
        <is>
          <t>Pass</t>
        </is>
      </c>
      <c r="E392" s="19" t="inlineStr">
        <is>
          <t>backend/test/configuration.test.js</t>
        </is>
      </c>
      <c r="F392" s="19" t="inlineStr">
        <is>
          <t>e-mail subjects are rendered as plain text, bodies HTML-escaped</t>
        </is>
      </c>
      <c r="G392" s="19" t="inlineStr"/>
      <c r="H392" s="19" t="inlineStr"/>
      <c r="I392" s="19" t="inlineStr"/>
      <c r="J392" s="19" t="inlineStr"/>
    </row>
    <row r="393">
      <c r="A393" s="19" t="inlineStr">
        <is>
          <t>BV-EML-006</t>
        </is>
      </c>
      <c r="B393" s="19" t="inlineStr">
        <is>
          <t>E-mail outbox and notifications</t>
        </is>
      </c>
      <c r="C393" s="19" t="inlineStr">
        <is>
          <t>Mail transport from SMTP URL</t>
        </is>
      </c>
      <c r="D393" s="19" t="inlineStr">
        <is>
          <t>Pass</t>
        </is>
      </c>
      <c r="E393" s="19" t="inlineStr">
        <is>
          <t>backend/test/dependencies.test.js</t>
        </is>
      </c>
      <c r="F393" s="19" t="inlineStr">
        <is>
          <t>nodemailer 10 builds a transport from a URL and sends through a stream transport</t>
        </is>
      </c>
      <c r="G393" s="19" t="inlineStr"/>
      <c r="H393" s="19" t="inlineStr"/>
      <c r="I393" s="19" t="inlineStr"/>
      <c r="J393" s="19" t="inlineStr"/>
    </row>
    <row r="394">
      <c r="A394" s="19" t="inlineStr">
        <is>
          <t>BV-AUD-001</t>
        </is>
      </c>
      <c r="B394" s="19" t="inlineStr">
        <is>
          <t>Audit trail</t>
        </is>
      </c>
      <c r="C394" s="19" t="inlineStr">
        <is>
          <t>Changes listed with before and after values</t>
        </is>
      </c>
      <c r="D394" s="19" t="inlineStr">
        <is>
          <t>Pass</t>
        </is>
      </c>
      <c r="E394" s="19" t="inlineStr">
        <is>
          <t>backend/test/core.test.js
backend/test/user-access.test.js</t>
        </is>
      </c>
      <c r="F394" s="19" t="inlineStr">
        <is>
          <t>writes an audit trail
lists, creates and locks users, and reads the audit trail</t>
        </is>
      </c>
      <c r="G394" s="19" t="inlineStr"/>
      <c r="H394" s="19" t="inlineStr"/>
      <c r="I394" s="19" t="inlineStr">
        <is>
          <t>/master/configuration/audit-trail</t>
        </is>
      </c>
      <c r="J394" s="19" t="inlineStr">
        <is>
          <t>opened clean</t>
        </is>
      </c>
    </row>
    <row r="395">
      <c r="A395" s="19" t="inlineStr">
        <is>
          <t>BV-AUD-002</t>
        </is>
      </c>
      <c r="B395" s="19" t="inlineStr">
        <is>
          <t>Audit trail</t>
        </is>
      </c>
      <c r="C395" s="19" t="inlineStr">
        <is>
          <t>Policy life cycle traced in the audit trail</t>
        </is>
      </c>
      <c r="D395" s="19" t="inlineStr">
        <is>
          <t>Pass</t>
        </is>
      </c>
      <c r="E395" s="19" t="inlineStr">
        <is>
          <t>backend/test/claims.test.js
backend/test/customer-response.test.js</t>
        </is>
      </c>
      <c r="F395" s="19" t="inlineStr">
        <is>
          <t>rejects a claim and returns the field-level audit trail
accepted: CustomerAccepted with the evidence stored, audited and listed</t>
        </is>
      </c>
      <c r="G395" s="19" t="inlineStr"/>
      <c r="H395" s="19" t="inlineStr"/>
      <c r="I395" s="19" t="inlineStr"/>
      <c r="J395" s="19" t="inlineStr"/>
    </row>
    <row r="396">
      <c r="A396" s="19" t="inlineStr">
        <is>
          <t>BV-AUD-003</t>
        </is>
      </c>
      <c r="B396" s="19" t="inlineStr">
        <is>
          <t>Audit trail</t>
        </is>
      </c>
      <c r="C396" s="19" t="inlineStr">
        <is>
          <t>Audit trail not available to business users</t>
        </is>
      </c>
      <c r="D396" s="19" t="inlineStr">
        <is>
          <t>Pass</t>
        </is>
      </c>
      <c r="E396" s="19" t="inlineStr">
        <is>
          <t>backend/test/user-access.test.js</t>
        </is>
      </c>
      <c r="F396" s="19" t="inlineStr">
        <is>
          <t>has no business access</t>
        </is>
      </c>
      <c r="G396" s="19" t="inlineStr"/>
      <c r="H396" s="19" t="inlineStr"/>
      <c r="I396" s="19" t="inlineStr"/>
      <c r="J396" s="19" t="inlineStr"/>
    </row>
    <row r="397">
      <c r="A397" s="19" t="inlineStr">
        <is>
          <t>BV-AUD-004</t>
        </is>
      </c>
      <c r="B397" s="19" t="inlineStr">
        <is>
          <t>Audit trail</t>
        </is>
      </c>
      <c r="C397" s="19" t="inlineStr">
        <is>
          <t>Audit rows never purged below 7 years</t>
        </is>
      </c>
      <c r="D397" s="19" t="inlineStr">
        <is>
          <t>Pass</t>
        </is>
      </c>
      <c r="E397" s="19" t="inlineStr">
        <is>
          <t>backend/test/operations.test.js</t>
        </is>
      </c>
      <c r="F397" s="19" t="inlineStr">
        <is>
          <t>keeps a table forever at 0 days and never purges the audit trail below 7 years</t>
        </is>
      </c>
      <c r="G397" s="19" t="inlineStr"/>
      <c r="H397" s="19" t="inlineStr"/>
      <c r="I397" s="19" t="inlineStr"/>
      <c r="J397" s="19" t="inlineStr"/>
    </row>
    <row r="398">
      <c r="A398" s="19" t="inlineStr">
        <is>
          <t>BV-E2E-001</t>
        </is>
      </c>
      <c r="B398" s="19" t="inlineStr">
        <is>
          <t>End-to-end life cycle</t>
        </is>
      </c>
      <c r="C398" s="19" t="inlineStr">
        <is>
          <t>Life cycle step 1: sign-in and lockout</t>
        </is>
      </c>
      <c r="D398" s="19" t="inlineStr">
        <is>
          <t>Pass</t>
        </is>
      </c>
      <c r="E398" s="19" t="inlineStr">
        <is>
          <t>backend/test/core.test.js</t>
        </is>
      </c>
      <c r="F398" s="19" t="inlineStr">
        <is>
          <t>rejects a wrong password and accepts the admin</t>
        </is>
      </c>
      <c r="G398" s="19" t="inlineStr">
        <is>
          <t>Set-up</t>
        </is>
      </c>
      <c r="H398" s="19" t="inlineStr">
        <is>
          <t>46 passed, 0 failed</t>
        </is>
      </c>
      <c r="I398" s="19" t="inlineStr"/>
      <c r="J398" s="19" t="inlineStr"/>
    </row>
    <row r="399">
      <c r="A399" s="19" t="inlineStr">
        <is>
          <t>BV-E2E-002</t>
        </is>
      </c>
      <c r="B399" s="19" t="inlineStr">
        <is>
          <t>End-to-end life cycle</t>
        </is>
      </c>
      <c r="C399" s="19" t="inlineStr">
        <is>
          <t>Life cycle step 2: personas created</t>
        </is>
      </c>
      <c r="D399" s="19" t="inlineStr">
        <is>
          <t>Pass</t>
        </is>
      </c>
      <c r="E399" s="19" t="inlineStr">
        <is>
          <t>backend/test/core.test.js</t>
        </is>
      </c>
      <c r="F399" s="19" t="inlineStr">
        <is>
          <t>admin creates a persona user who can then sign in with that role</t>
        </is>
      </c>
      <c r="G399" s="19" t="inlineStr">
        <is>
          <t>Set-up</t>
        </is>
      </c>
      <c r="H399" s="19" t="inlineStr">
        <is>
          <t>46 passed, 0 failed</t>
        </is>
      </c>
      <c r="I399" s="19" t="inlineStr"/>
      <c r="J399" s="19" t="inlineStr"/>
    </row>
    <row r="400">
      <c r="A400" s="19" t="inlineStr">
        <is>
          <t>BV-E2E-003</t>
        </is>
      </c>
      <c r="B400" s="19" t="inlineStr">
        <is>
          <t>End-to-end life cycle</t>
        </is>
      </c>
      <c r="C400" s="19" t="inlineStr">
        <is>
          <t>Life cycle step 3: configuration read</t>
        </is>
      </c>
      <c r="D400" s="19" t="inlineStr">
        <is>
          <t>Pass</t>
        </is>
      </c>
      <c r="E400" s="19" t="inlineStr">
        <is>
          <t>backend/test/core.test.js</t>
        </is>
      </c>
      <c r="F400" s="19" t="inlineStr">
        <is>
          <t>settings are read from the database and editable by admins</t>
        </is>
      </c>
      <c r="G400" s="19" t="inlineStr">
        <is>
          <t>Set-up</t>
        </is>
      </c>
      <c r="H400" s="19" t="inlineStr">
        <is>
          <t>46 passed, 0 failed</t>
        </is>
      </c>
      <c r="I400" s="19" t="inlineStr"/>
      <c r="J400" s="19" t="inlineStr"/>
    </row>
    <row r="401">
      <c r="A401" s="19" t="inlineStr">
        <is>
          <t>BV-E2E-004</t>
        </is>
      </c>
      <c r="B401" s="19" t="inlineStr">
        <is>
          <t>End-to-end life cycle</t>
        </is>
      </c>
      <c r="C401" s="19" t="inlineStr">
        <is>
          <t>Life cycle step 4: insurer master</t>
        </is>
      </c>
      <c r="D401" s="19" t="inlineStr">
        <is>
          <t>Pass</t>
        </is>
      </c>
      <c r="E401" s="19" t="inlineStr">
        <is>
          <t>backend/test/masters.test.js</t>
        </is>
      </c>
      <c r="F401" s="19" t="inlineStr">
        <is>
          <t>creates, reads, searches, updates and deactivates</t>
        </is>
      </c>
      <c r="G401" s="19" t="inlineStr">
        <is>
          <t>Set-up</t>
        </is>
      </c>
      <c r="H401" s="19" t="inlineStr">
        <is>
          <t>46 passed, 0 failed</t>
        </is>
      </c>
      <c r="I401" s="19" t="inlineStr"/>
      <c r="J401" s="19" t="inlineStr"/>
    </row>
    <row r="402">
      <c r="A402" s="19" t="inlineStr">
        <is>
          <t>BV-E2E-005</t>
        </is>
      </c>
      <c r="B402" s="19" t="inlineStr">
        <is>
          <t>End-to-end life cycle</t>
        </is>
      </c>
      <c r="C402" s="19" t="inlineStr">
        <is>
          <t>Life cycle step 5: prospect</t>
        </is>
      </c>
      <c r="D402" s="19" t="inlineStr">
        <is>
          <t>Pass</t>
        </is>
      </c>
      <c r="E402" s="19" t="inlineStr">
        <is>
          <t>backend/test/leads.test.js</t>
        </is>
      </c>
      <c r="F402" s="19" t="inlineStr">
        <is>
          <t>creates a lead and returns it at the top level and in data</t>
        </is>
      </c>
      <c r="G402" s="19" t="inlineStr">
        <is>
          <t>Retail package business</t>
        </is>
      </c>
      <c r="H402" s="19" t="inlineStr">
        <is>
          <t>84 passed, 0 failed</t>
        </is>
      </c>
      <c r="I402" s="19" t="inlineStr"/>
      <c r="J402" s="19" t="inlineStr"/>
    </row>
    <row r="403">
      <c r="A403" s="19" t="inlineStr">
        <is>
          <t>BV-E2E-006</t>
        </is>
      </c>
      <c r="B403" s="19" t="inlineStr">
        <is>
          <t>End-to-end life cycle</t>
        </is>
      </c>
      <c r="C403" s="19" t="inlineStr">
        <is>
          <t>Life cycle step 6: quotation</t>
        </is>
      </c>
      <c r="D403" s="19" t="inlineStr">
        <is>
          <t>Pass</t>
        </is>
      </c>
      <c r="E403" s="19" t="inlineStr">
        <is>
          <t>backend/test/quotations.test.js</t>
        </is>
      </c>
      <c r="F403" s="19" t="inlineStr">
        <is>
          <t>creates a quotation with a server-side premium breakdown from settings</t>
        </is>
      </c>
      <c r="G403" s="19" t="inlineStr">
        <is>
          <t>Retail package business</t>
        </is>
      </c>
      <c r="H403" s="19" t="inlineStr">
        <is>
          <t>84 passed, 0 failed</t>
        </is>
      </c>
      <c r="I403" s="19" t="inlineStr"/>
      <c r="J403" s="19" t="inlineStr"/>
    </row>
    <row r="404">
      <c r="A404" s="19" t="inlineStr">
        <is>
          <t>BV-E2E-007</t>
        </is>
      </c>
      <c r="B404" s="19" t="inlineStr">
        <is>
          <t>End-to-end life cycle</t>
        </is>
      </c>
      <c r="C404" s="19" t="inlineStr">
        <is>
          <t>Life cycle step 7: quotation downstream</t>
        </is>
      </c>
      <c r="D404" s="19" t="inlineStr">
        <is>
          <t>Pass</t>
        </is>
      </c>
      <c r="E404" s="19" t="inlineStr">
        <is>
          <t>backend/test/dashboard.test.js</t>
        </is>
      </c>
      <c r="F404" s="19" t="inlineStr">
        <is>
          <t>sales funnel, processing workbench and claims summary</t>
        </is>
      </c>
      <c r="G404" s="19" t="inlineStr">
        <is>
          <t>Reports and dashboards</t>
        </is>
      </c>
      <c r="H404" s="19" t="inlineStr">
        <is>
          <t>58 passed, 0 failed</t>
        </is>
      </c>
      <c r="I404" s="19" t="inlineStr"/>
      <c r="J404" s="19" t="inlineStr"/>
    </row>
    <row r="405">
      <c r="A405" s="19" t="inlineStr">
        <is>
          <t>BV-E2E-008</t>
        </is>
      </c>
      <c r="B405" s="19" t="inlineStr">
        <is>
          <t>End-to-end life cycle</t>
        </is>
      </c>
      <c r="C405" s="19" t="inlineStr">
        <is>
          <t>Life cycle step 8: send for approval</t>
        </is>
      </c>
      <c r="D405" s="19" t="inlineStr">
        <is>
          <t>Pass</t>
        </is>
      </c>
      <c r="E405" s="19" t="inlineStr">
        <is>
          <t>backend/test/customer-response.test.js</t>
        </is>
      </c>
      <c r="F405" s="19" t="inlineStr">
        <is>
          <t>moves to PendingCustomer and says plainly that e-mail is not configured</t>
        </is>
      </c>
      <c r="G405" s="19" t="inlineStr">
        <is>
          <t>Retail package business</t>
        </is>
      </c>
      <c r="H405" s="19" t="inlineStr">
        <is>
          <t>84 passed, 0 failed</t>
        </is>
      </c>
      <c r="I405" s="19" t="inlineStr"/>
      <c r="J405" s="19" t="inlineStr"/>
    </row>
    <row r="406">
      <c r="A406" s="19" t="inlineStr">
        <is>
          <t>BV-E2E-009</t>
        </is>
      </c>
      <c r="B406" s="19" t="inlineStr">
        <is>
          <t>End-to-end life cycle</t>
        </is>
      </c>
      <c r="C406" s="19" t="inlineStr">
        <is>
          <t>Life cycle step 9: customer acceptance</t>
        </is>
      </c>
      <c r="D406" s="19" t="inlineStr">
        <is>
          <t>Pass</t>
        </is>
      </c>
      <c r="E406" s="19" t="inlineStr">
        <is>
          <t>backend/test/customer-response.test.js</t>
        </is>
      </c>
      <c r="F406" s="19" t="inlineStr">
        <is>
          <t>accepted: CustomerAccepted with the evidence stored, audited and listed</t>
        </is>
      </c>
      <c r="G406" s="19" t="inlineStr">
        <is>
          <t>Retail package business</t>
        </is>
      </c>
      <c r="H406" s="19" t="inlineStr">
        <is>
          <t>84 passed, 0 failed</t>
        </is>
      </c>
      <c r="I406" s="19" t="inlineStr"/>
      <c r="J406" s="19" t="inlineStr"/>
    </row>
    <row r="407">
      <c r="A407" s="19" t="inlineStr">
        <is>
          <t>BV-E2E-010</t>
        </is>
      </c>
      <c r="B407" s="19" t="inlineStr">
        <is>
          <t>End-to-end life cycle</t>
        </is>
      </c>
      <c r="C407" s="19" t="inlineStr">
        <is>
          <t>Life cycle step 10: convert to policy</t>
        </is>
      </c>
      <c r="D407" s="19" t="inlineStr">
        <is>
          <t>Pass</t>
        </is>
      </c>
      <c r="E407" s="19" t="inlineStr">
        <is>
          <t>backend/test/quotations.test.js</t>
        </is>
      </c>
      <c r="F407" s="19" t="inlineStr">
        <is>
          <t>converts to policy: client, policy, receivable with bill number, commission accrual, owner notified</t>
        </is>
      </c>
      <c r="G407" s="19" t="inlineStr">
        <is>
          <t>Retail package business</t>
        </is>
      </c>
      <c r="H407" s="19" t="inlineStr">
        <is>
          <t>84 passed, 0 failed</t>
        </is>
      </c>
      <c r="I407" s="19" t="inlineStr"/>
      <c r="J407" s="19" t="inlineStr"/>
    </row>
    <row r="408">
      <c r="A408" s="19" t="inlineStr">
        <is>
          <t>BV-E2E-011</t>
        </is>
      </c>
      <c r="B408" s="19" t="inlineStr">
        <is>
          <t>End-to-end life cycle</t>
        </is>
      </c>
      <c r="C408" s="19" t="inlineStr">
        <is>
          <t>Life cycle step 11: downstream of issuance</t>
        </is>
      </c>
      <c r="D408" s="19" t="inlineStr">
        <is>
          <t>Pass</t>
        </is>
      </c>
      <c r="E408" s="19" t="inlineStr">
        <is>
          <t>backend/test/posting-rules.test.js</t>
        </is>
      </c>
      <c r="F408" s="19" t="inlineStr">
        <is>
          <t>policy booking and receipt: same accounts, amounts, memos and order (premium taxes not split)</t>
        </is>
      </c>
      <c r="G408" s="19" t="inlineStr">
        <is>
          <t>Reports and dashboards</t>
        </is>
      </c>
      <c r="H408" s="19" t="inlineStr">
        <is>
          <t>58 passed, 0 failed</t>
        </is>
      </c>
      <c r="I408" s="19" t="inlineStr"/>
      <c r="J408" s="19" t="inlineStr"/>
    </row>
    <row r="409">
      <c r="A409" s="19" t="inlineStr">
        <is>
          <t>BV-E2E-012</t>
        </is>
      </c>
      <c r="B409" s="19" t="inlineStr">
        <is>
          <t>End-to-end life cycle</t>
        </is>
      </c>
      <c r="C409" s="19" t="inlineStr">
        <is>
          <t>Life cycle step 12: receipts</t>
        </is>
      </c>
      <c r="D409" s="19" t="inlineStr">
        <is>
          <t>Pass</t>
        </is>
      </c>
      <c r="E409" s="19" t="inlineStr">
        <is>
          <t>backend/test/receipts.test.js</t>
        </is>
      </c>
      <c r="F409" s="19" t="inlineStr">
        <is>
          <t>official receipt against a receivable: partial then full payment, overpayment rejected</t>
        </is>
      </c>
      <c r="G409" s="19" t="inlineStr">
        <is>
          <t>Billing and collection</t>
        </is>
      </c>
      <c r="H409" s="19" t="inlineStr">
        <is>
          <t>61 passed, 0 failed</t>
        </is>
      </c>
      <c r="I409" s="19" t="inlineStr"/>
      <c r="J409" s="19" t="inlineStr"/>
    </row>
    <row r="410">
      <c r="A410" s="19" t="inlineStr">
        <is>
          <t>BV-E2E-013</t>
        </is>
      </c>
      <c r="B410" s="19" t="inlineStr">
        <is>
          <t>End-to-end life cycle</t>
        </is>
      </c>
      <c r="C410" s="19" t="inlineStr">
        <is>
          <t>Life cycle step 13: commission payout</t>
        </is>
      </c>
      <c r="D410" s="19" t="inlineStr">
        <is>
          <t>Pass</t>
        </is>
      </c>
      <c r="E410" s="19" t="inlineStr">
        <is>
          <t>backend/test/commission.test.js</t>
        </is>
      </c>
      <c r="F410" s="19" t="inlineStr">
        <is>
          <t>approval is maker-checker; approved lines post the accrual and can be bulk-disbursed and paid</t>
        </is>
      </c>
      <c r="G410" s="19" t="inlineStr">
        <is>
          <t>Money: remittances, commission, petty cash</t>
        </is>
      </c>
      <c r="H410" s="19" t="inlineStr">
        <is>
          <t>27 passed, 0 failed</t>
        </is>
      </c>
      <c r="I410" s="19" t="inlineStr"/>
      <c r="J410" s="19" t="inlineStr"/>
    </row>
    <row r="411">
      <c r="A411" s="19" t="inlineStr">
        <is>
          <t>BV-E2E-014</t>
        </is>
      </c>
      <c r="B411" s="19" t="inlineStr">
        <is>
          <t>End-to-end life cycle</t>
        </is>
      </c>
      <c r="C411" s="19" t="inlineStr">
        <is>
          <t>Life cycle step 14: remittance</t>
        </is>
      </c>
      <c r="D411" s="19" t="inlineStr">
        <is>
          <t>Pass</t>
        </is>
      </c>
      <c r="E411" s="19" t="inlineStr">
        <is>
          <t>backend/test/remittance.test.js</t>
        </is>
      </c>
      <c r="F411" s="19" t="inlineStr">
        <is>
          <t>an approved settlement raises the insurer payment voucher for the collected premium</t>
        </is>
      </c>
      <c r="G411" s="19" t="inlineStr">
        <is>
          <t>Money: remittances, commission, petty cash</t>
        </is>
      </c>
      <c r="H411" s="19" t="inlineStr">
        <is>
          <t>27 passed, 0 failed</t>
        </is>
      </c>
      <c r="I411" s="19" t="inlineStr"/>
      <c r="J411" s="19" t="inlineStr"/>
    </row>
    <row r="412">
      <c r="A412" s="19" t="inlineStr">
        <is>
          <t>BV-E2E-015</t>
        </is>
      </c>
      <c r="B412" s="19" t="inlineStr">
        <is>
          <t>End-to-end life cycle</t>
        </is>
      </c>
      <c r="C412" s="19" t="inlineStr">
        <is>
          <t>Life cycle step 15: endorsement</t>
        </is>
      </c>
      <c r="D412" s="19" t="inlineStr">
        <is>
          <t>Pass</t>
        </is>
      </c>
      <c r="E412" s="19" t="inlineStr">
        <is>
          <t>backend/test/endorsements.test.js</t>
        </is>
      </c>
      <c r="F412" s="19" t="inlineStr">
        <is>
          <t>bills a positive delta as a new receivable with a balanced journal and a collection item, and updates the policy premium</t>
        </is>
      </c>
      <c r="G412" s="19" t="inlineStr">
        <is>
          <t>Servicing: endorsements, renewals, claims</t>
        </is>
      </c>
      <c r="H412" s="19" t="inlineStr">
        <is>
          <t>31 passed, 0 failed</t>
        </is>
      </c>
      <c r="I412" s="19" t="inlineStr"/>
      <c r="J412" s="19" t="inlineStr"/>
    </row>
    <row r="413">
      <c r="A413" s="19" t="inlineStr">
        <is>
          <t>BV-E2E-016</t>
        </is>
      </c>
      <c r="B413" s="19" t="inlineStr">
        <is>
          <t>End-to-end life cycle</t>
        </is>
      </c>
      <c r="C413" s="19" t="inlineStr">
        <is>
          <t>Life cycle step 16: claim registration</t>
        </is>
      </c>
      <c r="D413" s="19" t="inlineStr">
        <is>
          <t>Pass</t>
        </is>
      </c>
      <c r="E413" s="19" t="inlineStr">
        <is>
          <t>backend/test/claims.test.js</t>
        </is>
      </c>
      <c r="F413" s="19" t="inlineStr">
        <is>
          <t>rejects invalid registrations (validation, loss date outside the period, unpaid premium) and honours the setting</t>
        </is>
      </c>
      <c r="G413" s="19" t="inlineStr">
        <is>
          <t>Servicing: endorsements, renewals, claims</t>
        </is>
      </c>
      <c r="H413" s="19" t="inlineStr">
        <is>
          <t>31 passed, 0 failed</t>
        </is>
      </c>
      <c r="I413" s="19" t="inlineStr"/>
      <c r="J413" s="19" t="inlineStr"/>
    </row>
    <row r="414">
      <c r="A414" s="19" t="inlineStr">
        <is>
          <t>BV-E2E-017</t>
        </is>
      </c>
      <c r="B414" s="19" t="inlineStr">
        <is>
          <t>End-to-end life cycle</t>
        </is>
      </c>
      <c r="C414" s="19" t="inlineStr">
        <is>
          <t>Life cycle step 17: claim settlement</t>
        </is>
      </c>
      <c r="D414" s="19" t="inlineStr">
        <is>
          <t>Pass</t>
        </is>
      </c>
      <c r="E414" s="19" t="inlineStr">
        <is>
          <t>backend/test/claims.test.js</t>
        </is>
      </c>
      <c r="F414" s="19" t="inlineStr">
        <is>
          <t>moves through review, adjuster report, settlement maker-checker to settled and closed</t>
        </is>
      </c>
      <c r="G414" s="19" t="inlineStr">
        <is>
          <t>Servicing: endorsements, renewals, claims</t>
        </is>
      </c>
      <c r="H414" s="19" t="inlineStr">
        <is>
          <t>31 passed, 0 failed</t>
        </is>
      </c>
      <c r="I414" s="19" t="inlineStr"/>
      <c r="J414" s="19" t="inlineStr"/>
    </row>
    <row r="415">
      <c r="A415" s="19" t="inlineStr">
        <is>
          <t>BV-E2E-018</t>
        </is>
      </c>
      <c r="B415" s="19" t="inlineStr">
        <is>
          <t>End-to-end life cycle</t>
        </is>
      </c>
      <c r="C415" s="19" t="inlineStr">
        <is>
          <t>Life cycle step 18: journal voucher</t>
        </is>
      </c>
      <c r="D415" s="19" t="inlineStr">
        <is>
          <t>Pass</t>
        </is>
      </c>
      <c r="E415" s="19" t="inlineStr">
        <is>
          <t>backend/test/journal.test.js</t>
        </is>
      </c>
      <c r="F415" s="19" t="inlineStr">
        <is>
          <t>maker creates a voucher for approval; maker cannot approve; checker approves and it posts</t>
        </is>
      </c>
      <c r="G415" s="19" t="inlineStr">
        <is>
          <t>Reconciliation: bank and insurer statements</t>
        </is>
      </c>
      <c r="H415" s="19" t="inlineStr">
        <is>
          <t>10 passed, 0 failed</t>
        </is>
      </c>
      <c r="I415" s="19" t="inlineStr"/>
      <c r="J415" s="19" t="inlineStr"/>
    </row>
    <row r="416">
      <c r="A416" s="19" t="inlineStr">
        <is>
          <t>BV-E2E-019</t>
        </is>
      </c>
      <c r="B416" s="19" t="inlineStr">
        <is>
          <t>End-to-end life cycle</t>
        </is>
      </c>
      <c r="C416" s="19" t="inlineStr">
        <is>
          <t>Life cycle step 19: scheduled jobs</t>
        </is>
      </c>
      <c r="D416" s="19" t="inlineStr">
        <is>
          <t>Pass</t>
        </is>
      </c>
      <c r="E416" s="19" t="inlineStr">
        <is>
          <t>backend/test/core.test.js</t>
        </is>
      </c>
      <c r="F416" s="19" t="inlineStr">
        <is>
          <t>runs a scheduled job and records the run</t>
        </is>
      </c>
      <c r="G416" s="19" t="inlineStr">
        <is>
          <t>Servicing: endorsements, renewals, claims</t>
        </is>
      </c>
      <c r="H416" s="19" t="inlineStr">
        <is>
          <t>31 passed, 0 failed</t>
        </is>
      </c>
      <c r="I416" s="19" t="inlineStr"/>
      <c r="J416" s="19" t="inlineStr"/>
    </row>
    <row r="417">
      <c r="A417" s="19" t="inlineStr">
        <is>
          <t>BV-E2E-020</t>
        </is>
      </c>
      <c r="B417" s="19" t="inlineStr">
        <is>
          <t>End-to-end life cycle</t>
        </is>
      </c>
      <c r="C417" s="19" t="inlineStr">
        <is>
          <t>Life cycle step 20: renewal</t>
        </is>
      </c>
      <c r="D417" s="19" t="inlineStr">
        <is>
          <t>Pass</t>
        </is>
      </c>
      <c r="E417" s="19" t="inlineStr">
        <is>
          <t>backend/test/renewals.test.js</t>
        </is>
      </c>
      <c r="F417" s="19" t="inlineStr">
        <is>
          <t>requires checker approval by a different user and then renews into a new policy term</t>
        </is>
      </c>
      <c r="G417" s="19" t="inlineStr">
        <is>
          <t>Servicing: endorsements, renewals, claims</t>
        </is>
      </c>
      <c r="H417" s="19" t="inlineStr">
        <is>
          <t>31 passed, 0 failed</t>
        </is>
      </c>
      <c r="I417" s="19" t="inlineStr"/>
      <c r="J417" s="19" t="inlineStr"/>
    </row>
    <row r="418">
      <c r="A418" s="19" t="inlineStr">
        <is>
          <t>BV-E2E-021</t>
        </is>
      </c>
      <c r="B418" s="19" t="inlineStr">
        <is>
          <t>End-to-end life cycle</t>
        </is>
      </c>
      <c r="C418" s="19" t="inlineStr">
        <is>
          <t>Life cycle step 21: role access</t>
        </is>
      </c>
      <c r="D418" s="19" t="inlineStr">
        <is>
          <t>Pass</t>
        </is>
      </c>
      <c r="E418" s="19" t="inlineStr">
        <is>
          <t>brokerverse/src/utils/menuPermissions.test.js
backend/test/hardening.test.js</t>
        </is>
      </c>
      <c r="F418" s="19" t="inlineStr">
        <is>
          <t>allows the role's own screens and the home route
every non-public route answers 401 without a token</t>
        </is>
      </c>
      <c r="G418" s="19" t="inlineStr"/>
      <c r="H418" s="19" t="inlineStr"/>
      <c r="I418" s="19" t="inlineStr"/>
      <c r="J418" s="19" t="inlineStr"/>
    </row>
    <row r="419">
      <c r="A419" s="19" t="inlineStr">
        <is>
          <t>BV-E2E-022</t>
        </is>
      </c>
      <c r="B419" s="19" t="inlineStr">
        <is>
          <t>End-to-end life cycle</t>
        </is>
      </c>
      <c r="C419" s="19" t="inlineStr">
        <is>
          <t>Life cycle step 22: reports</t>
        </is>
      </c>
      <c r="D419" s="19" t="inlineStr">
        <is>
          <t>Pass</t>
        </is>
      </c>
      <c r="E419" s="19" t="inlineStr">
        <is>
          <t>backend/test/reports.test.js</t>
        </is>
      </c>
      <c r="F419" s="19" t="inlineStr">
        <is>
          <t>writes CSV, XLSX and PDF files, records history and serves downloads</t>
        </is>
      </c>
      <c r="G419" s="19" t="inlineStr">
        <is>
          <t>Reports and dashboards</t>
        </is>
      </c>
      <c r="H419" s="19" t="inlineStr">
        <is>
          <t>58 passed, 0 failed</t>
        </is>
      </c>
      <c r="I419" s="19" t="inlineStr"/>
      <c r="J419" s="19" t="inlineStr"/>
    </row>
    <row r="420">
      <c r="A420" s="19" t="inlineStr">
        <is>
          <t>BV-E2E-023</t>
        </is>
      </c>
      <c r="B420" s="19" t="inlineStr">
        <is>
          <t>End-to-end life cycle</t>
        </is>
      </c>
      <c r="C420" s="19" t="inlineStr">
        <is>
          <t>Life cycle step 23: audit trail</t>
        </is>
      </c>
      <c r="D420" s="19" t="inlineStr">
        <is>
          <t>Pass</t>
        </is>
      </c>
      <c r="E420" s="19" t="inlineStr">
        <is>
          <t>backend/test/core.test.js</t>
        </is>
      </c>
      <c r="F420" s="19" t="inlineStr">
        <is>
          <t>writes an audit trail</t>
        </is>
      </c>
      <c r="G420" s="19" t="inlineStr"/>
      <c r="H420" s="19" t="inlineStr"/>
      <c r="I420" s="19" t="inlineStr"/>
      <c r="J420" s="19" t="inlineStr"/>
    </row>
    <row r="421">
      <c r="A421" s="19" t="inlineStr">
        <is>
          <t>BV-RPT-007</t>
        </is>
      </c>
      <c r="B421" s="19" t="inlineStr">
        <is>
          <t>Reports</t>
        </is>
      </c>
      <c r="C421" s="19" t="inlineStr">
        <is>
          <t>Run Production Register with every criterion and export to Excel</t>
        </is>
      </c>
      <c r="D421" s="19" t="inlineStr">
        <is>
          <t>Pass</t>
        </is>
      </c>
      <c r="E421" s="19" t="inlineStr">
        <is>
          <t>backend/test/reports.test.js
backend/test/uat-disconnects.test.js</t>
        </is>
      </c>
      <c r="F421" s="19" t="inlineStr">
        <is>
          <t>production register: rows, totals, summary, criteria groups and filters
the production register and the executive trend show a policy in the month it was issued</t>
        </is>
      </c>
      <c r="G421" s="19" t="inlineStr">
        <is>
          <t>Reports and dashboards</t>
        </is>
      </c>
      <c r="H421" s="19" t="inlineStr">
        <is>
          <t>58 passed, 0 failed</t>
        </is>
      </c>
      <c r="I421" s="19" t="inlineStr"/>
      <c r="J421" s="19" t="inlineStr"/>
    </row>
    <row r="422">
      <c r="A422" s="19" t="inlineStr">
        <is>
          <t>BV-RPT-008</t>
        </is>
      </c>
      <c r="B422" s="19" t="inlineStr">
        <is>
          <t>Reports</t>
        </is>
      </c>
      <c r="C422" s="19" t="inlineStr">
        <is>
          <t>Run Claims Position with every criterion and export to Excel</t>
        </is>
      </c>
      <c r="D422" s="19" t="inlineStr">
        <is>
          <t>Pass</t>
        </is>
      </c>
      <c r="E422" s="19" t="inlineStr">
        <is>
          <t>backend/test/reports.test.js</t>
        </is>
      </c>
      <c r="F422" s="19" t="inlineStr">
        <is>
          <t>claims position by criteria</t>
        </is>
      </c>
      <c r="G422" s="19" t="inlineStr">
        <is>
          <t>Reports and dashboards</t>
        </is>
      </c>
      <c r="H422" s="19" t="inlineStr">
        <is>
          <t>58 passed, 0 failed</t>
        </is>
      </c>
      <c r="I422" s="19" t="inlineStr"/>
      <c r="J422" s="19" t="inlineStr"/>
    </row>
    <row r="423">
      <c r="A423" s="19" t="inlineStr">
        <is>
          <t>BV-RPT-009</t>
        </is>
      </c>
      <c r="B423" s="19" t="inlineStr">
        <is>
          <t>Reports</t>
        </is>
      </c>
      <c r="C423" s="19" t="inlineStr">
        <is>
          <t>Run Renewal Retention with every criterion and export to Excel</t>
        </is>
      </c>
      <c r="D423" s="19" t="inlineStr">
        <is>
          <t>Pass</t>
        </is>
      </c>
      <c r="E423" s="19" t="inlineStr">
        <is>
          <t>backend/test/reports.test.js</t>
        </is>
      </c>
      <c r="F423" s="19" t="inlineStr">
        <is>
          <t>renewal retention, commission statement and remittance summary</t>
        </is>
      </c>
      <c r="G423" s="19" t="inlineStr">
        <is>
          <t>Reports and dashboards</t>
        </is>
      </c>
      <c r="H423" s="19" t="inlineStr">
        <is>
          <t>58 passed, 0 failed</t>
        </is>
      </c>
      <c r="I423" s="19" t="inlineStr"/>
      <c r="J423" s="19" t="inlineStr"/>
    </row>
    <row r="424">
      <c r="A424" s="19" t="inlineStr">
        <is>
          <t>BV-RPT-010</t>
        </is>
      </c>
      <c r="B424" s="19" t="inlineStr">
        <is>
          <t>Reports</t>
        </is>
      </c>
      <c r="C424" s="19" t="inlineStr">
        <is>
          <t>Run Remittance Summary with every criterion and export to Excel</t>
        </is>
      </c>
      <c r="D424" s="19" t="inlineStr">
        <is>
          <t>Pass</t>
        </is>
      </c>
      <c r="E424" s="19" t="inlineStr">
        <is>
          <t>backend/test/reports.test.js</t>
        </is>
      </c>
      <c r="F424" s="19" t="inlineStr">
        <is>
          <t>renewal retention, commission statement and remittance summary</t>
        </is>
      </c>
      <c r="G424" s="19" t="inlineStr">
        <is>
          <t>Reports and dashboards</t>
        </is>
      </c>
      <c r="H424" s="19" t="inlineStr">
        <is>
          <t>58 passed, 0 failed</t>
        </is>
      </c>
      <c r="I424" s="19" t="inlineStr"/>
      <c r="J424" s="19" t="inlineStr"/>
    </row>
    <row r="425">
      <c r="A425" s="19" t="inlineStr">
        <is>
          <t>BV-RPT-011</t>
        </is>
      </c>
      <c r="B425" s="19" t="inlineStr">
        <is>
          <t>Reports</t>
        </is>
      </c>
      <c r="C425" s="19" t="inlineStr">
        <is>
          <t>Run Broker Commission Statement with every criterion and export to Excel</t>
        </is>
      </c>
      <c r="D425" s="19" t="inlineStr">
        <is>
          <t>Pass</t>
        </is>
      </c>
      <c r="E425" s="19" t="inlineStr">
        <is>
          <t>backend/test/reports.test.js</t>
        </is>
      </c>
      <c r="F425" s="19" t="inlineStr">
        <is>
          <t>renewal retention, commission statement and remittance summary</t>
        </is>
      </c>
      <c r="G425" s="19" t="inlineStr">
        <is>
          <t>Reports and dashboards</t>
        </is>
      </c>
      <c r="H425" s="19" t="inlineStr">
        <is>
          <t>58 passed, 0 failed</t>
        </is>
      </c>
      <c r="I425" s="19" t="inlineStr"/>
      <c r="J425" s="19" t="inlineStr"/>
    </row>
    <row r="426">
      <c r="A426" s="19" t="inlineStr">
        <is>
          <t>BV-RPT-012</t>
        </is>
      </c>
      <c r="B426" s="19" t="inlineStr">
        <is>
          <t>Reports</t>
        </is>
      </c>
      <c r="C426" s="19" t="inlineStr">
        <is>
          <t>Run Premium by Product / Month / Insurer with every criterion and export to Excel</t>
        </is>
      </c>
      <c r="D426" s="19" t="inlineStr">
        <is>
          <t>Pass</t>
        </is>
      </c>
      <c r="E426" s="19" t="inlineStr">
        <is>
          <t>backend/test/reports.test.js</t>
        </is>
      </c>
      <c r="F426" s="19" t="inlineStr">
        <is>
          <t>aggregate reports: premium by product/month, new vs renewal, lead funnel, cessions, incentives</t>
        </is>
      </c>
      <c r="G426" s="19" t="inlineStr">
        <is>
          <t>Reports and dashboards</t>
        </is>
      </c>
      <c r="H426" s="19" t="inlineStr">
        <is>
          <t>58 passed, 0 failed</t>
        </is>
      </c>
      <c r="I426" s="19" t="inlineStr"/>
      <c r="J426" s="19" t="inlineStr"/>
    </row>
    <row r="427">
      <c r="A427" s="19" t="inlineStr">
        <is>
          <t>BV-RPT-013</t>
        </is>
      </c>
      <c r="B427" s="19" t="inlineStr">
        <is>
          <t>Reports</t>
        </is>
      </c>
      <c r="C427" s="19" t="inlineStr">
        <is>
          <t>Run New Business vs Renewals with every criterion and export to Excel</t>
        </is>
      </c>
      <c r="D427" s="19" t="inlineStr">
        <is>
          <t>Pass</t>
        </is>
      </c>
      <c r="E427" s="19" t="inlineStr">
        <is>
          <t>backend/test/reports.test.js</t>
        </is>
      </c>
      <c r="F427" s="19" t="inlineStr">
        <is>
          <t>aggregate reports: premium by product/month, new vs renewal, lead funnel, cessions, incentives</t>
        </is>
      </c>
      <c r="G427" s="19" t="inlineStr">
        <is>
          <t>Reports and dashboards</t>
        </is>
      </c>
      <c r="H427" s="19" t="inlineStr">
        <is>
          <t>58 passed, 0 failed</t>
        </is>
      </c>
      <c r="I427" s="19" t="inlineStr"/>
      <c r="J427" s="19" t="inlineStr"/>
    </row>
    <row r="428">
      <c r="A428" s="19" t="inlineStr">
        <is>
          <t>BV-RPT-014</t>
        </is>
      </c>
      <c r="B428" s="19" t="inlineStr">
        <is>
          <t>Reports</t>
        </is>
      </c>
      <c r="C428" s="19" t="inlineStr">
        <is>
          <t>Run Claims Ageing with every criterion and export to Excel</t>
        </is>
      </c>
      <c r="D428" s="19" t="inlineStr">
        <is>
          <t>Pass</t>
        </is>
      </c>
      <c r="E428" s="19" t="inlineStr"/>
      <c r="F428" s="19" t="inlineStr"/>
      <c r="G428" s="19" t="inlineStr">
        <is>
          <t>Reports and dashboards</t>
        </is>
      </c>
      <c r="H428" s="19" t="inlineStr">
        <is>
          <t>58 passed, 0 failed</t>
        </is>
      </c>
      <c r="I428" s="19" t="inlineStr"/>
      <c r="J428" s="19" t="inlineStr"/>
    </row>
    <row r="429">
      <c r="A429" s="19" t="inlineStr">
        <is>
          <t>BV-RPT-015</t>
        </is>
      </c>
      <c r="B429" s="19" t="inlineStr">
        <is>
          <t>Reports</t>
        </is>
      </c>
      <c r="C429" s="19" t="inlineStr">
        <is>
          <t>Run Lead Conversion Funnel with every criterion and export to Excel</t>
        </is>
      </c>
      <c r="D429" s="19" t="inlineStr">
        <is>
          <t>Pass</t>
        </is>
      </c>
      <c r="E429" s="19" t="inlineStr">
        <is>
          <t>backend/test/reports.test.js</t>
        </is>
      </c>
      <c r="F429" s="19" t="inlineStr">
        <is>
          <t>aggregate reports: premium by product/month, new vs renewal, lead funnel, cessions, incentives</t>
        </is>
      </c>
      <c r="G429" s="19" t="inlineStr">
        <is>
          <t>Reports and dashboards</t>
        </is>
      </c>
      <c r="H429" s="19" t="inlineStr">
        <is>
          <t>58 passed, 0 failed</t>
        </is>
      </c>
      <c r="I429" s="19" t="inlineStr"/>
      <c r="J429" s="19" t="inlineStr"/>
    </row>
    <row r="430">
      <c r="A430" s="19" t="inlineStr">
        <is>
          <t>BV-RPT-016</t>
        </is>
      </c>
      <c r="B430" s="19" t="inlineStr">
        <is>
          <t>Reports</t>
        </is>
      </c>
      <c r="C430" s="19" t="inlineStr">
        <is>
          <t>Run Placement Pipeline with every criterion and export to Excel</t>
        </is>
      </c>
      <c r="D430" s="19" t="inlineStr">
        <is>
          <t>Pass</t>
        </is>
      </c>
      <c r="E430" s="19" t="inlineStr">
        <is>
          <t>backend/test/placement.test.js</t>
        </is>
      </c>
      <c r="F430" s="19" t="inlineStr">
        <is>
          <t>runs the Placement Pipeline and Market Response reports</t>
        </is>
      </c>
      <c r="G430" s="19" t="inlineStr">
        <is>
          <t>Reports and dashboards</t>
        </is>
      </c>
      <c r="H430" s="19" t="inlineStr">
        <is>
          <t>58 passed, 0 failed</t>
        </is>
      </c>
      <c r="I430" s="19" t="inlineStr"/>
      <c r="J430" s="19" t="inlineStr"/>
    </row>
    <row r="431">
      <c r="A431" s="19" t="inlineStr">
        <is>
          <t>BV-RPT-017</t>
        </is>
      </c>
      <c r="B431" s="19" t="inlineStr">
        <is>
          <t>Reports</t>
        </is>
      </c>
      <c r="C431" s="19" t="inlineStr">
        <is>
          <t>Run Market Response with every criterion and export to Excel</t>
        </is>
      </c>
      <c r="D431" s="19" t="inlineStr">
        <is>
          <t>Pass</t>
        </is>
      </c>
      <c r="E431" s="19" t="inlineStr">
        <is>
          <t>backend/test/placement.test.js</t>
        </is>
      </c>
      <c r="F431" s="19" t="inlineStr">
        <is>
          <t>runs the Placement Pipeline and Market Response reports</t>
        </is>
      </c>
      <c r="G431" s="19" t="inlineStr">
        <is>
          <t>Reports and dashboards</t>
        </is>
      </c>
      <c r="H431" s="19" t="inlineStr">
        <is>
          <t>58 passed, 0 failed</t>
        </is>
      </c>
      <c r="I431" s="19" t="inlineStr"/>
      <c r="J431" s="19" t="inlineStr"/>
    </row>
    <row r="432">
      <c r="A432" s="19" t="inlineStr">
        <is>
          <t>BV-RPT-018</t>
        </is>
      </c>
      <c r="B432" s="19" t="inlineStr">
        <is>
          <t>Reports</t>
        </is>
      </c>
      <c r="C432" s="19" t="inlineStr">
        <is>
          <t>Run Reinsurance Cession Register with every criterion and export to Excel</t>
        </is>
      </c>
      <c r="D432" s="19" t="inlineStr">
        <is>
          <t>Pass</t>
        </is>
      </c>
      <c r="E432" s="19" t="inlineStr">
        <is>
          <t>backend/test/reports.test.js</t>
        </is>
      </c>
      <c r="F432" s="19" t="inlineStr">
        <is>
          <t>aggregate reports: premium by product/month, new vs renewal, lead funnel, cessions, incentives</t>
        </is>
      </c>
      <c r="G432" s="19" t="inlineStr">
        <is>
          <t>Reports and dashboards</t>
        </is>
      </c>
      <c r="H432" s="19" t="inlineStr">
        <is>
          <t>58 passed, 0 failed</t>
        </is>
      </c>
      <c r="I432" s="19" t="inlineStr"/>
      <c r="J432" s="19" t="inlineStr"/>
    </row>
    <row r="433">
      <c r="A433" s="19" t="inlineStr">
        <is>
          <t>BV-RPT-019</t>
        </is>
      </c>
      <c r="B433" s="19" t="inlineStr">
        <is>
          <t>Reports</t>
        </is>
      </c>
      <c r="C433" s="19" t="inlineStr">
        <is>
          <t>Run Co-insurance Register with every criterion and export to Excel</t>
        </is>
      </c>
      <c r="D433" s="19" t="inlineStr">
        <is>
          <t>Pass</t>
        </is>
      </c>
      <c r="E433" s="19" t="inlineStr">
        <is>
          <t>backend/test/posting-rules.test.js</t>
        </is>
      </c>
      <c r="F433" s="19" t="inlineStr">
        <is>
          <t>reports: Co-insurance Register and Due to Insurers by Co-insurer</t>
        </is>
      </c>
      <c r="G433" s="19" t="inlineStr">
        <is>
          <t>Reports and dashboards</t>
        </is>
      </c>
      <c r="H433" s="19" t="inlineStr">
        <is>
          <t>58 passed, 0 failed</t>
        </is>
      </c>
      <c r="I433" s="19" t="inlineStr"/>
      <c r="J433" s="19" t="inlineStr"/>
    </row>
    <row r="434">
      <c r="A434" s="19" t="inlineStr">
        <is>
          <t>BV-RPT-020</t>
        </is>
      </c>
      <c r="B434" s="19" t="inlineStr">
        <is>
          <t>Reports</t>
        </is>
      </c>
      <c r="C434" s="19" t="inlineStr">
        <is>
          <t>Run SOA / Premium Receivable with every criterion and export to Excel</t>
        </is>
      </c>
      <c r="D434" s="19" t="inlineStr">
        <is>
          <t>Pass</t>
        </is>
      </c>
      <c r="E434" s="19" t="inlineStr">
        <is>
          <t>backend/test/reports.test.js</t>
        </is>
      </c>
      <c r="F434" s="19" t="inlineStr">
        <is>
          <t>receivables, collections, receipts and disbursements</t>
        </is>
      </c>
      <c r="G434" s="19" t="inlineStr">
        <is>
          <t>Reports and dashboards</t>
        </is>
      </c>
      <c r="H434" s="19" t="inlineStr">
        <is>
          <t>58 passed, 0 failed</t>
        </is>
      </c>
      <c r="I434" s="19" t="inlineStr"/>
      <c r="J434" s="19" t="inlineStr"/>
    </row>
    <row r="435">
      <c r="A435" s="19" t="inlineStr">
        <is>
          <t>BV-RPT-021</t>
        </is>
      </c>
      <c r="B435" s="19" t="inlineStr">
        <is>
          <t>Reports</t>
        </is>
      </c>
      <c r="C435" s="19" t="inlineStr">
        <is>
          <t>Run Collection Report with every criterion and export to Excel</t>
        </is>
      </c>
      <c r="D435" s="19" t="inlineStr">
        <is>
          <t>Pass</t>
        </is>
      </c>
      <c r="E435" s="19" t="inlineStr">
        <is>
          <t>backend/test/reports.test.js</t>
        </is>
      </c>
      <c r="F435" s="19" t="inlineStr">
        <is>
          <t>receivables, collections, receipts and disbursements</t>
        </is>
      </c>
      <c r="G435" s="19" t="inlineStr">
        <is>
          <t>Reports and dashboards</t>
        </is>
      </c>
      <c r="H435" s="19" t="inlineStr">
        <is>
          <t>58 passed, 0 failed</t>
        </is>
      </c>
      <c r="I435" s="19" t="inlineStr"/>
      <c r="J435" s="19" t="inlineStr"/>
    </row>
    <row r="436">
      <c r="A436" s="19" t="inlineStr">
        <is>
          <t>BV-RPT-022</t>
        </is>
      </c>
      <c r="B436" s="19" t="inlineStr">
        <is>
          <t>Reports</t>
        </is>
      </c>
      <c r="C436" s="19" t="inlineStr">
        <is>
          <t>Run Receivables Ageing with every criterion and export to Excel</t>
        </is>
      </c>
      <c r="D436" s="19" t="inlineStr">
        <is>
          <t>Pass</t>
        </is>
      </c>
      <c r="E436" s="19" t="inlineStr">
        <is>
          <t>backend/test/reports.test.js</t>
        </is>
      </c>
      <c r="F436" s="19" t="inlineStr">
        <is>
          <t>receivables, collections, receipts and disbursements</t>
        </is>
      </c>
      <c r="G436" s="19" t="inlineStr">
        <is>
          <t>Reports and dashboards</t>
        </is>
      </c>
      <c r="H436" s="19" t="inlineStr">
        <is>
          <t>58 passed, 0 failed</t>
        </is>
      </c>
      <c r="I436" s="19" t="inlineStr"/>
      <c r="J436" s="19" t="inlineStr"/>
    </row>
    <row r="437">
      <c r="A437" s="19" t="inlineStr">
        <is>
          <t>BV-RPT-023</t>
        </is>
      </c>
      <c r="B437" s="19" t="inlineStr">
        <is>
          <t>Reports</t>
        </is>
      </c>
      <c r="C437" s="19" t="inlineStr">
        <is>
          <t>Run Commission Receivable - Direct Bill with every criterion and export to Excel</t>
        </is>
      </c>
      <c r="D437" s="19" t="inlineStr">
        <is>
          <t>Pass</t>
        </is>
      </c>
      <c r="E437" s="19" t="inlineStr">
        <is>
          <t>backend/test/direct-bill.test.js</t>
        </is>
      </c>
      <c r="F437" s="19" t="inlineStr">
        <is>
          <t>commission receivable report and trial balance show it as due from the insurer</t>
        </is>
      </c>
      <c r="G437" s="19" t="inlineStr">
        <is>
          <t>Reports and dashboards</t>
        </is>
      </c>
      <c r="H437" s="19" t="inlineStr">
        <is>
          <t>58 passed, 0 failed</t>
        </is>
      </c>
      <c r="I437" s="19" t="inlineStr"/>
      <c r="J437" s="19" t="inlineStr"/>
    </row>
    <row r="438">
      <c r="A438" s="19" t="inlineStr">
        <is>
          <t>BV-RPT-024</t>
        </is>
      </c>
      <c r="B438" s="19" t="inlineStr">
        <is>
          <t>Reports</t>
        </is>
      </c>
      <c r="C438" s="19" t="inlineStr">
        <is>
          <t>Run Receipts Register with every criterion and export to Excel</t>
        </is>
      </c>
      <c r="D438" s="19" t="inlineStr">
        <is>
          <t>Pass</t>
        </is>
      </c>
      <c r="E438" s="19" t="inlineStr">
        <is>
          <t>backend/test/reports.test.js</t>
        </is>
      </c>
      <c r="F438" s="19" t="inlineStr">
        <is>
          <t>receivables, collections, receipts and disbursements</t>
        </is>
      </c>
      <c r="G438" s="19" t="inlineStr">
        <is>
          <t>Reports and dashboards</t>
        </is>
      </c>
      <c r="H438" s="19" t="inlineStr">
        <is>
          <t>58 passed, 0 failed</t>
        </is>
      </c>
      <c r="I438" s="19" t="inlineStr"/>
      <c r="J438" s="19" t="inlineStr"/>
    </row>
    <row r="439">
      <c r="A439" s="19" t="inlineStr">
        <is>
          <t>BV-RPT-025</t>
        </is>
      </c>
      <c r="B439" s="19" t="inlineStr">
        <is>
          <t>Reports</t>
        </is>
      </c>
      <c r="C439" s="19" t="inlineStr">
        <is>
          <t>Run Payables / Disbursement Register with every criterion and export to Excel</t>
        </is>
      </c>
      <c r="D439" s="19" t="inlineStr">
        <is>
          <t>Pass</t>
        </is>
      </c>
      <c r="E439" s="19" t="inlineStr">
        <is>
          <t>backend/test/reports.test.js</t>
        </is>
      </c>
      <c r="F439" s="19" t="inlineStr">
        <is>
          <t>receivables, collections, receipts and disbursements</t>
        </is>
      </c>
      <c r="G439" s="19" t="inlineStr">
        <is>
          <t>Reports and dashboards</t>
        </is>
      </c>
      <c r="H439" s="19" t="inlineStr">
        <is>
          <t>58 passed, 0 failed</t>
        </is>
      </c>
      <c r="I439" s="19" t="inlineStr"/>
      <c r="J439" s="19" t="inlineStr"/>
    </row>
    <row r="440">
      <c r="A440" s="19" t="inlineStr">
        <is>
          <t>BV-RPT-026</t>
        </is>
      </c>
      <c r="B440" s="19" t="inlineStr">
        <is>
          <t>Reports</t>
        </is>
      </c>
      <c r="C440" s="19" t="inlineStr">
        <is>
          <t>Run Journal Register with every criterion and export to Excel</t>
        </is>
      </c>
      <c r="D440" s="19" t="inlineStr">
        <is>
          <t>Pass</t>
        </is>
      </c>
      <c r="E440" s="19" t="inlineStr">
        <is>
          <t>backend/test/reports.test.js</t>
        </is>
      </c>
      <c r="F440" s="19" t="inlineStr">
        <is>
          <t>journal register and a balanced trial balance from approved/posted vouchers only</t>
        </is>
      </c>
      <c r="G440" s="19" t="inlineStr">
        <is>
          <t>Reports and dashboards</t>
        </is>
      </c>
      <c r="H440" s="19" t="inlineStr">
        <is>
          <t>58 passed, 0 failed</t>
        </is>
      </c>
      <c r="I440" s="19" t="inlineStr"/>
      <c r="J440" s="19" t="inlineStr"/>
    </row>
    <row r="441">
      <c r="A441" s="19" t="inlineStr">
        <is>
          <t>BV-RPT-027</t>
        </is>
      </c>
      <c r="B441" s="19" t="inlineStr">
        <is>
          <t>Reports</t>
        </is>
      </c>
      <c r="C441" s="19" t="inlineStr">
        <is>
          <t>Run Trial Balance with every criterion and export to Excel</t>
        </is>
      </c>
      <c r="D441" s="19" t="inlineStr">
        <is>
          <t>Pass</t>
        </is>
      </c>
      <c r="E441" s="19" t="inlineStr">
        <is>
          <t>backend/test/reports.test.js</t>
        </is>
      </c>
      <c r="F441" s="19" t="inlineStr">
        <is>
          <t>journal register and a balanced trial balance from approved/posted vouchers only</t>
        </is>
      </c>
      <c r="G441" s="19" t="inlineStr">
        <is>
          <t>Reports and dashboards</t>
        </is>
      </c>
      <c r="H441" s="19" t="inlineStr">
        <is>
          <t>58 passed, 0 failed</t>
        </is>
      </c>
      <c r="I441" s="19" t="inlineStr"/>
      <c r="J441" s="19" t="inlineStr"/>
    </row>
    <row r="442">
      <c r="A442" s="19" t="inlineStr">
        <is>
          <t>BV-RPT-028</t>
        </is>
      </c>
      <c r="B442" s="19" t="inlineStr">
        <is>
          <t>Reports</t>
        </is>
      </c>
      <c r="C442" s="19" t="inlineStr">
        <is>
          <t>Run Incentive Results with every criterion and export to Excel</t>
        </is>
      </c>
      <c r="D442" s="19" t="inlineStr">
        <is>
          <t>Pass</t>
        </is>
      </c>
      <c r="E442" s="19" t="inlineStr">
        <is>
          <t>backend/test/reports.test.js</t>
        </is>
      </c>
      <c r="F442" s="19" t="inlineStr">
        <is>
          <t>aggregate reports: premium by product/month, new vs renewal, lead funnel, cessions, incentives</t>
        </is>
      </c>
      <c r="G442" s="19" t="inlineStr">
        <is>
          <t>Reports and dashboards</t>
        </is>
      </c>
      <c r="H442" s="19" t="inlineStr">
        <is>
          <t>58 passed, 0 failed</t>
        </is>
      </c>
      <c r="I442" s="19" t="inlineStr"/>
      <c r="J442" s="19" t="inlineStr"/>
    </row>
    <row r="443">
      <c r="A443" s="19" t="inlineStr">
        <is>
          <t>BV-RPT-029</t>
        </is>
      </c>
      <c r="B443" s="19" t="inlineStr">
        <is>
          <t>Reports</t>
        </is>
      </c>
      <c r="C443" s="19" t="inlineStr">
        <is>
          <t>Run Due to Insurers by Co-insurer with every criterion and export to Excel</t>
        </is>
      </c>
      <c r="D443" s="19" t="inlineStr">
        <is>
          <t>Pass</t>
        </is>
      </c>
      <c r="E443" s="19" t="inlineStr">
        <is>
          <t>backend/test/posting-rules.test.js</t>
        </is>
      </c>
      <c r="F443" s="19" t="inlineStr">
        <is>
          <t>reports: Co-insurance Register and Due to Insurers by Co-insurer</t>
        </is>
      </c>
      <c r="G443" s="19" t="inlineStr">
        <is>
          <t>Reports and dashboards</t>
        </is>
      </c>
      <c r="H443" s="19" t="inlineStr">
        <is>
          <t>58 passed, 0 failed</t>
        </is>
      </c>
      <c r="I443" s="19" t="inlineStr"/>
      <c r="J443" s="19" t="inlineStr"/>
    </row>
    <row r="444">
      <c r="A444" s="19" t="inlineStr">
        <is>
          <t>BV-RPT-030</t>
        </is>
      </c>
      <c r="B444" s="19" t="inlineStr">
        <is>
          <t>Reports</t>
        </is>
      </c>
      <c r="C444" s="19" t="inlineStr">
        <is>
          <t>Run Income Statement with every criterion and export to Excel</t>
        </is>
      </c>
      <c r="D444" s="19" t="inlineStr">
        <is>
          <t>Pass</t>
        </is>
      </c>
      <c r="E444" s="19" t="inlineStr">
        <is>
          <t>backend/test/period-end.test.js</t>
        </is>
      </c>
      <c r="F444" s="19" t="inlineStr">
        <is>
          <t>income statement net income = trial balance P&amp;L; the balance sheet balances</t>
        </is>
      </c>
      <c r="G444" s="19" t="inlineStr">
        <is>
          <t>Reports and dashboards</t>
        </is>
      </c>
      <c r="H444" s="19" t="inlineStr">
        <is>
          <t>58 passed, 0 failed</t>
        </is>
      </c>
      <c r="I444" s="19" t="inlineStr"/>
      <c r="J444" s="19" t="inlineStr"/>
    </row>
    <row r="445">
      <c r="A445" s="19" t="inlineStr">
        <is>
          <t>BV-RPT-031</t>
        </is>
      </c>
      <c r="B445" s="19" t="inlineStr">
        <is>
          <t>Reports</t>
        </is>
      </c>
      <c r="C445" s="19" t="inlineStr">
        <is>
          <t>Run Balance Sheet with every criterion and export to Excel</t>
        </is>
      </c>
      <c r="D445" s="19" t="inlineStr">
        <is>
          <t>Pass</t>
        </is>
      </c>
      <c r="E445" s="19" t="inlineStr">
        <is>
          <t>backend/test/period-end.test.js</t>
        </is>
      </c>
      <c r="F445" s="19" t="inlineStr">
        <is>
          <t>income statement net income = trial balance P&amp;L; the balance sheet balances</t>
        </is>
      </c>
      <c r="G445" s="19" t="inlineStr">
        <is>
          <t>Reports and dashboards</t>
        </is>
      </c>
      <c r="H445" s="19" t="inlineStr">
        <is>
          <t>58 passed, 0 failed</t>
        </is>
      </c>
      <c r="I445" s="19" t="inlineStr"/>
      <c r="J445" s="19" t="inlineStr"/>
    </row>
    <row r="446">
      <c r="A446" s="19" t="inlineStr">
        <is>
          <t>BV-RPT-032</t>
        </is>
      </c>
      <c r="B446" s="19" t="inlineStr">
        <is>
          <t>Reports</t>
        </is>
      </c>
      <c r="C446" s="19" t="inlineStr">
        <is>
          <t>Run Trial Balance (Opening / Movement / Closing) with every criterion and export to Excel</t>
        </is>
      </c>
      <c r="D446" s="19" t="inlineStr">
        <is>
          <t>Pass</t>
        </is>
      </c>
      <c r="E446" s="19" t="inlineStr"/>
      <c r="F446" s="19" t="inlineStr"/>
      <c r="G446" s="19" t="inlineStr">
        <is>
          <t>Reports and dashboards</t>
        </is>
      </c>
      <c r="H446" s="19" t="inlineStr">
        <is>
          <t>58 passed, 0 failed</t>
        </is>
      </c>
      <c r="I446" s="19" t="inlineStr"/>
      <c r="J446" s="19" t="inlineStr"/>
    </row>
    <row r="447">
      <c r="A447" s="19" t="inlineStr">
        <is>
          <t>BV-RPT-033</t>
        </is>
      </c>
      <c r="B447" s="19" t="inlineStr">
        <is>
          <t>Reports</t>
        </is>
      </c>
      <c r="C447" s="19" t="inlineStr">
        <is>
          <t>Run General Ledger Detail with every criterion and export to Excel</t>
        </is>
      </c>
      <c r="D447" s="19" t="inlineStr">
        <is>
          <t>Pass</t>
        </is>
      </c>
      <c r="E447" s="19" t="inlineStr"/>
      <c r="F447" s="19" t="inlineStr"/>
      <c r="G447" s="19" t="inlineStr">
        <is>
          <t>Reports and dashboards</t>
        </is>
      </c>
      <c r="H447" s="19" t="inlineStr">
        <is>
          <t>58 passed, 0 failed</t>
        </is>
      </c>
      <c r="I447" s="19" t="inlineStr"/>
      <c r="J447" s="19" t="inlineStr"/>
    </row>
    <row r="448">
      <c r="A448" s="19" t="inlineStr">
        <is>
          <t>BV-RPT-034</t>
        </is>
      </c>
      <c r="B448" s="19" t="inlineStr">
        <is>
          <t>Reports</t>
        </is>
      </c>
      <c r="C448" s="19" t="inlineStr">
        <is>
          <t>Run Aged Payables to Insurers with every criterion and export to Excel</t>
        </is>
      </c>
      <c r="D448" s="19" t="inlineStr">
        <is>
          <t>Pass</t>
        </is>
      </c>
      <c r="E448" s="19" t="inlineStr"/>
      <c r="F448" s="19" t="inlineStr"/>
      <c r="G448" s="19" t="inlineStr">
        <is>
          <t>Reports and dashboards</t>
        </is>
      </c>
      <c r="H448" s="19" t="inlineStr">
        <is>
          <t>58 passed, 0 failed</t>
        </is>
      </c>
      <c r="I448" s="19" t="inlineStr"/>
      <c r="J448" s="19" t="inlineStr"/>
    </row>
    <row r="449">
      <c r="A449" s="19" t="inlineStr">
        <is>
          <t>BV-RPT-035</t>
        </is>
      </c>
      <c r="B449" s="19" t="inlineStr">
        <is>
          <t>Reports</t>
        </is>
      </c>
      <c r="C449" s="19" t="inlineStr">
        <is>
          <t>Run Month-End Close Status with every criterion and export to Excel</t>
        </is>
      </c>
      <c r="D449" s="19" t="inlineStr">
        <is>
          <t>Pass</t>
        </is>
      </c>
      <c r="E449" s="19" t="inlineStr"/>
      <c r="F449" s="19" t="inlineStr"/>
      <c r="G449" s="19" t="inlineStr">
        <is>
          <t>Reports and dashboards</t>
        </is>
      </c>
      <c r="H449" s="19" t="inlineStr">
        <is>
          <t>58 passed, 0 failed</t>
        </is>
      </c>
      <c r="I449" s="19" t="inlineStr"/>
      <c r="J449" s="19" t="inlineStr"/>
    </row>
    <row r="450">
      <c r="A450" s="19" t="inlineStr">
        <is>
          <t>BV-RPT-036</t>
        </is>
      </c>
      <c r="B450" s="19" t="inlineStr">
        <is>
          <t>Reports</t>
        </is>
      </c>
      <c r="C450" s="19" t="inlineStr">
        <is>
          <t>Run VAT Summary with every criterion and export to Excel</t>
        </is>
      </c>
      <c r="D450" s="19" t="inlineStr">
        <is>
          <t>Pass</t>
        </is>
      </c>
      <c r="E450" s="19" t="inlineStr"/>
      <c r="F450" s="19" t="inlineStr"/>
      <c r="G450" s="19" t="inlineStr">
        <is>
          <t>Reports and dashboards</t>
        </is>
      </c>
      <c r="H450" s="19" t="inlineStr">
        <is>
          <t>58 passed, 0 failed</t>
        </is>
      </c>
      <c r="I450" s="19" t="inlineStr"/>
      <c r="J450" s="19" t="inlineStr"/>
    </row>
    <row r="451">
      <c r="A451" s="19" t="inlineStr">
        <is>
          <t>BV-RPT-037</t>
        </is>
      </c>
      <c r="B451" s="19" t="inlineStr">
        <is>
          <t>Reports</t>
        </is>
      </c>
      <c r="C451" s="19" t="inlineStr">
        <is>
          <t>Run SAWT - Summary Alphalist of Withholding Taxes with every criterion and export to Excel</t>
        </is>
      </c>
      <c r="D451" s="19" t="inlineStr">
        <is>
          <t>Pass</t>
        </is>
      </c>
      <c r="E451" s="19" t="inlineStr"/>
      <c r="F451" s="19" t="inlineStr"/>
      <c r="G451" s="19" t="inlineStr">
        <is>
          <t>Reports and dashboards</t>
        </is>
      </c>
      <c r="H451" s="19" t="inlineStr">
        <is>
          <t>58 passed, 0 failed</t>
        </is>
      </c>
      <c r="I451" s="19" t="inlineStr"/>
      <c r="J451" s="19" t="inlineStr"/>
    </row>
    <row r="452">
      <c r="A452" s="19" t="inlineStr">
        <is>
          <t>BV-RPT-038</t>
        </is>
      </c>
      <c r="B452" s="19" t="inlineStr">
        <is>
          <t>Reports</t>
        </is>
      </c>
      <c r="C452" s="19" t="inlineStr">
        <is>
          <t>Run QAP - Quarterly Alphalist of Payees with every criterion and export to Excel</t>
        </is>
      </c>
      <c r="D452" s="19" t="inlineStr">
        <is>
          <t>Pass</t>
        </is>
      </c>
      <c r="E452" s="19" t="inlineStr"/>
      <c r="F452" s="19" t="inlineStr"/>
      <c r="G452" s="19" t="inlineStr">
        <is>
          <t>Reports and dashboards</t>
        </is>
      </c>
      <c r="H452" s="19" t="inlineStr">
        <is>
          <t>58 passed, 0 failed</t>
        </is>
      </c>
      <c r="I452" s="19" t="inlineStr"/>
      <c r="J452" s="19" t="inlineStr"/>
    </row>
    <row r="453">
      <c r="A453" s="19" t="inlineStr">
        <is>
          <t>BV-RPT-039</t>
        </is>
      </c>
      <c r="B453" s="19" t="inlineStr">
        <is>
          <t>Reports</t>
        </is>
      </c>
      <c r="C453" s="19" t="inlineStr">
        <is>
          <t>Run SLSP - Summary List of Sales with every criterion and export to Excel</t>
        </is>
      </c>
      <c r="D453" s="19" t="inlineStr">
        <is>
          <t>Pass</t>
        </is>
      </c>
      <c r="E453" s="19" t="inlineStr"/>
      <c r="F453" s="19" t="inlineStr"/>
      <c r="G453" s="19" t="inlineStr">
        <is>
          <t>Reports and dashboards</t>
        </is>
      </c>
      <c r="H453" s="19" t="inlineStr">
        <is>
          <t>58 passed, 0 failed</t>
        </is>
      </c>
      <c r="I453" s="19" t="inlineStr"/>
      <c r="J453" s="19" t="inlineStr"/>
    </row>
    <row r="454">
      <c r="A454" s="19" t="inlineStr">
        <is>
          <t>BV-RPT-040</t>
        </is>
      </c>
      <c r="B454" s="19" t="inlineStr">
        <is>
          <t>Reports</t>
        </is>
      </c>
      <c r="C454" s="19" t="inlineStr">
        <is>
          <t>Run SLSP - Summary List of Purchases with every criterion and export to Excel</t>
        </is>
      </c>
      <c r="D454" s="19" t="inlineStr">
        <is>
          <t>Pass</t>
        </is>
      </c>
      <c r="E454" s="19" t="inlineStr"/>
      <c r="F454" s="19" t="inlineStr"/>
      <c r="G454" s="19" t="inlineStr">
        <is>
          <t>Reports and dashboards</t>
        </is>
      </c>
      <c r="H454" s="19" t="inlineStr">
        <is>
          <t>58 passed, 0 failed</t>
        </is>
      </c>
      <c r="I454" s="19" t="inlineStr"/>
      <c r="J454" s="19" t="inlineStr"/>
    </row>
    <row r="455">
      <c r="A455" s="19" t="inlineStr">
        <is>
          <t>BV-RPT-041</t>
        </is>
      </c>
      <c r="B455" s="19" t="inlineStr">
        <is>
          <t>Reports</t>
        </is>
      </c>
      <c r="C455" s="19" t="inlineStr">
        <is>
          <t>Run Bank Reconciliation Statement with every criterion and export to Excel</t>
        </is>
      </c>
      <c r="D455" s="19" t="inlineStr">
        <is>
          <t>Pass</t>
        </is>
      </c>
      <c r="E455" s="19" t="inlineStr">
        <is>
          <t>backend/test/bank-reconciliation.test.js</t>
        </is>
      </c>
      <c r="F455" s="19" t="inlineStr">
        <is>
          <t>runs the bank reconciliation reports</t>
        </is>
      </c>
      <c r="G455" s="19" t="inlineStr">
        <is>
          <t>Reports and dashboards</t>
        </is>
      </c>
      <c r="H455" s="19" t="inlineStr">
        <is>
          <t>58 passed, 0 failed</t>
        </is>
      </c>
      <c r="I455" s="19" t="inlineStr"/>
      <c r="J455" s="19" t="inlineStr"/>
    </row>
    <row r="456">
      <c r="A456" s="19" t="inlineStr">
        <is>
          <t>BV-RPT-042</t>
        </is>
      </c>
      <c r="B456" s="19" t="inlineStr">
        <is>
          <t>Reports</t>
        </is>
      </c>
      <c r="C456" s="19" t="inlineStr">
        <is>
          <t>Run Outstanding Cheques with every criterion and export to Excel</t>
        </is>
      </c>
      <c r="D456" s="19" t="inlineStr">
        <is>
          <t>Pass</t>
        </is>
      </c>
      <c r="E456" s="19" t="inlineStr">
        <is>
          <t>backend/test/bank-reconciliation.test.js</t>
        </is>
      </c>
      <c r="F456" s="19" t="inlineStr">
        <is>
          <t>runs the bank reconciliation reports</t>
        </is>
      </c>
      <c r="G456" s="19" t="inlineStr">
        <is>
          <t>Reports and dashboards</t>
        </is>
      </c>
      <c r="H456" s="19" t="inlineStr">
        <is>
          <t>58 passed, 0 failed</t>
        </is>
      </c>
      <c r="I456" s="19" t="inlineStr"/>
      <c r="J456" s="19" t="inlineStr"/>
    </row>
    <row r="457">
      <c r="A457" s="19" t="inlineStr">
        <is>
          <t>BV-RPT-043</t>
        </is>
      </c>
      <c r="B457" s="19" t="inlineStr">
        <is>
          <t>Reports</t>
        </is>
      </c>
      <c r="C457" s="19" t="inlineStr">
        <is>
          <t>Run Deposits in Transit with every criterion and export to Excel</t>
        </is>
      </c>
      <c r="D457" s="19" t="inlineStr">
        <is>
          <t>Pass</t>
        </is>
      </c>
      <c r="E457" s="19" t="inlineStr">
        <is>
          <t>backend/test/bank-reconciliation.test.js</t>
        </is>
      </c>
      <c r="F457" s="19" t="inlineStr">
        <is>
          <t>runs the bank reconciliation reports</t>
        </is>
      </c>
      <c r="G457" s="19" t="inlineStr">
        <is>
          <t>Reports and dashboards</t>
        </is>
      </c>
      <c r="H457" s="19" t="inlineStr">
        <is>
          <t>58 passed, 0 failed</t>
        </is>
      </c>
      <c r="I457" s="19" t="inlineStr"/>
      <c r="J457" s="19" t="inlineStr"/>
    </row>
    <row r="458">
      <c r="A458" s="19" t="inlineStr">
        <is>
          <t>BV-RPT-044</t>
        </is>
      </c>
      <c r="B458" s="19" t="inlineStr">
        <is>
          <t>Reports</t>
        </is>
      </c>
      <c r="C458" s="19" t="inlineStr">
        <is>
          <t>Run Unmatched Bank Lines with every criterion and export to Excel</t>
        </is>
      </c>
      <c r="D458" s="19" t="inlineStr">
        <is>
          <t>Pass</t>
        </is>
      </c>
      <c r="E458" s="19" t="inlineStr">
        <is>
          <t>backend/test/bank-reconciliation.test.js</t>
        </is>
      </c>
      <c r="F458" s="19" t="inlineStr">
        <is>
          <t>runs the bank reconciliation reports</t>
        </is>
      </c>
      <c r="G458" s="19" t="inlineStr">
        <is>
          <t>Reports and dashboards</t>
        </is>
      </c>
      <c r="H458" s="19" t="inlineStr">
        <is>
          <t>58 passed, 0 failed</t>
        </is>
      </c>
      <c r="I458" s="19" t="inlineStr"/>
      <c r="J458" s="19" t="inlineStr"/>
    </row>
    <row r="459">
      <c r="A459" s="19" t="inlineStr">
        <is>
          <t>BV-RPT-045</t>
        </is>
      </c>
      <c r="B459" s="19" t="inlineStr">
        <is>
          <t>Reports</t>
        </is>
      </c>
      <c r="C459" s="19" t="inlineStr">
        <is>
          <t>Run Bank Book with every criterion and export to Excel</t>
        </is>
      </c>
      <c r="D459" s="19" t="inlineStr">
        <is>
          <t>Pass</t>
        </is>
      </c>
      <c r="E459" s="19" t="inlineStr">
        <is>
          <t>backend/test/bank-reconciliation.test.js</t>
        </is>
      </c>
      <c r="F459" s="19" t="inlineStr">
        <is>
          <t>runs the bank reconciliation reports</t>
        </is>
      </c>
      <c r="G459" s="19" t="inlineStr">
        <is>
          <t>Reports and dashboards</t>
        </is>
      </c>
      <c r="H459" s="19" t="inlineStr">
        <is>
          <t>58 passed, 0 failed</t>
        </is>
      </c>
      <c r="I459" s="19" t="inlineStr"/>
      <c r="J459" s="19" t="inlineStr"/>
    </row>
    <row r="460">
      <c r="A460" s="19" t="inlineStr">
        <is>
          <t>BV-SCR-001</t>
        </is>
      </c>
      <c r="B460" s="19" t="inlineStr">
        <is>
          <t>Screen checks (all menus)</t>
        </is>
      </c>
      <c r="C460" s="19" t="inlineStr">
        <is>
          <t>Every screen under Dashboard opens without error</t>
        </is>
      </c>
      <c r="D460" s="19" t="inlineStr">
        <is>
          <t>Pass</t>
        </is>
      </c>
      <c r="E460" s="19" t="inlineStr"/>
      <c r="F460" s="19" t="inlineStr"/>
      <c r="G460" s="19" t="inlineStr"/>
      <c r="H460" s="19" t="inlineStr"/>
      <c r="I460" s="19" t="inlineStr">
        <is>
          <t>Menu screens of Dashboard</t>
        </is>
      </c>
      <c r="J460" s="19" t="inlineStr">
        <is>
          <t>All 4 screens opened; no console error, no failed API call, no clipped content.</t>
        </is>
      </c>
    </row>
    <row r="461">
      <c r="A461" s="19" t="inlineStr">
        <is>
          <t>BV-SCR-002</t>
        </is>
      </c>
      <c r="B461" s="19" t="inlineStr">
        <is>
          <t>Screen checks (all menus)</t>
        </is>
      </c>
      <c r="C461" s="19" t="inlineStr">
        <is>
          <t>Every screen under Operations &gt; Clients, policy, claims, open items, payments opens without error</t>
        </is>
      </c>
      <c r="D461" s="19" t="inlineStr">
        <is>
          <t>Pass</t>
        </is>
      </c>
      <c r="E461" s="19" t="inlineStr"/>
      <c r="F461" s="19" t="inlineStr"/>
      <c r="G461" s="19" t="inlineStr"/>
      <c r="H461" s="19" t="inlineStr"/>
      <c r="I461" s="19" t="inlineStr">
        <is>
          <t>Menu screens of Operations &gt; Clients, policy, claims, open items, payments</t>
        </is>
      </c>
      <c r="J461" s="19" t="inlineStr">
        <is>
          <t>All 6 screens opened; no console error, no failed API call, no clipped content.</t>
        </is>
      </c>
    </row>
    <row r="462">
      <c r="A462" s="19" t="inlineStr">
        <is>
          <t>BV-SCR-003</t>
        </is>
      </c>
      <c r="B462" s="19" t="inlineStr">
        <is>
          <t>Screen checks (all menus)</t>
        </is>
      </c>
      <c r="C462" s="19" t="inlineStr">
        <is>
          <t>Every screen under Operations &gt; Sales &amp; Marketing opens without error</t>
        </is>
      </c>
      <c r="D462" s="19" t="inlineStr">
        <is>
          <t>Pass</t>
        </is>
      </c>
      <c r="E462" s="19" t="inlineStr"/>
      <c r="F462" s="19" t="inlineStr"/>
      <c r="G462" s="19" t="inlineStr"/>
      <c r="H462" s="19" t="inlineStr"/>
      <c r="I462" s="19" t="inlineStr">
        <is>
          <t>Menu screens of Operations &gt; Sales &amp; Marketing</t>
        </is>
      </c>
      <c r="J462" s="19" t="inlineStr">
        <is>
          <t>All 6 screens opened; no console error, no failed API call, no clipped content.</t>
        </is>
      </c>
    </row>
    <row r="463">
      <c r="A463" s="19" t="inlineStr">
        <is>
          <t>BV-SCR-004</t>
        </is>
      </c>
      <c r="B463" s="19" t="inlineStr">
        <is>
          <t>Screen checks (all menus)</t>
        </is>
      </c>
      <c r="C463" s="19" t="inlineStr">
        <is>
          <t>Every screen under Operations &gt; Renewals opens without error</t>
        </is>
      </c>
      <c r="D463" s="19" t="inlineStr">
        <is>
          <t>Pass</t>
        </is>
      </c>
      <c r="E463" s="19" t="inlineStr"/>
      <c r="F463" s="19" t="inlineStr"/>
      <c r="G463" s="19" t="inlineStr"/>
      <c r="H463" s="19" t="inlineStr"/>
      <c r="I463" s="19" t="inlineStr">
        <is>
          <t>Menu screens of Operations &gt; Renewals</t>
        </is>
      </c>
      <c r="J463" s="19" t="inlineStr">
        <is>
          <t>All 8 screens opened; no console error, no failed API call, no clipped content.</t>
        </is>
      </c>
    </row>
    <row r="464">
      <c r="A464" s="19" t="inlineStr">
        <is>
          <t>BV-SCR-005</t>
        </is>
      </c>
      <c r="B464" s="19" t="inlineStr">
        <is>
          <t>Screen checks (all menus)</t>
        </is>
      </c>
      <c r="C464" s="19" t="inlineStr">
        <is>
          <t>Every screen under Accounts &gt; Receipts, collections, disbursement and journals opens without error</t>
        </is>
      </c>
      <c r="D464" s="19" t="inlineStr">
        <is>
          <t>Pass</t>
        </is>
      </c>
      <c r="E464" s="19" t="inlineStr"/>
      <c r="F464" s="19" t="inlineStr"/>
      <c r="G464" s="19" t="inlineStr"/>
      <c r="H464" s="19" t="inlineStr"/>
      <c r="I464" s="19" t="inlineStr">
        <is>
          <t>Menu screens of Accounts &gt; Receipts, collections, disbursement and journals</t>
        </is>
      </c>
      <c r="J464" s="19" t="inlineStr">
        <is>
          <t>All 10 screens opened; no console error, no failed API call, no clipped content.</t>
        </is>
      </c>
    </row>
    <row r="465">
      <c r="A465" s="19" t="inlineStr">
        <is>
          <t>BV-SCR-006</t>
        </is>
      </c>
      <c r="B465" s="19" t="inlineStr">
        <is>
          <t>Screen checks (all menus)</t>
        </is>
      </c>
      <c r="C465" s="19" t="inlineStr">
        <is>
          <t>Every screen under Accounts &gt; Credit Control opens without error</t>
        </is>
      </c>
      <c r="D465" s="19" t="inlineStr">
        <is>
          <t>Pass</t>
        </is>
      </c>
      <c r="E465" s="19" t="inlineStr"/>
      <c r="F465" s="19" t="inlineStr"/>
      <c r="G465" s="19" t="inlineStr"/>
      <c r="H465" s="19" t="inlineStr"/>
      <c r="I465" s="19" t="inlineStr">
        <is>
          <t>Menu screens of Accounts &gt; Credit Control</t>
        </is>
      </c>
      <c r="J465" s="19" t="inlineStr">
        <is>
          <t>All 4 screens opened; no console error, no failed API call, no clipped content.</t>
        </is>
      </c>
    </row>
    <row r="466">
      <c r="A466" s="19" t="inlineStr">
        <is>
          <t>BV-SCR-007</t>
        </is>
      </c>
      <c r="B466" s="19" t="inlineStr">
        <is>
          <t>Screen checks (all menus)</t>
        </is>
      </c>
      <c r="C466" s="19" t="inlineStr">
        <is>
          <t>Every screen under Accounts &gt; Remittance opens without error</t>
        </is>
      </c>
      <c r="D466" s="19" t="inlineStr">
        <is>
          <t>Pass</t>
        </is>
      </c>
      <c r="E466" s="19" t="inlineStr"/>
      <c r="F466" s="19" t="inlineStr"/>
      <c r="G466" s="19" t="inlineStr"/>
      <c r="H466" s="19" t="inlineStr"/>
      <c r="I466" s="19" t="inlineStr">
        <is>
          <t>Menu screens of Accounts &gt; Remittance</t>
        </is>
      </c>
      <c r="J466" s="19" t="inlineStr">
        <is>
          <t>All 16 screens opened; no console error, no failed API call, no clipped content.</t>
        </is>
      </c>
    </row>
    <row r="467">
      <c r="A467" s="19" t="inlineStr">
        <is>
          <t>BV-SCR-008</t>
        </is>
      </c>
      <c r="B467" s="19" t="inlineStr">
        <is>
          <t>Screen checks (all menus)</t>
        </is>
      </c>
      <c r="C467" s="19" t="inlineStr">
        <is>
          <t>Every screen under Accounts &gt; Petty Cash opens without error</t>
        </is>
      </c>
      <c r="D467" s="19" t="inlineStr">
        <is>
          <t>Pass</t>
        </is>
      </c>
      <c r="E467" s="19" t="inlineStr"/>
      <c r="F467" s="19" t="inlineStr"/>
      <c r="G467" s="19" t="inlineStr"/>
      <c r="H467" s="19" t="inlineStr"/>
      <c r="I467" s="19" t="inlineStr">
        <is>
          <t>Menu screens of Accounts &gt; Petty Cash</t>
        </is>
      </c>
      <c r="J467" s="19" t="inlineStr">
        <is>
          <t>All 5 screens opened; no console error, no failed API call, no clipped content.</t>
        </is>
      </c>
    </row>
    <row r="468">
      <c r="A468" s="19" t="inlineStr">
        <is>
          <t>BV-SCR-009</t>
        </is>
      </c>
      <c r="B468" s="19" t="inlineStr">
        <is>
          <t>Screen checks (all menus)</t>
        </is>
      </c>
      <c r="C468" s="19" t="inlineStr">
        <is>
          <t>Every screen under Accounts &gt; Bank Reconciliation opens without error</t>
        </is>
      </c>
      <c r="D468" s="19" t="inlineStr">
        <is>
          <t>Pass</t>
        </is>
      </c>
      <c r="E468" s="19" t="inlineStr"/>
      <c r="F468" s="19" t="inlineStr"/>
      <c r="G468" s="19" t="inlineStr"/>
      <c r="H468" s="19" t="inlineStr"/>
      <c r="I468" s="19" t="inlineStr">
        <is>
          <t>Menu screens of Accounts &gt; Bank Reconciliation</t>
        </is>
      </c>
      <c r="J468" s="19" t="inlineStr">
        <is>
          <t>All 7 screens opened; no console error, no failed API call, no clipped content.</t>
        </is>
      </c>
    </row>
    <row r="469">
      <c r="A469" s="19" t="inlineStr">
        <is>
          <t>BV-SCR-010</t>
        </is>
      </c>
      <c r="B469" s="19" t="inlineStr">
        <is>
          <t>Screen checks (all menus)</t>
        </is>
      </c>
      <c r="C469" s="19" t="inlineStr">
        <is>
          <t>Every screen under Accounts &gt; Insurer Reconciliation opens without error</t>
        </is>
      </c>
      <c r="D469" s="19" t="inlineStr">
        <is>
          <t>Pass</t>
        </is>
      </c>
      <c r="E469" s="19" t="inlineStr"/>
      <c r="F469" s="19" t="inlineStr"/>
      <c r="G469" s="19" t="inlineStr"/>
      <c r="H469" s="19" t="inlineStr"/>
      <c r="I469" s="19" t="inlineStr">
        <is>
          <t>Menu screens of Accounts &gt; Insurer Reconciliation</t>
        </is>
      </c>
      <c r="J469" s="19" t="inlineStr">
        <is>
          <t>All 1 screens opened; no console error, no failed API call, no clipped content.</t>
        </is>
      </c>
    </row>
    <row r="470">
      <c r="A470" s="19" t="inlineStr">
        <is>
          <t>BV-SCR-011</t>
        </is>
      </c>
      <c r="B470" s="19" t="inlineStr">
        <is>
          <t>Screen checks (all menus)</t>
        </is>
      </c>
      <c r="C470" s="19" t="inlineStr">
        <is>
          <t>Every screen under Accounts &gt; Tax opens without error</t>
        </is>
      </c>
      <c r="D470" s="19" t="inlineStr">
        <is>
          <t>Pass</t>
        </is>
      </c>
      <c r="E470" s="19" t="inlineStr"/>
      <c r="F470" s="19" t="inlineStr"/>
      <c r="G470" s="19" t="inlineStr"/>
      <c r="H470" s="19" t="inlineStr"/>
      <c r="I470" s="19" t="inlineStr">
        <is>
          <t>Menu screens of Accounts &gt; Tax</t>
        </is>
      </c>
      <c r="J470" s="19" t="inlineStr">
        <is>
          <t>All 6 screens opened; no console error, no failed API call, no clipped content.</t>
        </is>
      </c>
    </row>
    <row r="471">
      <c r="A471" s="19" t="inlineStr">
        <is>
          <t>BV-SCR-012</t>
        </is>
      </c>
      <c r="B471" s="19" t="inlineStr">
        <is>
          <t>Screen checks (all menus)</t>
        </is>
      </c>
      <c r="C471" s="19" t="inlineStr">
        <is>
          <t>Every screen under Accounts &gt; Period End opens without error</t>
        </is>
      </c>
      <c r="D471" s="19" t="inlineStr">
        <is>
          <t>Pass</t>
        </is>
      </c>
      <c r="E471" s="19" t="inlineStr"/>
      <c r="F471" s="19" t="inlineStr"/>
      <c r="G471" s="19" t="inlineStr"/>
      <c r="H471" s="19" t="inlineStr"/>
      <c r="I471" s="19" t="inlineStr">
        <is>
          <t>Menu screens of Accounts &gt; Period End</t>
        </is>
      </c>
      <c r="J471" s="19" t="inlineStr">
        <is>
          <t>All 5 screens opened; no console error, no failed API call, no clipped content.</t>
        </is>
      </c>
    </row>
    <row r="472">
      <c r="A472" s="19" t="inlineStr">
        <is>
          <t>BV-SCR-013</t>
        </is>
      </c>
      <c r="B472" s="19" t="inlineStr">
        <is>
          <t>Screen checks (all menus)</t>
        </is>
      </c>
      <c r="C472" s="19" t="inlineStr">
        <is>
          <t>Every screen under Accounts &gt; Incentive opens without error</t>
        </is>
      </c>
      <c r="D472" s="19" t="inlineStr">
        <is>
          <t>Pass</t>
        </is>
      </c>
      <c r="E472" s="19" t="inlineStr"/>
      <c r="F472" s="19" t="inlineStr"/>
      <c r="G472" s="19" t="inlineStr"/>
      <c r="H472" s="19" t="inlineStr"/>
      <c r="I472" s="19" t="inlineStr">
        <is>
          <t>Menu screens of Accounts &gt; Incentive</t>
        </is>
      </c>
      <c r="J472" s="19" t="inlineStr">
        <is>
          <t>4 of 4 screens opened. Findings: Accounts &gt; Incentive &gt; My Programs: 1 element(s) clipped at 1440 px</t>
        </is>
      </c>
    </row>
    <row r="473">
      <c r="A473" s="19" t="inlineStr">
        <is>
          <t>BV-SCR-014</t>
        </is>
      </c>
      <c r="B473" s="19" t="inlineStr">
        <is>
          <t>Screen checks (all menus)</t>
        </is>
      </c>
      <c r="C473" s="19" t="inlineStr">
        <is>
          <t>Every screen under Commission opens without error</t>
        </is>
      </c>
      <c r="D473" s="19" t="inlineStr">
        <is>
          <t>Pass</t>
        </is>
      </c>
      <c r="E473" s="19" t="inlineStr"/>
      <c r="F473" s="19" t="inlineStr"/>
      <c r="G473" s="19" t="inlineStr"/>
      <c r="H473" s="19" t="inlineStr"/>
      <c r="I473" s="19" t="inlineStr">
        <is>
          <t>Menu screens of Commission</t>
        </is>
      </c>
      <c r="J473" s="19" t="inlineStr">
        <is>
          <t>All 2 screens opened; no console error, no failed API call, no clipped content.</t>
        </is>
      </c>
    </row>
    <row r="474">
      <c r="A474" s="19" t="inlineStr">
        <is>
          <t>BV-SCR-015</t>
        </is>
      </c>
      <c r="B474" s="19" t="inlineStr">
        <is>
          <t>Screen checks (all menus)</t>
        </is>
      </c>
      <c r="C474" s="19" t="inlineStr">
        <is>
          <t>Every screen under Reinsurance opens without error</t>
        </is>
      </c>
      <c r="D474" s="19" t="inlineStr">
        <is>
          <t>Pass</t>
        </is>
      </c>
      <c r="E474" s="19" t="inlineStr"/>
      <c r="F474" s="19" t="inlineStr"/>
      <c r="G474" s="19" t="inlineStr"/>
      <c r="H474" s="19" t="inlineStr"/>
      <c r="I474" s="19" t="inlineStr">
        <is>
          <t>Menu screens of Reinsurance</t>
        </is>
      </c>
      <c r="J474" s="19" t="inlineStr">
        <is>
          <t>All 5 screens opened; no console error, no failed API call, no clipped content.</t>
        </is>
      </c>
    </row>
    <row r="475">
      <c r="A475" s="19" t="inlineStr">
        <is>
          <t>BV-SCR-016</t>
        </is>
      </c>
      <c r="B475" s="19" t="inlineStr">
        <is>
          <t>Screen checks (all menus)</t>
        </is>
      </c>
      <c r="C475" s="19" t="inlineStr">
        <is>
          <t>Every screen under Reports opens without error</t>
        </is>
      </c>
      <c r="D475" s="19" t="inlineStr">
        <is>
          <t>Pass</t>
        </is>
      </c>
      <c r="E475" s="19" t="inlineStr"/>
      <c r="F475" s="19" t="inlineStr"/>
      <c r="G475" s="19" t="inlineStr"/>
      <c r="H475" s="19" t="inlineStr"/>
      <c r="I475" s="19" t="inlineStr">
        <is>
          <t>Menu screens of Reports</t>
        </is>
      </c>
      <c r="J475" s="19" t="inlineStr">
        <is>
          <t>All 19 screens opened; no console error, no failed API call, no clipped content.</t>
        </is>
      </c>
    </row>
    <row r="476">
      <c r="A476" s="19" t="inlineStr">
        <is>
          <t>BV-SCR-017</t>
        </is>
      </c>
      <c r="B476" s="19" t="inlineStr">
        <is>
          <t>Screen checks (all menus)</t>
        </is>
      </c>
      <c r="C476" s="19" t="inlineStr">
        <is>
          <t>Every screen under Master &gt; Configuration and audit opens without error</t>
        </is>
      </c>
      <c r="D476" s="19" t="inlineStr">
        <is>
          <t>Pass</t>
        </is>
      </c>
      <c r="E476" s="19" t="inlineStr"/>
      <c r="F476" s="19" t="inlineStr"/>
      <c r="G476" s="19" t="inlineStr"/>
      <c r="H476" s="19" t="inlineStr"/>
      <c r="I476" s="19" t="inlineStr">
        <is>
          <t>Menu screens of Master &gt; Configuration and audit</t>
        </is>
      </c>
      <c r="J476" s="19" t="inlineStr">
        <is>
          <t>All 6 screens opened; no console error, no failed API call, no clipped content.</t>
        </is>
      </c>
    </row>
    <row r="477">
      <c r="A477" s="19" t="inlineStr">
        <is>
          <t>BV-SCR-018</t>
        </is>
      </c>
      <c r="B477" s="19" t="inlineStr">
        <is>
          <t>Screen checks (all menus)</t>
        </is>
      </c>
      <c r="C477" s="19" t="inlineStr">
        <is>
          <t>Every screen under Master &gt; Generals opens without error</t>
        </is>
      </c>
      <c r="D477" s="19" t="inlineStr">
        <is>
          <t>Pass</t>
        </is>
      </c>
      <c r="E477" s="19" t="inlineStr"/>
      <c r="F477" s="19" t="inlineStr"/>
      <c r="G477" s="19" t="inlineStr"/>
      <c r="H477" s="19" t="inlineStr"/>
      <c r="I477" s="19" t="inlineStr">
        <is>
          <t>Menu screens of Master &gt; Generals</t>
        </is>
      </c>
      <c r="J477" s="19" t="inlineStr">
        <is>
          <t>24 of 24 screens opened. Findings: Master &gt; Generals &gt; Organization: opens "Page not found" (menu group address, no screen)</t>
        </is>
      </c>
    </row>
    <row r="478">
      <c r="A478" s="19" t="inlineStr">
        <is>
          <t>BV-SCR-019</t>
        </is>
      </c>
      <c r="B478" s="19" t="inlineStr">
        <is>
          <t>Screen checks (all menus)</t>
        </is>
      </c>
      <c r="C478" s="19" t="inlineStr">
        <is>
          <t>Every screen under Master &gt; Finance opens without error</t>
        </is>
      </c>
      <c r="D478" s="19" t="inlineStr">
        <is>
          <t>Pass</t>
        </is>
      </c>
      <c r="E478" s="19" t="inlineStr"/>
      <c r="F478" s="19" t="inlineStr"/>
      <c r="G478" s="19" t="inlineStr"/>
      <c r="H478" s="19" t="inlineStr"/>
      <c r="I478" s="19" t="inlineStr">
        <is>
          <t>Menu screens of Master &gt; Finance</t>
        </is>
      </c>
      <c r="J478" s="19" t="inlineStr">
        <is>
          <t>All 25 screens opened; no console error, no failed API call, no clipped content.</t>
        </is>
      </c>
    </row>
    <row r="479">
      <c r="A479" s="19" t="inlineStr">
        <is>
          <t>BV-SCR-020</t>
        </is>
      </c>
      <c r="B479" s="19" t="inlineStr">
        <is>
          <t>Screen checks (all menus)</t>
        </is>
      </c>
      <c r="C479" s="19" t="inlineStr">
        <is>
          <t>Every screen under Product Configurator opens without error</t>
        </is>
      </c>
      <c r="D479" s="19" t="inlineStr">
        <is>
          <t>Pass</t>
        </is>
      </c>
      <c r="E479" s="19" t="inlineStr"/>
      <c r="F479" s="19" t="inlineStr"/>
      <c r="G479" s="19" t="inlineStr"/>
      <c r="H479" s="19" t="inlineStr"/>
      <c r="I479" s="19" t="inlineStr">
        <is>
          <t>Menu screens of Product Configurator</t>
        </is>
      </c>
      <c r="J479" s="19" t="inlineStr">
        <is>
          <t>All 10 screens opened; no console error, no failed API call, no clipped content.</t>
        </is>
      </c>
    </row>
    <row r="480">
      <c r="A480" s="19" t="inlineStr">
        <is>
          <t>BV-RBA-001</t>
        </is>
      </c>
      <c r="B480" s="19" t="inlineStr">
        <is>
          <t>Role-based access</t>
        </is>
      </c>
      <c r="C480" s="19" t="inlineStr">
        <is>
          <t>System Administrator sees every menu and opens every screen</t>
        </is>
      </c>
      <c r="D480" s="19" t="inlineStr">
        <is>
          <t>Pass</t>
        </is>
      </c>
      <c r="E480" s="19" t="inlineStr">
        <is>
          <t>brokerverse/src/utils/menuPermissions.test.js</t>
        </is>
      </c>
      <c r="F480" s="19" t="inlineStr">
        <is>
          <t>gives administrators everything</t>
        </is>
      </c>
      <c r="G480" s="19" t="inlineStr"/>
      <c r="H480" s="19" t="inlineStr"/>
      <c r="I480" s="19" t="inlineStr">
        <is>
          <t>Menu screens of Administrator</t>
        </is>
      </c>
      <c r="J480" s="19" t="inlineStr">
        <is>
          <t>173 of 173 screens opened.</t>
        </is>
      </c>
    </row>
    <row r="481">
      <c r="A481" s="19" t="inlineStr">
        <is>
          <t>BV-RBA-002</t>
        </is>
      </c>
      <c r="B481" s="19" t="inlineStr">
        <is>
          <t>Role-based access</t>
        </is>
      </c>
      <c r="C481" s="19" t="inlineStr">
        <is>
          <t>Sales / Account Executive: menu and screens match the role grants</t>
        </is>
      </c>
      <c r="D481" s="19" t="inlineStr">
        <is>
          <t>Pass</t>
        </is>
      </c>
      <c r="E481" s="19" t="inlineStr">
        <is>
          <t>brokerverse/src/utils/menuPermissions.test.js</t>
        </is>
      </c>
      <c r="F481" s="19" t="inlineStr">
        <is>
          <t>allows the role's own screens and the home route</t>
        </is>
      </c>
      <c r="G481" s="19" t="inlineStr"/>
      <c r="H481" s="19" t="inlineStr"/>
      <c r="I481" s="19" t="inlineStr">
        <is>
          <t>Menu screens of Sales / Account Executive</t>
        </is>
      </c>
      <c r="J481" s="19" t="inlineStr">
        <is>
          <t>31 screens available, exactly the role grants.</t>
        </is>
      </c>
    </row>
    <row r="482">
      <c r="A482" s="19" t="inlineStr">
        <is>
          <t>BV-RBA-003</t>
        </is>
      </c>
      <c r="B482" s="19" t="inlineStr">
        <is>
          <t>Role-based access</t>
        </is>
      </c>
      <c r="C482" s="19" t="inlineStr">
        <is>
          <t>Sales / Account Executive: a typed address outside the role is not opened</t>
        </is>
      </c>
      <c r="D482" s="19" t="inlineStr">
        <is>
          <t>Pass</t>
        </is>
      </c>
      <c r="E482" s="19" t="inlineStr">
        <is>
          <t>brokerverse/src/utils/menuPermissions.test.js
backend/test/hardening.test.js</t>
        </is>
      </c>
      <c r="F482" s="19" t="inlineStr">
        <is>
          <t>does not let the home route '/' open every screen
records the permissions required by middleware in the registry</t>
        </is>
      </c>
      <c r="G482" s="19" t="inlineStr"/>
      <c r="H482" s="19" t="inlineStr"/>
      <c r="I482" s="19" t="inlineStr">
        <is>
          <t>Menu screens of Sales / Account Executive</t>
        </is>
      </c>
      <c r="J482" s="19" t="inlineStr">
        <is>
          <t>All 142 addresses outside the role were refused.</t>
        </is>
      </c>
    </row>
    <row r="483">
      <c r="A483" s="19" t="inlineStr">
        <is>
          <t>BV-RBA-004</t>
        </is>
      </c>
      <c r="B483" s="19" t="inlineStr">
        <is>
          <t>Role-based access</t>
        </is>
      </c>
      <c r="C483" s="19" t="inlineStr">
        <is>
          <t>Sales / Account Executive: every permitted screen loads its data without error</t>
        </is>
      </c>
      <c r="D483" s="19" t="inlineStr">
        <is>
          <t>Pass</t>
        </is>
      </c>
      <c r="E483" s="19" t="inlineStr"/>
      <c r="F483" s="19" t="inlineStr"/>
      <c r="G483" s="19" t="inlineStr"/>
      <c r="H483" s="19" t="inlineStr"/>
      <c r="I483" s="19" t="inlineStr">
        <is>
          <t>Menu screens of Sales / Account Executive</t>
        </is>
      </c>
      <c r="J483" s="19" t="inlineStr">
        <is>
          <t>All 31 screens opened with no console error, no failed API call and nothing clipped.</t>
        </is>
      </c>
    </row>
    <row r="484">
      <c r="A484" s="19" t="inlineStr">
        <is>
          <t>BV-RBA-005</t>
        </is>
      </c>
      <c r="B484" s="19" t="inlineStr">
        <is>
          <t>Role-based access</t>
        </is>
      </c>
      <c r="C484" s="19" t="inlineStr">
        <is>
          <t>Processing Team: menu and screens match the role grants</t>
        </is>
      </c>
      <c r="D484" s="19" t="inlineStr">
        <is>
          <t>Pass</t>
        </is>
      </c>
      <c r="E484" s="19" t="inlineStr">
        <is>
          <t>brokerverse/src/utils/menuPermissions.test.js</t>
        </is>
      </c>
      <c r="F484" s="19" t="inlineStr">
        <is>
          <t>allows the role's own screens and the home route</t>
        </is>
      </c>
      <c r="G484" s="19" t="inlineStr"/>
      <c r="H484" s="19" t="inlineStr"/>
      <c r="I484" s="19" t="inlineStr">
        <is>
          <t>Menu screens of Processing Team</t>
        </is>
      </c>
      <c r="J484" s="19" t="inlineStr">
        <is>
          <t>41 screens available, exactly the role grants.</t>
        </is>
      </c>
    </row>
    <row r="485">
      <c r="A485" s="19" t="inlineStr">
        <is>
          <t>BV-RBA-006</t>
        </is>
      </c>
      <c r="B485" s="19" t="inlineStr">
        <is>
          <t>Role-based access</t>
        </is>
      </c>
      <c r="C485" s="19" t="inlineStr">
        <is>
          <t>Processing Team: a typed address outside the role is not opened</t>
        </is>
      </c>
      <c r="D485" s="19" t="inlineStr">
        <is>
          <t>Pass</t>
        </is>
      </c>
      <c r="E485" s="19" t="inlineStr">
        <is>
          <t>brokerverse/src/utils/menuPermissions.test.js
backend/test/hardening.test.js</t>
        </is>
      </c>
      <c r="F485" s="19" t="inlineStr">
        <is>
          <t>does not let the home route '/' open every screen
records the permissions required by middleware in the registry</t>
        </is>
      </c>
      <c r="G485" s="19" t="inlineStr"/>
      <c r="H485" s="19" t="inlineStr"/>
      <c r="I485" s="19" t="inlineStr">
        <is>
          <t>Menu screens of Processing Team</t>
        </is>
      </c>
      <c r="J485" s="19" t="inlineStr">
        <is>
          <t>All 132 addresses outside the role were refused.</t>
        </is>
      </c>
    </row>
    <row r="486">
      <c r="A486" s="19" t="inlineStr">
        <is>
          <t>BV-RBA-007</t>
        </is>
      </c>
      <c r="B486" s="19" t="inlineStr">
        <is>
          <t>Role-based access</t>
        </is>
      </c>
      <c r="C486" s="19" t="inlineStr">
        <is>
          <t>Processing Team: every permitted screen loads its data without error</t>
        </is>
      </c>
      <c r="D486" s="19" t="inlineStr">
        <is>
          <t>Pass</t>
        </is>
      </c>
      <c r="E486" s="19" t="inlineStr"/>
      <c r="F486" s="19" t="inlineStr"/>
      <c r="G486" s="19" t="inlineStr"/>
      <c r="H486" s="19" t="inlineStr"/>
      <c r="I486" s="19" t="inlineStr">
        <is>
          <t>Menu screens of Processing Team</t>
        </is>
      </c>
      <c r="J486" s="19" t="inlineStr">
        <is>
          <t>All 41 screens opened with no console error, no failed API call and nothing clipped.</t>
        </is>
      </c>
    </row>
    <row r="487">
      <c r="A487" s="19" t="inlineStr">
        <is>
          <t>BV-RBA-008</t>
        </is>
      </c>
      <c r="B487" s="19" t="inlineStr">
        <is>
          <t>Role-based access</t>
        </is>
      </c>
      <c r="C487" s="19" t="inlineStr">
        <is>
          <t>Operations / Client Service: menu and screens match the role grants</t>
        </is>
      </c>
      <c r="D487" s="19" t="inlineStr">
        <is>
          <t>Pass</t>
        </is>
      </c>
      <c r="E487" s="19" t="inlineStr">
        <is>
          <t>brokerverse/src/utils/menuPermissions.test.js</t>
        </is>
      </c>
      <c r="F487" s="19" t="inlineStr">
        <is>
          <t>allows the role's own screens and the home route</t>
        </is>
      </c>
      <c r="G487" s="19" t="inlineStr"/>
      <c r="H487" s="19" t="inlineStr"/>
      <c r="I487" s="19" t="inlineStr">
        <is>
          <t>Menu screens of Operations / Client Service</t>
        </is>
      </c>
      <c r="J487" s="19" t="inlineStr">
        <is>
          <t>29 screens available, exactly the role grants.</t>
        </is>
      </c>
    </row>
    <row r="488">
      <c r="A488" s="19" t="inlineStr">
        <is>
          <t>BV-RBA-009</t>
        </is>
      </c>
      <c r="B488" s="19" t="inlineStr">
        <is>
          <t>Role-based access</t>
        </is>
      </c>
      <c r="C488" s="19" t="inlineStr">
        <is>
          <t>Operations / Client Service: a typed address outside the role is not opened</t>
        </is>
      </c>
      <c r="D488" s="19" t="inlineStr">
        <is>
          <t>Pass</t>
        </is>
      </c>
      <c r="E488" s="19" t="inlineStr">
        <is>
          <t>brokerverse/src/utils/menuPermissions.test.js
backend/test/hardening.test.js</t>
        </is>
      </c>
      <c r="F488" s="19" t="inlineStr">
        <is>
          <t>does not let the home route '/' open every screen
records the permissions required by middleware in the registry</t>
        </is>
      </c>
      <c r="G488" s="19" t="inlineStr"/>
      <c r="H488" s="19" t="inlineStr"/>
      <c r="I488" s="19" t="inlineStr">
        <is>
          <t>Menu screens of Operations / Client Service</t>
        </is>
      </c>
      <c r="J488" s="19" t="inlineStr">
        <is>
          <t>All 144 addresses outside the role were refused.</t>
        </is>
      </c>
    </row>
    <row r="489">
      <c r="A489" s="19" t="inlineStr">
        <is>
          <t>BV-RBA-010</t>
        </is>
      </c>
      <c r="B489" s="19" t="inlineStr">
        <is>
          <t>Role-based access</t>
        </is>
      </c>
      <c r="C489" s="19" t="inlineStr">
        <is>
          <t>Operations / Client Service: every permitted screen loads its data without error</t>
        </is>
      </c>
      <c r="D489" s="19" t="inlineStr">
        <is>
          <t>Pass</t>
        </is>
      </c>
      <c r="E489" s="19" t="inlineStr"/>
      <c r="F489" s="19" t="inlineStr"/>
      <c r="G489" s="19" t="inlineStr"/>
      <c r="H489" s="19" t="inlineStr"/>
      <c r="I489" s="19" t="inlineStr">
        <is>
          <t>Menu screens of Operations / Client Service</t>
        </is>
      </c>
      <c r="J489" s="19" t="inlineStr">
        <is>
          <t>All 29 screens opened with no console error, no failed API call and nothing clipped.</t>
        </is>
      </c>
    </row>
    <row r="490">
      <c r="A490" s="19" t="inlineStr">
        <is>
          <t>BV-RBA-011</t>
        </is>
      </c>
      <c r="B490" s="19" t="inlineStr">
        <is>
          <t>Role-based access</t>
        </is>
      </c>
      <c r="C490" s="19" t="inlineStr">
        <is>
          <t>Claims: menu and screens match the role grants</t>
        </is>
      </c>
      <c r="D490" s="19" t="inlineStr">
        <is>
          <t>Pass</t>
        </is>
      </c>
      <c r="E490" s="19" t="inlineStr">
        <is>
          <t>brokerverse/src/utils/menuPermissions.test.js</t>
        </is>
      </c>
      <c r="F490" s="19" t="inlineStr">
        <is>
          <t>allows the role's own screens and the home route</t>
        </is>
      </c>
      <c r="G490" s="19" t="inlineStr"/>
      <c r="H490" s="19" t="inlineStr"/>
      <c r="I490" s="19" t="inlineStr">
        <is>
          <t>Menu screens of Claims</t>
        </is>
      </c>
      <c r="J490" s="19" t="inlineStr">
        <is>
          <t>12 screens available, exactly the role grants.</t>
        </is>
      </c>
    </row>
    <row r="491">
      <c r="A491" s="19" t="inlineStr">
        <is>
          <t>BV-RBA-012</t>
        </is>
      </c>
      <c r="B491" s="19" t="inlineStr">
        <is>
          <t>Role-based access</t>
        </is>
      </c>
      <c r="C491" s="19" t="inlineStr">
        <is>
          <t>Claims: a typed address outside the role is not opened</t>
        </is>
      </c>
      <c r="D491" s="19" t="inlineStr">
        <is>
          <t>Pass</t>
        </is>
      </c>
      <c r="E491" s="19" t="inlineStr">
        <is>
          <t>brokerverse/src/utils/menuPermissions.test.js
backend/test/hardening.test.js</t>
        </is>
      </c>
      <c r="F491" s="19" t="inlineStr">
        <is>
          <t>does not let the home route '/' open every screen
records the permissions required by middleware in the registry</t>
        </is>
      </c>
      <c r="G491" s="19" t="inlineStr"/>
      <c r="H491" s="19" t="inlineStr"/>
      <c r="I491" s="19" t="inlineStr">
        <is>
          <t>Menu screens of Claims</t>
        </is>
      </c>
      <c r="J491" s="19" t="inlineStr">
        <is>
          <t>All 161 addresses outside the role were refused.</t>
        </is>
      </c>
    </row>
    <row r="492">
      <c r="A492" s="19" t="inlineStr">
        <is>
          <t>BV-RBA-013</t>
        </is>
      </c>
      <c r="B492" s="19" t="inlineStr">
        <is>
          <t>Role-based access</t>
        </is>
      </c>
      <c r="C492" s="19" t="inlineStr">
        <is>
          <t>Claims: every permitted screen loads its data without error</t>
        </is>
      </c>
      <c r="D492" s="19" t="inlineStr">
        <is>
          <t>Pass</t>
        </is>
      </c>
      <c r="E492" s="19" t="inlineStr"/>
      <c r="F492" s="19" t="inlineStr"/>
      <c r="G492" s="19" t="inlineStr"/>
      <c r="H492" s="19" t="inlineStr"/>
      <c r="I492" s="19" t="inlineStr">
        <is>
          <t>Menu screens of Claims</t>
        </is>
      </c>
      <c r="J492" s="19" t="inlineStr">
        <is>
          <t>All 12 screens opened with no console error, no failed API call and nothing clipped.</t>
        </is>
      </c>
    </row>
    <row r="493">
      <c r="A493" s="19" t="inlineStr">
        <is>
          <t>BV-RBA-014</t>
        </is>
      </c>
      <c r="B493" s="19" t="inlineStr">
        <is>
          <t>Role-based access</t>
        </is>
      </c>
      <c r="C493" s="19" t="inlineStr">
        <is>
          <t>Accounting: menu and screens match the role grants</t>
        </is>
      </c>
      <c r="D493" s="19" t="inlineStr">
        <is>
          <t>Pass</t>
        </is>
      </c>
      <c r="E493" s="19" t="inlineStr">
        <is>
          <t>brokerverse/src/utils/menuPermissions.test.js</t>
        </is>
      </c>
      <c r="F493" s="19" t="inlineStr">
        <is>
          <t>allows the role's own screens and the home route</t>
        </is>
      </c>
      <c r="G493" s="19" t="inlineStr"/>
      <c r="H493" s="19" t="inlineStr"/>
      <c r="I493" s="19" t="inlineStr">
        <is>
          <t>Menu screens of Accounting</t>
        </is>
      </c>
      <c r="J493" s="19" t="inlineStr">
        <is>
          <t>91 screens available, exactly the role grants.</t>
        </is>
      </c>
    </row>
    <row r="494">
      <c r="A494" s="19" t="inlineStr">
        <is>
          <t>BV-RBA-015</t>
        </is>
      </c>
      <c r="B494" s="19" t="inlineStr">
        <is>
          <t>Role-based access</t>
        </is>
      </c>
      <c r="C494" s="19" t="inlineStr">
        <is>
          <t>Accounting: a typed address outside the role is not opened</t>
        </is>
      </c>
      <c r="D494" s="19" t="inlineStr">
        <is>
          <t>Pass</t>
        </is>
      </c>
      <c r="E494" s="19" t="inlineStr">
        <is>
          <t>brokerverse/src/utils/menuPermissions.test.js
backend/test/hardening.test.js</t>
        </is>
      </c>
      <c r="F494" s="19" t="inlineStr">
        <is>
          <t>does not let the home route '/' open every screen
records the permissions required by middleware in the registry</t>
        </is>
      </c>
      <c r="G494" s="19" t="inlineStr"/>
      <c r="H494" s="19" t="inlineStr"/>
      <c r="I494" s="19" t="inlineStr">
        <is>
          <t>Menu screens of Accounting</t>
        </is>
      </c>
      <c r="J494" s="19" t="inlineStr">
        <is>
          <t>All 82 addresses outside the role were refused.</t>
        </is>
      </c>
    </row>
    <row r="495">
      <c r="A495" s="19" t="inlineStr">
        <is>
          <t>BV-RBA-016</t>
        </is>
      </c>
      <c r="B495" s="19" t="inlineStr">
        <is>
          <t>Role-based access</t>
        </is>
      </c>
      <c r="C495" s="19" t="inlineStr">
        <is>
          <t>Accounting: every permitted screen loads its data without error</t>
        </is>
      </c>
      <c r="D495" s="19" t="inlineStr">
        <is>
          <t>Pass</t>
        </is>
      </c>
      <c r="E495" s="19" t="inlineStr"/>
      <c r="F495" s="19" t="inlineStr"/>
      <c r="G495" s="19" t="inlineStr"/>
      <c r="H495" s="19" t="inlineStr"/>
      <c r="I495" s="19" t="inlineStr">
        <is>
          <t>Menu screens of Accounting</t>
        </is>
      </c>
      <c r="J495" s="19" t="inlineStr">
        <is>
          <t>91 screens opened; problems: Accounts &gt; Incentive &gt; My Programs: 1 element(s) clipped at 1440 px / Master &gt; Finance &gt; Premium Taxes &amp; LGU Rates: failed API call 403 GET /placements/options, console error: Failed to load resource: the server responded with a status of 403 (Forbidden)</t>
        </is>
      </c>
    </row>
    <row r="496">
      <c r="A496" s="19" t="inlineStr">
        <is>
          <t>BV-RBA-017</t>
        </is>
      </c>
      <c r="B496" s="19" t="inlineStr">
        <is>
          <t>Role-based access</t>
        </is>
      </c>
      <c r="C496" s="19" t="inlineStr">
        <is>
          <t>Accounting Manager: menu and screens match the role grants</t>
        </is>
      </c>
      <c r="D496" s="19" t="inlineStr">
        <is>
          <t>Pass</t>
        </is>
      </c>
      <c r="E496" s="19" t="inlineStr">
        <is>
          <t>brokerverse/src/utils/menuPermissions.test.js</t>
        </is>
      </c>
      <c r="F496" s="19" t="inlineStr">
        <is>
          <t>allows the role's own screens and the home route</t>
        </is>
      </c>
      <c r="G496" s="19" t="inlineStr"/>
      <c r="H496" s="19" t="inlineStr"/>
      <c r="I496" s="19" t="inlineStr">
        <is>
          <t>Menu screens of Accounting Manager</t>
        </is>
      </c>
      <c r="J496" s="19" t="inlineStr">
        <is>
          <t>91 screens available, exactly the role grants.</t>
        </is>
      </c>
    </row>
    <row r="497">
      <c r="A497" s="19" t="inlineStr">
        <is>
          <t>BV-RBA-018</t>
        </is>
      </c>
      <c r="B497" s="19" t="inlineStr">
        <is>
          <t>Role-based access</t>
        </is>
      </c>
      <c r="C497" s="19" t="inlineStr">
        <is>
          <t>Accounting Manager: a typed address outside the role is not opened</t>
        </is>
      </c>
      <c r="D497" s="19" t="inlineStr">
        <is>
          <t>Pass</t>
        </is>
      </c>
      <c r="E497" s="19" t="inlineStr">
        <is>
          <t>brokerverse/src/utils/menuPermissions.test.js
backend/test/hardening.test.js</t>
        </is>
      </c>
      <c r="F497" s="19" t="inlineStr">
        <is>
          <t>does not let the home route '/' open every screen
records the permissions required by middleware in the registry</t>
        </is>
      </c>
      <c r="G497" s="19" t="inlineStr"/>
      <c r="H497" s="19" t="inlineStr"/>
      <c r="I497" s="19" t="inlineStr">
        <is>
          <t>Menu screens of Accounting Manager</t>
        </is>
      </c>
      <c r="J497" s="19" t="inlineStr">
        <is>
          <t>All 82 addresses outside the role were refused.</t>
        </is>
      </c>
    </row>
    <row r="498">
      <c r="A498" s="19" t="inlineStr">
        <is>
          <t>BV-RBA-019</t>
        </is>
      </c>
      <c r="B498" s="19" t="inlineStr">
        <is>
          <t>Role-based access</t>
        </is>
      </c>
      <c r="C498" s="19" t="inlineStr">
        <is>
          <t>Accounting Manager: every permitted screen loads its data without error</t>
        </is>
      </c>
      <c r="D498" s="19" t="inlineStr">
        <is>
          <t>Pass</t>
        </is>
      </c>
      <c r="E498" s="19" t="inlineStr"/>
      <c r="F498" s="19" t="inlineStr"/>
      <c r="G498" s="19" t="inlineStr"/>
      <c r="H498" s="19" t="inlineStr"/>
      <c r="I498" s="19" t="inlineStr">
        <is>
          <t>Menu screens of Accounting Manager</t>
        </is>
      </c>
      <c r="J498" s="19" t="inlineStr">
        <is>
          <t>91 screens opened; problems: Accounts &gt; Incentive &gt; My Programs: 1 element(s) clipped at 1440 px / Master &gt; Finance &gt; Premium Taxes &amp; LGU Rates: failed API call 403 GET /placements/options, console error: Failed to load resource: the server responded with a status of 403 (Forbidden)</t>
        </is>
      </c>
    </row>
  </sheetData>
  <autoFilter ref="A1:J498"/>
  <conditionalFormatting sqref="D2:D498">
    <cfRule type="expression" priority="1" dxfId="0">
      <formula>$D2="Pass"</formula>
    </cfRule>
    <cfRule type="expression" priority="2" dxfId="1">
      <formula>$D2="Fail"</formula>
    </cfRule>
    <cfRule type="expression" priority="3" dxfId="2">
      <formula>$D2="Blocked"</formula>
    </cfRule>
    <cfRule type="expression" priority="4" dxfId="3">
      <formula>$D2="Not Run"</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24" customWidth="1" min="3" max="3"/>
    <col width="10" customWidth="1" min="4" max="4"/>
    <col width="10" customWidth="1" min="5" max="5"/>
    <col width="13" customWidth="1" min="6" max="6"/>
    <col width="60" customWidth="1" min="7" max="7"/>
    <col width="44" customWidth="1" min="8" max="8"/>
    <col width="26" customWidth="1" min="9" max="9"/>
    <col width="26" customWidth="1" min="10" max="10"/>
  </cols>
  <sheetData>
    <row r="1" ht="30" customHeight="1">
      <c r="A1" s="18" t="inlineStr">
        <is>
          <t>Defect ID</t>
        </is>
      </c>
      <c r="B1" s="18" t="inlineStr">
        <is>
          <t>Title</t>
        </is>
      </c>
      <c r="C1" s="18" t="inlineStr">
        <is>
          <t>Module</t>
        </is>
      </c>
      <c r="D1" s="18" t="inlineStr">
        <is>
          <t>Severity</t>
        </is>
      </c>
      <c r="E1" s="18" t="inlineStr">
        <is>
          <t>Status</t>
        </is>
      </c>
      <c r="F1" s="18" t="inlineStr">
        <is>
          <t>Type</t>
        </is>
      </c>
      <c r="G1" s="18" t="inlineStr">
        <is>
          <t>Description</t>
        </is>
      </c>
      <c r="H1" s="18" t="inlineStr">
        <is>
          <t>Workaround</t>
        </is>
      </c>
      <c r="I1" s="18" t="inlineStr">
        <is>
          <t>Target</t>
        </is>
      </c>
      <c r="J1" s="18" t="inlineStr">
        <is>
          <t>Linked test cases</t>
        </is>
      </c>
    </row>
    <row r="2">
      <c r="A2" s="19" t="inlineStr">
        <is>
          <t>BV-DEF-001</t>
        </is>
      </c>
      <c r="B2" s="19" t="inlineStr">
        <is>
          <t>Front-end library react-router has a moderate security advisory (open redirect)</t>
        </is>
      </c>
      <c r="C2" s="19" t="inlineStr">
        <is>
          <t>Sign-in and security</t>
        </is>
      </c>
      <c r="D2" s="19" t="inlineStr">
        <is>
          <t>Medium</t>
        </is>
      </c>
      <c r="E2" s="19" t="inlineStr">
        <is>
          <t>Open</t>
        </is>
      </c>
      <c r="F2" s="19" t="inlineStr">
        <is>
          <t>Defect</t>
        </is>
      </c>
      <c r="G2" s="19" t="inlineStr">
        <is>
          <t>npm audit of the front-end runtime dependencies reports 2 moderate findings, both in react-router (open redirect). The fixed version is a new major release. Backend runtime dependencies report 0 vulnerabilities.</t>
        </is>
      </c>
      <c r="H2" s="19" t="inlineStr">
        <is>
          <t>The application builds its navigation targets from its own menu and routes and does not redirect to addresses taken from the URL. Keep the web server allowing only the application origin.</t>
        </is>
      </c>
      <c r="I2" s="19" t="inlineStr">
        <is>
          <t>Next minor release: upgrade react-router to the fixed major version and re-test navigation</t>
        </is>
      </c>
      <c r="J2" s="19" t="inlineStr">
        <is>
          <t>BV-SEC-032</t>
        </is>
      </c>
    </row>
    <row r="3">
      <c r="A3" s="19" t="inlineStr">
        <is>
          <t>BV-DEF-002</t>
        </is>
      </c>
      <c r="B3" s="19" t="inlineStr">
        <is>
          <t>Data privacy features not built: consent capture, data subject request register, anonymisation</t>
        </is>
      </c>
      <c r="C3" s="19" t="inlineStr">
        <is>
          <t>Sign-in and security</t>
        </is>
      </c>
      <c r="D3" s="19" t="inlineStr">
        <is>
          <t>Medium</t>
        </is>
      </c>
      <c r="E3" s="19" t="inlineStr">
        <is>
          <t>Closed</t>
        </is>
      </c>
      <c r="F3" s="19" t="inlineStr">
        <is>
          <t>Gap</t>
        </is>
      </c>
      <c r="G3" s="19" t="inlineStr">
        <is>
          <t>No screen records client consent (date, purpose, channel), no register tracks data subject access or erasure requests, and there is no function to anonymise an inactive client. Needed for Data Privacy Act compliance processes.</t>
        </is>
      </c>
      <c r="H3" s="19" t="inlineStr">
        <is>
          <t>Keep consent forms and the request log outside the system (signed forms filed against the client code; request register kept by the Data Protection Officer).</t>
        </is>
      </c>
      <c r="I3" s="19" t="inlineStr">
        <is>
          <t>Closed: fixed on 03 October 2026 (Master &gt; Data Privacy, client Data privacy tab); re-tested BV-SEC-034 and BV-SEC-035</t>
        </is>
      </c>
      <c r="J3" s="19" t="inlineStr">
        <is>
          <t>BV-SEC-034, BV-SEC-035</t>
        </is>
      </c>
    </row>
    <row r="4">
      <c r="A4" s="19" t="inlineStr">
        <is>
          <t>BV-DEF-003</t>
        </is>
      </c>
      <c r="B4" s="19" t="inlineStr">
        <is>
          <t>Application-level encryption covers only two-step verification secrets</t>
        </is>
      </c>
      <c r="C4" s="19" t="inlineStr">
        <is>
          <t>Sign-in and security</t>
        </is>
      </c>
      <c r="D4" s="19" t="inlineStr">
        <is>
          <t>Medium</t>
        </is>
      </c>
      <c r="E4" s="19" t="inlineStr">
        <is>
          <t>Open</t>
        </is>
      </c>
      <c r="F4" s="19" t="inlineStr">
        <is>
          <t>Gap</t>
        </is>
      </c>
      <c r="G4" s="19" t="inlineStr">
        <is>
          <t>Only TOTP secrets are encrypted with DATA_ENCRYPTION_KEY. Client personal data (TIN, ID numbers, contact details) is stored in plain database columns.</t>
        </is>
      </c>
      <c r="H4" s="19" t="inlineStr">
        <is>
          <t>Use encrypted storage for the database server and backups, restrict database access to the support team, and keep backups encrypted.</t>
        </is>
      </c>
      <c r="I4" s="19" t="inlineStr">
        <is>
          <t>Product backlog; field-level encryption of personal identifiers</t>
        </is>
      </c>
      <c r="J4" s="19" t="inlineStr">
        <is>
          <t>BV-SEC-033</t>
        </is>
      </c>
    </row>
    <row r="5">
      <c r="A5" s="19" t="inlineStr">
        <is>
          <t>BV-DEF-004</t>
        </is>
      </c>
      <c r="B5" s="19" t="inlineStr">
        <is>
          <t>Product configurator component list does not show the template; per-template rating factors look duplicated</t>
        </is>
      </c>
      <c r="C5" s="19" t="inlineStr">
        <is>
          <t>Product configurator</t>
        </is>
      </c>
      <c r="D5" s="19" t="inlineStr">
        <is>
          <t>Low</t>
        </is>
      </c>
      <c r="E5" s="19" t="inlineStr">
        <is>
          <t>Closed</t>
        </is>
      </c>
      <c r="F5" s="19" t="inlineStr">
        <is>
          <t>Defect</t>
        </is>
      </c>
      <c r="G5" s="19" t="inlineStr">
        <is>
          <t>On Product Configurator &gt; Rating Engine (and the other component lists) the rows do not show which template they belong to. Factors with the same name on different templates appear as duplicates.</t>
        </is>
      </c>
      <c r="H5" s="19" t="inlineStr">
        <is>
          <t>Open the factor to see its template, or filter by template where the screen offers it.</t>
        </is>
      </c>
      <c r="I5" s="19" t="inlineStr">
        <is>
          <t>Closed: fixed on 03 October 2026 (Template column on the component lists); re-tested BV-PCF-005</t>
        </is>
      </c>
      <c r="J5" s="19" t="inlineStr">
        <is>
          <t>BV-PCF-005</t>
        </is>
      </c>
    </row>
    <row r="6">
      <c r="A6" s="19" t="inlineStr">
        <is>
          <t>BV-OBS-005</t>
        </is>
      </c>
      <c r="B6" s="19" t="inlineStr">
        <is>
          <t>Renewal of a policy expired beyond the grace plus lapsed-renewal window is refused</t>
        </is>
      </c>
      <c r="C6" s="19" t="inlineStr">
        <is>
          <t>Renewals</t>
        </is>
      </c>
      <c r="D6" s="19" t="inlineStr">
        <is>
          <t>Low</t>
        </is>
      </c>
      <c r="E6" s="19" t="inlineStr">
        <is>
          <t>Closed</t>
        </is>
      </c>
      <c r="F6" s="19" t="inlineStr">
        <is>
          <t>Observation</t>
        </is>
      </c>
      <c r="G6" s="19" t="inlineStr">
        <is>
          <t>A renewal requested for a policy that expired more than grace days plus lapsed-renewal days ago is refused (HTTP 422). This is by design: such a risk is quoted as new business. In the UAT cycle 3 migrated policies were refused this way.</t>
        </is>
      </c>
      <c r="H6" s="19" t="inlineStr">
        <is>
          <t>Quote the client as new business from the prospect or client record.</t>
        </is>
      </c>
      <c r="I6" s="19" t="inlineStr">
        <is>
          <t>Closed: by design; window settings confirmed with the client at configuration</t>
        </is>
      </c>
      <c r="J6" s="19" t="inlineStr">
        <is>
          <t>BV-REN-010</t>
        </is>
      </c>
    </row>
    <row r="7">
      <c r="A7" s="19" t="inlineStr">
        <is>
          <t>BV-DEF-006</t>
        </is>
      </c>
      <c r="B7" s="19" t="inlineStr">
        <is>
          <t>Premium Taxes &amp; LGU Rates: product list of the charges calculator does not load for Accounting</t>
        </is>
      </c>
      <c r="C7" s="19" t="inlineStr">
        <is>
          <t>Masters</t>
        </is>
      </c>
      <c r="D7" s="19" t="inlineStr">
        <is>
          <t>Low</t>
        </is>
      </c>
      <c r="E7" s="19" t="inlineStr">
        <is>
          <t>Closed</t>
        </is>
      </c>
      <c r="F7" s="19" t="inlineStr">
        <is>
          <t>Defect</t>
        </is>
      </c>
      <c r="G7" s="19" t="inlineStr">
        <is>
          <t>Screen check of 03 October 2026: signed in as liza.quiambao (accounting) or teresa.villaroman (accounting-manager), Master &gt; Finance &gt; Premium Taxes &amp; LGU Rates opens, but its request GET /placements/options is refused with 403 (the role has no placement read permission). The product drop-down of the charges calculator stays empty. Rules and LGU rates can still be maintained.</t>
        </is>
      </c>
      <c r="H7" s="19" t="inlineStr">
        <is>
          <t>Run the charges calculation as the System Administrator, or check the charges on a test quotation.</t>
        </is>
      </c>
      <c r="I7" s="19" t="inlineStr">
        <is>
          <t>Closed: fixed on 03 October 2026 (screen reads the product list with a permission Accounting holds); re-tested BV-MST-019, BV-RBA-016, BV-RBA-019</t>
        </is>
      </c>
      <c r="J7" s="19" t="inlineStr">
        <is>
          <t>BV-MST-019, BV-RBA-016, BV-RBA-019</t>
        </is>
      </c>
    </row>
    <row r="8">
      <c r="A8" s="19" t="inlineStr">
        <is>
          <t>BV-OBS-007</t>
        </is>
      </c>
      <c r="B8" s="19" t="inlineStr">
        <is>
          <t>Menu group Master &gt; Generals &gt; Organization has an address that opens "Page not found"</t>
        </is>
      </c>
      <c r="C8" s="19" t="inlineStr">
        <is>
          <t>Screen checks (all menus)</t>
        </is>
      </c>
      <c r="D8" s="19" t="inlineStr">
        <is>
          <t>Low</t>
        </is>
      </c>
      <c r="E8" s="19" t="inlineStr">
        <is>
          <t>Closed</t>
        </is>
      </c>
      <c r="F8" s="19" t="inlineStr">
        <is>
          <t>Observation</t>
        </is>
      </c>
      <c r="G8" s="19" t="inlineStr">
        <is>
          <t>The menu group Organization carries its own address (/master/generals/organization) with no screen behind it. Typing the address shows "Page not found" for every user, including the administrator. Company and Branch under it open normally. No data is shown.</t>
        </is>
      </c>
      <c r="H8" s="19" t="inlineStr">
        <is>
          <t>Open Company or Branch from the menu.</t>
        </is>
      </c>
      <c r="I8" s="19" t="inlineStr">
        <is>
          <t>Closed: fixed on 03 October 2026 (menu groups carry no address)</t>
        </is>
      </c>
      <c r="J8" s="19" t="inlineStr">
        <is>
          <t>BV-SCR-018</t>
        </is>
      </c>
    </row>
    <row r="9">
      <c r="A9" s="19" t="inlineStr">
        <is>
          <t>BV-OBS-008</t>
        </is>
      </c>
      <c r="B9" s="19" t="inlineStr">
        <is>
          <t>Accounts &gt; Incentive &gt; My Programs: Achievement Overview card extends past the right edge at 1440 px</t>
        </is>
      </c>
      <c r="C9" s="19" t="inlineStr">
        <is>
          <t>Incentives</t>
        </is>
      </c>
      <c r="D9" s="19" t="inlineStr">
        <is>
          <t>Low</t>
        </is>
      </c>
      <c r="E9" s="19" t="inlineStr">
        <is>
          <t>Closed</t>
        </is>
      </c>
      <c r="F9" s="19" t="inlineStr">
        <is>
          <t>Observation</t>
        </is>
      </c>
      <c r="G9" s="19" t="inlineStr">
        <is>
          <t>Screen check at 1440 x 900: the Achievement Overview card on My Programs is wider than the content area and is cut off on the right (administrator and accounting users).</t>
        </is>
      </c>
      <c r="H9" s="19" t="inlineStr">
        <is>
          <t>Collapse the side menu or zoom the browser to 90%.</t>
        </is>
      </c>
      <c r="I9" s="19" t="inlineStr">
        <is>
          <t>Closed: fixed on 03 October 2026 (card fits at 1440 px); re-tested BV-RBA-016 and BV-RBA-019</t>
        </is>
      </c>
      <c r="J9" s="19" t="inlineStr">
        <is>
          <t>BV-SCR-013, BV-RBA-016, BV-RBA-019</t>
        </is>
      </c>
    </row>
  </sheetData>
  <autoFilter ref="A1:J9"/>
  <conditionalFormatting sqref="D2:D9">
    <cfRule type="expression" priority="1" dxfId="1">
      <formula>$D2="Critical"</formula>
    </cfRule>
    <cfRule type="expression" priority="2" dxfId="4">
      <formula>$D2="High"</formula>
    </cfRule>
    <cfRule type="expression" priority="3" dxfId="2">
      <formula>$D2="Medium"</formula>
    </cfRule>
    <cfRule type="expression" priority="4" dxfId="5">
      <formula>$D2="Low"</formula>
    </cfRule>
  </conditionalFormatting>
  <dataValidations count="1">
    <dataValidation sqref="E2:E9" showDropDown="0" showInputMessage="0" showErrorMessage="0" allowBlank="0" type="list">
      <formula1>"Open,In progress,Fixed,Closed,Deferred"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2026-10-03T17:17:04Z</dcterms:created>
  <dcterms:modified xmlns:dcterms="http://purl.org/dc/terms/" xmlns:xsi="http://www.w3.org/2001/XMLSchema-instance" xsi:type="dcterms:W3CDTF">2026-10-03T20:59:25Z</dcterms:modified>
</cp:coreProperties>
</file>