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mall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Large" sheetId="5" state="visible" r:id="rId5"/>
    <sheet xmlns:r="http://schemas.openxmlformats.org/officeDocument/2006/relationships" name="Enterprise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Dependencies" sheetId="8" state="visible" r:id="rId8"/>
    <sheet xmlns:r="http://schemas.openxmlformats.org/officeDocument/2006/relationships" name="RACI" sheetId="9" state="visible" r:id="rId9"/>
  </sheets>
  <definedNames>
    <definedName name="_xlnm._FilterDatabase" localSheetId="2" hidden="1">'Small'!$A$5:$Q$93</definedName>
    <definedName name="_xlnm.Print_Titles" localSheetId="2">'Small'!$5:$5</definedName>
    <definedName name="_xlnm._FilterDatabase" localSheetId="3" hidden="1">'Medium'!$A$5:$Q$93</definedName>
    <definedName name="_xlnm.Print_Titles" localSheetId="3">'Medium'!$5:$5</definedName>
    <definedName name="_xlnm._FilterDatabase" localSheetId="4" hidden="1">'Large'!$A$5:$Q$94</definedName>
    <definedName name="_xlnm.Print_Titles" localSheetId="4">'Large'!$5:$5</definedName>
    <definedName name="_xlnm._FilterDatabase" localSheetId="5" hidden="1">'Enterprise'!$A$5:$Q$95</definedName>
    <definedName name="_xlnm.Print_Titles" localSheetId="5">'Enterprise'!$5:$5</definedName>
    <definedName name="_xlnm._FilterDatabase" localSheetId="7" hidden="1">'Dependencies'!$A$4:$G$138</definedName>
    <definedName name="_xlnm._FilterDatabase" localSheetId="8" hidden="1">'RACI'!$A$4:$L$51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1">
    <font>
      <name val="Calibri"/>
      <family val="2"/>
      <color theme="1"/>
      <sz val="11"/>
      <scheme val="minor"/>
    </font>
    <font>
      <b val="1"/>
      <color rgb="000F4761"/>
      <sz val="14"/>
    </font>
    <font>
      <b val="1"/>
      <color rgb="000F4761"/>
    </font>
    <font>
      <i val="1"/>
      <color rgb="00555F6D"/>
      <sz val="9"/>
    </font>
    <font>
      <b val="1"/>
      <color rgb="000F4761"/>
      <sz val="10"/>
    </font>
    <font>
      <b val="1"/>
      <sz val="10"/>
    </font>
    <font>
      <b val="1"/>
      <color rgb="00C00000"/>
      <sz val="9"/>
    </font>
    <font>
      <sz val="9"/>
    </font>
    <font>
      <b val="1"/>
      <sz val="9"/>
    </font>
    <font>
      <b val="1"/>
      <color rgb="00FFFFFF"/>
      <sz val="9"/>
    </font>
    <font>
      <sz val="10"/>
    </font>
  </fonts>
  <fills count="14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FFF2CC"/>
      </patternFill>
    </fill>
    <fill>
      <patternFill patternType="solid">
        <fgColor rgb="00EEF3F8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00B050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  <border>
      <left style="thin">
        <color rgb="00BFC7D1"/>
      </left>
      <right style="thin">
        <color rgb="00BFC7D1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165" fontId="0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pivotButton="0" quotePrefix="0" xfId="0"/>
    <xf numFmtId="0" fontId="0" fillId="6" borderId="2" pivotButton="0" quotePrefix="0" xfId="0"/>
    <xf numFmtId="0" fontId="8" fillId="0" borderId="1" applyAlignment="1" pivotButton="0" quotePrefix="0" xfId="0">
      <alignment horizontal="left" vertical="center"/>
    </xf>
    <xf numFmtId="0" fontId="0" fillId="7" borderId="1" pivotButton="0" quotePrefix="0" xfId="0"/>
    <xf numFmtId="0" fontId="0" fillId="6" borderId="1" pivotButton="0" quotePrefix="0" xfId="0"/>
    <xf numFmtId="0" fontId="0" fillId="7" borderId="2" pivotButton="0" quotePrefix="0" xfId="0"/>
    <xf numFmtId="0" fontId="0" fillId="8" borderId="1" pivotButton="0" quotePrefix="0" xfId="0"/>
    <xf numFmtId="0" fontId="9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BrokerVerse OOTB Implementation Plan</t>
        </is>
      </c>
    </row>
    <row r="2">
      <c r="A2" s="2" t="inlineStr">
        <is>
          <t>Companion workbook of the BrokerVerse Implementation Approach and Plan and of the Dependency Map and Critical Path, version 1.1, 04 October 2026, iorta TechNXT.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Summary: the weeks of each phase and milestone for the four broker sizes.</t>
        </is>
      </c>
    </row>
    <row r="6">
      <c r="A6" s="2" t="inlineStr">
        <is>
          <t>Small (8 weeks), Medium (12 weeks), Large (20 weeks), Enterprise (26 weeks): the task-level plan of each size, with duration, party, owner role, deliverable, predecessors, dates from the kick-off date, float to go-live and the critical path, and the Gantt bars.</t>
        </is>
      </c>
    </row>
    <row r="7">
      <c r="A7" s="2" t="inlineStr">
        <is>
          <t>Milestones: the eight milestones of the plan, their evidence and their week by size.</t>
        </is>
      </c>
    </row>
    <row r="8">
      <c r="A8" s="2" t="inlineStr">
        <is>
          <t>Dependencies: every link between tasks, with its type and lag by size.</t>
        </is>
      </c>
    </row>
    <row r="9">
      <c r="A9" s="2" t="inlineStr">
        <is>
          <t>RACI: who is Responsible, Accountable, Consulted and Informed, for iorta TechNXT, the broker roles and the partners.</t>
        </is>
      </c>
    </row>
    <row r="10">
      <c r="A10" s="2" t="inlineStr"/>
    </row>
    <row r="11">
      <c r="A11" s="3" t="inlineStr">
        <is>
          <t>Sizes (named users, as in the Service Catalogue and Rate Annex)</t>
        </is>
      </c>
    </row>
    <row r="12">
      <c r="A12" s="2" t="inlineStr">
        <is>
          <t>Small: 1 to 25 users; Dev, UAT, Production; Pre-Prod temporary; hypercare 2 weeks.</t>
        </is>
      </c>
    </row>
    <row r="13">
      <c r="A13" s="2" t="inlineStr">
        <is>
          <t>Medium: 26 to 100 users; Dev, UAT, Production; Pre-Prod temporary; hypercare 3 weeks.</t>
        </is>
      </c>
    </row>
    <row r="14">
      <c r="A14" s="2" t="inlineStr">
        <is>
          <t>Large: 101 to 300 users; Dev, SIT, UAT, Production (high availability); Pre-Prod temporary; hypercare 6 weeks.</t>
        </is>
      </c>
    </row>
    <row r="15">
      <c r="A15" s="2" t="inlineStr">
        <is>
          <t>Enterprise: above 300 users; Dev, SIT, UAT, Production (high availability, cross-region backup copy); Pre-Prod temporary; hypercare 6 weeks.</t>
        </is>
      </c>
    </row>
    <row r="16">
      <c r="A16" s="2" t="inlineStr"/>
    </row>
    <row r="17">
      <c r="A17" s="3" t="inlineStr">
        <is>
          <t>Notes</t>
        </is>
      </c>
    </row>
    <row r="18">
      <c r="A18" s="2" t="inlineStr">
        <is>
          <t>Durations are working days of elapsed time, not effort. They and the lead times of the regulatory registrations are planning assumptions; the steering committee re-baselines them at mobilisation.</t>
        </is>
      </c>
    </row>
    <row r="19">
      <c r="A19" s="2" t="inlineStr">
        <is>
          <t>A registration the broker already holds (ATP or CAS, AMLC registration, NPC registration, IC licences) takes no lead time: confirm it at mobilisation and close the task.</t>
        </is>
      </c>
    </row>
    <row r="20">
      <c r="A20" s="2" t="inlineStr">
        <is>
          <t>Tasks marked "Feature only" do not hold the go-live: the feature goes live later and the documented fallback is used meanwhile (Dependency Map and Critical Path).</t>
        </is>
      </c>
    </row>
    <row r="21">
      <c r="A21" s="2" t="inlineStr">
        <is>
          <t>Hypercare extends to cover the first month-end close when the close falls after the planned hypercare exit.</t>
        </is>
      </c>
    </row>
    <row r="22">
      <c r="A22" s="2" t="inlineStr">
        <is>
          <t>The plan assumes an out-of-the-box implementation: configuration only, no customisation.</t>
        </is>
      </c>
    </row>
    <row r="23">
      <c r="A23" s="2" t="inlineStr">
        <is>
          <t>Source: docs/package/tools/delivery/plan_model.py. Rebuild: python3 build_plan_xlsx.py ../05_Delivery/BrokerVerse_Implementation_Plan.xlsx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Summary: phases and milestones by broker size</t>
        </is>
      </c>
    </row>
    <row r="2">
      <c r="A2" s="5" t="inlineStr">
        <is>
          <t>Weeks from the kick-off (week 1). A phase runs from the first week of its first task to the last week of its last task.</t>
        </is>
      </c>
    </row>
    <row r="4">
      <c r="A4" s="6" t="inlineStr">
        <is>
          <t>Phase</t>
        </is>
      </c>
      <c r="B4" s="6" t="inlineStr">
        <is>
          <t>Small (8 weeks)</t>
        </is>
      </c>
      <c r="C4" s="6" t="inlineStr">
        <is>
          <t>Medium (12 weeks)</t>
        </is>
      </c>
      <c r="D4" s="6" t="inlineStr">
        <is>
          <t>Large (20 weeks)</t>
        </is>
      </c>
      <c r="E4" s="6" t="inlineStr">
        <is>
          <t>Enterprise (26 weeks)</t>
        </is>
      </c>
    </row>
    <row r="5">
      <c r="A5" s="7" t="inlineStr">
        <is>
          <t>Mobilisation</t>
        </is>
      </c>
      <c r="B5" s="8" t="inlineStr">
        <is>
          <t>W1</t>
        </is>
      </c>
      <c r="C5" s="8" t="inlineStr">
        <is>
          <t>W1</t>
        </is>
      </c>
      <c r="D5" s="8" t="inlineStr">
        <is>
          <t>W1</t>
        </is>
      </c>
      <c r="E5" s="8" t="inlineStr">
        <is>
          <t>W1</t>
        </is>
      </c>
    </row>
    <row r="6">
      <c r="A6" s="7" t="inlineStr">
        <is>
          <t>Environments and pipeline</t>
        </is>
      </c>
      <c r="B6" s="8" t="inlineStr">
        <is>
          <t>W1 to W2</t>
        </is>
      </c>
      <c r="C6" s="8" t="inlineStr">
        <is>
          <t>W1 to W3</t>
        </is>
      </c>
      <c r="D6" s="8" t="inlineStr">
        <is>
          <t>W1 to W4</t>
        </is>
      </c>
      <c r="E6" s="8" t="inlineStr">
        <is>
          <t>W1 to W5</t>
        </is>
      </c>
    </row>
    <row r="7">
      <c r="A7" s="7" t="inlineStr">
        <is>
          <t>Discovery and fit-gap</t>
        </is>
      </c>
      <c r="B7" s="8" t="inlineStr">
        <is>
          <t>W1 to W2</t>
        </is>
      </c>
      <c r="C7" s="8" t="inlineStr">
        <is>
          <t>W1 to W3</t>
        </is>
      </c>
      <c r="D7" s="8" t="inlineStr">
        <is>
          <t>W1 to W4</t>
        </is>
      </c>
      <c r="E7" s="8" t="inlineStr">
        <is>
          <t>W1 to W6</t>
        </is>
      </c>
    </row>
    <row r="8">
      <c r="A8" s="7" t="inlineStr">
        <is>
          <t>Client inputs</t>
        </is>
      </c>
      <c r="B8" s="8" t="inlineStr">
        <is>
          <t>W1 to W2</t>
        </is>
      </c>
      <c r="C8" s="8" t="inlineStr">
        <is>
          <t>W1 to W3</t>
        </is>
      </c>
      <c r="D8" s="8" t="inlineStr">
        <is>
          <t>W1 to W4</t>
        </is>
      </c>
      <c r="E8" s="8" t="inlineStr">
        <is>
          <t>W1 to W6</t>
        </is>
      </c>
    </row>
    <row r="9">
      <c r="A9" s="7" t="inlineStr">
        <is>
          <t>Regulatory registrations</t>
        </is>
      </c>
      <c r="B9" s="8" t="inlineStr">
        <is>
          <t>W1 to W6</t>
        </is>
      </c>
      <c r="C9" s="8" t="inlineStr">
        <is>
          <t>W1 to W6</t>
        </is>
      </c>
      <c r="D9" s="8" t="inlineStr">
        <is>
          <t>W1 to W9</t>
        </is>
      </c>
      <c r="E9" s="8" t="inlineStr">
        <is>
          <t>W1 to W12</t>
        </is>
      </c>
    </row>
    <row r="10">
      <c r="A10" s="7" t="inlineStr">
        <is>
          <t>Configuration (go-live configuration kit)</t>
        </is>
      </c>
      <c r="B10" s="8" t="inlineStr">
        <is>
          <t>W2 to W4</t>
        </is>
      </c>
      <c r="C10" s="8" t="inlineStr">
        <is>
          <t>W2 to W6</t>
        </is>
      </c>
      <c r="D10" s="8" t="inlineStr">
        <is>
          <t>W3 to W10</t>
        </is>
      </c>
      <c r="E10" s="8" t="inlineStr">
        <is>
          <t>W4 to W13</t>
        </is>
      </c>
    </row>
    <row r="11">
      <c r="A11" s="7" t="inlineStr">
        <is>
          <t>Compliance set-up</t>
        </is>
      </c>
      <c r="B11" s="8" t="inlineStr">
        <is>
          <t>W3 to W4</t>
        </is>
      </c>
      <c r="C11" s="8" t="inlineStr">
        <is>
          <t>W4 to W6</t>
        </is>
      </c>
      <c r="D11" s="8" t="inlineStr">
        <is>
          <t>W6 to W8</t>
        </is>
      </c>
      <c r="E11" s="8" t="inlineStr">
        <is>
          <t>W8 to W10</t>
        </is>
      </c>
    </row>
    <row r="12">
      <c r="A12" s="7" t="inlineStr">
        <is>
          <t>Branding and brand pack</t>
        </is>
      </c>
      <c r="B12" s="8" t="inlineStr">
        <is>
          <t>W3 to W4</t>
        </is>
      </c>
      <c r="C12" s="8" t="inlineStr">
        <is>
          <t>W4 to W5</t>
        </is>
      </c>
      <c r="D12" s="8" t="inlineStr">
        <is>
          <t>W6 to W7</t>
        </is>
      </c>
      <c r="E12" s="8" t="inlineStr">
        <is>
          <t>W8 to W9</t>
        </is>
      </c>
    </row>
    <row r="13">
      <c r="A13" s="7" t="inlineStr">
        <is>
          <t>Integrations with partners</t>
        </is>
      </c>
      <c r="B13" s="8" t="inlineStr">
        <is>
          <t>W2 to W7</t>
        </is>
      </c>
      <c r="C13" s="8" t="inlineStr">
        <is>
          <t>W2 to W10</t>
        </is>
      </c>
      <c r="D13" s="8" t="inlineStr">
        <is>
          <t>W3 to W15</t>
        </is>
      </c>
      <c r="E13" s="8" t="inlineStr">
        <is>
          <t>W3 to W21</t>
        </is>
      </c>
    </row>
    <row r="14">
      <c r="A14" s="7" t="inlineStr">
        <is>
          <t>Data migration (go-live migration kit)</t>
        </is>
      </c>
      <c r="B14" s="8" t="inlineStr">
        <is>
          <t>W1 to W5</t>
        </is>
      </c>
      <c r="C14" s="8" t="inlineStr">
        <is>
          <t>W1 to W7</t>
        </is>
      </c>
      <c r="D14" s="8" t="inlineStr">
        <is>
          <t>W1 to W13</t>
        </is>
      </c>
      <c r="E14" s="8" t="inlineStr">
        <is>
          <t>W1 to W18</t>
        </is>
      </c>
    </row>
    <row r="15">
      <c r="A15" s="7" t="inlineStr">
        <is>
          <t>Training</t>
        </is>
      </c>
      <c r="B15" s="8" t="inlineStr">
        <is>
          <t>W4 to W6</t>
        </is>
      </c>
      <c r="C15" s="8" t="inlineStr">
        <is>
          <t>W6 to W9</t>
        </is>
      </c>
      <c r="D15" s="8" t="inlineStr">
        <is>
          <t>W8 to W14</t>
        </is>
      </c>
      <c r="E15" s="8" t="inlineStr">
        <is>
          <t>W10 to W19</t>
        </is>
      </c>
    </row>
    <row r="16">
      <c r="A16" s="7" t="inlineStr">
        <is>
          <t>SIT and UAT</t>
        </is>
      </c>
      <c r="B16" s="8" t="inlineStr">
        <is>
          <t>W4 to W6</t>
        </is>
      </c>
      <c r="C16" s="8" t="inlineStr">
        <is>
          <t>W6 to W9</t>
        </is>
      </c>
      <c r="D16" s="8" t="inlineStr">
        <is>
          <t>W10 to W14</t>
        </is>
      </c>
      <c r="E16" s="8" t="inlineStr">
        <is>
          <t>W13 to W20</t>
        </is>
      </c>
    </row>
    <row r="17">
      <c r="A17" s="7" t="inlineStr">
        <is>
          <t>Rehearsal and cutover</t>
        </is>
      </c>
      <c r="B17" s="8" t="inlineStr">
        <is>
          <t>W5 to W7</t>
        </is>
      </c>
      <c r="C17" s="8" t="inlineStr">
        <is>
          <t>W8 to W10</t>
        </is>
      </c>
      <c r="D17" s="8" t="inlineStr">
        <is>
          <t>W12 to W15</t>
        </is>
      </c>
      <c r="E17" s="8" t="inlineStr">
        <is>
          <t>W16 to W21</t>
        </is>
      </c>
    </row>
    <row r="18">
      <c r="A18" s="7" t="inlineStr">
        <is>
          <t>Hypercare</t>
        </is>
      </c>
      <c r="B18" s="8" t="inlineStr">
        <is>
          <t>W7 to W8</t>
        </is>
      </c>
      <c r="C18" s="8" t="inlineStr">
        <is>
          <t>W10 to W12</t>
        </is>
      </c>
      <c r="D18" s="8" t="inlineStr">
        <is>
          <t>W15 to W20</t>
        </is>
      </c>
      <c r="E18" s="8" t="inlineStr">
        <is>
          <t>W21 to W26</t>
        </is>
      </c>
    </row>
    <row r="19">
      <c r="A19" s="2" t="n"/>
    </row>
    <row r="20">
      <c r="A20" s="9" t="inlineStr">
        <is>
          <t>Milestone</t>
        </is>
      </c>
      <c r="B20" s="6" t="inlineStr">
        <is>
          <t>Small</t>
        </is>
      </c>
      <c r="C20" s="6" t="inlineStr">
        <is>
          <t>Medium</t>
        </is>
      </c>
      <c r="D20" s="6" t="inlineStr">
        <is>
          <t>Large</t>
        </is>
      </c>
      <c r="E20" s="6" t="inlineStr">
        <is>
          <t>Enterprise</t>
        </is>
      </c>
    </row>
    <row r="21">
      <c r="A21" s="10" t="inlineStr">
        <is>
          <t>Kick-off</t>
        </is>
      </c>
      <c r="B21" s="8" t="inlineStr">
        <is>
          <t>Start of W1</t>
        </is>
      </c>
      <c r="C21" s="8" t="inlineStr">
        <is>
          <t>Start of W1</t>
        </is>
      </c>
      <c r="D21" s="8" t="inlineStr">
        <is>
          <t>Start of W1</t>
        </is>
      </c>
      <c r="E21" s="8" t="inlineStr">
        <is>
          <t>Start of W1</t>
        </is>
      </c>
    </row>
    <row r="22">
      <c r="A22" s="10" t="inlineStr">
        <is>
          <t>Configuration decisions and fit-gap register signed</t>
        </is>
      </c>
      <c r="B22" s="8" t="inlineStr">
        <is>
          <t>End of W2</t>
        </is>
      </c>
      <c r="C22" s="8" t="inlineStr">
        <is>
          <t>End of W3</t>
        </is>
      </c>
      <c r="D22" s="8" t="inlineStr">
        <is>
          <t>End of W4</t>
        </is>
      </c>
      <c r="E22" s="8" t="inlineStr">
        <is>
          <t>End of W6</t>
        </is>
      </c>
    </row>
    <row r="23">
      <c r="A23" s="10" t="inlineStr">
        <is>
          <t>Configuration complete</t>
        </is>
      </c>
      <c r="B23" s="8" t="inlineStr">
        <is>
          <t>End of W4</t>
        </is>
      </c>
      <c r="C23" s="8" t="inlineStr">
        <is>
          <t>End of W6</t>
        </is>
      </c>
      <c r="D23" s="8" t="inlineStr">
        <is>
          <t>End of W10</t>
        </is>
      </c>
      <c r="E23" s="8" t="inlineStr">
        <is>
          <t>End of W13</t>
        </is>
      </c>
    </row>
    <row r="24">
      <c r="A24" s="10" t="inlineStr">
        <is>
          <t>SIT exit</t>
        </is>
      </c>
      <c r="B24" s="8" t="inlineStr">
        <is>
          <t>End of W4</t>
        </is>
      </c>
      <c r="C24" s="8" t="inlineStr">
        <is>
          <t>End of W7</t>
        </is>
      </c>
      <c r="D24" s="8" t="inlineStr">
        <is>
          <t>End of W12</t>
        </is>
      </c>
      <c r="E24" s="8" t="inlineStr">
        <is>
          <t>End of W16</t>
        </is>
      </c>
    </row>
    <row r="25">
      <c r="A25" s="10" t="inlineStr">
        <is>
          <t>UAT sign-off</t>
        </is>
      </c>
      <c r="B25" s="8" t="inlineStr">
        <is>
          <t>End of W6</t>
        </is>
      </c>
      <c r="C25" s="8" t="inlineStr">
        <is>
          <t>End of W9</t>
        </is>
      </c>
      <c r="D25" s="8" t="inlineStr">
        <is>
          <t>End of W14</t>
        </is>
      </c>
      <c r="E25" s="8" t="inlineStr">
        <is>
          <t>End of W20</t>
        </is>
      </c>
    </row>
    <row r="26">
      <c r="A26" s="10" t="inlineStr">
        <is>
          <t>Go/no-go 1: UAT signed, rehearsal reconciled, users trained, registrations and partner states confirmed</t>
        </is>
      </c>
      <c r="B26" s="8" t="inlineStr">
        <is>
          <t>End of W6</t>
        </is>
      </c>
      <c r="C26" s="8" t="inlineStr">
        <is>
          <t>End of W9</t>
        </is>
      </c>
      <c r="D26" s="8" t="inlineStr">
        <is>
          <t>End of W14</t>
        </is>
      </c>
      <c r="E26" s="8" t="inlineStr">
        <is>
          <t>End of W20</t>
        </is>
      </c>
    </row>
    <row r="27">
      <c r="A27" s="10" t="inlineStr">
        <is>
          <t>Go-live</t>
        </is>
      </c>
      <c r="B27" s="8" t="inlineStr">
        <is>
          <t>Start of W7</t>
        </is>
      </c>
      <c r="C27" s="8" t="inlineStr">
        <is>
          <t>Start of W10</t>
        </is>
      </c>
      <c r="D27" s="8" t="inlineStr">
        <is>
          <t>Start of W15</t>
        </is>
      </c>
      <c r="E27" s="8" t="inlineStr">
        <is>
          <t>Start of W21</t>
        </is>
      </c>
    </row>
    <row r="28">
      <c r="A28" s="10" t="inlineStr">
        <is>
          <t>Knowledge transfer, configuration baseline (Current data workbook of Production), handover; Pre-Prod removed</t>
        </is>
      </c>
      <c r="B28" s="8" t="inlineStr">
        <is>
          <t>End of W8</t>
        </is>
      </c>
      <c r="C28" s="8" t="inlineStr">
        <is>
          <t>End of W12</t>
        </is>
      </c>
      <c r="D28" s="8" t="inlineStr">
        <is>
          <t>End of W20</t>
        </is>
      </c>
      <c r="E28" s="8" t="inlineStr">
        <is>
          <t>End of W26</t>
        </is>
      </c>
    </row>
    <row r="29">
      <c r="A29" s="2" t="n"/>
    </row>
    <row r="30">
      <c r="A30" s="9" t="inlineStr">
        <is>
          <t>Size</t>
        </is>
      </c>
      <c r="B30" s="6" t="inlineStr">
        <is>
          <t>Named users</t>
        </is>
      </c>
      <c r="C30" s="6" t="inlineStr">
        <is>
          <t>Environments</t>
        </is>
      </c>
      <c r="D30" s="6" t="inlineStr">
        <is>
          <t>Mock loads</t>
        </is>
      </c>
      <c r="E30" s="6" t="inlineStr">
        <is>
          <t>Hypercare</t>
        </is>
      </c>
    </row>
    <row r="31" ht="45" customHeight="1">
      <c r="A31" s="10" t="inlineStr">
        <is>
          <t>Small</t>
        </is>
      </c>
      <c r="B31" s="10" t="inlineStr">
        <is>
          <t>1 to 25</t>
        </is>
      </c>
      <c r="C31" s="10" t="inlineStr">
        <is>
          <t>Dev, UAT, Production; Pre-Prod temporary</t>
        </is>
      </c>
      <c r="D31" s="10" t="inlineStr">
        <is>
          <t>Mock loads 1 and 2 in UAT; the cutover rehearsal in Pre-Prod is the third load</t>
        </is>
      </c>
      <c r="E31" s="10" t="inlineStr">
        <is>
          <t>2 weeks, extended to the first month-end close</t>
        </is>
      </c>
    </row>
    <row r="32" ht="45" customHeight="1">
      <c r="A32" s="10" t="inlineStr">
        <is>
          <t>Medium</t>
        </is>
      </c>
      <c r="B32" s="10" t="inlineStr">
        <is>
          <t>26 to 100</t>
        </is>
      </c>
      <c r="C32" s="10" t="inlineStr">
        <is>
          <t>Dev, UAT, Production; Pre-Prod temporary</t>
        </is>
      </c>
      <c r="D32" s="10" t="inlineStr">
        <is>
          <t>Mock loads 1 and 2 in UAT; the cutover rehearsal in Pre-Prod is the third load</t>
        </is>
      </c>
      <c r="E32" s="10" t="inlineStr">
        <is>
          <t>3 weeks, extended to the first month-end close</t>
        </is>
      </c>
    </row>
    <row r="33" ht="45" customHeight="1">
      <c r="A33" s="10" t="inlineStr">
        <is>
          <t>Large</t>
        </is>
      </c>
      <c r="B33" s="10" t="inlineStr">
        <is>
          <t>101 to 300</t>
        </is>
      </c>
      <c r="C33" s="10" t="inlineStr">
        <is>
          <t>Dev, SIT, UAT, Production (high availability); Pre-Prod temporary</t>
        </is>
      </c>
      <c r="D33" s="10" t="inlineStr">
        <is>
          <t>Mock loads 1 and 2 in SIT, mock load 3 in UAT; the cutover rehearsal in Pre-Prod is the fourth load</t>
        </is>
      </c>
      <c r="E33" s="10" t="inlineStr">
        <is>
          <t>6 weeks, extended to the first month-end close</t>
        </is>
      </c>
    </row>
    <row r="34" ht="45" customHeight="1">
      <c r="A34" s="10" t="inlineStr">
        <is>
          <t>Enterprise</t>
        </is>
      </c>
      <c r="B34" s="10" t="inlineStr">
        <is>
          <t>above 300</t>
        </is>
      </c>
      <c r="C34" s="10" t="inlineStr">
        <is>
          <t>Dev, SIT, UAT, Production (high availability, cross-region backup copy); Pre-Prod temporary</t>
        </is>
      </c>
      <c r="D34" s="10" t="inlineStr">
        <is>
          <t>Mock loads 1 and 2 in SIT, mock loads 3 and 4 in UAT; the cutover rehearsal in Pre-Prod is the fifth load</t>
        </is>
      </c>
      <c r="E34" s="10" t="inlineStr">
        <is>
          <t>6 weeks, extended to the first month-end close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9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4" customWidth="1" min="3" max="3"/>
    <col width="13" customWidth="1" min="4" max="4"/>
    <col width="24" customWidth="1" min="5" max="5"/>
    <col width="30" customWidth="1" min="6" max="6"/>
    <col width="18" customWidth="1" min="7" max="7"/>
    <col width="10" customWidth="1" min="8" max="8"/>
    <col width="7" customWidth="1" min="9" max="9"/>
    <col width="7" customWidth="1" min="10" max="10"/>
    <col width="12" customWidth="1" min="11" max="11"/>
    <col width="12" customWidth="1" min="12" max="12"/>
    <col width="7" customWidth="1" min="13" max="13"/>
    <col width="7" customWidth="1" min="14" max="14"/>
    <col width="10" customWidth="1" min="15" max="15"/>
    <col width="8" customWidth="1" min="16" max="16"/>
    <col width="11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</cols>
  <sheetData>
    <row r="1">
      <c r="A1" s="4" t="inlineStr">
        <is>
          <t>BrokerVerse OOTB implementation plan: Small broker (8 weeks, go-live at the start of week 7)</t>
        </is>
      </c>
    </row>
    <row r="2">
      <c r="A2" s="11" t="inlineStr">
        <is>
          <t>Kick-off date (a Monday):</t>
        </is>
      </c>
      <c r="D2" s="12" t="n">
        <v>46328</v>
      </c>
      <c r="F2" s="5" t="inlineStr">
        <is>
          <t>Type the kick-off date in the yellow cell: start and finish dates follow (working days, weekends skipped; add holidays as a third WORKDAY argument). Environments: Dev, UAT, Production; Pre-Prod temporary. Mock loads 1 and 2 in UAT; the cutover rehearsal in Pre-Prod is the third load.</t>
        </is>
      </c>
    </row>
    <row r="3">
      <c r="A3" s="5" t="inlineStr">
        <is>
          <t>Bars: blue iorta TechNXT, green broker, gold partner; red border and red ID = on the critical path to go-live. Float = working days a task can slip before the go-live date moves (empty: the task does not hold the go-live).</t>
        </is>
      </c>
    </row>
    <row r="5" ht="42" customHeight="1">
      <c r="A5" s="6" t="inlineStr">
        <is>
          <t>ID</t>
        </is>
      </c>
      <c r="B5" s="6" t="inlineStr">
        <is>
          <t>Phase</t>
        </is>
      </c>
      <c r="C5" s="6" t="inlineStr">
        <is>
          <t>Task</t>
        </is>
      </c>
      <c r="D5" s="6" t="inlineStr">
        <is>
          <t>Party</t>
        </is>
      </c>
      <c r="E5" s="6" t="inlineStr">
        <is>
          <t>Owner role</t>
        </is>
      </c>
      <c r="F5" s="6" t="inlineStr">
        <is>
          <t>Deliverable or evidence</t>
        </is>
      </c>
      <c r="G5" s="6" t="inlineStr">
        <is>
          <t>Predecessors</t>
        </is>
      </c>
      <c r="H5" s="6" t="inlineStr">
        <is>
          <t>Duration (working days)</t>
        </is>
      </c>
      <c r="I5" s="6" t="inlineStr">
        <is>
          <t>Start day</t>
        </is>
      </c>
      <c r="J5" s="6" t="inlineStr">
        <is>
          <t>Finish day</t>
        </is>
      </c>
      <c r="K5" s="6" t="inlineStr">
        <is>
          <t>Start date</t>
        </is>
      </c>
      <c r="L5" s="6" t="inlineStr">
        <is>
          <t>Finish date</t>
        </is>
      </c>
      <c r="M5" s="6" t="inlineStr">
        <is>
          <t>Start week</t>
        </is>
      </c>
      <c r="N5" s="6" t="inlineStr">
        <is>
          <t>End week</t>
        </is>
      </c>
      <c r="O5" s="6" t="inlineStr">
        <is>
          <t>Float to go-live (days)</t>
        </is>
      </c>
      <c r="P5" s="6" t="inlineStr">
        <is>
          <t>Critical</t>
        </is>
      </c>
      <c r="Q5" s="6" t="inlineStr">
        <is>
          <t>Holds back</t>
        </is>
      </c>
      <c r="R5" s="6" t="inlineStr">
        <is>
          <t>W1</t>
        </is>
      </c>
      <c r="S5" s="6" t="inlineStr">
        <is>
          <t>W2</t>
        </is>
      </c>
      <c r="T5" s="6" t="inlineStr">
        <is>
          <t>W3</t>
        </is>
      </c>
      <c r="U5" s="6" t="inlineStr">
        <is>
          <t>W4</t>
        </is>
      </c>
      <c r="V5" s="6" t="inlineStr">
        <is>
          <t>W5</t>
        </is>
      </c>
      <c r="W5" s="6" t="inlineStr">
        <is>
          <t>W6</t>
        </is>
      </c>
      <c r="X5" s="6" t="inlineStr">
        <is>
          <t>W7</t>
        </is>
      </c>
      <c r="Y5" s="6" t="inlineStr">
        <is>
          <t>W8</t>
        </is>
      </c>
    </row>
    <row r="6">
      <c r="A6" s="13" t="inlineStr">
        <is>
          <t>Mobilisation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30" customHeight="1">
      <c r="A7" s="15" t="inlineStr">
        <is>
          <t>M1</t>
        </is>
      </c>
      <c r="B7" s="16" t="inlineStr">
        <is>
          <t>Mobilisation</t>
        </is>
      </c>
      <c r="C7" s="17" t="inlineStr">
        <is>
          <t>Kick-off</t>
        </is>
      </c>
      <c r="D7" s="16" t="inlineStr">
        <is>
          <t>iorta TechNXT</t>
        </is>
      </c>
      <c r="E7" s="17" t="inlineStr">
        <is>
          <t>iorta TechNXT PM</t>
        </is>
      </c>
      <c r="F7" s="17" t="inlineStr">
        <is>
          <t>Kick-off held; plan and go-live date confirmed</t>
        </is>
      </c>
      <c r="G7" s="17" t="inlineStr"/>
      <c r="H7" s="18" t="n">
        <v>0</v>
      </c>
      <c r="I7" s="18" t="n">
        <v>0</v>
      </c>
      <c r="J7" s="18" t="n">
        <v>0</v>
      </c>
      <c r="K7" s="19">
        <f>WORKDAY($D$2,I7)</f>
        <v/>
      </c>
      <c r="L7" s="19">
        <f>IF(H7=0,K7,WORKDAY($D$2,J7-1))</f>
        <v/>
      </c>
      <c r="M7" s="18" t="n">
        <v>1</v>
      </c>
      <c r="N7" s="18" t="n">
        <v>1</v>
      </c>
      <c r="O7" s="18" t="n">
        <v>0</v>
      </c>
      <c r="P7" s="18" t="inlineStr">
        <is>
          <t>Yes</t>
        </is>
      </c>
      <c r="Q7" s="18" t="inlineStr">
        <is>
          <t>Go-live</t>
        </is>
      </c>
      <c r="R7" s="20" t="inlineStr">
        <is>
          <t>◆</t>
        </is>
      </c>
      <c r="S7" s="21" t="n"/>
      <c r="T7" s="21" t="n"/>
      <c r="U7" s="21" t="n"/>
      <c r="V7" s="21" t="n"/>
      <c r="W7" s="21" t="n"/>
      <c r="X7" s="22" t="n"/>
      <c r="Y7" s="21" t="n"/>
    </row>
    <row r="8" ht="30" customHeight="1">
      <c r="A8" s="15" t="inlineStr">
        <is>
          <t>M3</t>
        </is>
      </c>
      <c r="B8" s="16" t="inlineStr">
        <is>
          <t>Mobilisation</t>
        </is>
      </c>
      <c r="C8" s="17" t="inlineStr">
        <is>
          <t>Data request list and the go-live kits issued (configuration and migration workbooks, upload templates)</t>
        </is>
      </c>
      <c r="D8" s="16" t="inlineStr">
        <is>
          <t>iorta TechNXT</t>
        </is>
      </c>
      <c r="E8" s="17" t="inlineStr">
        <is>
          <t>iorta TechNXT PM</t>
        </is>
      </c>
      <c r="F8" s="17" t="inlineStr">
        <is>
          <t>Data request list; blank workbooks handed over</t>
        </is>
      </c>
      <c r="G8" s="17" t="inlineStr">
        <is>
          <t>M1</t>
        </is>
      </c>
      <c r="H8" s="18" t="n">
        <v>1</v>
      </c>
      <c r="I8" s="18" t="n">
        <v>0</v>
      </c>
      <c r="J8" s="18" t="n">
        <v>1</v>
      </c>
      <c r="K8" s="19">
        <f>WORKDAY($D$2,I8)</f>
        <v/>
      </c>
      <c r="L8" s="19">
        <f>IF(H8=0,K8,WORKDAY($D$2,J8-1))</f>
        <v/>
      </c>
      <c r="M8" s="18" t="n">
        <v>1</v>
      </c>
      <c r="N8" s="18" t="n">
        <v>1</v>
      </c>
      <c r="O8" s="18" t="n">
        <v>0</v>
      </c>
      <c r="P8" s="18" t="inlineStr">
        <is>
          <t>Yes</t>
        </is>
      </c>
      <c r="Q8" s="18" t="inlineStr">
        <is>
          <t>Go-live</t>
        </is>
      </c>
      <c r="R8" s="23" t="n"/>
      <c r="S8" s="21" t="n"/>
      <c r="T8" s="21" t="n"/>
      <c r="U8" s="21" t="n"/>
      <c r="V8" s="21" t="n"/>
      <c r="W8" s="21" t="n"/>
      <c r="X8" s="22" t="n"/>
      <c r="Y8" s="21" t="n"/>
    </row>
    <row r="9" ht="30" customHeight="1">
      <c r="A9" s="24" t="inlineStr">
        <is>
          <t>M4</t>
        </is>
      </c>
      <c r="B9" s="16" t="inlineStr">
        <is>
          <t>Mobilisation</t>
        </is>
      </c>
      <c r="C9" s="17" t="inlineStr">
        <is>
          <t>Broker team named: PM, key users, Accounting Manager, System Administrator, compliance officer, DPO</t>
        </is>
      </c>
      <c r="D9" s="16" t="inlineStr">
        <is>
          <t>Broker</t>
        </is>
      </c>
      <c r="E9" s="17" t="inlineStr">
        <is>
          <t>Broker sponsor</t>
        </is>
      </c>
      <c r="F9" s="17" t="inlineStr">
        <is>
          <t>Named team with committed time</t>
        </is>
      </c>
      <c r="G9" s="17" t="inlineStr">
        <is>
          <t>M1</t>
        </is>
      </c>
      <c r="H9" s="18" t="n">
        <v>1</v>
      </c>
      <c r="I9" s="18" t="n">
        <v>0</v>
      </c>
      <c r="J9" s="18" t="n">
        <v>1</v>
      </c>
      <c r="K9" s="19">
        <f>WORKDAY($D$2,I9)</f>
        <v/>
      </c>
      <c r="L9" s="19">
        <f>IF(H9=0,K9,WORKDAY($D$2,J9-1))</f>
        <v/>
      </c>
      <c r="M9" s="18" t="n">
        <v>1</v>
      </c>
      <c r="N9" s="18" t="n">
        <v>1</v>
      </c>
      <c r="O9" s="18" t="n">
        <v>10</v>
      </c>
      <c r="P9" s="18" t="inlineStr"/>
      <c r="Q9" s="18" t="inlineStr">
        <is>
          <t>Go-live</t>
        </is>
      </c>
      <c r="R9" s="25" t="n"/>
      <c r="S9" s="21" t="n"/>
      <c r="T9" s="21" t="n"/>
      <c r="U9" s="21" t="n"/>
      <c r="V9" s="21" t="n"/>
      <c r="W9" s="21" t="n"/>
      <c r="X9" s="22" t="n"/>
      <c r="Y9" s="21" t="n"/>
    </row>
    <row r="10" ht="30" customHeight="1">
      <c r="A10" s="24" t="inlineStr">
        <is>
          <t>M5</t>
        </is>
      </c>
      <c r="B10" s="16" t="inlineStr">
        <is>
          <t>Mobilisation</t>
        </is>
      </c>
      <c r="C10" s="17" t="inlineStr">
        <is>
          <t>Hosting option, environment set and data location confirmed; environments ordered</t>
        </is>
      </c>
      <c r="D10" s="16" t="inlineStr">
        <is>
          <t>Broker</t>
        </is>
      </c>
      <c r="E10" s="17" t="inlineStr">
        <is>
          <t>Broker sponsor and IT head</t>
        </is>
      </c>
      <c r="F10" s="17" t="inlineStr">
        <is>
          <t>Order Form hosting fields; transfer decision recorded</t>
        </is>
      </c>
      <c r="G10" s="17" t="inlineStr">
        <is>
          <t>M1</t>
        </is>
      </c>
      <c r="H10" s="18" t="n">
        <v>1</v>
      </c>
      <c r="I10" s="18" t="n">
        <v>0</v>
      </c>
      <c r="J10" s="18" t="n">
        <v>1</v>
      </c>
      <c r="K10" s="19">
        <f>WORKDAY($D$2,I10)</f>
        <v/>
      </c>
      <c r="L10" s="19">
        <f>IF(H10=0,K10,WORKDAY($D$2,J10-1))</f>
        <v/>
      </c>
      <c r="M10" s="18" t="n">
        <v>1</v>
      </c>
      <c r="N10" s="18" t="n">
        <v>1</v>
      </c>
      <c r="O10" s="18" t="n">
        <v>4</v>
      </c>
      <c r="P10" s="18" t="inlineStr"/>
      <c r="Q10" s="18" t="inlineStr">
        <is>
          <t>Go-live</t>
        </is>
      </c>
      <c r="R10" s="25" t="n"/>
      <c r="S10" s="21" t="n"/>
      <c r="T10" s="21" t="n"/>
      <c r="U10" s="21" t="n"/>
      <c r="V10" s="21" t="n"/>
      <c r="W10" s="21" t="n"/>
      <c r="X10" s="22" t="n"/>
      <c r="Y10" s="21" t="n"/>
    </row>
    <row r="11" ht="30" customHeight="1">
      <c r="A11" s="24" t="inlineStr">
        <is>
          <t>M2</t>
        </is>
      </c>
      <c r="B11" s="16" t="inlineStr">
        <is>
          <t>Mobilisation</t>
        </is>
      </c>
      <c r="C11" s="17" t="inlineStr">
        <is>
          <t>Project charter, baselined plan, governance calendar, RAID log</t>
        </is>
      </c>
      <c r="D11" s="16" t="inlineStr">
        <is>
          <t>iorta TechNXT</t>
        </is>
      </c>
      <c r="E11" s="17" t="inlineStr">
        <is>
          <t>iorta TechNXT PM</t>
        </is>
      </c>
      <c r="F11" s="17" t="inlineStr">
        <is>
          <t>Charter and plan signed</t>
        </is>
      </c>
      <c r="G11" s="17" t="inlineStr">
        <is>
          <t>M1</t>
        </is>
      </c>
      <c r="H11" s="18" t="n">
        <v>2</v>
      </c>
      <c r="I11" s="18" t="n">
        <v>0</v>
      </c>
      <c r="J11" s="18" t="n">
        <v>2</v>
      </c>
      <c r="K11" s="19">
        <f>WORKDAY($D$2,I11)</f>
        <v/>
      </c>
      <c r="L11" s="19">
        <f>IF(H11=0,K11,WORKDAY($D$2,J11-1))</f>
        <v/>
      </c>
      <c r="M11" s="18" t="n">
        <v>1</v>
      </c>
      <c r="N11" s="18" t="n">
        <v>1</v>
      </c>
      <c r="O11" s="18" t="n">
        <v>10</v>
      </c>
      <c r="P11" s="18" t="inlineStr"/>
      <c r="Q11" s="18" t="inlineStr">
        <is>
          <t>Go-live</t>
        </is>
      </c>
      <c r="R11" s="26" t="n"/>
      <c r="S11" s="21" t="n"/>
      <c r="T11" s="21" t="n"/>
      <c r="U11" s="21" t="n"/>
      <c r="V11" s="21" t="n"/>
      <c r="W11" s="21" t="n"/>
      <c r="X11" s="22" t="n"/>
      <c r="Y11" s="21" t="n"/>
    </row>
    <row r="12">
      <c r="A12" s="13" t="inlineStr">
        <is>
          <t>Environments and pipeline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30" customHeight="1">
      <c r="A13" s="24" t="inlineStr">
        <is>
          <t>E1</t>
        </is>
      </c>
      <c r="B13" s="16" t="inlineStr">
        <is>
          <t>Environments and pipeline</t>
        </is>
      </c>
      <c r="C13" s="17" t="inlineStr">
        <is>
          <t>Dev provisioned</t>
        </is>
      </c>
      <c r="D13" s="16" t="inlineStr">
        <is>
          <t>iorta TechNXT</t>
        </is>
      </c>
      <c r="E13" s="17" t="inlineStr">
        <is>
          <t>iorta TechNXT DevOps lead</t>
        </is>
      </c>
      <c r="F13" s="17" t="inlineStr">
        <is>
          <t>Environment sheet: Dev</t>
        </is>
      </c>
      <c r="G13" s="17" t="inlineStr">
        <is>
          <t>M5</t>
        </is>
      </c>
      <c r="H13" s="18" t="n">
        <v>2</v>
      </c>
      <c r="I13" s="18" t="n">
        <v>1</v>
      </c>
      <c r="J13" s="18" t="n">
        <v>3</v>
      </c>
      <c r="K13" s="19">
        <f>WORKDAY($D$2,I13)</f>
        <v/>
      </c>
      <c r="L13" s="19">
        <f>IF(H13=0,K13,WORKDAY($D$2,J13-1))</f>
        <v/>
      </c>
      <c r="M13" s="18" t="n">
        <v>1</v>
      </c>
      <c r="N13" s="18" t="n">
        <v>1</v>
      </c>
      <c r="O13" s="18" t="n">
        <v>4</v>
      </c>
      <c r="P13" s="18" t="inlineStr"/>
      <c r="Q13" s="18" t="inlineStr">
        <is>
          <t>Go-live</t>
        </is>
      </c>
      <c r="R13" s="26" t="n"/>
      <c r="S13" s="21" t="n"/>
      <c r="T13" s="21" t="n"/>
      <c r="U13" s="21" t="n"/>
      <c r="V13" s="21" t="n"/>
      <c r="W13" s="21" t="n"/>
      <c r="X13" s="22" t="n"/>
      <c r="Y13" s="21" t="n"/>
    </row>
    <row r="14" ht="30" customHeight="1">
      <c r="A14" s="24" t="inlineStr">
        <is>
          <t>E3</t>
        </is>
      </c>
      <c r="B14" s="16" t="inlineStr">
        <is>
          <t>Environments and pipeline</t>
        </is>
      </c>
      <c r="C14" s="17" t="inlineStr">
        <is>
          <t>UAT provisioned</t>
        </is>
      </c>
      <c r="D14" s="16" t="inlineStr">
        <is>
          <t>iorta TechNXT</t>
        </is>
      </c>
      <c r="E14" s="17" t="inlineStr">
        <is>
          <t>iorta TechNXT DevOps lead</t>
        </is>
      </c>
      <c r="F14" s="17" t="inlineStr">
        <is>
          <t>Environment sheet: UAT</t>
        </is>
      </c>
      <c r="G14" s="17" t="inlineStr">
        <is>
          <t>M5</t>
        </is>
      </c>
      <c r="H14" s="18" t="n">
        <v>2</v>
      </c>
      <c r="I14" s="18" t="n">
        <v>1</v>
      </c>
      <c r="J14" s="18" t="n">
        <v>3</v>
      </c>
      <c r="K14" s="19">
        <f>WORKDAY($D$2,I14)</f>
        <v/>
      </c>
      <c r="L14" s="19">
        <f>IF(H14=0,K14,WORKDAY($D$2,J14-1))</f>
        <v/>
      </c>
      <c r="M14" s="18" t="n">
        <v>1</v>
      </c>
      <c r="N14" s="18" t="n">
        <v>1</v>
      </c>
      <c r="O14" s="18" t="n">
        <v>6</v>
      </c>
      <c r="P14" s="18" t="inlineStr"/>
      <c r="Q14" s="18" t="inlineStr">
        <is>
          <t>Go-live</t>
        </is>
      </c>
      <c r="R14" s="26" t="n"/>
      <c r="S14" s="21" t="n"/>
      <c r="T14" s="21" t="n"/>
      <c r="U14" s="21" t="n"/>
      <c r="V14" s="21" t="n"/>
      <c r="W14" s="21" t="n"/>
      <c r="X14" s="22" t="n"/>
      <c r="Y14" s="21" t="n"/>
    </row>
    <row r="15" ht="40" customHeight="1">
      <c r="A15" s="24" t="inlineStr">
        <is>
          <t>E5</t>
        </is>
      </c>
      <c r="B15" s="16" t="inlineStr">
        <is>
          <t>Environments and pipeline</t>
        </is>
      </c>
      <c r="C15" s="17" t="inlineStr">
        <is>
          <t>Application secrets per environment in the secret store: JWT_SECRET, DATA_ENCRYPTION_KEY, PII_ENCRYPTION_KEY generated; key custody and escrow copy agreed</t>
        </is>
      </c>
      <c r="D15" s="16" t="inlineStr">
        <is>
          <t>iorta TechNXT</t>
        </is>
      </c>
      <c r="E15" s="17" t="inlineStr">
        <is>
          <t>iorta TechNXT DevOps lead with the broker IT head</t>
        </is>
      </c>
      <c r="F15" s="17" t="inlineStr">
        <is>
          <t>Key custody record signed by both</t>
        </is>
      </c>
      <c r="G15" s="17" t="inlineStr">
        <is>
          <t>E1</t>
        </is>
      </c>
      <c r="H15" s="18" t="n">
        <v>1</v>
      </c>
      <c r="I15" s="18" t="n">
        <v>3</v>
      </c>
      <c r="J15" s="18" t="n">
        <v>4</v>
      </c>
      <c r="K15" s="19">
        <f>WORKDAY($D$2,I15)</f>
        <v/>
      </c>
      <c r="L15" s="19">
        <f>IF(H15=0,K15,WORKDAY($D$2,J15-1))</f>
        <v/>
      </c>
      <c r="M15" s="18" t="n">
        <v>1</v>
      </c>
      <c r="N15" s="18" t="n">
        <v>1</v>
      </c>
      <c r="O15" s="18" t="n">
        <v>5</v>
      </c>
      <c r="P15" s="18" t="inlineStr"/>
      <c r="Q15" s="18" t="inlineStr">
        <is>
          <t>Go-live</t>
        </is>
      </c>
      <c r="R15" s="26" t="n"/>
      <c r="S15" s="21" t="n"/>
      <c r="T15" s="21" t="n"/>
      <c r="U15" s="21" t="n"/>
      <c r="V15" s="21" t="n"/>
      <c r="W15" s="21" t="n"/>
      <c r="X15" s="22" t="n"/>
      <c r="Y15" s="21" t="n"/>
    </row>
    <row r="16" ht="40" customHeight="1">
      <c r="A16" s="24" t="inlineStr">
        <is>
          <t>E4</t>
        </is>
      </c>
      <c r="B16" s="16" t="inlineStr">
        <is>
          <t>Environments and pipeline</t>
        </is>
      </c>
      <c r="C16" s="17" t="inlineStr">
        <is>
          <t>GitHub Environments (dev, sit, uat, preprod, production): protection rules, reviewers, variables, environment secrets</t>
        </is>
      </c>
      <c r="D16" s="16" t="inlineStr">
        <is>
          <t>iorta TechNXT</t>
        </is>
      </c>
      <c r="E16" s="17" t="inlineStr">
        <is>
          <t>iorta TechNXT DevOps lead</t>
        </is>
      </c>
      <c r="F16" s="17" t="inlineStr">
        <is>
          <t>Settings recorded in the environment sheet</t>
        </is>
      </c>
      <c r="G16" s="17" t="inlineStr">
        <is>
          <t>E1</t>
        </is>
      </c>
      <c r="H16" s="18" t="n">
        <v>2</v>
      </c>
      <c r="I16" s="18" t="n">
        <v>3</v>
      </c>
      <c r="J16" s="18" t="n">
        <v>5</v>
      </c>
      <c r="K16" s="19">
        <f>WORKDAY($D$2,I16)</f>
        <v/>
      </c>
      <c r="L16" s="19">
        <f>IF(H16=0,K16,WORKDAY($D$2,J16-1))</f>
        <v/>
      </c>
      <c r="M16" s="18" t="n">
        <v>1</v>
      </c>
      <c r="N16" s="18" t="n">
        <v>1</v>
      </c>
      <c r="O16" s="18" t="n">
        <v>4</v>
      </c>
      <c r="P16" s="18" t="inlineStr"/>
      <c r="Q16" s="18" t="inlineStr">
        <is>
          <t>Go-live</t>
        </is>
      </c>
      <c r="R16" s="26" t="n"/>
      <c r="S16" s="21" t="n"/>
      <c r="T16" s="21" t="n"/>
      <c r="U16" s="21" t="n"/>
      <c r="V16" s="21" t="n"/>
      <c r="W16" s="21" t="n"/>
      <c r="X16" s="22" t="n"/>
      <c r="Y16" s="21" t="n"/>
    </row>
    <row r="17" ht="30" customHeight="1">
      <c r="A17" s="24" t="inlineStr">
        <is>
          <t>E7</t>
        </is>
      </c>
      <c r="B17" s="16" t="inlineStr">
        <is>
          <t>Environments and pipeline</t>
        </is>
      </c>
      <c r="C17" s="17" t="inlineStr">
        <is>
          <t>Production provisioned at production topology; backups, monitoring, restore test</t>
        </is>
      </c>
      <c r="D17" s="16" t="inlineStr">
        <is>
          <t>iorta TechNXT</t>
        </is>
      </c>
      <c r="E17" s="17" t="inlineStr">
        <is>
          <t>iorta TechNXT DevOps lead</t>
        </is>
      </c>
      <c r="F17" s="17" t="inlineStr">
        <is>
          <t>Environment sheet; restore test record</t>
        </is>
      </c>
      <c r="G17" s="17" t="inlineStr">
        <is>
          <t>E5</t>
        </is>
      </c>
      <c r="H17" s="18" t="n">
        <v>5</v>
      </c>
      <c r="I17" s="18" t="n">
        <v>4</v>
      </c>
      <c r="J17" s="18" t="n">
        <v>9</v>
      </c>
      <c r="K17" s="19">
        <f>WORKDAY($D$2,I17)</f>
        <v/>
      </c>
      <c r="L17" s="19">
        <f>IF(H17=0,K17,WORKDAY($D$2,J17-1))</f>
        <v/>
      </c>
      <c r="M17" s="18" t="n">
        <v>1</v>
      </c>
      <c r="N17" s="18" t="n">
        <v>2</v>
      </c>
      <c r="O17" s="18" t="n">
        <v>13</v>
      </c>
      <c r="P17" s="18" t="inlineStr"/>
      <c r="Q17" s="18" t="inlineStr">
        <is>
          <t>Go-live</t>
        </is>
      </c>
      <c r="R17" s="26" t="n"/>
      <c r="S17" s="26" t="n"/>
      <c r="T17" s="21" t="n"/>
      <c r="U17" s="21" t="n"/>
      <c r="V17" s="21" t="n"/>
      <c r="W17" s="21" t="n"/>
      <c r="X17" s="22" t="n"/>
      <c r="Y17" s="21" t="n"/>
    </row>
    <row r="18" ht="30" customHeight="1">
      <c r="A18" s="24" t="inlineStr">
        <is>
          <t>E6</t>
        </is>
      </c>
      <c r="B18" s="16" t="inlineStr">
        <is>
          <t>Environments and pipeline</t>
        </is>
      </c>
      <c r="C18" s="17" t="inlineStr">
        <is>
          <t>First deployment through the pipeline (CI, deploy, smoke test) to Dev and UAT (and SIT)</t>
        </is>
      </c>
      <c r="D18" s="16" t="inlineStr">
        <is>
          <t>iorta TechNXT</t>
        </is>
      </c>
      <c r="E18" s="17" t="inlineStr">
        <is>
          <t>iorta TechNXT DevOps lead</t>
        </is>
      </c>
      <c r="F18" s="17" t="inlineStr">
        <is>
          <t>Deploy run summaries; smoke test passed</t>
        </is>
      </c>
      <c r="G18" s="17" t="inlineStr">
        <is>
          <t>E4, E5, E3</t>
        </is>
      </c>
      <c r="H18" s="18" t="n">
        <v>1</v>
      </c>
      <c r="I18" s="18" t="n">
        <v>5</v>
      </c>
      <c r="J18" s="18" t="n">
        <v>6</v>
      </c>
      <c r="K18" s="19">
        <f>WORKDAY($D$2,I18)</f>
        <v/>
      </c>
      <c r="L18" s="19">
        <f>IF(H18=0,K18,WORKDAY($D$2,J18-1))</f>
        <v/>
      </c>
      <c r="M18" s="18" t="n">
        <v>2</v>
      </c>
      <c r="N18" s="18" t="n">
        <v>2</v>
      </c>
      <c r="O18" s="18" t="n">
        <v>4</v>
      </c>
      <c r="P18" s="18" t="inlineStr"/>
      <c r="Q18" s="18" t="inlineStr">
        <is>
          <t>Go-live</t>
        </is>
      </c>
      <c r="R18" s="21" t="n"/>
      <c r="S18" s="26" t="n"/>
      <c r="T18" s="21" t="n"/>
      <c r="U18" s="21" t="n"/>
      <c r="V18" s="21" t="n"/>
      <c r="W18" s="21" t="n"/>
      <c r="X18" s="22" t="n"/>
      <c r="Y18" s="21" t="n"/>
    </row>
    <row r="19">
      <c r="A19" s="13" t="inlineStr">
        <is>
          <t>Discovery and fit-gap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40" customHeight="1">
      <c r="A20" s="24" t="inlineStr">
        <is>
          <t>D1</t>
        </is>
      </c>
      <c r="B20" s="16" t="inlineStr">
        <is>
          <t>Discovery and fit-gap</t>
        </is>
      </c>
      <c r="C20" s="17" t="inlineStr">
        <is>
          <t>Process workshops on the delivered system: organisation, sales, placement, servicing, claims, billing, remittance, commission, ledger, tax, distribution</t>
        </is>
      </c>
      <c r="D20" s="16" t="inlineStr">
        <is>
          <t>iorta TechNXT</t>
        </is>
      </c>
      <c r="E20" s="17" t="inlineStr">
        <is>
          <t>iorta TechNXT consultants</t>
        </is>
      </c>
      <c r="F20" s="17" t="inlineStr">
        <is>
          <t>Workshop notes; decisions in the configuration workbook</t>
        </is>
      </c>
      <c r="G20" s="17" t="inlineStr">
        <is>
          <t>M1</t>
        </is>
      </c>
      <c r="H20" s="18" t="n">
        <v>7</v>
      </c>
      <c r="I20" s="18" t="n">
        <v>0</v>
      </c>
      <c r="J20" s="18" t="n">
        <v>7</v>
      </c>
      <c r="K20" s="19">
        <f>WORKDAY($D$2,I20)</f>
        <v/>
      </c>
      <c r="L20" s="19">
        <f>IF(H20=0,K20,WORKDAY($D$2,J20-1))</f>
        <v/>
      </c>
      <c r="M20" s="18" t="n">
        <v>1</v>
      </c>
      <c r="N20" s="18" t="n">
        <v>2</v>
      </c>
      <c r="O20" s="18" t="n">
        <v>2</v>
      </c>
      <c r="P20" s="18" t="inlineStr"/>
      <c r="Q20" s="18" t="inlineStr">
        <is>
          <t>Go-live</t>
        </is>
      </c>
      <c r="R20" s="26" t="n"/>
      <c r="S20" s="26" t="n"/>
      <c r="T20" s="21" t="n"/>
      <c r="U20" s="21" t="n"/>
      <c r="V20" s="21" t="n"/>
      <c r="W20" s="21" t="n"/>
      <c r="X20" s="22" t="n"/>
      <c r="Y20" s="21" t="n"/>
    </row>
    <row r="21" ht="40" customHeight="1">
      <c r="A21" s="24" t="inlineStr">
        <is>
          <t>D2</t>
        </is>
      </c>
      <c r="B21" s="16" t="inlineStr">
        <is>
          <t>Discovery and fit-gap</t>
        </is>
      </c>
      <c r="C21" s="17" t="inlineStr">
        <is>
          <t>Compliance workshop: AML/CFT programme, IC registers, complaints, breach procedure, masking by role</t>
        </is>
      </c>
      <c r="D21" s="16" t="inlineStr">
        <is>
          <t>iorta TechNXT</t>
        </is>
      </c>
      <c r="E21" s="17" t="inlineStr">
        <is>
          <t>iorta TechNXT consultant with the compliance officer and DPO</t>
        </is>
      </c>
      <c r="F21" s="17" t="inlineStr">
        <is>
          <t>Compliance decisions recorded</t>
        </is>
      </c>
      <c r="G21" s="17" t="inlineStr">
        <is>
          <t>M4</t>
        </is>
      </c>
      <c r="H21" s="18" t="n">
        <v>1</v>
      </c>
      <c r="I21" s="18" t="n">
        <v>1</v>
      </c>
      <c r="J21" s="18" t="n">
        <v>2</v>
      </c>
      <c r="K21" s="19">
        <f>WORKDAY($D$2,I21)</f>
        <v/>
      </c>
      <c r="L21" s="19">
        <f>IF(H21=0,K21,WORKDAY($D$2,J21-1))</f>
        <v/>
      </c>
      <c r="M21" s="18" t="n">
        <v>1</v>
      </c>
      <c r="N21" s="18" t="n">
        <v>1</v>
      </c>
      <c r="O21" s="18" t="n">
        <v>10</v>
      </c>
      <c r="P21" s="18" t="inlineStr"/>
      <c r="Q21" s="18" t="inlineStr">
        <is>
          <t>Go-live</t>
        </is>
      </c>
      <c r="R21" s="26" t="n"/>
      <c r="S21" s="21" t="n"/>
      <c r="T21" s="21" t="n"/>
      <c r="U21" s="21" t="n"/>
      <c r="V21" s="21" t="n"/>
      <c r="W21" s="21" t="n"/>
      <c r="X21" s="22" t="n"/>
      <c r="Y21" s="21" t="n"/>
    </row>
    <row r="22" ht="40" customHeight="1">
      <c r="A22" s="24" t="inlineStr">
        <is>
          <t>D3</t>
        </is>
      </c>
      <c r="B22" s="16" t="inlineStr">
        <is>
          <t>Discovery and fit-gap</t>
        </is>
      </c>
      <c r="C22" s="17" t="inlineStr">
        <is>
          <t>Integration workshop: banks, SMS or Viber, CTPL authentication and LTO, insurers, payment gateway, BIR EIS, AMLC reporting</t>
        </is>
      </c>
      <c r="D22" s="16" t="inlineStr">
        <is>
          <t>iorta TechNXT</t>
        </is>
      </c>
      <c r="E22" s="17" t="inlineStr">
        <is>
          <t>iorta TechNXT technical lead</t>
        </is>
      </c>
      <c r="F22" s="17" t="inlineStr">
        <is>
          <t>Integration list with partner contacts</t>
        </is>
      </c>
      <c r="G22" s="17" t="inlineStr">
        <is>
          <t>M4</t>
        </is>
      </c>
      <c r="H22" s="18" t="n">
        <v>1</v>
      </c>
      <c r="I22" s="18" t="n">
        <v>1</v>
      </c>
      <c r="J22" s="18" t="n">
        <v>2</v>
      </c>
      <c r="K22" s="19">
        <f>WORKDAY($D$2,I22)</f>
        <v/>
      </c>
      <c r="L22" s="19">
        <f>IF(H22=0,K22,WORKDAY($D$2,J22-1))</f>
        <v/>
      </c>
      <c r="M22" s="18" t="n">
        <v>1</v>
      </c>
      <c r="N22" s="18" t="n">
        <v>1</v>
      </c>
      <c r="O22" s="18" t="n">
        <v>10</v>
      </c>
      <c r="P22" s="18" t="inlineStr"/>
      <c r="Q22" s="18" t="inlineStr">
        <is>
          <t>Go-live</t>
        </is>
      </c>
      <c r="R22" s="26" t="n"/>
      <c r="S22" s="21" t="n"/>
      <c r="T22" s="21" t="n"/>
      <c r="U22" s="21" t="n"/>
      <c r="V22" s="21" t="n"/>
      <c r="W22" s="21" t="n"/>
      <c r="X22" s="22" t="n"/>
      <c r="Y22" s="21" t="n"/>
    </row>
    <row r="23" ht="40" customHeight="1">
      <c r="A23" s="24" t="inlineStr">
        <is>
          <t>D4</t>
        </is>
      </c>
      <c r="B23" s="16" t="inlineStr">
        <is>
          <t>Discovery and fit-gap</t>
        </is>
      </c>
      <c r="C23" s="17" t="inlineStr">
        <is>
          <t>Branding workshop: theme, logo, sign-in picture, documents, e-signatures, brand pack choice</t>
        </is>
      </c>
      <c r="D23" s="16" t="inlineStr">
        <is>
          <t>iorta TechNXT</t>
        </is>
      </c>
      <c r="E23" s="17" t="inlineStr">
        <is>
          <t>iorta TechNXT consultant</t>
        </is>
      </c>
      <c r="F23" s="17" t="inlineStr">
        <is>
          <t>Branding decisions; client brand pack needed or not, with its contract reference</t>
        </is>
      </c>
      <c r="G23" s="17" t="inlineStr">
        <is>
          <t>M4</t>
        </is>
      </c>
      <c r="H23" s="18" t="n">
        <v>1</v>
      </c>
      <c r="I23" s="18" t="n">
        <v>1</v>
      </c>
      <c r="J23" s="18" t="n">
        <v>2</v>
      </c>
      <c r="K23" s="19">
        <f>WORKDAY($D$2,I23)</f>
        <v/>
      </c>
      <c r="L23" s="19">
        <f>IF(H23=0,K23,WORKDAY($D$2,J23-1))</f>
        <v/>
      </c>
      <c r="M23" s="18" t="n">
        <v>1</v>
      </c>
      <c r="N23" s="18" t="n">
        <v>1</v>
      </c>
      <c r="O23" s="18" t="n">
        <v>10</v>
      </c>
      <c r="P23" s="18" t="inlineStr"/>
      <c r="Q23" s="18" t="inlineStr">
        <is>
          <t>Go-live</t>
        </is>
      </c>
      <c r="R23" s="26" t="n"/>
      <c r="S23" s="21" t="n"/>
      <c r="T23" s="21" t="n"/>
      <c r="U23" s="21" t="n"/>
      <c r="V23" s="21" t="n"/>
      <c r="W23" s="21" t="n"/>
      <c r="X23" s="22" t="n"/>
      <c r="Y23" s="21" t="n"/>
    </row>
    <row r="24" ht="30" customHeight="1">
      <c r="A24" s="24" t="inlineStr">
        <is>
          <t>D5</t>
        </is>
      </c>
      <c r="B24" s="16" t="inlineStr">
        <is>
          <t>Discovery and fit-gap</t>
        </is>
      </c>
      <c r="C24" s="17" t="inlineStr">
        <is>
          <t>Configuration decisions and fit-gap register signed</t>
        </is>
      </c>
      <c r="D24" s="16" t="inlineStr">
        <is>
          <t>Broker</t>
        </is>
      </c>
      <c r="E24" s="17" t="inlineStr">
        <is>
          <t>Broker process owners</t>
        </is>
      </c>
      <c r="F24" s="17" t="inlineStr">
        <is>
          <t>Signed fit-gap register</t>
        </is>
      </c>
      <c r="G24" s="17" t="inlineStr">
        <is>
          <t>D1, D2, D3, D4, M2</t>
        </is>
      </c>
      <c r="H24" s="18" t="n">
        <v>0</v>
      </c>
      <c r="I24" s="18" t="n">
        <v>7</v>
      </c>
      <c r="J24" s="18" t="n">
        <v>7</v>
      </c>
      <c r="K24" s="19">
        <f>WORKDAY($D$2,I24)</f>
        <v/>
      </c>
      <c r="L24" s="19">
        <f>IF(H24=0,K24,WORKDAY($D$2,J24-1))</f>
        <v/>
      </c>
      <c r="M24" s="18" t="n">
        <v>2</v>
      </c>
      <c r="N24" s="18" t="n">
        <v>2</v>
      </c>
      <c r="O24" s="18" t="n">
        <v>5</v>
      </c>
      <c r="P24" s="18" t="inlineStr"/>
      <c r="Q24" s="18" t="inlineStr">
        <is>
          <t>Go-live</t>
        </is>
      </c>
      <c r="R24" s="21" t="n"/>
      <c r="S24" s="20" t="inlineStr">
        <is>
          <t>◆</t>
        </is>
      </c>
      <c r="T24" s="21" t="n"/>
      <c r="U24" s="21" t="n"/>
      <c r="V24" s="21" t="n"/>
      <c r="W24" s="21" t="n"/>
      <c r="X24" s="22" t="n"/>
      <c r="Y24" s="21" t="n"/>
    </row>
    <row r="25">
      <c r="A25" s="13" t="inlineStr">
        <is>
          <t>Client inputs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</row>
    <row r="26" ht="30" customHeight="1">
      <c r="A26" s="24" t="inlineStr">
        <is>
          <t>I10</t>
        </is>
      </c>
      <c r="B26" s="16" t="inlineStr">
        <is>
          <t>Client inputs</t>
        </is>
      </c>
      <c r="C26" s="17" t="inlineStr">
        <is>
          <t>UAT testers and sign-off authority named</t>
        </is>
      </c>
      <c r="D26" s="16" t="inlineStr">
        <is>
          <t>Broker</t>
        </is>
      </c>
      <c r="E26" s="17" t="inlineStr">
        <is>
          <t>Broker PM</t>
        </is>
      </c>
      <c r="F26" s="17" t="inlineStr">
        <is>
          <t>UAT roster</t>
        </is>
      </c>
      <c r="G26" s="17" t="inlineStr">
        <is>
          <t>M4</t>
        </is>
      </c>
      <c r="H26" s="18" t="n">
        <v>2</v>
      </c>
      <c r="I26" s="18" t="n">
        <v>1</v>
      </c>
      <c r="J26" s="18" t="n">
        <v>3</v>
      </c>
      <c r="K26" s="19">
        <f>WORKDAY($D$2,I26)</f>
        <v/>
      </c>
      <c r="L26" s="19">
        <f>IF(H26=0,K26,WORKDAY($D$2,J26-1))</f>
        <v/>
      </c>
      <c r="M26" s="18" t="n">
        <v>1</v>
      </c>
      <c r="N26" s="18" t="n">
        <v>1</v>
      </c>
      <c r="O26" s="18" t="n">
        <v>18</v>
      </c>
      <c r="P26" s="18" t="inlineStr"/>
      <c r="Q26" s="18" t="inlineStr">
        <is>
          <t>Go-live</t>
        </is>
      </c>
      <c r="R26" s="25" t="n"/>
      <c r="S26" s="21" t="n"/>
      <c r="T26" s="21" t="n"/>
      <c r="U26" s="21" t="n"/>
      <c r="V26" s="21" t="n"/>
      <c r="W26" s="21" t="n"/>
      <c r="X26" s="22" t="n"/>
      <c r="Y26" s="21" t="n"/>
    </row>
    <row r="27" ht="30" customHeight="1">
      <c r="A27" s="24" t="inlineStr">
        <is>
          <t>I4</t>
        </is>
      </c>
      <c r="B27" s="16" t="inlineStr">
        <is>
          <t>Client inputs</t>
        </is>
      </c>
      <c r="C27" s="17" t="inlineStr">
        <is>
          <t>SMTP mailbox and credentials</t>
        </is>
      </c>
      <c r="D27" s="16" t="inlineStr">
        <is>
          <t>Broker</t>
        </is>
      </c>
      <c r="E27" s="17" t="inlineStr">
        <is>
          <t>Broker IT head</t>
        </is>
      </c>
      <c r="F27" s="17" t="inlineStr">
        <is>
          <t>Mailbox in the secret store</t>
        </is>
      </c>
      <c r="G27" s="17" t="inlineStr">
        <is>
          <t>M3</t>
        </is>
      </c>
      <c r="H27" s="18" t="n">
        <v>3</v>
      </c>
      <c r="I27" s="18" t="n">
        <v>1</v>
      </c>
      <c r="J27" s="18" t="n">
        <v>4</v>
      </c>
      <c r="K27" s="19">
        <f>WORKDAY($D$2,I27)</f>
        <v/>
      </c>
      <c r="L27" s="19">
        <f>IF(H27=0,K27,WORKDAY($D$2,J27-1))</f>
        <v/>
      </c>
      <c r="M27" s="18" t="n">
        <v>1</v>
      </c>
      <c r="N27" s="18" t="n">
        <v>1</v>
      </c>
      <c r="O27" s="18" t="n">
        <v>23</v>
      </c>
      <c r="P27" s="18" t="inlineStr"/>
      <c r="Q27" s="18" t="inlineStr">
        <is>
          <t>Go-live</t>
        </is>
      </c>
      <c r="R27" s="25" t="n"/>
      <c r="S27" s="21" t="n"/>
      <c r="T27" s="21" t="n"/>
      <c r="U27" s="21" t="n"/>
      <c r="V27" s="21" t="n"/>
      <c r="W27" s="21" t="n"/>
      <c r="X27" s="22" t="n"/>
      <c r="Y27" s="21" t="n"/>
    </row>
    <row r="28" ht="30" customHeight="1">
      <c r="A28" s="15" t="inlineStr">
        <is>
          <t>I1</t>
        </is>
      </c>
      <c r="B28" s="16" t="inlineStr">
        <is>
          <t>Client inputs</t>
        </is>
      </c>
      <c r="C28" s="17" t="inlineStr">
        <is>
          <t>Insurer list and agreements, commission and referrer rates, product list</t>
        </is>
      </c>
      <c r="D28" s="16" t="inlineStr">
        <is>
          <t>Broker</t>
        </is>
      </c>
      <c r="E28" s="17" t="inlineStr">
        <is>
          <t>Broker key users</t>
        </is>
      </c>
      <c r="F28" s="17" t="inlineStr">
        <is>
          <t>Filled sheets of the configuration kit</t>
        </is>
      </c>
      <c r="G28" s="17" t="inlineStr">
        <is>
          <t>M3</t>
        </is>
      </c>
      <c r="H28" s="18" t="n">
        <v>4</v>
      </c>
      <c r="I28" s="18" t="n">
        <v>1</v>
      </c>
      <c r="J28" s="18" t="n">
        <v>5</v>
      </c>
      <c r="K28" s="19">
        <f>WORKDAY($D$2,I28)</f>
        <v/>
      </c>
      <c r="L28" s="19">
        <f>IF(H28=0,K28,WORKDAY($D$2,J28-1))</f>
        <v/>
      </c>
      <c r="M28" s="18" t="n">
        <v>1</v>
      </c>
      <c r="N28" s="18" t="n">
        <v>1</v>
      </c>
      <c r="O28" s="18" t="n">
        <v>0</v>
      </c>
      <c r="P28" s="18" t="inlineStr">
        <is>
          <t>Yes</t>
        </is>
      </c>
      <c r="Q28" s="18" t="inlineStr">
        <is>
          <t>Go-live</t>
        </is>
      </c>
      <c r="R28" s="27" t="n"/>
      <c r="S28" s="21" t="n"/>
      <c r="T28" s="21" t="n"/>
      <c r="U28" s="21" t="n"/>
      <c r="V28" s="21" t="n"/>
      <c r="W28" s="21" t="n"/>
      <c r="X28" s="22" t="n"/>
      <c r="Y28" s="21" t="n"/>
    </row>
    <row r="29" ht="30" customHeight="1">
      <c r="A29" s="15" t="inlineStr">
        <is>
          <t>I2</t>
        </is>
      </c>
      <c r="B29" s="16" t="inlineStr">
        <is>
          <t>Client inputs</t>
        </is>
      </c>
      <c r="C29" s="17" t="inlineStr">
        <is>
          <t>Chart of accounts and the accountant's mapping decisions</t>
        </is>
      </c>
      <c r="D29" s="16" t="inlineStr">
        <is>
          <t>Broker</t>
        </is>
      </c>
      <c r="E29" s="17" t="inlineStr">
        <is>
          <t>Broker Accounting Manager</t>
        </is>
      </c>
      <c r="F29" s="17" t="inlineStr">
        <is>
          <t>Chart of Accounts sheet; mapping decisions</t>
        </is>
      </c>
      <c r="G29" s="17" t="inlineStr">
        <is>
          <t>M3</t>
        </is>
      </c>
      <c r="H29" s="18" t="n">
        <v>4</v>
      </c>
      <c r="I29" s="18" t="n">
        <v>1</v>
      </c>
      <c r="J29" s="18" t="n">
        <v>5</v>
      </c>
      <c r="K29" s="19">
        <f>WORKDAY($D$2,I29)</f>
        <v/>
      </c>
      <c r="L29" s="19">
        <f>IF(H29=0,K29,WORKDAY($D$2,J29-1))</f>
        <v/>
      </c>
      <c r="M29" s="18" t="n">
        <v>1</v>
      </c>
      <c r="N29" s="18" t="n">
        <v>1</v>
      </c>
      <c r="O29" s="18" t="n">
        <v>0</v>
      </c>
      <c r="P29" s="18" t="inlineStr">
        <is>
          <t>Yes</t>
        </is>
      </c>
      <c r="Q29" s="18" t="inlineStr">
        <is>
          <t>Go-live</t>
        </is>
      </c>
      <c r="R29" s="27" t="n"/>
      <c r="S29" s="21" t="n"/>
      <c r="T29" s="21" t="n"/>
      <c r="U29" s="21" t="n"/>
      <c r="V29" s="21" t="n"/>
      <c r="W29" s="21" t="n"/>
      <c r="X29" s="22" t="n"/>
      <c r="Y29" s="21" t="n"/>
    </row>
    <row r="30" ht="30" customHeight="1">
      <c r="A30" s="15" t="inlineStr">
        <is>
          <t>I3</t>
        </is>
      </c>
      <c r="B30" s="16" t="inlineStr">
        <is>
          <t>Client inputs</t>
        </is>
      </c>
      <c r="C30" s="17" t="inlineStr">
        <is>
          <t>User list with roles, branches and reporting lines (My Team follows the reporting line)</t>
        </is>
      </c>
      <c r="D30" s="16" t="inlineStr">
        <is>
          <t>Broker</t>
        </is>
      </c>
      <c r="E30" s="17" t="inlineStr">
        <is>
          <t>Broker System Administrator</t>
        </is>
      </c>
      <c r="F30" s="17" t="inlineStr">
        <is>
          <t>Users sheet</t>
        </is>
      </c>
      <c r="G30" s="17" t="inlineStr">
        <is>
          <t>M3</t>
        </is>
      </c>
      <c r="H30" s="18" t="n">
        <v>4</v>
      </c>
      <c r="I30" s="18" t="n">
        <v>1</v>
      </c>
      <c r="J30" s="18" t="n">
        <v>5</v>
      </c>
      <c r="K30" s="19">
        <f>WORKDAY($D$2,I30)</f>
        <v/>
      </c>
      <c r="L30" s="19">
        <f>IF(H30=0,K30,WORKDAY($D$2,J30-1))</f>
        <v/>
      </c>
      <c r="M30" s="18" t="n">
        <v>1</v>
      </c>
      <c r="N30" s="18" t="n">
        <v>1</v>
      </c>
      <c r="O30" s="18" t="n">
        <v>0</v>
      </c>
      <c r="P30" s="18" t="inlineStr">
        <is>
          <t>Yes</t>
        </is>
      </c>
      <c r="Q30" s="18" t="inlineStr">
        <is>
          <t>Go-live</t>
        </is>
      </c>
      <c r="R30" s="27" t="n"/>
      <c r="S30" s="21" t="n"/>
      <c r="T30" s="21" t="n"/>
      <c r="U30" s="21" t="n"/>
      <c r="V30" s="21" t="n"/>
      <c r="W30" s="21" t="n"/>
      <c r="X30" s="22" t="n"/>
      <c r="Y30" s="21" t="n"/>
    </row>
    <row r="31" ht="30" customHeight="1">
      <c r="A31" s="24" t="inlineStr">
        <is>
          <t>I5</t>
        </is>
      </c>
      <c r="B31" s="16" t="inlineStr">
        <is>
          <t>Client inputs</t>
        </is>
      </c>
      <c r="C31" s="17" t="inlineStr">
        <is>
          <t>Bank accounts, one statement export per account, bank contacts for payment files, payee bank accounts</t>
        </is>
      </c>
      <c r="D31" s="16" t="inlineStr">
        <is>
          <t>Broker</t>
        </is>
      </c>
      <c r="E31" s="17" t="inlineStr">
        <is>
          <t>Broker Accounting</t>
        </is>
      </c>
      <c r="F31" s="17" t="inlineStr">
        <is>
          <t>Statement samples; Payee Bank Accounts sheet</t>
        </is>
      </c>
      <c r="G31" s="17" t="inlineStr">
        <is>
          <t>M3</t>
        </is>
      </c>
      <c r="H31" s="18" t="n">
        <v>5</v>
      </c>
      <c r="I31" s="18" t="n">
        <v>1</v>
      </c>
      <c r="J31" s="18" t="n">
        <v>6</v>
      </c>
      <c r="K31" s="19">
        <f>WORKDAY($D$2,I31)</f>
        <v/>
      </c>
      <c r="L31" s="19">
        <f>IF(H31=0,K31,WORKDAY($D$2,J31-1))</f>
        <v/>
      </c>
      <c r="M31" s="18" t="n">
        <v>1</v>
      </c>
      <c r="N31" s="18" t="n">
        <v>2</v>
      </c>
      <c r="O31" s="18" t="n">
        <v>19</v>
      </c>
      <c r="P31" s="18" t="inlineStr"/>
      <c r="Q31" s="18" t="inlineStr">
        <is>
          <t>Feature only</t>
        </is>
      </c>
      <c r="R31" s="25" t="n"/>
      <c r="S31" s="25" t="n"/>
      <c r="T31" s="21" t="n"/>
      <c r="U31" s="21" t="n"/>
      <c r="V31" s="21" t="n"/>
      <c r="W31" s="21" t="n"/>
      <c r="X31" s="22" t="n"/>
      <c r="Y31" s="21" t="n"/>
    </row>
    <row r="32" ht="30" customHeight="1">
      <c r="A32" s="24" t="inlineStr">
        <is>
          <t>I7</t>
        </is>
      </c>
      <c r="B32" s="16" t="inlineStr">
        <is>
          <t>Client inputs</t>
        </is>
      </c>
      <c r="C32" s="17" t="inlineStr">
        <is>
          <t>COC number series from each insurer</t>
        </is>
      </c>
      <c r="D32" s="16" t="inlineStr">
        <is>
          <t>Broker</t>
        </is>
      </c>
      <c r="E32" s="17" t="inlineStr">
        <is>
          <t>Broker Operations</t>
        </is>
      </c>
      <c r="F32" s="17" t="inlineStr">
        <is>
          <t>COC Series sheet</t>
        </is>
      </c>
      <c r="G32" s="17" t="inlineStr">
        <is>
          <t>M3</t>
        </is>
      </c>
      <c r="H32" s="18" t="n">
        <v>5</v>
      </c>
      <c r="I32" s="18" t="n">
        <v>1</v>
      </c>
      <c r="J32" s="18" t="n">
        <v>6</v>
      </c>
      <c r="K32" s="19">
        <f>WORKDAY($D$2,I32)</f>
        <v/>
      </c>
      <c r="L32" s="19">
        <f>IF(H32=0,K32,WORKDAY($D$2,J32-1))</f>
        <v/>
      </c>
      <c r="M32" s="18" t="n">
        <v>1</v>
      </c>
      <c r="N32" s="18" t="n">
        <v>2</v>
      </c>
      <c r="O32" s="18" t="n"/>
      <c r="P32" s="18" t="inlineStr"/>
      <c r="Q32" s="18" t="inlineStr">
        <is>
          <t>Feature only</t>
        </is>
      </c>
      <c r="R32" s="25" t="n"/>
      <c r="S32" s="25" t="n"/>
      <c r="T32" s="21" t="n"/>
      <c r="U32" s="21" t="n"/>
      <c r="V32" s="21" t="n"/>
      <c r="W32" s="21" t="n"/>
      <c r="X32" s="22" t="n"/>
      <c r="Y32" s="21" t="n"/>
    </row>
    <row r="33" ht="30" customHeight="1">
      <c r="A33" s="24" t="inlineStr">
        <is>
          <t>I9</t>
        </is>
      </c>
      <c r="B33" s="16" t="inlineStr">
        <is>
          <t>Client inputs</t>
        </is>
      </c>
      <c r="C33" s="17" t="inlineStr">
        <is>
          <t>Training rooms, devices and attendance list</t>
        </is>
      </c>
      <c r="D33" s="16" t="inlineStr">
        <is>
          <t>Broker</t>
        </is>
      </c>
      <c r="E33" s="17" t="inlineStr">
        <is>
          <t>Broker PM</t>
        </is>
      </c>
      <c r="F33" s="17" t="inlineStr">
        <is>
          <t>Training schedule</t>
        </is>
      </c>
      <c r="G33" s="17" t="inlineStr">
        <is>
          <t>M4</t>
        </is>
      </c>
      <c r="H33" s="18" t="n">
        <v>5</v>
      </c>
      <c r="I33" s="18" t="n">
        <v>1</v>
      </c>
      <c r="J33" s="18" t="n">
        <v>6</v>
      </c>
      <c r="K33" s="19">
        <f>WORKDAY($D$2,I33)</f>
        <v/>
      </c>
      <c r="L33" s="19">
        <f>IF(H33=0,K33,WORKDAY($D$2,J33-1))</f>
        <v/>
      </c>
      <c r="M33" s="18" t="n">
        <v>1</v>
      </c>
      <c r="N33" s="18" t="n">
        <v>2</v>
      </c>
      <c r="O33" s="18" t="n">
        <v>17</v>
      </c>
      <c r="P33" s="18" t="inlineStr"/>
      <c r="Q33" s="18" t="inlineStr">
        <is>
          <t>Go-live</t>
        </is>
      </c>
      <c r="R33" s="25" t="n"/>
      <c r="S33" s="25" t="n"/>
      <c r="T33" s="21" t="n"/>
      <c r="U33" s="21" t="n"/>
      <c r="V33" s="21" t="n"/>
      <c r="W33" s="21" t="n"/>
      <c r="X33" s="22" t="n"/>
      <c r="Y33" s="21" t="n"/>
    </row>
    <row r="34" ht="30" customHeight="1">
      <c r="A34" s="24" t="inlineStr">
        <is>
          <t>I8</t>
        </is>
      </c>
      <c r="B34" s="16" t="inlineStr">
        <is>
          <t>Client inputs</t>
        </is>
      </c>
      <c r="C34" s="17" t="inlineStr">
        <is>
          <t>Logo, sign-in picture, signatories with e-signature consent</t>
        </is>
      </c>
      <c r="D34" s="16" t="inlineStr">
        <is>
          <t>Broker</t>
        </is>
      </c>
      <c r="E34" s="17" t="inlineStr">
        <is>
          <t>Broker marketing and signatories</t>
        </is>
      </c>
      <c r="F34" s="17" t="inlineStr">
        <is>
          <t>Images; consents on file</t>
        </is>
      </c>
      <c r="G34" s="17" t="inlineStr">
        <is>
          <t>D4</t>
        </is>
      </c>
      <c r="H34" s="18" t="n">
        <v>3</v>
      </c>
      <c r="I34" s="18" t="n">
        <v>2</v>
      </c>
      <c r="J34" s="18" t="n">
        <v>5</v>
      </c>
      <c r="K34" s="19">
        <f>WORKDAY($D$2,I34)</f>
        <v/>
      </c>
      <c r="L34" s="19">
        <f>IF(H34=0,K34,WORKDAY($D$2,J34-1))</f>
        <v/>
      </c>
      <c r="M34" s="18" t="n">
        <v>1</v>
      </c>
      <c r="N34" s="18" t="n">
        <v>1</v>
      </c>
      <c r="O34" s="18" t="n">
        <v>12</v>
      </c>
      <c r="P34" s="18" t="inlineStr"/>
      <c r="Q34" s="18" t="inlineStr">
        <is>
          <t>Go-live</t>
        </is>
      </c>
      <c r="R34" s="25" t="n"/>
      <c r="S34" s="21" t="n"/>
      <c r="T34" s="21" t="n"/>
      <c r="U34" s="21" t="n"/>
      <c r="V34" s="21" t="n"/>
      <c r="W34" s="21" t="n"/>
      <c r="X34" s="22" t="n"/>
      <c r="Y34" s="21" t="n"/>
    </row>
    <row r="35" ht="40" customHeight="1">
      <c r="A35" s="24" t="inlineStr">
        <is>
          <t>I6</t>
        </is>
      </c>
      <c r="B35" s="16" t="inlineStr">
        <is>
          <t>Client inputs</t>
        </is>
      </c>
      <c r="C35" s="17" t="inlineStr">
        <is>
          <t>Partner contracts and credentials: SMS provider, CTPL authentication provider, payment gateway, insurer API access</t>
        </is>
      </c>
      <c r="D35" s="16" t="inlineStr">
        <is>
          <t>Broker</t>
        </is>
      </c>
      <c r="E35" s="17" t="inlineStr">
        <is>
          <t>Broker IT head and sponsor</t>
        </is>
      </c>
      <c r="F35" s="17" t="inlineStr">
        <is>
          <t>Signed contracts; credentials in the secret store</t>
        </is>
      </c>
      <c r="G35" s="17" t="inlineStr">
        <is>
          <t>D3</t>
        </is>
      </c>
      <c r="H35" s="18" t="n">
        <v>8</v>
      </c>
      <c r="I35" s="18" t="n">
        <v>2</v>
      </c>
      <c r="J35" s="18" t="n">
        <v>10</v>
      </c>
      <c r="K35" s="19">
        <f>WORKDAY($D$2,I35)</f>
        <v/>
      </c>
      <c r="L35" s="19">
        <f>IF(H35=0,K35,WORKDAY($D$2,J35-1))</f>
        <v/>
      </c>
      <c r="M35" s="18" t="n">
        <v>1</v>
      </c>
      <c r="N35" s="18" t="n">
        <v>2</v>
      </c>
      <c r="O35" s="18" t="n"/>
      <c r="P35" s="18" t="inlineStr"/>
      <c r="Q35" s="18" t="inlineStr">
        <is>
          <t>Feature only</t>
        </is>
      </c>
      <c r="R35" s="25" t="n"/>
      <c r="S35" s="25" t="n"/>
      <c r="T35" s="21" t="n"/>
      <c r="U35" s="21" t="n"/>
      <c r="V35" s="21" t="n"/>
      <c r="W35" s="21" t="n"/>
      <c r="X35" s="22" t="n"/>
      <c r="Y35" s="21" t="n"/>
    </row>
    <row r="36">
      <c r="A36" s="13" t="inlineStr">
        <is>
          <t>Regulatory registrations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</row>
    <row r="37" ht="30" customHeight="1">
      <c r="A37" s="24" t="inlineStr">
        <is>
          <t>R3</t>
        </is>
      </c>
      <c r="B37" s="16" t="inlineStr">
        <is>
          <t>Regulatory registrations</t>
        </is>
      </c>
      <c r="C37" s="17" t="inlineStr">
        <is>
          <t>AMLC: registration of the broker as covered person, portal access, institution code</t>
        </is>
      </c>
      <c r="D37" s="16" t="inlineStr">
        <is>
          <t>Broker</t>
        </is>
      </c>
      <c r="E37" s="17" t="inlineStr">
        <is>
          <t>Broker compliance officer</t>
        </is>
      </c>
      <c r="F37" s="17" t="inlineStr">
        <is>
          <t>Portal access; aml.amlc_institution_code</t>
        </is>
      </c>
      <c r="G37" s="17" t="inlineStr">
        <is>
          <t>M1</t>
        </is>
      </c>
      <c r="H37" s="18" t="n">
        <v>15</v>
      </c>
      <c r="I37" s="18" t="n">
        <v>0</v>
      </c>
      <c r="J37" s="18" t="n">
        <v>15</v>
      </c>
      <c r="K37" s="19">
        <f>WORKDAY($D$2,I37)</f>
        <v/>
      </c>
      <c r="L37" s="19">
        <f>IF(H37=0,K37,WORKDAY($D$2,J37-1))</f>
        <v/>
      </c>
      <c r="M37" s="18" t="n">
        <v>1</v>
      </c>
      <c r="N37" s="18" t="n">
        <v>3</v>
      </c>
      <c r="O37" s="18" t="n">
        <v>12</v>
      </c>
      <c r="P37" s="18" t="inlineStr"/>
      <c r="Q37" s="18" t="inlineStr">
        <is>
          <t>Go-live</t>
        </is>
      </c>
      <c r="R37" s="25" t="n"/>
      <c r="S37" s="25" t="n"/>
      <c r="T37" s="25" t="n"/>
      <c r="U37" s="21" t="n"/>
      <c r="V37" s="21" t="n"/>
      <c r="W37" s="21" t="n"/>
      <c r="X37" s="22" t="n"/>
      <c r="Y37" s="21" t="n"/>
    </row>
    <row r="38" ht="40" customHeight="1">
      <c r="A38" s="24" t="inlineStr">
        <is>
          <t>R1</t>
        </is>
      </c>
      <c r="B38" s="16" t="inlineStr">
        <is>
          <t>Regulatory registrations</t>
        </is>
      </c>
      <c r="C38" s="17" t="inlineStr">
        <is>
          <t>BIR: Authority to Print or CAS registration and the invoice serial range confirmed (new or existing); last numbers used</t>
        </is>
      </c>
      <c r="D38" s="16" t="inlineStr">
        <is>
          <t>Broker</t>
        </is>
      </c>
      <c r="E38" s="17" t="inlineStr">
        <is>
          <t>Broker Accounting Manager with the tax adviser</t>
        </is>
      </c>
      <c r="F38" s="17" t="inlineStr">
        <is>
          <t>ATP or CAS acknowledgement; invoice.* settings</t>
        </is>
      </c>
      <c r="G38" s="17" t="inlineStr">
        <is>
          <t>M1</t>
        </is>
      </c>
      <c r="H38" s="18" t="n">
        <v>20</v>
      </c>
      <c r="I38" s="18" t="n">
        <v>0</v>
      </c>
      <c r="J38" s="18" t="n">
        <v>20</v>
      </c>
      <c r="K38" s="19">
        <f>WORKDAY($D$2,I38)</f>
        <v/>
      </c>
      <c r="L38" s="19">
        <f>IF(H38=0,K38,WORKDAY($D$2,J38-1))</f>
        <v/>
      </c>
      <c r="M38" s="18" t="n">
        <v>1</v>
      </c>
      <c r="N38" s="18" t="n">
        <v>4</v>
      </c>
      <c r="O38" s="18" t="n">
        <v>2</v>
      </c>
      <c r="P38" s="18" t="inlineStr"/>
      <c r="Q38" s="18" t="inlineStr">
        <is>
          <t>Go-live</t>
        </is>
      </c>
      <c r="R38" s="25" t="n"/>
      <c r="S38" s="25" t="n"/>
      <c r="T38" s="25" t="n"/>
      <c r="U38" s="25" t="n"/>
      <c r="V38" s="21" t="n"/>
      <c r="W38" s="21" t="n"/>
      <c r="X38" s="22" t="n"/>
      <c r="Y38" s="21" t="n"/>
    </row>
    <row r="39" ht="30" customHeight="1">
      <c r="A39" s="24" t="inlineStr">
        <is>
          <t>R5</t>
        </is>
      </c>
      <c r="B39" s="16" t="inlineStr">
        <is>
          <t>Regulatory registrations</t>
        </is>
      </c>
      <c r="C39" s="17" t="inlineStr">
        <is>
          <t>NPC: registration of the DPO and the data processing systems confirmed; privacy notice version</t>
        </is>
      </c>
      <c r="D39" s="16" t="inlineStr">
        <is>
          <t>Broker</t>
        </is>
      </c>
      <c r="E39" s="17" t="inlineStr">
        <is>
          <t>Broker DPO</t>
        </is>
      </c>
      <c r="F39" s="17" t="inlineStr">
        <is>
          <t>NPC registration; privacy.notice_version</t>
        </is>
      </c>
      <c r="G39" s="17" t="inlineStr">
        <is>
          <t>M1</t>
        </is>
      </c>
      <c r="H39" s="18" t="n">
        <v>20</v>
      </c>
      <c r="I39" s="18" t="n">
        <v>0</v>
      </c>
      <c r="J39" s="18" t="n">
        <v>20</v>
      </c>
      <c r="K39" s="19">
        <f>WORKDAY($D$2,I39)</f>
        <v/>
      </c>
      <c r="L39" s="19">
        <f>IF(H39=0,K39,WORKDAY($D$2,J39-1))</f>
        <v/>
      </c>
      <c r="M39" s="18" t="n">
        <v>1</v>
      </c>
      <c r="N39" s="18" t="n">
        <v>4</v>
      </c>
      <c r="O39" s="18" t="n">
        <v>8</v>
      </c>
      <c r="P39" s="18" t="inlineStr"/>
      <c r="Q39" s="18" t="inlineStr">
        <is>
          <t>Go-live</t>
        </is>
      </c>
      <c r="R39" s="25" t="n"/>
      <c r="S39" s="25" t="n"/>
      <c r="T39" s="25" t="n"/>
      <c r="U39" s="25" t="n"/>
      <c r="V39" s="21" t="n"/>
      <c r="W39" s="21" t="n"/>
      <c r="X39" s="22" t="n"/>
      <c r="Y39" s="21" t="n"/>
    </row>
    <row r="40" ht="30" customHeight="1">
      <c r="A40" s="24" t="inlineStr">
        <is>
          <t>R2</t>
        </is>
      </c>
      <c r="B40" s="16" t="inlineStr">
        <is>
          <t>Regulatory registrations</t>
        </is>
      </c>
      <c r="C40" s="17" t="inlineStr">
        <is>
          <t>BIR: EIS enrolment and certification (when the broker is covered)</t>
        </is>
      </c>
      <c r="D40" s="16" t="inlineStr">
        <is>
          <t>Broker</t>
        </is>
      </c>
      <c r="E40" s="17" t="inlineStr">
        <is>
          <t>Broker Accounting Manager</t>
        </is>
      </c>
      <c r="F40" s="17" t="inlineStr">
        <is>
          <t>EIS accreditation id and credentials</t>
        </is>
      </c>
      <c r="G40" s="17" t="inlineStr">
        <is>
          <t>M1</t>
        </is>
      </c>
      <c r="H40" s="18" t="n">
        <v>30</v>
      </c>
      <c r="I40" s="18" t="n">
        <v>0</v>
      </c>
      <c r="J40" s="18" t="n">
        <v>30</v>
      </c>
      <c r="K40" s="19">
        <f>WORKDAY($D$2,I40)</f>
        <v/>
      </c>
      <c r="L40" s="19">
        <f>IF(H40=0,K40,WORKDAY($D$2,J40-1))</f>
        <v/>
      </c>
      <c r="M40" s="18" t="n">
        <v>1</v>
      </c>
      <c r="N40" s="18" t="n">
        <v>6</v>
      </c>
      <c r="O40" s="18" t="n"/>
      <c r="P40" s="18" t="inlineStr"/>
      <c r="Q40" s="18" t="inlineStr">
        <is>
          <t>Feature only</t>
        </is>
      </c>
      <c r="R40" s="25" t="n"/>
      <c r="S40" s="25" t="n"/>
      <c r="T40" s="25" t="n"/>
      <c r="U40" s="25" t="n"/>
      <c r="V40" s="25" t="n"/>
      <c r="W40" s="25" t="n"/>
      <c r="X40" s="22" t="n"/>
      <c r="Y40" s="21" t="n"/>
    </row>
    <row r="41" ht="30" customHeight="1">
      <c r="A41" s="24" t="inlineStr">
        <is>
          <t>R4</t>
        </is>
      </c>
      <c r="B41" s="16" t="inlineStr">
        <is>
          <t>Regulatory registrations</t>
        </is>
      </c>
      <c r="C41" s="17" t="inlineStr">
        <is>
          <t>IC: licence data of the firm, officers and agents; certificates of authority of the insurers</t>
        </is>
      </c>
      <c r="D41" s="16" t="inlineStr">
        <is>
          <t>Broker</t>
        </is>
      </c>
      <c r="E41" s="17" t="inlineStr">
        <is>
          <t>Broker compliance officer</t>
        </is>
      </c>
      <c r="F41" s="17" t="inlineStr">
        <is>
          <t>Licence copies; certificate numbers and validity</t>
        </is>
      </c>
      <c r="G41" s="17" t="inlineStr">
        <is>
          <t>M4</t>
        </is>
      </c>
      <c r="H41" s="18" t="n">
        <v>5</v>
      </c>
      <c r="I41" s="18" t="n">
        <v>1</v>
      </c>
      <c r="J41" s="18" t="n">
        <v>6</v>
      </c>
      <c r="K41" s="19">
        <f>WORKDAY($D$2,I41)</f>
        <v/>
      </c>
      <c r="L41" s="19">
        <f>IF(H41=0,K41,WORKDAY($D$2,J41-1))</f>
        <v/>
      </c>
      <c r="M41" s="18" t="n">
        <v>1</v>
      </c>
      <c r="N41" s="18" t="n">
        <v>2</v>
      </c>
      <c r="O41" s="18" t="n">
        <v>10</v>
      </c>
      <c r="P41" s="18" t="inlineStr"/>
      <c r="Q41" s="18" t="inlineStr">
        <is>
          <t>Go-live</t>
        </is>
      </c>
      <c r="R41" s="25" t="n"/>
      <c r="S41" s="25" t="n"/>
      <c r="T41" s="21" t="n"/>
      <c r="U41" s="21" t="n"/>
      <c r="V41" s="21" t="n"/>
      <c r="W41" s="21" t="n"/>
      <c r="X41" s="22" t="n"/>
      <c r="Y41" s="21" t="n"/>
    </row>
    <row r="42" ht="40" customHeight="1">
      <c r="A42" s="24" t="inlineStr">
        <is>
          <t>R8</t>
        </is>
      </c>
      <c r="B42" s="16" t="inlineStr">
        <is>
          <t>Regulatory registrations</t>
        </is>
      </c>
      <c r="C42" s="17" t="inlineStr">
        <is>
          <t>Contract reference covering the use of the client's marks on the engagement file (client brand pack only)</t>
        </is>
      </c>
      <c r="D42" s="16" t="inlineStr">
        <is>
          <t>Broker</t>
        </is>
      </c>
      <c r="E42" s="17" t="inlineStr">
        <is>
          <t>Broker sponsor</t>
        </is>
      </c>
      <c r="F42" s="17" t="inlineStr">
        <is>
          <t>Contract reference on the engagement file</t>
        </is>
      </c>
      <c r="G42" s="17" t="inlineStr">
        <is>
          <t>D4</t>
        </is>
      </c>
      <c r="H42" s="18" t="n">
        <v>3</v>
      </c>
      <c r="I42" s="18" t="n">
        <v>2</v>
      </c>
      <c r="J42" s="18" t="n">
        <v>5</v>
      </c>
      <c r="K42" s="19">
        <f>WORKDAY($D$2,I42)</f>
        <v/>
      </c>
      <c r="L42" s="19">
        <f>IF(H42=0,K42,WORKDAY($D$2,J42-1))</f>
        <v/>
      </c>
      <c r="M42" s="18" t="n">
        <v>1</v>
      </c>
      <c r="N42" s="18" t="n">
        <v>1</v>
      </c>
      <c r="O42" s="18" t="n"/>
      <c r="P42" s="18" t="inlineStr"/>
      <c r="Q42" s="18" t="inlineStr">
        <is>
          <t>Feature only</t>
        </is>
      </c>
      <c r="R42" s="25" t="n"/>
      <c r="S42" s="21" t="n"/>
      <c r="T42" s="21" t="n"/>
      <c r="U42" s="21" t="n"/>
      <c r="V42" s="21" t="n"/>
      <c r="W42" s="21" t="n"/>
      <c r="X42" s="22" t="n"/>
      <c r="Y42" s="21" t="n"/>
    </row>
    <row r="43" ht="30" customHeight="1">
      <c r="A43" s="24" t="inlineStr">
        <is>
          <t>R7</t>
        </is>
      </c>
      <c r="B43" s="16" t="inlineStr">
        <is>
          <t>Regulatory registrations</t>
        </is>
      </c>
      <c r="C43" s="17" t="inlineStr">
        <is>
          <t>Screening lists: UN and AMLC lists obtained; PEP list licence from a provider (when used)</t>
        </is>
      </c>
      <c r="D43" s="16" t="inlineStr">
        <is>
          <t>Broker</t>
        </is>
      </c>
      <c r="E43" s="17" t="inlineStr">
        <is>
          <t>Broker compliance officer</t>
        </is>
      </c>
      <c r="F43" s="17" t="inlineStr">
        <is>
          <t>List files and licence</t>
        </is>
      </c>
      <c r="G43" s="17" t="inlineStr">
        <is>
          <t>D2</t>
        </is>
      </c>
      <c r="H43" s="18" t="n">
        <v>10</v>
      </c>
      <c r="I43" s="18" t="n">
        <v>2</v>
      </c>
      <c r="J43" s="18" t="n">
        <v>12</v>
      </c>
      <c r="K43" s="19">
        <f>WORKDAY($D$2,I43)</f>
        <v/>
      </c>
      <c r="L43" s="19">
        <f>IF(H43=0,K43,WORKDAY($D$2,J43-1))</f>
        <v/>
      </c>
      <c r="M43" s="18" t="n">
        <v>1</v>
      </c>
      <c r="N43" s="18" t="n">
        <v>3</v>
      </c>
      <c r="O43" s="18" t="n">
        <v>15</v>
      </c>
      <c r="P43" s="18" t="inlineStr"/>
      <c r="Q43" s="18" t="inlineStr">
        <is>
          <t>Go-live</t>
        </is>
      </c>
      <c r="R43" s="25" t="n"/>
      <c r="S43" s="25" t="n"/>
      <c r="T43" s="25" t="n"/>
      <c r="U43" s="21" t="n"/>
      <c r="V43" s="21" t="n"/>
      <c r="W43" s="21" t="n"/>
      <c r="X43" s="22" t="n"/>
      <c r="Y43" s="21" t="n"/>
    </row>
    <row r="44" ht="40" customHeight="1">
      <c r="A44" s="24" t="inlineStr">
        <is>
          <t>R6</t>
        </is>
      </c>
      <c r="B44" s="16" t="inlineStr">
        <is>
          <t>Regulatory registrations</t>
        </is>
      </c>
      <c r="C44" s="17" t="inlineStr">
        <is>
          <t>Tax adviser confirmation: tax codes, ATC, rates, invoice and receipt wording, VAT treatment of commission</t>
        </is>
      </c>
      <c r="D44" s="16" t="inlineStr">
        <is>
          <t>Broker</t>
        </is>
      </c>
      <c r="E44" s="17" t="inlineStr">
        <is>
          <t>Broker tax adviser</t>
        </is>
      </c>
      <c r="F44" s="17" t="inlineStr">
        <is>
          <t>Written confirmation</t>
        </is>
      </c>
      <c r="G44" s="17" t="inlineStr">
        <is>
          <t>C3SS+3d</t>
        </is>
      </c>
      <c r="H44" s="18" t="n">
        <v>5</v>
      </c>
      <c r="I44" s="18" t="n">
        <v>15</v>
      </c>
      <c r="J44" s="18" t="n">
        <v>20</v>
      </c>
      <c r="K44" s="19">
        <f>WORKDAY($D$2,I44)</f>
        <v/>
      </c>
      <c r="L44" s="19">
        <f>IF(H44=0,K44,WORKDAY($D$2,J44-1))</f>
        <v/>
      </c>
      <c r="M44" s="18" t="n">
        <v>4</v>
      </c>
      <c r="N44" s="18" t="n">
        <v>4</v>
      </c>
      <c r="O44" s="18" t="n">
        <v>8</v>
      </c>
      <c r="P44" s="18" t="inlineStr"/>
      <c r="Q44" s="18" t="inlineStr">
        <is>
          <t>Go-live</t>
        </is>
      </c>
      <c r="R44" s="21" t="n"/>
      <c r="S44" s="21" t="n"/>
      <c r="T44" s="21" t="n"/>
      <c r="U44" s="25" t="n"/>
      <c r="V44" s="21" t="n"/>
      <c r="W44" s="21" t="n"/>
      <c r="X44" s="22" t="n"/>
      <c r="Y44" s="21" t="n"/>
    </row>
    <row r="45">
      <c r="A45" s="13" t="inlineStr">
        <is>
          <t>Configuration (go-live configuration kit)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</row>
    <row r="46" ht="52" customHeight="1">
      <c r="A46" s="15" t="inlineStr">
        <is>
          <t>C1</t>
        </is>
      </c>
      <c r="B46" s="16" t="inlineStr">
        <is>
          <t>Configuration (go-live configuration kit)</t>
        </is>
      </c>
      <c r="C46" s="17" t="inlineStr">
        <is>
          <t>Configuration kit filled: company, settings, PSGC addresses, branches, users, chart of accounts, banks, insurers, products, commission, taxes, authority limits, numbering</t>
        </is>
      </c>
      <c r="D46" s="16" t="inlineStr">
        <is>
          <t>Broker</t>
        </is>
      </c>
      <c r="E46" s="17" t="inlineStr">
        <is>
          <t>Broker key users with iorta TechNXT consultants</t>
        </is>
      </c>
      <c r="F46" s="17" t="inlineStr">
        <is>
          <t>Filled configuration workbook</t>
        </is>
      </c>
      <c r="G46" s="17" t="inlineStr">
        <is>
          <t>D1SS+3d, I1, I2, I3</t>
        </is>
      </c>
      <c r="H46" s="18" t="n">
        <v>5</v>
      </c>
      <c r="I46" s="18" t="n">
        <v>5</v>
      </c>
      <c r="J46" s="18" t="n">
        <v>10</v>
      </c>
      <c r="K46" s="19">
        <f>WORKDAY($D$2,I46)</f>
        <v/>
      </c>
      <c r="L46" s="19">
        <f>IF(H46=0,K46,WORKDAY($D$2,J46-1))</f>
        <v/>
      </c>
      <c r="M46" s="18" t="n">
        <v>2</v>
      </c>
      <c r="N46" s="18" t="n">
        <v>2</v>
      </c>
      <c r="O46" s="18" t="n">
        <v>0</v>
      </c>
      <c r="P46" s="18" t="inlineStr">
        <is>
          <t>Yes</t>
        </is>
      </c>
      <c r="Q46" s="18" t="inlineStr">
        <is>
          <t>Go-live</t>
        </is>
      </c>
      <c r="R46" s="21" t="n"/>
      <c r="S46" s="27" t="n"/>
      <c r="T46" s="21" t="n"/>
      <c r="U46" s="21" t="n"/>
      <c r="V46" s="21" t="n"/>
      <c r="W46" s="21" t="n"/>
      <c r="X46" s="22" t="n"/>
      <c r="Y46" s="21" t="n"/>
    </row>
    <row r="47" ht="40" customHeight="1">
      <c r="A47" s="15" t="inlineStr">
        <is>
          <t>C2</t>
        </is>
      </c>
      <c r="B47" s="16" t="inlineStr">
        <is>
          <t>Configuration (go-live configuration kit)</t>
        </is>
      </c>
      <c r="C47" s="17" t="inlineStr">
        <is>
          <t>Configuration kit uploaded, validated, errors workbook corrected and loaded in Dev (small, medium) or SIT (large, enterprise)</t>
        </is>
      </c>
      <c r="D47" s="16" t="inlineStr">
        <is>
          <t>iorta TechNXT</t>
        </is>
      </c>
      <c r="E47" s="17" t="inlineStr">
        <is>
          <t>iorta TechNXT consultant</t>
        </is>
      </c>
      <c r="F47" s="17" t="inlineStr">
        <is>
          <t>Batch Loaded; load history</t>
        </is>
      </c>
      <c r="G47" s="17" t="inlineStr">
        <is>
          <t>C1, E6</t>
        </is>
      </c>
      <c r="H47" s="18" t="n">
        <v>2</v>
      </c>
      <c r="I47" s="18" t="n">
        <v>10</v>
      </c>
      <c r="J47" s="18" t="n">
        <v>12</v>
      </c>
      <c r="K47" s="19">
        <f>WORKDAY($D$2,I47)</f>
        <v/>
      </c>
      <c r="L47" s="19">
        <f>IF(H47=0,K47,WORKDAY($D$2,J47-1))</f>
        <v/>
      </c>
      <c r="M47" s="18" t="n">
        <v>3</v>
      </c>
      <c r="N47" s="18" t="n">
        <v>3</v>
      </c>
      <c r="O47" s="18" t="n">
        <v>0</v>
      </c>
      <c r="P47" s="18" t="inlineStr">
        <is>
          <t>Yes</t>
        </is>
      </c>
      <c r="Q47" s="18" t="inlineStr">
        <is>
          <t>Go-live</t>
        </is>
      </c>
      <c r="R47" s="21" t="n"/>
      <c r="S47" s="21" t="n"/>
      <c r="T47" s="23" t="n"/>
      <c r="U47" s="21" t="n"/>
      <c r="V47" s="21" t="n"/>
      <c r="W47" s="21" t="n"/>
      <c r="X47" s="22" t="n"/>
      <c r="Y47" s="21" t="n"/>
    </row>
    <row r="48" ht="30" customHeight="1">
      <c r="A48" s="24" t="inlineStr">
        <is>
          <t>C4</t>
        </is>
      </c>
      <c r="B48" s="16" t="inlineStr">
        <is>
          <t>Configuration (go-live configuration kit)</t>
        </is>
      </c>
      <c r="C48" s="17" t="inlineStr">
        <is>
          <t>Configuration promoted to UAT for the first mock load (Current data workbook)</t>
        </is>
      </c>
      <c r="D48" s="16" t="inlineStr">
        <is>
          <t>iorta TechNXT</t>
        </is>
      </c>
      <c r="E48" s="17" t="inlineStr">
        <is>
          <t>iorta TechNXT consultant</t>
        </is>
      </c>
      <c r="F48" s="17" t="inlineStr">
        <is>
          <t>Load history in UAT</t>
        </is>
      </c>
      <c r="G48" s="17" t="inlineStr">
        <is>
          <t>C2</t>
        </is>
      </c>
      <c r="H48" s="18" t="n">
        <v>1</v>
      </c>
      <c r="I48" s="18" t="n">
        <v>12</v>
      </c>
      <c r="J48" s="18" t="n">
        <v>13</v>
      </c>
      <c r="K48" s="19">
        <f>WORKDAY($D$2,I48)</f>
        <v/>
      </c>
      <c r="L48" s="19">
        <f>IF(H48=0,K48,WORKDAY($D$2,J48-1))</f>
        <v/>
      </c>
      <c r="M48" s="18" t="n">
        <v>3</v>
      </c>
      <c r="N48" s="18" t="n">
        <v>3</v>
      </c>
      <c r="O48" s="18" t="n">
        <v>6</v>
      </c>
      <c r="P48" s="18" t="inlineStr"/>
      <c r="Q48" s="18" t="inlineStr">
        <is>
          <t>Go-live</t>
        </is>
      </c>
      <c r="R48" s="21" t="n"/>
      <c r="S48" s="21" t="n"/>
      <c r="T48" s="26" t="n"/>
      <c r="U48" s="21" t="n"/>
      <c r="V48" s="21" t="n"/>
      <c r="W48" s="21" t="n"/>
      <c r="X48" s="22" t="n"/>
      <c r="Y48" s="21" t="n"/>
    </row>
    <row r="49" ht="52" customHeight="1">
      <c r="A49" s="15" t="inlineStr">
        <is>
          <t>C3</t>
        </is>
      </c>
      <c r="B49" s="16" t="inlineStr">
        <is>
          <t>Configuration (go-live configuration kit)</t>
        </is>
      </c>
      <c r="C49" s="17" t="inlineStr">
        <is>
          <t>On-screen configuration: Product Configurator (templates, rating factors, acceptance rules, document templates, market mapping), tax codes, posting rules, approvals, roles, schedules</t>
        </is>
      </c>
      <c r="D49" s="16" t="inlineStr">
        <is>
          <t>iorta TechNXT</t>
        </is>
      </c>
      <c r="E49" s="17" t="inlineStr">
        <is>
          <t>iorta TechNXT consultants</t>
        </is>
      </c>
      <c r="F49" s="17" t="inlineStr">
        <is>
          <t>Configuration workbook updated with the values set</t>
        </is>
      </c>
      <c r="G49" s="17" t="inlineStr">
        <is>
          <t>C2, D5</t>
        </is>
      </c>
      <c r="H49" s="18" t="n">
        <v>7</v>
      </c>
      <c r="I49" s="18" t="n">
        <v>12</v>
      </c>
      <c r="J49" s="18" t="n">
        <v>19</v>
      </c>
      <c r="K49" s="19">
        <f>WORKDAY($D$2,I49)</f>
        <v/>
      </c>
      <c r="L49" s="19">
        <f>IF(H49=0,K49,WORKDAY($D$2,J49-1))</f>
        <v/>
      </c>
      <c r="M49" s="18" t="n">
        <v>3</v>
      </c>
      <c r="N49" s="18" t="n">
        <v>4</v>
      </c>
      <c r="O49" s="18" t="n">
        <v>0</v>
      </c>
      <c r="P49" s="18" t="inlineStr">
        <is>
          <t>Yes</t>
        </is>
      </c>
      <c r="Q49" s="18" t="inlineStr">
        <is>
          <t>Go-live</t>
        </is>
      </c>
      <c r="R49" s="21" t="n"/>
      <c r="S49" s="21" t="n"/>
      <c r="T49" s="23" t="n"/>
      <c r="U49" s="23" t="n"/>
      <c r="V49" s="21" t="n"/>
      <c r="W49" s="21" t="n"/>
      <c r="X49" s="22" t="n"/>
      <c r="Y49" s="21" t="n"/>
    </row>
    <row r="50" ht="30" customHeight="1">
      <c r="A50" s="24" t="inlineStr">
        <is>
          <t>C5</t>
        </is>
      </c>
      <c r="B50" s="16" t="inlineStr">
        <is>
          <t>Configuration (go-live configuration kit)</t>
        </is>
      </c>
      <c r="C50" s="17" t="inlineStr">
        <is>
          <t>Configuration complete</t>
        </is>
      </c>
      <c r="D50" s="16" t="inlineStr">
        <is>
          <t>iorta TechNXT</t>
        </is>
      </c>
      <c r="E50" s="17" t="inlineStr">
        <is>
          <t>iorta TechNXT delivery lead</t>
        </is>
      </c>
      <c r="F50" s="17" t="inlineStr">
        <is>
          <t>Checklist of GO_LIVE_DATA_SETUP steps 1 to 12</t>
        </is>
      </c>
      <c r="G50" s="17" t="inlineStr">
        <is>
          <t>C3, K1, B1</t>
        </is>
      </c>
      <c r="H50" s="18" t="n">
        <v>0</v>
      </c>
      <c r="I50" s="18" t="n">
        <v>19</v>
      </c>
      <c r="J50" s="18" t="n">
        <v>19</v>
      </c>
      <c r="K50" s="19">
        <f>WORKDAY($D$2,I50)</f>
        <v/>
      </c>
      <c r="L50" s="19">
        <f>IF(H50=0,K50,WORKDAY($D$2,J50-1))</f>
        <v/>
      </c>
      <c r="M50" s="18" t="n">
        <v>4</v>
      </c>
      <c r="N50" s="18" t="n">
        <v>4</v>
      </c>
      <c r="O50" s="18" t="n">
        <v>1</v>
      </c>
      <c r="P50" s="18" t="inlineStr"/>
      <c r="Q50" s="18" t="inlineStr">
        <is>
          <t>Go-live</t>
        </is>
      </c>
      <c r="R50" s="21" t="n"/>
      <c r="S50" s="21" t="n"/>
      <c r="T50" s="21" t="n"/>
      <c r="U50" s="20" t="inlineStr">
        <is>
          <t>◆</t>
        </is>
      </c>
      <c r="V50" s="21" t="n"/>
      <c r="W50" s="21" t="n"/>
      <c r="X50" s="22" t="n"/>
      <c r="Y50" s="21" t="n"/>
    </row>
    <row r="51">
      <c r="A51" s="13" t="inlineStr">
        <is>
          <t>Compliance set-up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</row>
    <row r="52" ht="52" customHeight="1">
      <c r="A52" s="24" t="inlineStr">
        <is>
          <t>K1</t>
        </is>
      </c>
      <c r="B52" s="16" t="inlineStr">
        <is>
          <t>Compliance set-up</t>
        </is>
      </c>
      <c r="C52" s="17" t="inlineStr">
        <is>
          <t>Compliance set-up: AML settings, risk factors, monitoring rules; licence register, fit and proper, insurer authority; complaints and breach settings; view:pii grants and masking</t>
        </is>
      </c>
      <c r="D52" s="16" t="inlineStr">
        <is>
          <t>iorta TechNXT</t>
        </is>
      </c>
      <c r="E52" s="17" t="inlineStr">
        <is>
          <t>iorta TechNXT consultant with the compliance officer</t>
        </is>
      </c>
      <c r="F52" s="17" t="inlineStr">
        <is>
          <t>AML Settings saved; registers filled</t>
        </is>
      </c>
      <c r="G52" s="17" t="inlineStr">
        <is>
          <t>C2, D2, R4</t>
        </is>
      </c>
      <c r="H52" s="18" t="n">
        <v>4</v>
      </c>
      <c r="I52" s="18" t="n">
        <v>12</v>
      </c>
      <c r="J52" s="18" t="n">
        <v>16</v>
      </c>
      <c r="K52" s="19">
        <f>WORKDAY($D$2,I52)</f>
        <v/>
      </c>
      <c r="L52" s="19">
        <f>IF(H52=0,K52,WORKDAY($D$2,J52-1))</f>
        <v/>
      </c>
      <c r="M52" s="18" t="n">
        <v>3</v>
      </c>
      <c r="N52" s="18" t="n">
        <v>4</v>
      </c>
      <c r="O52" s="18" t="n">
        <v>4</v>
      </c>
      <c r="P52" s="18" t="inlineStr"/>
      <c r="Q52" s="18" t="inlineStr">
        <is>
          <t>Go-live</t>
        </is>
      </c>
      <c r="R52" s="21" t="n"/>
      <c r="S52" s="21" t="n"/>
      <c r="T52" s="26" t="n"/>
      <c r="U52" s="26" t="n"/>
      <c r="V52" s="21" t="n"/>
      <c r="W52" s="21" t="n"/>
      <c r="X52" s="22" t="n"/>
      <c r="Y52" s="21" t="n"/>
    </row>
    <row r="53" ht="30" customHeight="1">
      <c r="A53" s="24" t="inlineStr">
        <is>
          <t>K2</t>
        </is>
      </c>
      <c r="B53" s="16" t="inlineStr">
        <is>
          <t>Compliance set-up</t>
        </is>
      </c>
      <c r="C53" s="17" t="inlineStr">
        <is>
          <t>Screening lists loaded (UN, AMLC, PEP, internal); clients rescreened</t>
        </is>
      </c>
      <c r="D53" s="16" t="inlineStr">
        <is>
          <t>Broker</t>
        </is>
      </c>
      <c r="E53" s="17" t="inlineStr">
        <is>
          <t>Broker compliance officer</t>
        </is>
      </c>
      <c r="F53" s="17" t="inlineStr">
        <is>
          <t>Versions on Screening Lists; rescreen result</t>
        </is>
      </c>
      <c r="G53" s="17" t="inlineStr">
        <is>
          <t>K1, R7</t>
        </is>
      </c>
      <c r="H53" s="18" t="n">
        <v>1</v>
      </c>
      <c r="I53" s="18" t="n">
        <v>16</v>
      </c>
      <c r="J53" s="18" t="n">
        <v>17</v>
      </c>
      <c r="K53" s="19">
        <f>WORKDAY($D$2,I53)</f>
        <v/>
      </c>
      <c r="L53" s="19">
        <f>IF(H53=0,K53,WORKDAY($D$2,J53-1))</f>
        <v/>
      </c>
      <c r="M53" s="18" t="n">
        <v>4</v>
      </c>
      <c r="N53" s="18" t="n">
        <v>4</v>
      </c>
      <c r="O53" s="18" t="n">
        <v>11</v>
      </c>
      <c r="P53" s="18" t="inlineStr"/>
      <c r="Q53" s="18" t="inlineStr">
        <is>
          <t>Go-live</t>
        </is>
      </c>
      <c r="R53" s="21" t="n"/>
      <c r="S53" s="21" t="n"/>
      <c r="T53" s="21" t="n"/>
      <c r="U53" s="25" t="n"/>
      <c r="V53" s="21" t="n"/>
      <c r="W53" s="21" t="n"/>
      <c r="X53" s="22" t="n"/>
      <c r="Y53" s="21" t="n"/>
    </row>
    <row r="54" ht="30" customHeight="1">
      <c r="A54" s="24" t="inlineStr">
        <is>
          <t>K3</t>
        </is>
      </c>
      <c r="B54" s="16" t="inlineStr">
        <is>
          <t>Compliance set-up</t>
        </is>
      </c>
      <c r="C54" s="17" t="inlineStr">
        <is>
          <t>AMLC report file test: CTR file generated in UAT and checked against the AMLC portal requirements</t>
        </is>
      </c>
      <c r="D54" s="16" t="inlineStr">
        <is>
          <t>Broker</t>
        </is>
      </c>
      <c r="E54" s="17" t="inlineStr">
        <is>
          <t>Broker compliance officer</t>
        </is>
      </c>
      <c r="F54" s="17" t="inlineStr">
        <is>
          <t>Test file; portal access confirmed</t>
        </is>
      </c>
      <c r="G54" s="17" t="inlineStr">
        <is>
          <t>K1, R3</t>
        </is>
      </c>
      <c r="H54" s="18" t="n">
        <v>1</v>
      </c>
      <c r="I54" s="18" t="n">
        <v>16</v>
      </c>
      <c r="J54" s="18" t="n">
        <v>17</v>
      </c>
      <c r="K54" s="19">
        <f>WORKDAY($D$2,I54)</f>
        <v/>
      </c>
      <c r="L54" s="19">
        <f>IF(H54=0,K54,WORKDAY($D$2,J54-1))</f>
        <v/>
      </c>
      <c r="M54" s="18" t="n">
        <v>4</v>
      </c>
      <c r="N54" s="18" t="n">
        <v>4</v>
      </c>
      <c r="O54" s="18" t="n">
        <v>11</v>
      </c>
      <c r="P54" s="18" t="inlineStr"/>
      <c r="Q54" s="18" t="inlineStr">
        <is>
          <t>Go-live</t>
        </is>
      </c>
      <c r="R54" s="21" t="n"/>
      <c r="S54" s="21" t="n"/>
      <c r="T54" s="21" t="n"/>
      <c r="U54" s="25" t="n"/>
      <c r="V54" s="21" t="n"/>
      <c r="W54" s="21" t="n"/>
      <c r="X54" s="22" t="n"/>
      <c r="Y54" s="21" t="n"/>
    </row>
    <row r="55">
      <c r="A55" s="13" t="inlineStr">
        <is>
          <t>Branding and brand pack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</row>
    <row r="56" ht="40" customHeight="1">
      <c r="A56" s="24" t="inlineStr">
        <is>
          <t>B1</t>
        </is>
      </c>
      <c r="B56" s="16" t="inlineStr">
        <is>
          <t>Branding and brand pack</t>
        </is>
      </c>
      <c r="C56" s="17" t="inlineStr">
        <is>
          <t>Theme and Branding, letterhead, sign-in page, branded documents and e-mails; e-signatures captured and mapped; brand pack exported</t>
        </is>
      </c>
      <c r="D56" s="16" t="inlineStr">
        <is>
          <t>iorta TechNXT</t>
        </is>
      </c>
      <c r="E56" s="17" t="inlineStr">
        <is>
          <t>iorta TechNXT consultant with the broker System Administrator</t>
        </is>
      </c>
      <c r="F56" s="17" t="inlineStr">
        <is>
          <t>Brand pack file; sample documents approved</t>
        </is>
      </c>
      <c r="G56" s="17" t="inlineStr">
        <is>
          <t>C2, I8</t>
        </is>
      </c>
      <c r="H56" s="18" t="n">
        <v>3</v>
      </c>
      <c r="I56" s="18" t="n">
        <v>12</v>
      </c>
      <c r="J56" s="18" t="n">
        <v>15</v>
      </c>
      <c r="K56" s="19">
        <f>WORKDAY($D$2,I56)</f>
        <v/>
      </c>
      <c r="L56" s="19">
        <f>IF(H56=0,K56,WORKDAY($D$2,J56-1))</f>
        <v/>
      </c>
      <c r="M56" s="18" t="n">
        <v>3</v>
      </c>
      <c r="N56" s="18" t="n">
        <v>3</v>
      </c>
      <c r="O56" s="18" t="n">
        <v>5</v>
      </c>
      <c r="P56" s="18" t="inlineStr"/>
      <c r="Q56" s="18" t="inlineStr">
        <is>
          <t>Go-live</t>
        </is>
      </c>
      <c r="R56" s="21" t="n"/>
      <c r="S56" s="21" t="n"/>
      <c r="T56" s="26" t="n"/>
      <c r="U56" s="21" t="n"/>
      <c r="V56" s="21" t="n"/>
      <c r="W56" s="21" t="n"/>
      <c r="X56" s="22" t="n"/>
      <c r="Y56" s="21" t="n"/>
    </row>
    <row r="57" ht="40" customHeight="1">
      <c r="A57" s="24" t="inlineStr">
        <is>
          <t>B2</t>
        </is>
      </c>
      <c r="B57" s="16" t="inlineStr">
        <is>
          <t>Branding and brand pack</t>
        </is>
      </c>
      <c r="C57" s="17" t="inlineStr">
        <is>
          <t>Client brand pack applied only in that client's environments under its contract with iorta TechNXT (for example the Toyota Insurance Services pack)</t>
        </is>
      </c>
      <c r="D57" s="16" t="inlineStr">
        <is>
          <t>iorta TechNXT</t>
        </is>
      </c>
      <c r="E57" s="17" t="inlineStr">
        <is>
          <t>iorta TechNXT consultant</t>
        </is>
      </c>
      <c r="F57" s="17" t="inlineStr">
        <is>
          <t>Pack enabled with the engagement confirmation; contract reference on file</t>
        </is>
      </c>
      <c r="G57" s="17" t="inlineStr">
        <is>
          <t>B1, R8</t>
        </is>
      </c>
      <c r="H57" s="18" t="n">
        <v>1</v>
      </c>
      <c r="I57" s="18" t="n">
        <v>15</v>
      </c>
      <c r="J57" s="18" t="n">
        <v>16</v>
      </c>
      <c r="K57" s="19">
        <f>WORKDAY($D$2,I57)</f>
        <v/>
      </c>
      <c r="L57" s="19">
        <f>IF(H57=0,K57,WORKDAY($D$2,J57-1))</f>
        <v/>
      </c>
      <c r="M57" s="18" t="n">
        <v>4</v>
      </c>
      <c r="N57" s="18" t="n">
        <v>4</v>
      </c>
      <c r="O57" s="18" t="n"/>
      <c r="P57" s="18" t="inlineStr"/>
      <c r="Q57" s="18" t="inlineStr">
        <is>
          <t>Feature only</t>
        </is>
      </c>
      <c r="R57" s="21" t="n"/>
      <c r="S57" s="21" t="n"/>
      <c r="T57" s="21" t="n"/>
      <c r="U57" s="26" t="n"/>
      <c r="V57" s="21" t="n"/>
      <c r="W57" s="21" t="n"/>
      <c r="X57" s="22" t="n"/>
      <c r="Y57" s="21" t="n"/>
    </row>
    <row r="58">
      <c r="A58" s="13" t="inlineStr">
        <is>
          <t>Integrations with partners</t>
        </is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</row>
    <row r="59" ht="30" customHeight="1">
      <c r="A59" s="24" t="inlineStr">
        <is>
          <t>N1</t>
        </is>
      </c>
      <c r="B59" s="16" t="inlineStr">
        <is>
          <t>Integrations with partners</t>
        </is>
      </c>
      <c r="C59" s="17" t="inlineStr">
        <is>
          <t>E-mail: SMTP set, password reset and approval link tested</t>
        </is>
      </c>
      <c r="D59" s="16" t="inlineStr">
        <is>
          <t>iorta TechNXT</t>
        </is>
      </c>
      <c r="E59" s="17" t="inlineStr">
        <is>
          <t>iorta TechNXT DevOps lead</t>
        </is>
      </c>
      <c r="F59" s="17" t="inlineStr">
        <is>
          <t>Test e-mails received</t>
        </is>
      </c>
      <c r="G59" s="17" t="inlineStr">
        <is>
          <t>E6, I4</t>
        </is>
      </c>
      <c r="H59" s="18" t="n">
        <v>1</v>
      </c>
      <c r="I59" s="18" t="n">
        <v>6</v>
      </c>
      <c r="J59" s="18" t="n">
        <v>7</v>
      </c>
      <c r="K59" s="19">
        <f>WORKDAY($D$2,I59)</f>
        <v/>
      </c>
      <c r="L59" s="19">
        <f>IF(H59=0,K59,WORKDAY($D$2,J59-1))</f>
        <v/>
      </c>
      <c r="M59" s="18" t="n">
        <v>2</v>
      </c>
      <c r="N59" s="18" t="n">
        <v>2</v>
      </c>
      <c r="O59" s="18" t="n">
        <v>21</v>
      </c>
      <c r="P59" s="18" t="inlineStr"/>
      <c r="Q59" s="18" t="inlineStr">
        <is>
          <t>Go-live</t>
        </is>
      </c>
      <c r="R59" s="21" t="n"/>
      <c r="S59" s="26" t="n"/>
      <c r="T59" s="21" t="n"/>
      <c r="U59" s="21" t="n"/>
      <c r="V59" s="21" t="n"/>
      <c r="W59" s="21" t="n"/>
      <c r="X59" s="22" t="n"/>
      <c r="Y59" s="21" t="n"/>
    </row>
    <row r="60" ht="30" customHeight="1">
      <c r="A60" s="24" t="inlineStr">
        <is>
          <t>N2</t>
        </is>
      </c>
      <c r="B60" s="16" t="inlineStr">
        <is>
          <t>Integrations with partners</t>
        </is>
      </c>
      <c r="C60" s="17" t="inlineStr">
        <is>
          <t>Bank statement formats: one statement per bank account imported with a balancing preview</t>
        </is>
      </c>
      <c r="D60" s="16" t="inlineStr">
        <is>
          <t>iorta TechNXT</t>
        </is>
      </c>
      <c r="E60" s="17" t="inlineStr">
        <is>
          <t>iorta TechNXT consultant with Accounting</t>
        </is>
      </c>
      <c r="F60" s="17" t="inlineStr">
        <is>
          <t>Import preview per account</t>
        </is>
      </c>
      <c r="G60" s="17" t="inlineStr">
        <is>
          <t>C2, I5</t>
        </is>
      </c>
      <c r="H60" s="18" t="n">
        <v>3</v>
      </c>
      <c r="I60" s="18" t="n">
        <v>12</v>
      </c>
      <c r="J60" s="18" t="n">
        <v>15</v>
      </c>
      <c r="K60" s="19">
        <f>WORKDAY($D$2,I60)</f>
        <v/>
      </c>
      <c r="L60" s="19">
        <f>IF(H60=0,K60,WORKDAY($D$2,J60-1))</f>
        <v/>
      </c>
      <c r="M60" s="18" t="n">
        <v>3</v>
      </c>
      <c r="N60" s="18" t="n">
        <v>3</v>
      </c>
      <c r="O60" s="18" t="n">
        <v>13</v>
      </c>
      <c r="P60" s="18" t="inlineStr"/>
      <c r="Q60" s="18" t="inlineStr">
        <is>
          <t>Go-live</t>
        </is>
      </c>
      <c r="R60" s="21" t="n"/>
      <c r="S60" s="21" t="n"/>
      <c r="T60" s="26" t="n"/>
      <c r="U60" s="21" t="n"/>
      <c r="V60" s="21" t="n"/>
      <c r="W60" s="21" t="n"/>
      <c r="X60" s="22" t="n"/>
      <c r="Y60" s="21" t="n"/>
    </row>
    <row r="61" ht="30" customHeight="1">
      <c r="A61" s="24" t="inlineStr">
        <is>
          <t>N7</t>
        </is>
      </c>
      <c r="B61" s="16" t="inlineStr">
        <is>
          <t>Integrations with partners</t>
        </is>
      </c>
      <c r="C61" s="17" t="inlineStr">
        <is>
          <t>Payment gateway: sandbox payment receipted, then one live test payment</t>
        </is>
      </c>
      <c r="D61" s="16" t="inlineStr">
        <is>
          <t>Partner</t>
        </is>
      </c>
      <c r="E61" s="17" t="inlineStr">
        <is>
          <t>Payment gateway, with Accounting</t>
        </is>
      </c>
      <c r="F61" s="17" t="inlineStr">
        <is>
          <t>Receipt of the sandbox payment</t>
        </is>
      </c>
      <c r="G61" s="17" t="inlineStr">
        <is>
          <t>C2, I6</t>
        </is>
      </c>
      <c r="H61" s="18" t="n">
        <v>3</v>
      </c>
      <c r="I61" s="18" t="n">
        <v>12</v>
      </c>
      <c r="J61" s="18" t="n">
        <v>15</v>
      </c>
      <c r="K61" s="19">
        <f>WORKDAY($D$2,I61)</f>
        <v/>
      </c>
      <c r="L61" s="19">
        <f>IF(H61=0,K61,WORKDAY($D$2,J61-1))</f>
        <v/>
      </c>
      <c r="M61" s="18" t="n">
        <v>3</v>
      </c>
      <c r="N61" s="18" t="n">
        <v>3</v>
      </c>
      <c r="O61" s="18" t="n"/>
      <c r="P61" s="18" t="inlineStr"/>
      <c r="Q61" s="18" t="inlineStr">
        <is>
          <t>Feature only</t>
        </is>
      </c>
      <c r="R61" s="21" t="n"/>
      <c r="S61" s="21" t="n"/>
      <c r="T61" s="28" t="n"/>
      <c r="U61" s="21" t="n"/>
      <c r="V61" s="21" t="n"/>
      <c r="W61" s="21" t="n"/>
      <c r="X61" s="22" t="n"/>
      <c r="Y61" s="21" t="n"/>
    </row>
    <row r="62" ht="30" customHeight="1">
      <c r="A62" s="24" t="inlineStr">
        <is>
          <t>N4</t>
        </is>
      </c>
      <c r="B62" s="16" t="inlineStr">
        <is>
          <t>Integrations with partners</t>
        </is>
      </c>
      <c r="C62" s="17" t="inlineStr">
        <is>
          <t>SMS or Viber connector: provider account, sender name, live test message</t>
        </is>
      </c>
      <c r="D62" s="16" t="inlineStr">
        <is>
          <t>Partner</t>
        </is>
      </c>
      <c r="E62" s="17" t="inlineStr">
        <is>
          <t>SMS provider, with the broker IT head</t>
        </is>
      </c>
      <c r="F62" s="17" t="inlineStr">
        <is>
          <t>Connector Live; test message in the outbox</t>
        </is>
      </c>
      <c r="G62" s="17" t="inlineStr">
        <is>
          <t>C2, I6</t>
        </is>
      </c>
      <c r="H62" s="18" t="n">
        <v>5</v>
      </c>
      <c r="I62" s="18" t="n">
        <v>12</v>
      </c>
      <c r="J62" s="18" t="n">
        <v>17</v>
      </c>
      <c r="K62" s="19">
        <f>WORKDAY($D$2,I62)</f>
        <v/>
      </c>
      <c r="L62" s="19">
        <f>IF(H62=0,K62,WORKDAY($D$2,J62-1))</f>
        <v/>
      </c>
      <c r="M62" s="18" t="n">
        <v>3</v>
      </c>
      <c r="N62" s="18" t="n">
        <v>4</v>
      </c>
      <c r="O62" s="18" t="n"/>
      <c r="P62" s="18" t="inlineStr"/>
      <c r="Q62" s="18" t="inlineStr">
        <is>
          <t>Feature only</t>
        </is>
      </c>
      <c r="R62" s="21" t="n"/>
      <c r="S62" s="21" t="n"/>
      <c r="T62" s="28" t="n"/>
      <c r="U62" s="28" t="n"/>
      <c r="V62" s="21" t="n"/>
      <c r="W62" s="21" t="n"/>
      <c r="X62" s="22" t="n"/>
      <c r="Y62" s="21" t="n"/>
    </row>
    <row r="63" ht="40" customHeight="1">
      <c r="A63" s="24" t="inlineStr">
        <is>
          <t>N5</t>
        </is>
      </c>
      <c r="B63" s="16" t="inlineStr">
        <is>
          <t>Integrations with partners</t>
        </is>
      </c>
      <c r="C63" s="17" t="inlineStr">
        <is>
          <t>CTPL authentication provider and LTO feed: broker accredited, COC series loaded, live authentication of one COC</t>
        </is>
      </c>
      <c r="D63" s="16" t="inlineStr">
        <is>
          <t>Partner</t>
        </is>
      </c>
      <c r="E63" s="17" t="inlineStr">
        <is>
          <t>IC-accredited authentication provider, with Operations</t>
        </is>
      </c>
      <c r="F63" s="17" t="inlineStr">
        <is>
          <t>Authenticated COC; LTO column result</t>
        </is>
      </c>
      <c r="G63" s="17" t="inlineStr">
        <is>
          <t>C2, I6, I7</t>
        </is>
      </c>
      <c r="H63" s="18" t="n">
        <v>8</v>
      </c>
      <c r="I63" s="18" t="n">
        <v>12</v>
      </c>
      <c r="J63" s="18" t="n">
        <v>20</v>
      </c>
      <c r="K63" s="19">
        <f>WORKDAY($D$2,I63)</f>
        <v/>
      </c>
      <c r="L63" s="19">
        <f>IF(H63=0,K63,WORKDAY($D$2,J63-1))</f>
        <v/>
      </c>
      <c r="M63" s="18" t="n">
        <v>3</v>
      </c>
      <c r="N63" s="18" t="n">
        <v>4</v>
      </c>
      <c r="O63" s="18" t="n"/>
      <c r="P63" s="18" t="inlineStr"/>
      <c r="Q63" s="18" t="inlineStr">
        <is>
          <t>Feature only</t>
        </is>
      </c>
      <c r="R63" s="21" t="n"/>
      <c r="S63" s="21" t="n"/>
      <c r="T63" s="28" t="n"/>
      <c r="U63" s="28" t="n"/>
      <c r="V63" s="21" t="n"/>
      <c r="W63" s="21" t="n"/>
      <c r="X63" s="22" t="n"/>
      <c r="Y63" s="21" t="n"/>
    </row>
    <row r="64" ht="30" customHeight="1">
      <c r="A64" s="24" t="inlineStr">
        <is>
          <t>N3</t>
        </is>
      </c>
      <c r="B64" s="16" t="inlineStr">
        <is>
          <t>Integrations with partners</t>
        </is>
      </c>
      <c r="C64" s="17" t="inlineStr">
        <is>
          <t>Bank payment files: each layout validated with the bank and a test file accepted by the bank</t>
        </is>
      </c>
      <c r="D64" s="16" t="inlineStr">
        <is>
          <t>Partner</t>
        </is>
      </c>
      <c r="E64" s="17" t="inlineStr">
        <is>
          <t>Bank, with Accounting and iorta TechNXT</t>
        </is>
      </c>
      <c r="F64" s="17" t="inlineStr">
        <is>
          <t>Bank acceptance of the test file</t>
        </is>
      </c>
      <c r="G64" s="17" t="inlineStr">
        <is>
          <t>C2, I5</t>
        </is>
      </c>
      <c r="H64" s="18" t="n">
        <v>10</v>
      </c>
      <c r="I64" s="18" t="n">
        <v>12</v>
      </c>
      <c r="J64" s="18" t="n">
        <v>22</v>
      </c>
      <c r="K64" s="19">
        <f>WORKDAY($D$2,I64)</f>
        <v/>
      </c>
      <c r="L64" s="19">
        <f>IF(H64=0,K64,WORKDAY($D$2,J64-1))</f>
        <v/>
      </c>
      <c r="M64" s="18" t="n">
        <v>3</v>
      </c>
      <c r="N64" s="18" t="n">
        <v>5</v>
      </c>
      <c r="O64" s="18" t="n"/>
      <c r="P64" s="18" t="inlineStr"/>
      <c r="Q64" s="18" t="inlineStr">
        <is>
          <t>Feature only</t>
        </is>
      </c>
      <c r="R64" s="21" t="n"/>
      <c r="S64" s="21" t="n"/>
      <c r="T64" s="28" t="n"/>
      <c r="U64" s="28" t="n"/>
      <c r="V64" s="28" t="n"/>
      <c r="W64" s="21" t="n"/>
      <c r="X64" s="22" t="n"/>
      <c r="Y64" s="21" t="n"/>
    </row>
    <row r="65" ht="30" customHeight="1">
      <c r="A65" s="24" t="inlineStr">
        <is>
          <t>N6</t>
        </is>
      </c>
      <c r="B65" s="16" t="inlineStr">
        <is>
          <t>Integrations with partners</t>
        </is>
      </c>
      <c r="C65" s="17" t="inlineStr">
        <is>
          <t>Insurer API connectors: mapping per insurer, preview, test issuance and claim status with the insurer</t>
        </is>
      </c>
      <c r="D65" s="16" t="inlineStr">
        <is>
          <t>Partner</t>
        </is>
      </c>
      <c r="E65" s="17" t="inlineStr">
        <is>
          <t>Insurers, with the Processing Team</t>
        </is>
      </c>
      <c r="F65" s="17" t="inlineStr">
        <is>
          <t>Accepted test request per insurer</t>
        </is>
      </c>
      <c r="G65" s="17" t="inlineStr">
        <is>
          <t>C3SS+2d, I6</t>
        </is>
      </c>
      <c r="H65" s="18" t="n">
        <v>10</v>
      </c>
      <c r="I65" s="18" t="n">
        <v>14</v>
      </c>
      <c r="J65" s="18" t="n">
        <v>24</v>
      </c>
      <c r="K65" s="19">
        <f>WORKDAY($D$2,I65)</f>
        <v/>
      </c>
      <c r="L65" s="19">
        <f>IF(H65=0,K65,WORKDAY($D$2,J65-1))</f>
        <v/>
      </c>
      <c r="M65" s="18" t="n">
        <v>3</v>
      </c>
      <c r="N65" s="18" t="n">
        <v>5</v>
      </c>
      <c r="O65" s="18" t="n"/>
      <c r="P65" s="18" t="inlineStr"/>
      <c r="Q65" s="18" t="inlineStr">
        <is>
          <t>Feature only</t>
        </is>
      </c>
      <c r="R65" s="21" t="n"/>
      <c r="S65" s="21" t="n"/>
      <c r="T65" s="28" t="n"/>
      <c r="U65" s="28" t="n"/>
      <c r="V65" s="28" t="n"/>
      <c r="W65" s="21" t="n"/>
      <c r="X65" s="22" t="n"/>
      <c r="Y65" s="21" t="n"/>
    </row>
    <row r="66" ht="30" customHeight="1">
      <c r="A66" s="24" t="inlineStr">
        <is>
          <t>N8</t>
        </is>
      </c>
      <c r="B66" s="16" t="inlineStr">
        <is>
          <t>Integrations with partners</t>
        </is>
      </c>
      <c r="C66" s="17" t="inlineStr">
        <is>
          <t>BIR EIS connector set in test mode; payloads checked</t>
        </is>
      </c>
      <c r="D66" s="16" t="inlineStr">
        <is>
          <t>iorta TechNXT</t>
        </is>
      </c>
      <c r="E66" s="17" t="inlineStr">
        <is>
          <t>iorta TechNXT consultant</t>
        </is>
      </c>
      <c r="F66" s="17" t="inlineStr">
        <is>
          <t>Accepted test submissions</t>
        </is>
      </c>
      <c r="G66" s="17" t="inlineStr">
        <is>
          <t>C3</t>
        </is>
      </c>
      <c r="H66" s="18" t="n">
        <v>1</v>
      </c>
      <c r="I66" s="18" t="n">
        <v>19</v>
      </c>
      <c r="J66" s="18" t="n">
        <v>20</v>
      </c>
      <c r="K66" s="19">
        <f>WORKDAY($D$2,I66)</f>
        <v/>
      </c>
      <c r="L66" s="19">
        <f>IF(H66=0,K66,WORKDAY($D$2,J66-1))</f>
        <v/>
      </c>
      <c r="M66" s="18" t="n">
        <v>4</v>
      </c>
      <c r="N66" s="18" t="n">
        <v>4</v>
      </c>
      <c r="O66" s="18" t="n"/>
      <c r="P66" s="18" t="inlineStr"/>
      <c r="Q66" s="18" t="inlineStr">
        <is>
          <t>Feature only</t>
        </is>
      </c>
      <c r="R66" s="21" t="n"/>
      <c r="S66" s="21" t="n"/>
      <c r="T66" s="21" t="n"/>
      <c r="U66" s="26" t="n"/>
      <c r="V66" s="21" t="n"/>
      <c r="W66" s="21" t="n"/>
      <c r="X66" s="22" t="n"/>
      <c r="Y66" s="21" t="n"/>
    </row>
    <row r="67" ht="30" customHeight="1">
      <c r="A67" s="24" t="inlineStr">
        <is>
          <t>N9</t>
        </is>
      </c>
      <c r="B67" s="16" t="inlineStr">
        <is>
          <t>Integrations with partners</t>
        </is>
      </c>
      <c r="C67" s="17" t="inlineStr">
        <is>
          <t>BIR EIS connector live (after enrolment); earlier invoices queued</t>
        </is>
      </c>
      <c r="D67" s="16" t="inlineStr">
        <is>
          <t>iorta TechNXT</t>
        </is>
      </c>
      <c r="E67" s="17" t="inlineStr">
        <is>
          <t>iorta TechNXT consultant with Accounting</t>
        </is>
      </c>
      <c r="F67" s="17" t="inlineStr">
        <is>
          <t>Accepted live submission</t>
        </is>
      </c>
      <c r="G67" s="17" t="inlineStr">
        <is>
          <t>N8, R2, X6</t>
        </is>
      </c>
      <c r="H67" s="18" t="n">
        <v>2</v>
      </c>
      <c r="I67" s="18" t="n">
        <v>30</v>
      </c>
      <c r="J67" s="18" t="n">
        <v>32</v>
      </c>
      <c r="K67" s="19">
        <f>WORKDAY($D$2,I67)</f>
        <v/>
      </c>
      <c r="L67" s="19">
        <f>IF(H67=0,K67,WORKDAY($D$2,J67-1))</f>
        <v/>
      </c>
      <c r="M67" s="18" t="n">
        <v>7</v>
      </c>
      <c r="N67" s="18" t="n">
        <v>7</v>
      </c>
      <c r="O67" s="18" t="n"/>
      <c r="P67" s="18" t="inlineStr"/>
      <c r="Q67" s="18" t="inlineStr">
        <is>
          <t>Feature only</t>
        </is>
      </c>
      <c r="R67" s="21" t="n"/>
      <c r="S67" s="21" t="n"/>
      <c r="T67" s="21" t="n"/>
      <c r="U67" s="21" t="n"/>
      <c r="V67" s="21" t="n"/>
      <c r="W67" s="21" t="n"/>
      <c r="X67" s="26" t="n"/>
      <c r="Y67" s="21" t="n"/>
    </row>
    <row r="68">
      <c r="A68" s="13" t="inlineStr">
        <is>
          <t>Data migration (go-live migration kit)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</row>
    <row r="69" ht="30" customHeight="1">
      <c r="A69" s="24" t="inlineStr">
        <is>
          <t>G1</t>
        </is>
      </c>
      <c r="B69" s="16" t="inlineStr">
        <is>
          <t>Data migration (go-live migration kit)</t>
        </is>
      </c>
      <c r="C69" s="17" t="inlineStr">
        <is>
          <t>Extraction and cleansing of the old system data for the first mock load</t>
        </is>
      </c>
      <c r="D69" s="16" t="inlineStr">
        <is>
          <t>Broker</t>
        </is>
      </c>
      <c r="E69" s="17" t="inlineStr">
        <is>
          <t>Broker data owners</t>
        </is>
      </c>
      <c r="F69" s="17" t="inlineStr">
        <is>
          <t>Extract files; data quality notes</t>
        </is>
      </c>
      <c r="G69" s="17" t="inlineStr">
        <is>
          <t>M3</t>
        </is>
      </c>
      <c r="H69" s="18" t="n">
        <v>8</v>
      </c>
      <c r="I69" s="18" t="n">
        <v>1</v>
      </c>
      <c r="J69" s="18" t="n">
        <v>9</v>
      </c>
      <c r="K69" s="19">
        <f>WORKDAY($D$2,I69)</f>
        <v/>
      </c>
      <c r="L69" s="19">
        <f>IF(H69=0,K69,WORKDAY($D$2,J69-1))</f>
        <v/>
      </c>
      <c r="M69" s="18" t="n">
        <v>1</v>
      </c>
      <c r="N69" s="18" t="n">
        <v>2</v>
      </c>
      <c r="O69" s="18" t="n">
        <v>10</v>
      </c>
      <c r="P69" s="18" t="inlineStr"/>
      <c r="Q69" s="18" t="inlineStr">
        <is>
          <t>Go-live</t>
        </is>
      </c>
      <c r="R69" s="25" t="n"/>
      <c r="S69" s="25" t="n"/>
      <c r="T69" s="21" t="n"/>
      <c r="U69" s="21" t="n"/>
      <c r="V69" s="21" t="n"/>
      <c r="W69" s="21" t="n"/>
      <c r="X69" s="22" t="n"/>
      <c r="Y69" s="21" t="n"/>
    </row>
    <row r="70" ht="30" customHeight="1">
      <c r="A70" s="24" t="inlineStr">
        <is>
          <t>G2</t>
        </is>
      </c>
      <c r="B70" s="16" t="inlineStr">
        <is>
          <t>Data migration (go-live migration kit)</t>
        </is>
      </c>
      <c r="C70" s="17" t="inlineStr">
        <is>
          <t>Mapping to the migration kit (clients, policies, open items, open claims, opening balances)</t>
        </is>
      </c>
      <c r="D70" s="16" t="inlineStr">
        <is>
          <t>iorta TechNXT</t>
        </is>
      </c>
      <c r="E70" s="17" t="inlineStr">
        <is>
          <t>iorta TechNXT migration lead</t>
        </is>
      </c>
      <c r="F70" s="17" t="inlineStr">
        <is>
          <t>Mapping sheets</t>
        </is>
      </c>
      <c r="G70" s="17" t="inlineStr">
        <is>
          <t>G1SS+3d</t>
        </is>
      </c>
      <c r="H70" s="18" t="n">
        <v>3</v>
      </c>
      <c r="I70" s="18" t="n">
        <v>4</v>
      </c>
      <c r="J70" s="18" t="n">
        <v>7</v>
      </c>
      <c r="K70" s="19">
        <f>WORKDAY($D$2,I70)</f>
        <v/>
      </c>
      <c r="L70" s="19">
        <f>IF(H70=0,K70,WORKDAY($D$2,J70-1))</f>
        <v/>
      </c>
      <c r="M70" s="18" t="n">
        <v>1</v>
      </c>
      <c r="N70" s="18" t="n">
        <v>2</v>
      </c>
      <c r="O70" s="18" t="n">
        <v>12</v>
      </c>
      <c r="P70" s="18" t="inlineStr"/>
      <c r="Q70" s="18" t="inlineStr">
        <is>
          <t>Go-live</t>
        </is>
      </c>
      <c r="R70" s="26" t="n"/>
      <c r="S70" s="26" t="n"/>
      <c r="T70" s="21" t="n"/>
      <c r="U70" s="21" t="n"/>
      <c r="V70" s="21" t="n"/>
      <c r="W70" s="21" t="n"/>
      <c r="X70" s="22" t="n"/>
      <c r="Y70" s="21" t="n"/>
    </row>
    <row r="71" ht="30" customHeight="1">
      <c r="A71" s="24" t="inlineStr">
        <is>
          <t>G3</t>
        </is>
      </c>
      <c r="B71" s="16" t="inlineStr">
        <is>
          <t>Data migration (go-live migration kit)</t>
        </is>
      </c>
      <c r="C71" s="17" t="inlineStr">
        <is>
          <t>Mock load 1: cutover date set, validate, errors workbook, load, reconciliation</t>
        </is>
      </c>
      <c r="D71" s="16" t="inlineStr">
        <is>
          <t>iorta TechNXT</t>
        </is>
      </c>
      <c r="E71" s="17" t="inlineStr">
        <is>
          <t>iorta TechNXT migration lead</t>
        </is>
      </c>
      <c r="F71" s="17" t="inlineStr">
        <is>
          <t>Reconciliation workbook signed</t>
        </is>
      </c>
      <c r="G71" s="17" t="inlineStr">
        <is>
          <t>G1, G2, C4, C2</t>
        </is>
      </c>
      <c r="H71" s="18" t="n">
        <v>3</v>
      </c>
      <c r="I71" s="18" t="n">
        <v>13</v>
      </c>
      <c r="J71" s="18" t="n">
        <v>16</v>
      </c>
      <c r="K71" s="19">
        <f>WORKDAY($D$2,I71)</f>
        <v/>
      </c>
      <c r="L71" s="19">
        <f>IF(H71=0,K71,WORKDAY($D$2,J71-1))</f>
        <v/>
      </c>
      <c r="M71" s="18" t="n">
        <v>3</v>
      </c>
      <c r="N71" s="18" t="n">
        <v>4</v>
      </c>
      <c r="O71" s="18" t="n">
        <v>6</v>
      </c>
      <c r="P71" s="18" t="inlineStr"/>
      <c r="Q71" s="18" t="inlineStr">
        <is>
          <t>Go-live</t>
        </is>
      </c>
      <c r="R71" s="21" t="n"/>
      <c r="S71" s="21" t="n"/>
      <c r="T71" s="26" t="n"/>
      <c r="U71" s="26" t="n"/>
      <c r="V71" s="21" t="n"/>
      <c r="W71" s="21" t="n"/>
      <c r="X71" s="22" t="n"/>
      <c r="Y71" s="21" t="n"/>
    </row>
    <row r="72" ht="30" customHeight="1">
      <c r="A72" s="24" t="inlineStr">
        <is>
          <t>G4</t>
        </is>
      </c>
      <c r="B72" s="16" t="inlineStr">
        <is>
          <t>Data migration (go-live migration kit)</t>
        </is>
      </c>
      <c r="C72" s="17" t="inlineStr">
        <is>
          <t>Mock load 2 on a fresh extract, with transaction reset before it</t>
        </is>
      </c>
      <c r="D72" s="16" t="inlineStr">
        <is>
          <t>iorta TechNXT</t>
        </is>
      </c>
      <c r="E72" s="17" t="inlineStr">
        <is>
          <t>iorta TechNXT migration lead</t>
        </is>
      </c>
      <c r="F72" s="17" t="inlineStr">
        <is>
          <t>Reconciliation workbook signed</t>
        </is>
      </c>
      <c r="G72" s="17" t="inlineStr">
        <is>
          <t>G3, C5</t>
        </is>
      </c>
      <c r="H72" s="18" t="n">
        <v>3</v>
      </c>
      <c r="I72" s="18" t="n">
        <v>19</v>
      </c>
      <c r="J72" s="18" t="n">
        <v>22</v>
      </c>
      <c r="K72" s="19">
        <f>WORKDAY($D$2,I72)</f>
        <v/>
      </c>
      <c r="L72" s="19">
        <f>IF(H72=0,K72,WORKDAY($D$2,J72-1))</f>
        <v/>
      </c>
      <c r="M72" s="18" t="n">
        <v>4</v>
      </c>
      <c r="N72" s="18" t="n">
        <v>5</v>
      </c>
      <c r="O72" s="18" t="n">
        <v>3</v>
      </c>
      <c r="P72" s="18" t="inlineStr"/>
      <c r="Q72" s="18" t="inlineStr">
        <is>
          <t>Go-live</t>
        </is>
      </c>
      <c r="R72" s="21" t="n"/>
      <c r="S72" s="21" t="n"/>
      <c r="T72" s="21" t="n"/>
      <c r="U72" s="26" t="n"/>
      <c r="V72" s="26" t="n"/>
      <c r="W72" s="21" t="n"/>
      <c r="X72" s="22" t="n"/>
      <c r="Y72" s="21" t="n"/>
    </row>
    <row r="73">
      <c r="A73" s="13" t="inlineStr">
        <is>
          <t>Training</t>
        </is>
      </c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</row>
    <row r="74" ht="30" customHeight="1">
      <c r="A74" s="24" t="inlineStr">
        <is>
          <t>L2</t>
        </is>
      </c>
      <c r="B74" s="16" t="inlineStr">
        <is>
          <t>Training</t>
        </is>
      </c>
      <c r="C74" s="17" t="inlineStr">
        <is>
          <t>Compliance officer, DPO and System Administrator training on the compliance and privacy screens</t>
        </is>
      </c>
      <c r="D74" s="16" t="inlineStr">
        <is>
          <t>iorta TechNXT</t>
        </is>
      </c>
      <c r="E74" s="17" t="inlineStr">
        <is>
          <t>iorta TechNXT consultant</t>
        </is>
      </c>
      <c r="F74" s="17" t="inlineStr">
        <is>
          <t>Attendance and assessment</t>
        </is>
      </c>
      <c r="G74" s="17" t="inlineStr">
        <is>
          <t>K1</t>
        </is>
      </c>
      <c r="H74" s="18" t="n">
        <v>1</v>
      </c>
      <c r="I74" s="18" t="n">
        <v>16</v>
      </c>
      <c r="J74" s="18" t="n">
        <v>17</v>
      </c>
      <c r="K74" s="19">
        <f>WORKDAY($D$2,I74)</f>
        <v/>
      </c>
      <c r="L74" s="19">
        <f>IF(H74=0,K74,WORKDAY($D$2,J74-1))</f>
        <v/>
      </c>
      <c r="M74" s="18" t="n">
        <v>4</v>
      </c>
      <c r="N74" s="18" t="n">
        <v>4</v>
      </c>
      <c r="O74" s="18" t="n">
        <v>11</v>
      </c>
      <c r="P74" s="18" t="inlineStr"/>
      <c r="Q74" s="18" t="inlineStr">
        <is>
          <t>Go-live</t>
        </is>
      </c>
      <c r="R74" s="21" t="n"/>
      <c r="S74" s="21" t="n"/>
      <c r="T74" s="21" t="n"/>
      <c r="U74" s="26" t="n"/>
      <c r="V74" s="21" t="n"/>
      <c r="W74" s="21" t="n"/>
      <c r="X74" s="22" t="n"/>
      <c r="Y74" s="21" t="n"/>
    </row>
    <row r="75" ht="30" customHeight="1">
      <c r="A75" s="24" t="inlineStr">
        <is>
          <t>L1</t>
        </is>
      </c>
      <c r="B75" s="16" t="inlineStr">
        <is>
          <t>Training</t>
        </is>
      </c>
      <c r="C75" s="17" t="inlineStr">
        <is>
          <t>Train-the-trainer for key users, with trainer skills and teach-back</t>
        </is>
      </c>
      <c r="D75" s="16" t="inlineStr">
        <is>
          <t>iorta TechNXT</t>
        </is>
      </c>
      <c r="E75" s="17" t="inlineStr">
        <is>
          <t>iorta TechNXT consultants</t>
        </is>
      </c>
      <c r="F75" s="17" t="inlineStr">
        <is>
          <t>Key users passed at 90%</t>
        </is>
      </c>
      <c r="G75" s="17" t="inlineStr">
        <is>
          <t>C5</t>
        </is>
      </c>
      <c r="H75" s="18" t="n">
        <v>3</v>
      </c>
      <c r="I75" s="18" t="n">
        <v>19</v>
      </c>
      <c r="J75" s="18" t="n">
        <v>22</v>
      </c>
      <c r="K75" s="19">
        <f>WORKDAY($D$2,I75)</f>
        <v/>
      </c>
      <c r="L75" s="19">
        <f>IF(H75=0,K75,WORKDAY($D$2,J75-1))</f>
        <v/>
      </c>
      <c r="M75" s="18" t="n">
        <v>4</v>
      </c>
      <c r="N75" s="18" t="n">
        <v>5</v>
      </c>
      <c r="O75" s="18" t="n">
        <v>1</v>
      </c>
      <c r="P75" s="18" t="inlineStr"/>
      <c r="Q75" s="18" t="inlineStr">
        <is>
          <t>Go-live</t>
        </is>
      </c>
      <c r="R75" s="21" t="n"/>
      <c r="S75" s="21" t="n"/>
      <c r="T75" s="21" t="n"/>
      <c r="U75" s="26" t="n"/>
      <c r="V75" s="26" t="n"/>
      <c r="W75" s="21" t="n"/>
      <c r="X75" s="22" t="n"/>
      <c r="Y75" s="21" t="n"/>
    </row>
    <row r="76" ht="30" customHeight="1">
      <c r="A76" s="24" t="inlineStr">
        <is>
          <t>L3</t>
        </is>
      </c>
      <c r="B76" s="16" t="inlineStr">
        <is>
          <t>Training</t>
        </is>
      </c>
      <c r="C76" s="17" t="inlineStr">
        <is>
          <t>End-user training per role, run by key users</t>
        </is>
      </c>
      <c r="D76" s="16" t="inlineStr">
        <is>
          <t>Broker</t>
        </is>
      </c>
      <c r="E76" s="17" t="inlineStr">
        <is>
          <t>Broker key users</t>
        </is>
      </c>
      <c r="F76" s="17" t="inlineStr">
        <is>
          <t>Every user trained and assessed</t>
        </is>
      </c>
      <c r="G76" s="17" t="inlineStr">
        <is>
          <t>L1, T3, I9</t>
        </is>
      </c>
      <c r="H76" s="18" t="n">
        <v>5</v>
      </c>
      <c r="I76" s="18" t="n">
        <v>22</v>
      </c>
      <c r="J76" s="18" t="n">
        <v>27</v>
      </c>
      <c r="K76" s="19">
        <f>WORKDAY($D$2,I76)</f>
        <v/>
      </c>
      <c r="L76" s="19">
        <f>IF(H76=0,K76,WORKDAY($D$2,J76-1))</f>
        <v/>
      </c>
      <c r="M76" s="18" t="n">
        <v>5</v>
      </c>
      <c r="N76" s="18" t="n">
        <v>6</v>
      </c>
      <c r="O76" s="18" t="n">
        <v>1</v>
      </c>
      <c r="P76" s="18" t="inlineStr"/>
      <c r="Q76" s="18" t="inlineStr">
        <is>
          <t>Go-live</t>
        </is>
      </c>
      <c r="R76" s="21" t="n"/>
      <c r="S76" s="21" t="n"/>
      <c r="T76" s="21" t="n"/>
      <c r="U76" s="21" t="n"/>
      <c r="V76" s="25" t="n"/>
      <c r="W76" s="25" t="n"/>
      <c r="X76" s="22" t="n"/>
      <c r="Y76" s="21" t="n"/>
    </row>
    <row r="77">
      <c r="A77" s="13" t="inlineStr">
        <is>
          <t>SIT and UAT</t>
        </is>
      </c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</row>
    <row r="78" ht="40" customHeight="1">
      <c r="A78" s="15" t="inlineStr">
        <is>
          <t>T1</t>
        </is>
      </c>
      <c r="B78" s="16" t="inlineStr">
        <is>
          <t>SIT and UAT</t>
        </is>
      </c>
      <c r="C78" s="17" t="inlineStr">
        <is>
          <t>System integration test in Dev (small, medium) or SIT (large, enterprise): end-to-end flows, uat-scenario.js, connectors in test mode</t>
        </is>
      </c>
      <c r="D78" s="16" t="inlineStr">
        <is>
          <t>iorta TechNXT</t>
        </is>
      </c>
      <c r="E78" s="17" t="inlineStr">
        <is>
          <t>iorta TechNXT test lead</t>
        </is>
      </c>
      <c r="F78" s="17" t="inlineStr">
        <is>
          <t>SIT results; defect log</t>
        </is>
      </c>
      <c r="G78" s="17" t="inlineStr">
        <is>
          <t>C3SS+4d, C2</t>
        </is>
      </c>
      <c r="H78" s="18" t="n">
        <v>4</v>
      </c>
      <c r="I78" s="18" t="n">
        <v>16</v>
      </c>
      <c r="J78" s="18" t="n">
        <v>20</v>
      </c>
      <c r="K78" s="19">
        <f>WORKDAY($D$2,I78)</f>
        <v/>
      </c>
      <c r="L78" s="19">
        <f>IF(H78=0,K78,WORKDAY($D$2,J78-1))</f>
        <v/>
      </c>
      <c r="M78" s="18" t="n">
        <v>4</v>
      </c>
      <c r="N78" s="18" t="n">
        <v>4</v>
      </c>
      <c r="O78" s="18" t="n">
        <v>0</v>
      </c>
      <c r="P78" s="18" t="inlineStr">
        <is>
          <t>Yes</t>
        </is>
      </c>
      <c r="Q78" s="18" t="inlineStr">
        <is>
          <t>Go-live</t>
        </is>
      </c>
      <c r="R78" s="21" t="n"/>
      <c r="S78" s="21" t="n"/>
      <c r="T78" s="21" t="n"/>
      <c r="U78" s="23" t="n"/>
      <c r="V78" s="21" t="n"/>
      <c r="W78" s="21" t="n"/>
      <c r="X78" s="22" t="n"/>
      <c r="Y78" s="21" t="n"/>
    </row>
    <row r="79" ht="30" customHeight="1">
      <c r="A79" s="15" t="inlineStr">
        <is>
          <t>T2</t>
        </is>
      </c>
      <c r="B79" s="16" t="inlineStr">
        <is>
          <t>SIT and UAT</t>
        </is>
      </c>
      <c r="C79" s="17" t="inlineStr">
        <is>
          <t>SIT exit</t>
        </is>
      </c>
      <c r="D79" s="16" t="inlineStr">
        <is>
          <t>iorta TechNXT</t>
        </is>
      </c>
      <c r="E79" s="17" t="inlineStr">
        <is>
          <t>iorta TechNXT test lead</t>
        </is>
      </c>
      <c r="F79" s="17" t="inlineStr">
        <is>
          <t>SIT exit report</t>
        </is>
      </c>
      <c r="G79" s="17" t="inlineStr">
        <is>
          <t>T1, C5</t>
        </is>
      </c>
      <c r="H79" s="18" t="n">
        <v>0</v>
      </c>
      <c r="I79" s="18" t="n">
        <v>20</v>
      </c>
      <c r="J79" s="18" t="n">
        <v>20</v>
      </c>
      <c r="K79" s="19">
        <f>WORKDAY($D$2,I79)</f>
        <v/>
      </c>
      <c r="L79" s="19">
        <f>IF(H79=0,K79,WORKDAY($D$2,J79-1))</f>
        <v/>
      </c>
      <c r="M79" s="18" t="n">
        <v>4</v>
      </c>
      <c r="N79" s="18" t="n">
        <v>4</v>
      </c>
      <c r="O79" s="18" t="n">
        <v>0</v>
      </c>
      <c r="P79" s="18" t="inlineStr">
        <is>
          <t>Yes</t>
        </is>
      </c>
      <c r="Q79" s="18" t="inlineStr">
        <is>
          <t>Go-live</t>
        </is>
      </c>
      <c r="R79" s="21" t="n"/>
      <c r="S79" s="21" t="n"/>
      <c r="T79" s="21" t="n"/>
      <c r="U79" s="20" t="inlineStr">
        <is>
          <t>◆</t>
        </is>
      </c>
      <c r="V79" s="21" t="n"/>
      <c r="W79" s="21" t="n"/>
      <c r="X79" s="22" t="n"/>
      <c r="Y79" s="21" t="n"/>
    </row>
    <row r="80" ht="40" customHeight="1">
      <c r="A80" s="15" t="inlineStr">
        <is>
          <t>T3</t>
        </is>
      </c>
      <c r="B80" s="16" t="inlineStr">
        <is>
          <t>SIT and UAT</t>
        </is>
      </c>
      <c r="C80" s="17" t="inlineStr">
        <is>
          <t>Release candidate and frozen configuration promoted to UAT (Current data workbook, brand pack); comparison report clean</t>
        </is>
      </c>
      <c r="D80" s="16" t="inlineStr">
        <is>
          <t>iorta TechNXT</t>
        </is>
      </c>
      <c r="E80" s="17" t="inlineStr">
        <is>
          <t>iorta TechNXT delivery lead</t>
        </is>
      </c>
      <c r="F80" s="17" t="inlineStr">
        <is>
          <t>Deploy run; comparison workbook</t>
        </is>
      </c>
      <c r="G80" s="17" t="inlineStr">
        <is>
          <t>T2, E3</t>
        </is>
      </c>
      <c r="H80" s="18" t="n">
        <v>1</v>
      </c>
      <c r="I80" s="18" t="n">
        <v>20</v>
      </c>
      <c r="J80" s="18" t="n">
        <v>21</v>
      </c>
      <c r="K80" s="19">
        <f>WORKDAY($D$2,I80)</f>
        <v/>
      </c>
      <c r="L80" s="19">
        <f>IF(H80=0,K80,WORKDAY($D$2,J80-1))</f>
        <v/>
      </c>
      <c r="M80" s="18" t="n">
        <v>5</v>
      </c>
      <c r="N80" s="18" t="n">
        <v>5</v>
      </c>
      <c r="O80" s="18" t="n">
        <v>0</v>
      </c>
      <c r="P80" s="18" t="inlineStr">
        <is>
          <t>Yes</t>
        </is>
      </c>
      <c r="Q80" s="18" t="inlineStr">
        <is>
          <t>Go-live</t>
        </is>
      </c>
      <c r="R80" s="21" t="n"/>
      <c r="S80" s="21" t="n"/>
      <c r="T80" s="21" t="n"/>
      <c r="U80" s="21" t="n"/>
      <c r="V80" s="23" t="n"/>
      <c r="W80" s="21" t="n"/>
      <c r="X80" s="22" t="n"/>
      <c r="Y80" s="21" t="n"/>
    </row>
    <row r="81" ht="30" customHeight="1">
      <c r="A81" s="15" t="inlineStr">
        <is>
          <t>T4</t>
        </is>
      </c>
      <c r="B81" s="16" t="inlineStr">
        <is>
          <t>SIT and UAT</t>
        </is>
      </c>
      <c r="C81" s="17" t="inlineStr">
        <is>
          <t>UAT cycles with the UAT scripts and broker scenarios, including compliance, BIR and integration scripts</t>
        </is>
      </c>
      <c r="D81" s="16" t="inlineStr">
        <is>
          <t>Broker</t>
        </is>
      </c>
      <c r="E81" s="17" t="inlineStr">
        <is>
          <t>Broker key users</t>
        </is>
      </c>
      <c r="F81" s="17" t="inlineStr">
        <is>
          <t>UAT results per script</t>
        </is>
      </c>
      <c r="G81" s="17" t="inlineStr">
        <is>
          <t>T3, I10</t>
        </is>
      </c>
      <c r="H81" s="18" t="n">
        <v>6</v>
      </c>
      <c r="I81" s="18" t="n">
        <v>21</v>
      </c>
      <c r="J81" s="18" t="n">
        <v>27</v>
      </c>
      <c r="K81" s="19">
        <f>WORKDAY($D$2,I81)</f>
        <v/>
      </c>
      <c r="L81" s="19">
        <f>IF(H81=0,K81,WORKDAY($D$2,J81-1))</f>
        <v/>
      </c>
      <c r="M81" s="18" t="n">
        <v>5</v>
      </c>
      <c r="N81" s="18" t="n">
        <v>6</v>
      </c>
      <c r="O81" s="18" t="n">
        <v>0</v>
      </c>
      <c r="P81" s="18" t="inlineStr">
        <is>
          <t>Yes</t>
        </is>
      </c>
      <c r="Q81" s="18" t="inlineStr">
        <is>
          <t>Go-live</t>
        </is>
      </c>
      <c r="R81" s="21" t="n"/>
      <c r="S81" s="21" t="n"/>
      <c r="T81" s="21" t="n"/>
      <c r="U81" s="21" t="n"/>
      <c r="V81" s="27" t="n"/>
      <c r="W81" s="27" t="n"/>
      <c r="X81" s="22" t="n"/>
      <c r="Y81" s="21" t="n"/>
    </row>
    <row r="82" ht="30" customHeight="1">
      <c r="A82" s="24" t="inlineStr">
        <is>
          <t>T5</t>
        </is>
      </c>
      <c r="B82" s="16" t="inlineStr">
        <is>
          <t>SIT and UAT</t>
        </is>
      </c>
      <c r="C82" s="17" t="inlineStr">
        <is>
          <t>UAT sign-off</t>
        </is>
      </c>
      <c r="D82" s="16" t="inlineStr">
        <is>
          <t>Broker</t>
        </is>
      </c>
      <c r="E82" s="17" t="inlineStr">
        <is>
          <t>Broker sponsor and process owners</t>
        </is>
      </c>
      <c r="F82" s="17" t="inlineStr">
        <is>
          <t>UAT Sign-off Certificate (Form 1)</t>
        </is>
      </c>
      <c r="G82" s="17" t="inlineStr">
        <is>
          <t>T4, R6</t>
        </is>
      </c>
      <c r="H82" s="18" t="n">
        <v>0</v>
      </c>
      <c r="I82" s="18" t="n">
        <v>27</v>
      </c>
      <c r="J82" s="18" t="n">
        <v>27</v>
      </c>
      <c r="K82" s="19">
        <f>WORKDAY($D$2,I82)</f>
        <v/>
      </c>
      <c r="L82" s="19">
        <f>IF(H82=0,K82,WORKDAY($D$2,J82-1))</f>
        <v/>
      </c>
      <c r="M82" s="18" t="n">
        <v>6</v>
      </c>
      <c r="N82" s="18" t="n">
        <v>6</v>
      </c>
      <c r="O82" s="18" t="n">
        <v>1</v>
      </c>
      <c r="P82" s="18" t="inlineStr"/>
      <c r="Q82" s="18" t="inlineStr">
        <is>
          <t>Go-live</t>
        </is>
      </c>
      <c r="R82" s="21" t="n"/>
      <c r="S82" s="21" t="n"/>
      <c r="T82" s="21" t="n"/>
      <c r="U82" s="21" t="n"/>
      <c r="V82" s="21" t="n"/>
      <c r="W82" s="20" t="inlineStr">
        <is>
          <t>◆</t>
        </is>
      </c>
      <c r="X82" s="22" t="n"/>
      <c r="Y82" s="21" t="n"/>
    </row>
    <row r="83">
      <c r="A83" s="13" t="inlineStr">
        <is>
          <t>Rehearsal and cutover</t>
        </is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</row>
    <row r="84" ht="30" customHeight="1">
      <c r="A84" s="24" t="inlineStr">
        <is>
          <t>X1</t>
        </is>
      </c>
      <c r="B84" s="16" t="inlineStr">
        <is>
          <t>Rehearsal and cutover</t>
        </is>
      </c>
      <c r="C84" s="17" t="inlineStr">
        <is>
          <t>Release tag and frozen configuration deployed to Production; production smoke test; transaction reset</t>
        </is>
      </c>
      <c r="D84" s="16" t="inlineStr">
        <is>
          <t>iorta TechNXT</t>
        </is>
      </c>
      <c r="E84" s="17" t="inlineStr">
        <is>
          <t>iorta TechNXT DevOps lead</t>
        </is>
      </c>
      <c r="F84" s="17" t="inlineStr">
        <is>
          <t>Deploy run; smoke test record; reset audit entry</t>
        </is>
      </c>
      <c r="G84" s="17" t="inlineStr">
        <is>
          <t>T3, E7, R1</t>
        </is>
      </c>
      <c r="H84" s="18" t="n">
        <v>2</v>
      </c>
      <c r="I84" s="18" t="n">
        <v>21</v>
      </c>
      <c r="J84" s="18" t="n">
        <v>23</v>
      </c>
      <c r="K84" s="19">
        <f>WORKDAY($D$2,I84)</f>
        <v/>
      </c>
      <c r="L84" s="19">
        <f>IF(H84=0,K84,WORKDAY($D$2,J84-1))</f>
        <v/>
      </c>
      <c r="M84" s="18" t="n">
        <v>5</v>
      </c>
      <c r="N84" s="18" t="n">
        <v>5</v>
      </c>
      <c r="O84" s="18" t="n">
        <v>1</v>
      </c>
      <c r="P84" s="18" t="inlineStr"/>
      <c r="Q84" s="18" t="inlineStr">
        <is>
          <t>Go-live</t>
        </is>
      </c>
      <c r="R84" s="21" t="n"/>
      <c r="S84" s="21" t="n"/>
      <c r="T84" s="21" t="n"/>
      <c r="U84" s="21" t="n"/>
      <c r="V84" s="26" t="n"/>
      <c r="W84" s="21" t="n"/>
      <c r="X84" s="22" t="n"/>
      <c r="Y84" s="21" t="n"/>
    </row>
    <row r="85" ht="30" customHeight="1">
      <c r="A85" s="24" t="inlineStr">
        <is>
          <t>X2</t>
        </is>
      </c>
      <c r="B85" s="16" t="inlineStr">
        <is>
          <t>Rehearsal and cutover</t>
        </is>
      </c>
      <c r="C85" s="17" t="inlineStr">
        <is>
          <t>Pre-Prod created from a production backup (masked when people without production access take part)</t>
        </is>
      </c>
      <c r="D85" s="16" t="inlineStr">
        <is>
          <t>iorta TechNXT</t>
        </is>
      </c>
      <c r="E85" s="17" t="inlineStr">
        <is>
          <t>iorta TechNXT DevOps lead</t>
        </is>
      </c>
      <c r="F85" s="17" t="inlineStr">
        <is>
          <t>Restore record (counts as a restore test)</t>
        </is>
      </c>
      <c r="G85" s="17" t="inlineStr">
        <is>
          <t>X1</t>
        </is>
      </c>
      <c r="H85" s="18" t="n">
        <v>1</v>
      </c>
      <c r="I85" s="18" t="n">
        <v>23</v>
      </c>
      <c r="J85" s="18" t="n">
        <v>24</v>
      </c>
      <c r="K85" s="19">
        <f>WORKDAY($D$2,I85)</f>
        <v/>
      </c>
      <c r="L85" s="19">
        <f>IF(H85=0,K85,WORKDAY($D$2,J85-1))</f>
        <v/>
      </c>
      <c r="M85" s="18" t="n">
        <v>5</v>
      </c>
      <c r="N85" s="18" t="n">
        <v>5</v>
      </c>
      <c r="O85" s="18" t="n">
        <v>1</v>
      </c>
      <c r="P85" s="18" t="inlineStr"/>
      <c r="Q85" s="18" t="inlineStr">
        <is>
          <t>Go-live</t>
        </is>
      </c>
      <c r="R85" s="21" t="n"/>
      <c r="S85" s="21" t="n"/>
      <c r="T85" s="21" t="n"/>
      <c r="U85" s="21" t="n"/>
      <c r="V85" s="26" t="n"/>
      <c r="W85" s="21" t="n"/>
      <c r="X85" s="22" t="n"/>
      <c r="Y85" s="21" t="n"/>
    </row>
    <row r="86" ht="40" customHeight="1">
      <c r="A86" s="15" t="inlineStr">
        <is>
          <t>X3</t>
        </is>
      </c>
      <c r="B86" s="16" t="inlineStr">
        <is>
          <t>Rehearsal and cutover</t>
        </is>
      </c>
      <c r="C86" s="17" t="inlineStr">
        <is>
          <t>Cutover rehearsal in Pre-Prod: reset, migration load of a fresh extract, reconciliation, go-live lock, comparison against Production, timings</t>
        </is>
      </c>
      <c r="D86" s="16" t="inlineStr">
        <is>
          <t>iorta TechNXT</t>
        </is>
      </c>
      <c r="E86" s="17" t="inlineStr">
        <is>
          <t>iorta TechNXT migration lead</t>
        </is>
      </c>
      <c r="F86" s="17" t="inlineStr">
        <is>
          <t>Rehearsal log; reconciliation signed</t>
        </is>
      </c>
      <c r="G86" s="17" t="inlineStr">
        <is>
          <t>X2, G4, T4SS+4d</t>
        </is>
      </c>
      <c r="H86" s="18" t="n">
        <v>3</v>
      </c>
      <c r="I86" s="18" t="n">
        <v>25</v>
      </c>
      <c r="J86" s="18" t="n">
        <v>28</v>
      </c>
      <c r="K86" s="19">
        <f>WORKDAY($D$2,I86)</f>
        <v/>
      </c>
      <c r="L86" s="19">
        <f>IF(H86=0,K86,WORKDAY($D$2,J86-1))</f>
        <v/>
      </c>
      <c r="M86" s="18" t="n">
        <v>6</v>
      </c>
      <c r="N86" s="18" t="n">
        <v>6</v>
      </c>
      <c r="O86" s="18" t="n">
        <v>0</v>
      </c>
      <c r="P86" s="18" t="inlineStr">
        <is>
          <t>Yes</t>
        </is>
      </c>
      <c r="Q86" s="18" t="inlineStr">
        <is>
          <t>Go-live</t>
        </is>
      </c>
      <c r="R86" s="21" t="n"/>
      <c r="S86" s="21" t="n"/>
      <c r="T86" s="21" t="n"/>
      <c r="U86" s="21" t="n"/>
      <c r="V86" s="21" t="n"/>
      <c r="W86" s="23" t="n"/>
      <c r="X86" s="22" t="n"/>
      <c r="Y86" s="21" t="n"/>
    </row>
    <row r="87" ht="30" customHeight="1">
      <c r="A87" s="15" t="inlineStr">
        <is>
          <t>X4</t>
        </is>
      </c>
      <c r="B87" s="16" t="inlineStr">
        <is>
          <t>Rehearsal and cutover</t>
        </is>
      </c>
      <c r="C87" s="17" t="inlineStr">
        <is>
          <t>Go/no-go 1: UAT signed, rehearsal reconciled, users trained, registrations and partner states confirmed</t>
        </is>
      </c>
      <c r="D87" s="16" t="inlineStr">
        <is>
          <t>Broker</t>
        </is>
      </c>
      <c r="E87" s="17" t="inlineStr">
        <is>
          <t>Steering committee</t>
        </is>
      </c>
      <c r="F87" s="17" t="inlineStr">
        <is>
          <t>Minutes</t>
        </is>
      </c>
      <c r="G87" s="17" t="inlineStr">
        <is>
          <t>X3, T5, L3, L2, K2, K3, N1, N2, R5, B1</t>
        </is>
      </c>
      <c r="H87" s="18" t="n">
        <v>0</v>
      </c>
      <c r="I87" s="18" t="n">
        <v>28</v>
      </c>
      <c r="J87" s="18" t="n">
        <v>28</v>
      </c>
      <c r="K87" s="19">
        <f>WORKDAY($D$2,I87)</f>
        <v/>
      </c>
      <c r="L87" s="19">
        <f>IF(H87=0,K87,WORKDAY($D$2,J87-1))</f>
        <v/>
      </c>
      <c r="M87" s="18" t="n">
        <v>6</v>
      </c>
      <c r="N87" s="18" t="n">
        <v>6</v>
      </c>
      <c r="O87" s="18" t="n">
        <v>0</v>
      </c>
      <c r="P87" s="18" t="inlineStr">
        <is>
          <t>Yes</t>
        </is>
      </c>
      <c r="Q87" s="18" t="inlineStr">
        <is>
          <t>Go-live</t>
        </is>
      </c>
      <c r="R87" s="21" t="n"/>
      <c r="S87" s="21" t="n"/>
      <c r="T87" s="21" t="n"/>
      <c r="U87" s="21" t="n"/>
      <c r="V87" s="21" t="n"/>
      <c r="W87" s="20" t="inlineStr">
        <is>
          <t>◆</t>
        </is>
      </c>
      <c r="X87" s="22" t="n"/>
      <c r="Y87" s="21" t="n"/>
    </row>
    <row r="88" ht="40" customHeight="1">
      <c r="A88" s="15" t="inlineStr">
        <is>
          <t>X5</t>
        </is>
      </c>
      <c r="B88" s="16" t="inlineStr">
        <is>
          <t>Rehearsal and cutover</t>
        </is>
      </c>
      <c r="C88" s="17" t="inlineStr">
        <is>
          <t>Cutover: freeze, final extract, final load, reconciliation, go/no-go 2, golive.locked, mask:data --register-production</t>
        </is>
      </c>
      <c r="D88" s="16" t="inlineStr">
        <is>
          <t>Broker</t>
        </is>
      </c>
      <c r="E88" s="17" t="inlineStr">
        <is>
          <t>Broker PM with the iorta TechNXT migration lead</t>
        </is>
      </c>
      <c r="F88" s="17" t="inlineStr">
        <is>
          <t>Signed reconciliation; go decision; audit entries</t>
        </is>
      </c>
      <c r="G88" s="17" t="inlineStr">
        <is>
          <t>X4</t>
        </is>
      </c>
      <c r="H88" s="18" t="n">
        <v>2</v>
      </c>
      <c r="I88" s="18" t="n">
        <v>28</v>
      </c>
      <c r="J88" s="18" t="n">
        <v>30</v>
      </c>
      <c r="K88" s="19">
        <f>WORKDAY($D$2,I88)</f>
        <v/>
      </c>
      <c r="L88" s="19">
        <f>IF(H88=0,K88,WORKDAY($D$2,J88-1))</f>
        <v/>
      </c>
      <c r="M88" s="18" t="n">
        <v>6</v>
      </c>
      <c r="N88" s="18" t="n">
        <v>6</v>
      </c>
      <c r="O88" s="18" t="n">
        <v>0</v>
      </c>
      <c r="P88" s="18" t="inlineStr">
        <is>
          <t>Yes</t>
        </is>
      </c>
      <c r="Q88" s="18" t="inlineStr">
        <is>
          <t>Go-live</t>
        </is>
      </c>
      <c r="R88" s="21" t="n"/>
      <c r="S88" s="21" t="n"/>
      <c r="T88" s="21" t="n"/>
      <c r="U88" s="21" t="n"/>
      <c r="V88" s="21" t="n"/>
      <c r="W88" s="27" t="n"/>
      <c r="X88" s="22" t="n"/>
      <c r="Y88" s="21" t="n"/>
    </row>
    <row r="89" ht="30" customHeight="1">
      <c r="A89" s="15" t="inlineStr">
        <is>
          <t>X6</t>
        </is>
      </c>
      <c r="B89" s="16" t="inlineStr">
        <is>
          <t>Rehearsal and cutover</t>
        </is>
      </c>
      <c r="C89" s="17" t="inlineStr">
        <is>
          <t>Go-live</t>
        </is>
      </c>
      <c r="D89" s="16" t="inlineStr">
        <is>
          <t>Broker</t>
        </is>
      </c>
      <c r="E89" s="17" t="inlineStr">
        <is>
          <t>Broker sponsor</t>
        </is>
      </c>
      <c r="F89" s="17" t="inlineStr">
        <is>
          <t>First day of transactions in BrokerVerse</t>
        </is>
      </c>
      <c r="G89" s="17" t="inlineStr">
        <is>
          <t>X5</t>
        </is>
      </c>
      <c r="H89" s="18" t="n">
        <v>0</v>
      </c>
      <c r="I89" s="18" t="n">
        <v>30</v>
      </c>
      <c r="J89" s="18" t="n">
        <v>30</v>
      </c>
      <c r="K89" s="19">
        <f>WORKDAY($D$2,I89)</f>
        <v/>
      </c>
      <c r="L89" s="19">
        <f>IF(H89=0,K89,WORKDAY($D$2,J89-1))</f>
        <v/>
      </c>
      <c r="M89" s="18" t="n">
        <v>7</v>
      </c>
      <c r="N89" s="18" t="n">
        <v>7</v>
      </c>
      <c r="O89" s="18" t="n">
        <v>0</v>
      </c>
      <c r="P89" s="18" t="inlineStr">
        <is>
          <t>Yes</t>
        </is>
      </c>
      <c r="Q89" s="18" t="inlineStr">
        <is>
          <t>Go-live</t>
        </is>
      </c>
      <c r="R89" s="21" t="n"/>
      <c r="S89" s="21" t="n"/>
      <c r="T89" s="21" t="n"/>
      <c r="U89" s="21" t="n"/>
      <c r="V89" s="21" t="n"/>
      <c r="W89" s="21" t="n"/>
      <c r="X89" s="29" t="inlineStr">
        <is>
          <t>GO</t>
        </is>
      </c>
      <c r="Y89" s="21" t="n"/>
    </row>
    <row r="90">
      <c r="A90" s="13" t="inlineStr">
        <is>
          <t>Hypercare</t>
        </is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</row>
    <row r="91" ht="40" customHeight="1">
      <c r="A91" s="24" t="inlineStr">
        <is>
          <t>H1</t>
        </is>
      </c>
      <c r="B91" s="16" t="inlineStr">
        <is>
          <t>Hypercare</t>
        </is>
      </c>
      <c r="C91" s="17" t="inlineStr">
        <is>
          <t>Hypercare: daily check-ins in week 1, then weekly; first receipts, remittances, bank imports and payment files watched</t>
        </is>
      </c>
      <c r="D91" s="16" t="inlineStr">
        <is>
          <t>iorta TechNXT</t>
        </is>
      </c>
      <c r="E91" s="17" t="inlineStr">
        <is>
          <t>iorta TechNXT PM</t>
        </is>
      </c>
      <c r="F91" s="17" t="inlineStr">
        <is>
          <t>Hypercare log</t>
        </is>
      </c>
      <c r="G91" s="17" t="inlineStr">
        <is>
          <t>X6</t>
        </is>
      </c>
      <c r="H91" s="18" t="n">
        <v>10</v>
      </c>
      <c r="I91" s="18" t="n">
        <v>30</v>
      </c>
      <c r="J91" s="18" t="n">
        <v>40</v>
      </c>
      <c r="K91" s="19">
        <f>WORKDAY($D$2,I91)</f>
        <v/>
      </c>
      <c r="L91" s="19">
        <f>IF(H91=0,K91,WORKDAY($D$2,J91-1))</f>
        <v/>
      </c>
      <c r="M91" s="18" t="n">
        <v>7</v>
      </c>
      <c r="N91" s="18" t="n">
        <v>8</v>
      </c>
      <c r="O91" s="18" t="n"/>
      <c r="P91" s="18" t="inlineStr"/>
      <c r="Q91" s="18" t="inlineStr">
        <is>
          <t>Hypercare exit</t>
        </is>
      </c>
      <c r="R91" s="21" t="n"/>
      <c r="S91" s="21" t="n"/>
      <c r="T91" s="21" t="n"/>
      <c r="U91" s="21" t="n"/>
      <c r="V91" s="21" t="n"/>
      <c r="W91" s="21" t="n"/>
      <c r="X91" s="26" t="n"/>
      <c r="Y91" s="26" t="n"/>
    </row>
    <row r="92" ht="30" customHeight="1">
      <c r="A92" s="24" t="inlineStr">
        <is>
          <t>H2</t>
        </is>
      </c>
      <c r="B92" s="16" t="inlineStr">
        <is>
          <t>Hypercare</t>
        </is>
      </c>
      <c r="C92" s="17" t="inlineStr">
        <is>
          <t>First month-end close and BIR working papers of the first month supported</t>
        </is>
      </c>
      <c r="D92" s="16" t="inlineStr">
        <is>
          <t>Broker</t>
        </is>
      </c>
      <c r="E92" s="17" t="inlineStr">
        <is>
          <t>Broker Accounting Manager</t>
        </is>
      </c>
      <c r="F92" s="17" t="inlineStr">
        <is>
          <t>Approved Month-End Close run</t>
        </is>
      </c>
      <c r="G92" s="17" t="inlineStr">
        <is>
          <t>X6+5d</t>
        </is>
      </c>
      <c r="H92" s="18" t="n">
        <v>5</v>
      </c>
      <c r="I92" s="18" t="n">
        <v>35</v>
      </c>
      <c r="J92" s="18" t="n">
        <v>40</v>
      </c>
      <c r="K92" s="19">
        <f>WORKDAY($D$2,I92)</f>
        <v/>
      </c>
      <c r="L92" s="19">
        <f>IF(H92=0,K92,WORKDAY($D$2,J92-1))</f>
        <v/>
      </c>
      <c r="M92" s="18" t="n">
        <v>8</v>
      </c>
      <c r="N92" s="18" t="n">
        <v>8</v>
      </c>
      <c r="O92" s="18" t="n"/>
      <c r="P92" s="18" t="inlineStr"/>
      <c r="Q92" s="18" t="inlineStr">
        <is>
          <t>Hypercare exit</t>
        </is>
      </c>
      <c r="R92" s="21" t="n"/>
      <c r="S92" s="21" t="n"/>
      <c r="T92" s="21" t="n"/>
      <c r="U92" s="21" t="n"/>
      <c r="V92" s="21" t="n"/>
      <c r="W92" s="21" t="n"/>
      <c r="X92" s="22" t="n"/>
      <c r="Y92" s="25" t="n"/>
    </row>
    <row r="93" ht="40" customHeight="1">
      <c r="A93" s="24" t="inlineStr">
        <is>
          <t>H3</t>
        </is>
      </c>
      <c r="B93" s="16" t="inlineStr">
        <is>
          <t>Hypercare</t>
        </is>
      </c>
      <c r="C93" s="17" t="inlineStr">
        <is>
          <t>Knowledge transfer, configuration baseline (Current data workbook of Production), handover; Pre-Prod removed</t>
        </is>
      </c>
      <c r="D93" s="16" t="inlineStr">
        <is>
          <t>iorta TechNXT</t>
        </is>
      </c>
      <c r="E93" s="17" t="inlineStr">
        <is>
          <t>iorta TechNXT PM and support manager</t>
        </is>
      </c>
      <c r="F93" s="17" t="inlineStr">
        <is>
          <t>Hypercare Exit and Handover Certificate</t>
        </is>
      </c>
      <c r="G93" s="17" t="inlineStr">
        <is>
          <t>H1, H2</t>
        </is>
      </c>
      <c r="H93" s="18" t="n">
        <v>0</v>
      </c>
      <c r="I93" s="18" t="n">
        <v>40</v>
      </c>
      <c r="J93" s="18" t="n">
        <v>40</v>
      </c>
      <c r="K93" s="19">
        <f>WORKDAY($D$2,I93)</f>
        <v/>
      </c>
      <c r="L93" s="19">
        <f>IF(H93=0,K93,WORKDAY($D$2,J93-1))</f>
        <v/>
      </c>
      <c r="M93" s="18" t="n">
        <v>8</v>
      </c>
      <c r="N93" s="18" t="n">
        <v>8</v>
      </c>
      <c r="O93" s="18" t="n"/>
      <c r="P93" s="18" t="inlineStr"/>
      <c r="Q93" s="18" t="inlineStr">
        <is>
          <t>Hypercare exit</t>
        </is>
      </c>
      <c r="R93" s="21" t="n"/>
      <c r="S93" s="21" t="n"/>
      <c r="T93" s="21" t="n"/>
      <c r="U93" s="21" t="n"/>
      <c r="V93" s="21" t="n"/>
      <c r="W93" s="21" t="n"/>
      <c r="X93" s="22" t="n"/>
      <c r="Y93" s="20" t="inlineStr">
        <is>
          <t>◆</t>
        </is>
      </c>
    </row>
  </sheetData>
  <autoFilter ref="A5:Q9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9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4" customWidth="1" min="3" max="3"/>
    <col width="13" customWidth="1" min="4" max="4"/>
    <col width="24" customWidth="1" min="5" max="5"/>
    <col width="30" customWidth="1" min="6" max="6"/>
    <col width="18" customWidth="1" min="7" max="7"/>
    <col width="10" customWidth="1" min="8" max="8"/>
    <col width="7" customWidth="1" min="9" max="9"/>
    <col width="7" customWidth="1" min="10" max="10"/>
    <col width="12" customWidth="1" min="11" max="11"/>
    <col width="12" customWidth="1" min="12" max="12"/>
    <col width="7" customWidth="1" min="13" max="13"/>
    <col width="7" customWidth="1" min="14" max="14"/>
    <col width="10" customWidth="1" min="15" max="15"/>
    <col width="8" customWidth="1" min="16" max="16"/>
    <col width="11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>
      <c r="A1" s="4" t="inlineStr">
        <is>
          <t>BrokerVerse OOTB implementation plan: Medium broker (12 weeks, go-live at the start of week 10)</t>
        </is>
      </c>
    </row>
    <row r="2">
      <c r="A2" s="11" t="inlineStr">
        <is>
          <t>Kick-off date (a Monday):</t>
        </is>
      </c>
      <c r="D2" s="12" t="n">
        <v>46328</v>
      </c>
      <c r="F2" s="5" t="inlineStr">
        <is>
          <t>Type the kick-off date in the yellow cell: start and finish dates follow (working days, weekends skipped; add holidays as a third WORKDAY argument). Environments: Dev, UAT, Production; Pre-Prod temporary. Mock loads 1 and 2 in UAT; the cutover rehearsal in Pre-Prod is the third load.</t>
        </is>
      </c>
    </row>
    <row r="3">
      <c r="A3" s="5" t="inlineStr">
        <is>
          <t>Bars: blue iorta TechNXT, green broker, gold partner; red border and red ID = on the critical path to go-live. Float = working days a task can slip before the go-live date moves (empty: the task does not hold the go-live).</t>
        </is>
      </c>
    </row>
    <row r="5" ht="42" customHeight="1">
      <c r="A5" s="6" t="inlineStr">
        <is>
          <t>ID</t>
        </is>
      </c>
      <c r="B5" s="6" t="inlineStr">
        <is>
          <t>Phase</t>
        </is>
      </c>
      <c r="C5" s="6" t="inlineStr">
        <is>
          <t>Task</t>
        </is>
      </c>
      <c r="D5" s="6" t="inlineStr">
        <is>
          <t>Party</t>
        </is>
      </c>
      <c r="E5" s="6" t="inlineStr">
        <is>
          <t>Owner role</t>
        </is>
      </c>
      <c r="F5" s="6" t="inlineStr">
        <is>
          <t>Deliverable or evidence</t>
        </is>
      </c>
      <c r="G5" s="6" t="inlineStr">
        <is>
          <t>Predecessors</t>
        </is>
      </c>
      <c r="H5" s="6" t="inlineStr">
        <is>
          <t>Duration (working days)</t>
        </is>
      </c>
      <c r="I5" s="6" t="inlineStr">
        <is>
          <t>Start day</t>
        </is>
      </c>
      <c r="J5" s="6" t="inlineStr">
        <is>
          <t>Finish day</t>
        </is>
      </c>
      <c r="K5" s="6" t="inlineStr">
        <is>
          <t>Start date</t>
        </is>
      </c>
      <c r="L5" s="6" t="inlineStr">
        <is>
          <t>Finish date</t>
        </is>
      </c>
      <c r="M5" s="6" t="inlineStr">
        <is>
          <t>Start week</t>
        </is>
      </c>
      <c r="N5" s="6" t="inlineStr">
        <is>
          <t>End week</t>
        </is>
      </c>
      <c r="O5" s="6" t="inlineStr">
        <is>
          <t>Float to go-live (days)</t>
        </is>
      </c>
      <c r="P5" s="6" t="inlineStr">
        <is>
          <t>Critical</t>
        </is>
      </c>
      <c r="Q5" s="6" t="inlineStr">
        <is>
          <t>Holds back</t>
        </is>
      </c>
      <c r="R5" s="6" t="inlineStr">
        <is>
          <t>W1</t>
        </is>
      </c>
      <c r="S5" s="6" t="inlineStr">
        <is>
          <t>W2</t>
        </is>
      </c>
      <c r="T5" s="6" t="inlineStr">
        <is>
          <t>W3</t>
        </is>
      </c>
      <c r="U5" s="6" t="inlineStr">
        <is>
          <t>W4</t>
        </is>
      </c>
      <c r="V5" s="6" t="inlineStr">
        <is>
          <t>W5</t>
        </is>
      </c>
      <c r="W5" s="6" t="inlineStr">
        <is>
          <t>W6</t>
        </is>
      </c>
      <c r="X5" s="6" t="inlineStr">
        <is>
          <t>W7</t>
        </is>
      </c>
      <c r="Y5" s="6" t="inlineStr">
        <is>
          <t>W8</t>
        </is>
      </c>
      <c r="Z5" s="6" t="inlineStr">
        <is>
          <t>W9</t>
        </is>
      </c>
      <c r="AA5" s="6" t="inlineStr">
        <is>
          <t>W10</t>
        </is>
      </c>
      <c r="AB5" s="6" t="inlineStr">
        <is>
          <t>W11</t>
        </is>
      </c>
      <c r="AC5" s="6" t="inlineStr">
        <is>
          <t>W12</t>
        </is>
      </c>
    </row>
    <row r="6">
      <c r="A6" s="13" t="inlineStr">
        <is>
          <t>Mobilisation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 ht="30" customHeight="1">
      <c r="A7" s="15" t="inlineStr">
        <is>
          <t>M1</t>
        </is>
      </c>
      <c r="B7" s="16" t="inlineStr">
        <is>
          <t>Mobilisation</t>
        </is>
      </c>
      <c r="C7" s="17" t="inlineStr">
        <is>
          <t>Kick-off</t>
        </is>
      </c>
      <c r="D7" s="16" t="inlineStr">
        <is>
          <t>iorta TechNXT</t>
        </is>
      </c>
      <c r="E7" s="17" t="inlineStr">
        <is>
          <t>iorta TechNXT PM</t>
        </is>
      </c>
      <c r="F7" s="17" t="inlineStr">
        <is>
          <t>Kick-off held; plan and go-live date confirmed</t>
        </is>
      </c>
      <c r="G7" s="17" t="inlineStr"/>
      <c r="H7" s="18" t="n">
        <v>0</v>
      </c>
      <c r="I7" s="18" t="n">
        <v>0</v>
      </c>
      <c r="J7" s="18" t="n">
        <v>0</v>
      </c>
      <c r="K7" s="19">
        <f>WORKDAY($D$2,I7)</f>
        <v/>
      </c>
      <c r="L7" s="19">
        <f>IF(H7=0,K7,WORKDAY($D$2,J7-1))</f>
        <v/>
      </c>
      <c r="M7" s="18" t="n">
        <v>1</v>
      </c>
      <c r="N7" s="18" t="n">
        <v>1</v>
      </c>
      <c r="O7" s="18" t="n">
        <v>0</v>
      </c>
      <c r="P7" s="18" t="inlineStr">
        <is>
          <t>Yes</t>
        </is>
      </c>
      <c r="Q7" s="18" t="inlineStr">
        <is>
          <t>Go-live</t>
        </is>
      </c>
      <c r="R7" s="20" t="inlineStr">
        <is>
          <t>◆</t>
        </is>
      </c>
      <c r="S7" s="21" t="n"/>
      <c r="T7" s="21" t="n"/>
      <c r="U7" s="21" t="n"/>
      <c r="V7" s="21" t="n"/>
      <c r="W7" s="21" t="n"/>
      <c r="X7" s="21" t="n"/>
      <c r="Y7" s="21" t="n"/>
      <c r="Z7" s="21" t="n"/>
      <c r="AA7" s="22" t="n"/>
      <c r="AB7" s="21" t="n"/>
      <c r="AC7" s="21" t="n"/>
    </row>
    <row r="8" ht="30" customHeight="1">
      <c r="A8" s="15" t="inlineStr">
        <is>
          <t>M3</t>
        </is>
      </c>
      <c r="B8" s="16" t="inlineStr">
        <is>
          <t>Mobilisation</t>
        </is>
      </c>
      <c r="C8" s="17" t="inlineStr">
        <is>
          <t>Data request list and the go-live kits issued (configuration and migration workbooks, upload templates)</t>
        </is>
      </c>
      <c r="D8" s="16" t="inlineStr">
        <is>
          <t>iorta TechNXT</t>
        </is>
      </c>
      <c r="E8" s="17" t="inlineStr">
        <is>
          <t>iorta TechNXT PM</t>
        </is>
      </c>
      <c r="F8" s="17" t="inlineStr">
        <is>
          <t>Data request list; blank workbooks handed over</t>
        </is>
      </c>
      <c r="G8" s="17" t="inlineStr">
        <is>
          <t>M1</t>
        </is>
      </c>
      <c r="H8" s="18" t="n">
        <v>1</v>
      </c>
      <c r="I8" s="18" t="n">
        <v>0</v>
      </c>
      <c r="J8" s="18" t="n">
        <v>1</v>
      </c>
      <c r="K8" s="19">
        <f>WORKDAY($D$2,I8)</f>
        <v/>
      </c>
      <c r="L8" s="19">
        <f>IF(H8=0,K8,WORKDAY($D$2,J8-1))</f>
        <v/>
      </c>
      <c r="M8" s="18" t="n">
        <v>1</v>
      </c>
      <c r="N8" s="18" t="n">
        <v>1</v>
      </c>
      <c r="O8" s="18" t="n">
        <v>0</v>
      </c>
      <c r="P8" s="18" t="inlineStr">
        <is>
          <t>Yes</t>
        </is>
      </c>
      <c r="Q8" s="18" t="inlineStr">
        <is>
          <t>Go-live</t>
        </is>
      </c>
      <c r="R8" s="23" t="n"/>
      <c r="S8" s="21" t="n"/>
      <c r="T8" s="21" t="n"/>
      <c r="U8" s="21" t="n"/>
      <c r="V8" s="21" t="n"/>
      <c r="W8" s="21" t="n"/>
      <c r="X8" s="21" t="n"/>
      <c r="Y8" s="21" t="n"/>
      <c r="Z8" s="21" t="n"/>
      <c r="AA8" s="22" t="n"/>
      <c r="AB8" s="21" t="n"/>
      <c r="AC8" s="21" t="n"/>
    </row>
    <row r="9" ht="30" customHeight="1">
      <c r="A9" s="24" t="inlineStr">
        <is>
          <t>M4</t>
        </is>
      </c>
      <c r="B9" s="16" t="inlineStr">
        <is>
          <t>Mobilisation</t>
        </is>
      </c>
      <c r="C9" s="17" t="inlineStr">
        <is>
          <t>Broker team named: PM, key users, Accounting Manager, System Administrator, compliance officer, DPO</t>
        </is>
      </c>
      <c r="D9" s="16" t="inlineStr">
        <is>
          <t>Broker</t>
        </is>
      </c>
      <c r="E9" s="17" t="inlineStr">
        <is>
          <t>Broker sponsor</t>
        </is>
      </c>
      <c r="F9" s="17" t="inlineStr">
        <is>
          <t>Named team with committed time</t>
        </is>
      </c>
      <c r="G9" s="17" t="inlineStr">
        <is>
          <t>M1</t>
        </is>
      </c>
      <c r="H9" s="18" t="n">
        <v>2</v>
      </c>
      <c r="I9" s="18" t="n">
        <v>0</v>
      </c>
      <c r="J9" s="18" t="n">
        <v>2</v>
      </c>
      <c r="K9" s="19">
        <f>WORKDAY($D$2,I9)</f>
        <v/>
      </c>
      <c r="L9" s="19">
        <f>IF(H9=0,K9,WORKDAY($D$2,J9-1))</f>
        <v/>
      </c>
      <c r="M9" s="18" t="n">
        <v>1</v>
      </c>
      <c r="N9" s="18" t="n">
        <v>1</v>
      </c>
      <c r="O9" s="18" t="n">
        <v>14</v>
      </c>
      <c r="P9" s="18" t="inlineStr"/>
      <c r="Q9" s="18" t="inlineStr">
        <is>
          <t>Go-live</t>
        </is>
      </c>
      <c r="R9" s="25" t="n"/>
      <c r="S9" s="21" t="n"/>
      <c r="T9" s="21" t="n"/>
      <c r="U9" s="21" t="n"/>
      <c r="V9" s="21" t="n"/>
      <c r="W9" s="21" t="n"/>
      <c r="X9" s="21" t="n"/>
      <c r="Y9" s="21" t="n"/>
      <c r="Z9" s="21" t="n"/>
      <c r="AA9" s="22" t="n"/>
      <c r="AB9" s="21" t="n"/>
      <c r="AC9" s="21" t="n"/>
    </row>
    <row r="10" ht="30" customHeight="1">
      <c r="A10" s="24" t="inlineStr">
        <is>
          <t>M5</t>
        </is>
      </c>
      <c r="B10" s="16" t="inlineStr">
        <is>
          <t>Mobilisation</t>
        </is>
      </c>
      <c r="C10" s="17" t="inlineStr">
        <is>
          <t>Hosting option, environment set and data location confirmed; environments ordered</t>
        </is>
      </c>
      <c r="D10" s="16" t="inlineStr">
        <is>
          <t>Broker</t>
        </is>
      </c>
      <c r="E10" s="17" t="inlineStr">
        <is>
          <t>Broker sponsor and IT head</t>
        </is>
      </c>
      <c r="F10" s="17" t="inlineStr">
        <is>
          <t>Order Form hosting fields; transfer decision recorded</t>
        </is>
      </c>
      <c r="G10" s="17" t="inlineStr">
        <is>
          <t>M1</t>
        </is>
      </c>
      <c r="H10" s="18" t="n">
        <v>2</v>
      </c>
      <c r="I10" s="18" t="n">
        <v>0</v>
      </c>
      <c r="J10" s="18" t="n">
        <v>2</v>
      </c>
      <c r="K10" s="19">
        <f>WORKDAY($D$2,I10)</f>
        <v/>
      </c>
      <c r="L10" s="19">
        <f>IF(H10=0,K10,WORKDAY($D$2,J10-1))</f>
        <v/>
      </c>
      <c r="M10" s="18" t="n">
        <v>1</v>
      </c>
      <c r="N10" s="18" t="n">
        <v>1</v>
      </c>
      <c r="O10" s="18" t="n">
        <v>8</v>
      </c>
      <c r="P10" s="18" t="inlineStr"/>
      <c r="Q10" s="18" t="inlineStr">
        <is>
          <t>Go-live</t>
        </is>
      </c>
      <c r="R10" s="25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2" t="n"/>
      <c r="AB10" s="21" t="n"/>
      <c r="AC10" s="21" t="n"/>
    </row>
    <row r="11" ht="30" customHeight="1">
      <c r="A11" s="24" t="inlineStr">
        <is>
          <t>M2</t>
        </is>
      </c>
      <c r="B11" s="16" t="inlineStr">
        <is>
          <t>Mobilisation</t>
        </is>
      </c>
      <c r="C11" s="17" t="inlineStr">
        <is>
          <t>Project charter, baselined plan, governance calendar, RAID log</t>
        </is>
      </c>
      <c r="D11" s="16" t="inlineStr">
        <is>
          <t>iorta TechNXT</t>
        </is>
      </c>
      <c r="E11" s="17" t="inlineStr">
        <is>
          <t>iorta TechNXT PM</t>
        </is>
      </c>
      <c r="F11" s="17" t="inlineStr">
        <is>
          <t>Charter and plan signed</t>
        </is>
      </c>
      <c r="G11" s="17" t="inlineStr">
        <is>
          <t>M1</t>
        </is>
      </c>
      <c r="H11" s="18" t="n">
        <v>3</v>
      </c>
      <c r="I11" s="18" t="n">
        <v>0</v>
      </c>
      <c r="J11" s="18" t="n">
        <v>3</v>
      </c>
      <c r="K11" s="19">
        <f>WORKDAY($D$2,I11)</f>
        <v/>
      </c>
      <c r="L11" s="19">
        <f>IF(H11=0,K11,WORKDAY($D$2,J11-1))</f>
        <v/>
      </c>
      <c r="M11" s="18" t="n">
        <v>1</v>
      </c>
      <c r="N11" s="18" t="n">
        <v>1</v>
      </c>
      <c r="O11" s="18" t="n">
        <v>16</v>
      </c>
      <c r="P11" s="18" t="inlineStr"/>
      <c r="Q11" s="18" t="inlineStr">
        <is>
          <t>Go-live</t>
        </is>
      </c>
      <c r="R11" s="26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2" t="n"/>
      <c r="AB11" s="21" t="n"/>
      <c r="AC11" s="21" t="n"/>
    </row>
    <row r="12">
      <c r="A12" s="13" t="inlineStr">
        <is>
          <t>Environments and pipeline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 ht="30" customHeight="1">
      <c r="A13" s="24" t="inlineStr">
        <is>
          <t>E1</t>
        </is>
      </c>
      <c r="B13" s="16" t="inlineStr">
        <is>
          <t>Environments and pipeline</t>
        </is>
      </c>
      <c r="C13" s="17" t="inlineStr">
        <is>
          <t>Dev provisioned</t>
        </is>
      </c>
      <c r="D13" s="16" t="inlineStr">
        <is>
          <t>iorta TechNXT</t>
        </is>
      </c>
      <c r="E13" s="17" t="inlineStr">
        <is>
          <t>iorta TechNXT DevOps lead</t>
        </is>
      </c>
      <c r="F13" s="17" t="inlineStr">
        <is>
          <t>Environment sheet: Dev</t>
        </is>
      </c>
      <c r="G13" s="17" t="inlineStr">
        <is>
          <t>M5</t>
        </is>
      </c>
      <c r="H13" s="18" t="n">
        <v>3</v>
      </c>
      <c r="I13" s="18" t="n">
        <v>2</v>
      </c>
      <c r="J13" s="18" t="n">
        <v>5</v>
      </c>
      <c r="K13" s="19">
        <f>WORKDAY($D$2,I13)</f>
        <v/>
      </c>
      <c r="L13" s="19">
        <f>IF(H13=0,K13,WORKDAY($D$2,J13-1))</f>
        <v/>
      </c>
      <c r="M13" s="18" t="n">
        <v>1</v>
      </c>
      <c r="N13" s="18" t="n">
        <v>1</v>
      </c>
      <c r="O13" s="18" t="n">
        <v>8</v>
      </c>
      <c r="P13" s="18" t="inlineStr"/>
      <c r="Q13" s="18" t="inlineStr">
        <is>
          <t>Go-live</t>
        </is>
      </c>
      <c r="R13" s="26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2" t="n"/>
      <c r="AB13" s="21" t="n"/>
      <c r="AC13" s="21" t="n"/>
    </row>
    <row r="14" ht="30" customHeight="1">
      <c r="A14" s="24" t="inlineStr">
        <is>
          <t>E3</t>
        </is>
      </c>
      <c r="B14" s="16" t="inlineStr">
        <is>
          <t>Environments and pipeline</t>
        </is>
      </c>
      <c r="C14" s="17" t="inlineStr">
        <is>
          <t>UAT provisioned</t>
        </is>
      </c>
      <c r="D14" s="16" t="inlineStr">
        <is>
          <t>iorta TechNXT</t>
        </is>
      </c>
      <c r="E14" s="17" t="inlineStr">
        <is>
          <t>iorta TechNXT DevOps lead</t>
        </is>
      </c>
      <c r="F14" s="17" t="inlineStr">
        <is>
          <t>Environment sheet: UAT</t>
        </is>
      </c>
      <c r="G14" s="17" t="inlineStr">
        <is>
          <t>M5</t>
        </is>
      </c>
      <c r="H14" s="18" t="n">
        <v>3</v>
      </c>
      <c r="I14" s="18" t="n">
        <v>2</v>
      </c>
      <c r="J14" s="18" t="n">
        <v>5</v>
      </c>
      <c r="K14" s="19">
        <f>WORKDAY($D$2,I14)</f>
        <v/>
      </c>
      <c r="L14" s="19">
        <f>IF(H14=0,K14,WORKDAY($D$2,J14-1))</f>
        <v/>
      </c>
      <c r="M14" s="18" t="n">
        <v>1</v>
      </c>
      <c r="N14" s="18" t="n">
        <v>1</v>
      </c>
      <c r="O14" s="18" t="n">
        <v>10</v>
      </c>
      <c r="P14" s="18" t="inlineStr"/>
      <c r="Q14" s="18" t="inlineStr">
        <is>
          <t>Go-live</t>
        </is>
      </c>
      <c r="R14" s="26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2" t="n"/>
      <c r="AB14" s="21" t="n"/>
      <c r="AC14" s="21" t="n"/>
    </row>
    <row r="15" ht="40" customHeight="1">
      <c r="A15" s="24" t="inlineStr">
        <is>
          <t>E5</t>
        </is>
      </c>
      <c r="B15" s="16" t="inlineStr">
        <is>
          <t>Environments and pipeline</t>
        </is>
      </c>
      <c r="C15" s="17" t="inlineStr">
        <is>
          <t>Application secrets per environment in the secret store: JWT_SECRET, DATA_ENCRYPTION_KEY, PII_ENCRYPTION_KEY generated; key custody and escrow copy agreed</t>
        </is>
      </c>
      <c r="D15" s="16" t="inlineStr">
        <is>
          <t>iorta TechNXT</t>
        </is>
      </c>
      <c r="E15" s="17" t="inlineStr">
        <is>
          <t>iorta TechNXT DevOps lead with the broker IT head</t>
        </is>
      </c>
      <c r="F15" s="17" t="inlineStr">
        <is>
          <t>Key custody record signed by both</t>
        </is>
      </c>
      <c r="G15" s="17" t="inlineStr">
        <is>
          <t>E1</t>
        </is>
      </c>
      <c r="H15" s="18" t="n">
        <v>1</v>
      </c>
      <c r="I15" s="18" t="n">
        <v>5</v>
      </c>
      <c r="J15" s="18" t="n">
        <v>6</v>
      </c>
      <c r="K15" s="19">
        <f>WORKDAY($D$2,I15)</f>
        <v/>
      </c>
      <c r="L15" s="19">
        <f>IF(H15=0,K15,WORKDAY($D$2,J15-1))</f>
        <v/>
      </c>
      <c r="M15" s="18" t="n">
        <v>2</v>
      </c>
      <c r="N15" s="18" t="n">
        <v>2</v>
      </c>
      <c r="O15" s="18" t="n">
        <v>9</v>
      </c>
      <c r="P15" s="18" t="inlineStr"/>
      <c r="Q15" s="18" t="inlineStr">
        <is>
          <t>Go-live</t>
        </is>
      </c>
      <c r="R15" s="21" t="n"/>
      <c r="S15" s="26" t="n"/>
      <c r="T15" s="21" t="n"/>
      <c r="U15" s="21" t="n"/>
      <c r="V15" s="21" t="n"/>
      <c r="W15" s="21" t="n"/>
      <c r="X15" s="21" t="n"/>
      <c r="Y15" s="21" t="n"/>
      <c r="Z15" s="21" t="n"/>
      <c r="AA15" s="22" t="n"/>
      <c r="AB15" s="21" t="n"/>
      <c r="AC15" s="21" t="n"/>
    </row>
    <row r="16" ht="40" customHeight="1">
      <c r="A16" s="24" t="inlineStr">
        <is>
          <t>E4</t>
        </is>
      </c>
      <c r="B16" s="16" t="inlineStr">
        <is>
          <t>Environments and pipeline</t>
        </is>
      </c>
      <c r="C16" s="17" t="inlineStr">
        <is>
          <t>GitHub Environments (dev, sit, uat, preprod, production): protection rules, reviewers, variables, environment secrets</t>
        </is>
      </c>
      <c r="D16" s="16" t="inlineStr">
        <is>
          <t>iorta TechNXT</t>
        </is>
      </c>
      <c r="E16" s="17" t="inlineStr">
        <is>
          <t>iorta TechNXT DevOps lead</t>
        </is>
      </c>
      <c r="F16" s="17" t="inlineStr">
        <is>
          <t>Settings recorded in the environment sheet</t>
        </is>
      </c>
      <c r="G16" s="17" t="inlineStr">
        <is>
          <t>E1</t>
        </is>
      </c>
      <c r="H16" s="18" t="n">
        <v>2</v>
      </c>
      <c r="I16" s="18" t="n">
        <v>5</v>
      </c>
      <c r="J16" s="18" t="n">
        <v>7</v>
      </c>
      <c r="K16" s="19">
        <f>WORKDAY($D$2,I16)</f>
        <v/>
      </c>
      <c r="L16" s="19">
        <f>IF(H16=0,K16,WORKDAY($D$2,J16-1))</f>
        <v/>
      </c>
      <c r="M16" s="18" t="n">
        <v>2</v>
      </c>
      <c r="N16" s="18" t="n">
        <v>2</v>
      </c>
      <c r="O16" s="18" t="n">
        <v>8</v>
      </c>
      <c r="P16" s="18" t="inlineStr"/>
      <c r="Q16" s="18" t="inlineStr">
        <is>
          <t>Go-live</t>
        </is>
      </c>
      <c r="R16" s="21" t="n"/>
      <c r="S16" s="26" t="n"/>
      <c r="T16" s="21" t="n"/>
      <c r="U16" s="21" t="n"/>
      <c r="V16" s="21" t="n"/>
      <c r="W16" s="21" t="n"/>
      <c r="X16" s="21" t="n"/>
      <c r="Y16" s="21" t="n"/>
      <c r="Z16" s="21" t="n"/>
      <c r="AA16" s="22" t="n"/>
      <c r="AB16" s="21" t="n"/>
      <c r="AC16" s="21" t="n"/>
    </row>
    <row r="17" ht="30" customHeight="1">
      <c r="A17" s="24" t="inlineStr">
        <is>
          <t>E7</t>
        </is>
      </c>
      <c r="B17" s="16" t="inlineStr">
        <is>
          <t>Environments and pipeline</t>
        </is>
      </c>
      <c r="C17" s="17" t="inlineStr">
        <is>
          <t>Production provisioned at production topology; backups, monitoring, restore test</t>
        </is>
      </c>
      <c r="D17" s="16" t="inlineStr">
        <is>
          <t>iorta TechNXT</t>
        </is>
      </c>
      <c r="E17" s="17" t="inlineStr">
        <is>
          <t>iorta TechNXT DevOps lead</t>
        </is>
      </c>
      <c r="F17" s="17" t="inlineStr">
        <is>
          <t>Environment sheet; restore test record</t>
        </is>
      </c>
      <c r="G17" s="17" t="inlineStr">
        <is>
          <t>E5</t>
        </is>
      </c>
      <c r="H17" s="18" t="n">
        <v>8</v>
      </c>
      <c r="I17" s="18" t="n">
        <v>6</v>
      </c>
      <c r="J17" s="18" t="n">
        <v>14</v>
      </c>
      <c r="K17" s="19">
        <f>WORKDAY($D$2,I17)</f>
        <v/>
      </c>
      <c r="L17" s="19">
        <f>IF(H17=0,K17,WORKDAY($D$2,J17-1))</f>
        <v/>
      </c>
      <c r="M17" s="18" t="n">
        <v>2</v>
      </c>
      <c r="N17" s="18" t="n">
        <v>3</v>
      </c>
      <c r="O17" s="18" t="n">
        <v>23</v>
      </c>
      <c r="P17" s="18" t="inlineStr"/>
      <c r="Q17" s="18" t="inlineStr">
        <is>
          <t>Go-live</t>
        </is>
      </c>
      <c r="R17" s="21" t="n"/>
      <c r="S17" s="26" t="n"/>
      <c r="T17" s="26" t="n"/>
      <c r="U17" s="21" t="n"/>
      <c r="V17" s="21" t="n"/>
      <c r="W17" s="21" t="n"/>
      <c r="X17" s="21" t="n"/>
      <c r="Y17" s="21" t="n"/>
      <c r="Z17" s="21" t="n"/>
      <c r="AA17" s="22" t="n"/>
      <c r="AB17" s="21" t="n"/>
      <c r="AC17" s="21" t="n"/>
    </row>
    <row r="18" ht="30" customHeight="1">
      <c r="A18" s="24" t="inlineStr">
        <is>
          <t>E6</t>
        </is>
      </c>
      <c r="B18" s="16" t="inlineStr">
        <is>
          <t>Environments and pipeline</t>
        </is>
      </c>
      <c r="C18" s="17" t="inlineStr">
        <is>
          <t>First deployment through the pipeline (CI, deploy, smoke test) to Dev and UAT (and SIT)</t>
        </is>
      </c>
      <c r="D18" s="16" t="inlineStr">
        <is>
          <t>iorta TechNXT</t>
        </is>
      </c>
      <c r="E18" s="17" t="inlineStr">
        <is>
          <t>iorta TechNXT DevOps lead</t>
        </is>
      </c>
      <c r="F18" s="17" t="inlineStr">
        <is>
          <t>Deploy run summaries; smoke test passed</t>
        </is>
      </c>
      <c r="G18" s="17" t="inlineStr">
        <is>
          <t>E4, E5, E3</t>
        </is>
      </c>
      <c r="H18" s="18" t="n">
        <v>1</v>
      </c>
      <c r="I18" s="18" t="n">
        <v>7</v>
      </c>
      <c r="J18" s="18" t="n">
        <v>8</v>
      </c>
      <c r="K18" s="19">
        <f>WORKDAY($D$2,I18)</f>
        <v/>
      </c>
      <c r="L18" s="19">
        <f>IF(H18=0,K18,WORKDAY($D$2,J18-1))</f>
        <v/>
      </c>
      <c r="M18" s="18" t="n">
        <v>2</v>
      </c>
      <c r="N18" s="18" t="n">
        <v>2</v>
      </c>
      <c r="O18" s="18" t="n">
        <v>8</v>
      </c>
      <c r="P18" s="18" t="inlineStr"/>
      <c r="Q18" s="18" t="inlineStr">
        <is>
          <t>Go-live</t>
        </is>
      </c>
      <c r="R18" s="21" t="n"/>
      <c r="S18" s="26" t="n"/>
      <c r="T18" s="21" t="n"/>
      <c r="U18" s="21" t="n"/>
      <c r="V18" s="21" t="n"/>
      <c r="W18" s="21" t="n"/>
      <c r="X18" s="21" t="n"/>
      <c r="Y18" s="21" t="n"/>
      <c r="Z18" s="21" t="n"/>
      <c r="AA18" s="22" t="n"/>
      <c r="AB18" s="21" t="n"/>
      <c r="AC18" s="21" t="n"/>
    </row>
    <row r="19">
      <c r="A19" s="13" t="inlineStr">
        <is>
          <t>Discovery and fit-gap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 ht="40" customHeight="1">
      <c r="A20" s="24" t="inlineStr">
        <is>
          <t>D1</t>
        </is>
      </c>
      <c r="B20" s="16" t="inlineStr">
        <is>
          <t>Discovery and fit-gap</t>
        </is>
      </c>
      <c r="C20" s="17" t="inlineStr">
        <is>
          <t>Process workshops on the delivered system: organisation, sales, placement, servicing, claims, billing, remittance, commission, ledger, tax, distribution</t>
        </is>
      </c>
      <c r="D20" s="16" t="inlineStr">
        <is>
          <t>iorta TechNXT</t>
        </is>
      </c>
      <c r="E20" s="17" t="inlineStr">
        <is>
          <t>iorta TechNXT consultants</t>
        </is>
      </c>
      <c r="F20" s="17" t="inlineStr">
        <is>
          <t>Workshop notes; decisions in the configuration workbook</t>
        </is>
      </c>
      <c r="G20" s="17" t="inlineStr">
        <is>
          <t>M1</t>
        </is>
      </c>
      <c r="H20" s="18" t="n">
        <v>11</v>
      </c>
      <c r="I20" s="18" t="n">
        <v>0</v>
      </c>
      <c r="J20" s="18" t="n">
        <v>11</v>
      </c>
      <c r="K20" s="19">
        <f>WORKDAY($D$2,I20)</f>
        <v/>
      </c>
      <c r="L20" s="19">
        <f>IF(H20=0,K20,WORKDAY($D$2,J20-1))</f>
        <v/>
      </c>
      <c r="M20" s="18" t="n">
        <v>1</v>
      </c>
      <c r="N20" s="18" t="n">
        <v>3</v>
      </c>
      <c r="O20" s="18" t="n">
        <v>3</v>
      </c>
      <c r="P20" s="18" t="inlineStr"/>
      <c r="Q20" s="18" t="inlineStr">
        <is>
          <t>Go-live</t>
        </is>
      </c>
      <c r="R20" s="26" t="n"/>
      <c r="S20" s="26" t="n"/>
      <c r="T20" s="26" t="n"/>
      <c r="U20" s="21" t="n"/>
      <c r="V20" s="21" t="n"/>
      <c r="W20" s="21" t="n"/>
      <c r="X20" s="21" t="n"/>
      <c r="Y20" s="21" t="n"/>
      <c r="Z20" s="21" t="n"/>
      <c r="AA20" s="22" t="n"/>
      <c r="AB20" s="21" t="n"/>
      <c r="AC20" s="21" t="n"/>
    </row>
    <row r="21" ht="40" customHeight="1">
      <c r="A21" s="24" t="inlineStr">
        <is>
          <t>D4</t>
        </is>
      </c>
      <c r="B21" s="16" t="inlineStr">
        <is>
          <t>Discovery and fit-gap</t>
        </is>
      </c>
      <c r="C21" s="17" t="inlineStr">
        <is>
          <t>Branding workshop: theme, logo, sign-in picture, documents, e-signatures, brand pack choice</t>
        </is>
      </c>
      <c r="D21" s="16" t="inlineStr">
        <is>
          <t>iorta TechNXT</t>
        </is>
      </c>
      <c r="E21" s="17" t="inlineStr">
        <is>
          <t>iorta TechNXT consultant</t>
        </is>
      </c>
      <c r="F21" s="17" t="inlineStr">
        <is>
          <t>Branding decisions; client brand pack needed or not, with its contract reference</t>
        </is>
      </c>
      <c r="G21" s="17" t="inlineStr">
        <is>
          <t>M4</t>
        </is>
      </c>
      <c r="H21" s="18" t="n">
        <v>1</v>
      </c>
      <c r="I21" s="18" t="n">
        <v>2</v>
      </c>
      <c r="J21" s="18" t="n">
        <v>3</v>
      </c>
      <c r="K21" s="19">
        <f>WORKDAY($D$2,I21)</f>
        <v/>
      </c>
      <c r="L21" s="19">
        <f>IF(H21=0,K21,WORKDAY($D$2,J21-1))</f>
        <v/>
      </c>
      <c r="M21" s="18" t="n">
        <v>1</v>
      </c>
      <c r="N21" s="18" t="n">
        <v>1</v>
      </c>
      <c r="O21" s="18" t="n">
        <v>16</v>
      </c>
      <c r="P21" s="18" t="inlineStr"/>
      <c r="Q21" s="18" t="inlineStr">
        <is>
          <t>Go-live</t>
        </is>
      </c>
      <c r="R21" s="26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2" t="n"/>
      <c r="AB21" s="21" t="n"/>
      <c r="AC21" s="21" t="n"/>
    </row>
    <row r="22" ht="40" customHeight="1">
      <c r="A22" s="24" t="inlineStr">
        <is>
          <t>D2</t>
        </is>
      </c>
      <c r="B22" s="16" t="inlineStr">
        <is>
          <t>Discovery and fit-gap</t>
        </is>
      </c>
      <c r="C22" s="17" t="inlineStr">
        <is>
          <t>Compliance workshop: AML/CFT programme, IC registers, complaints, breach procedure, masking by role</t>
        </is>
      </c>
      <c r="D22" s="16" t="inlineStr">
        <is>
          <t>iorta TechNXT</t>
        </is>
      </c>
      <c r="E22" s="17" t="inlineStr">
        <is>
          <t>iorta TechNXT consultant with the compliance officer and DPO</t>
        </is>
      </c>
      <c r="F22" s="17" t="inlineStr">
        <is>
          <t>Compliance decisions recorded</t>
        </is>
      </c>
      <c r="G22" s="17" t="inlineStr">
        <is>
          <t>M4</t>
        </is>
      </c>
      <c r="H22" s="18" t="n">
        <v>2</v>
      </c>
      <c r="I22" s="18" t="n">
        <v>2</v>
      </c>
      <c r="J22" s="18" t="n">
        <v>4</v>
      </c>
      <c r="K22" s="19">
        <f>WORKDAY($D$2,I22)</f>
        <v/>
      </c>
      <c r="L22" s="19">
        <f>IF(H22=0,K22,WORKDAY($D$2,J22-1))</f>
        <v/>
      </c>
      <c r="M22" s="18" t="n">
        <v>1</v>
      </c>
      <c r="N22" s="18" t="n">
        <v>1</v>
      </c>
      <c r="O22" s="18" t="n">
        <v>15</v>
      </c>
      <c r="P22" s="18" t="inlineStr"/>
      <c r="Q22" s="18" t="inlineStr">
        <is>
          <t>Go-live</t>
        </is>
      </c>
      <c r="R22" s="26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2" t="n"/>
      <c r="AB22" s="21" t="n"/>
      <c r="AC22" s="21" t="n"/>
    </row>
    <row r="23" ht="40" customHeight="1">
      <c r="A23" s="24" t="inlineStr">
        <is>
          <t>D3</t>
        </is>
      </c>
      <c r="B23" s="16" t="inlineStr">
        <is>
          <t>Discovery and fit-gap</t>
        </is>
      </c>
      <c r="C23" s="17" t="inlineStr">
        <is>
          <t>Integration workshop: banks, SMS or Viber, CTPL authentication and LTO, insurers, payment gateway, BIR EIS, AMLC reporting</t>
        </is>
      </c>
      <c r="D23" s="16" t="inlineStr">
        <is>
          <t>iorta TechNXT</t>
        </is>
      </c>
      <c r="E23" s="17" t="inlineStr">
        <is>
          <t>iorta TechNXT technical lead</t>
        </is>
      </c>
      <c r="F23" s="17" t="inlineStr">
        <is>
          <t>Integration list with partner contacts</t>
        </is>
      </c>
      <c r="G23" s="17" t="inlineStr">
        <is>
          <t>M4</t>
        </is>
      </c>
      <c r="H23" s="18" t="n">
        <v>2</v>
      </c>
      <c r="I23" s="18" t="n">
        <v>2</v>
      </c>
      <c r="J23" s="18" t="n">
        <v>4</v>
      </c>
      <c r="K23" s="19">
        <f>WORKDAY($D$2,I23)</f>
        <v/>
      </c>
      <c r="L23" s="19">
        <f>IF(H23=0,K23,WORKDAY($D$2,J23-1))</f>
        <v/>
      </c>
      <c r="M23" s="18" t="n">
        <v>1</v>
      </c>
      <c r="N23" s="18" t="n">
        <v>1</v>
      </c>
      <c r="O23" s="18" t="n">
        <v>15</v>
      </c>
      <c r="P23" s="18" t="inlineStr"/>
      <c r="Q23" s="18" t="inlineStr">
        <is>
          <t>Go-live</t>
        </is>
      </c>
      <c r="R23" s="26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2" t="n"/>
      <c r="AB23" s="21" t="n"/>
      <c r="AC23" s="21" t="n"/>
    </row>
    <row r="24" ht="30" customHeight="1">
      <c r="A24" s="24" t="inlineStr">
        <is>
          <t>D5</t>
        </is>
      </c>
      <c r="B24" s="16" t="inlineStr">
        <is>
          <t>Discovery and fit-gap</t>
        </is>
      </c>
      <c r="C24" s="17" t="inlineStr">
        <is>
          <t>Configuration decisions and fit-gap register signed</t>
        </is>
      </c>
      <c r="D24" s="16" t="inlineStr">
        <is>
          <t>Broker</t>
        </is>
      </c>
      <c r="E24" s="17" t="inlineStr">
        <is>
          <t>Broker process owners</t>
        </is>
      </c>
      <c r="F24" s="17" t="inlineStr">
        <is>
          <t>Signed fit-gap register</t>
        </is>
      </c>
      <c r="G24" s="17" t="inlineStr">
        <is>
          <t>D1, D2, D3, D4, M2</t>
        </is>
      </c>
      <c r="H24" s="18" t="n">
        <v>0</v>
      </c>
      <c r="I24" s="18" t="n">
        <v>11</v>
      </c>
      <c r="J24" s="18" t="n">
        <v>11</v>
      </c>
      <c r="K24" s="19">
        <f>WORKDAY($D$2,I24)</f>
        <v/>
      </c>
      <c r="L24" s="19">
        <f>IF(H24=0,K24,WORKDAY($D$2,J24-1))</f>
        <v/>
      </c>
      <c r="M24" s="18" t="n">
        <v>3</v>
      </c>
      <c r="N24" s="18" t="n">
        <v>3</v>
      </c>
      <c r="O24" s="18" t="n">
        <v>8</v>
      </c>
      <c r="P24" s="18" t="inlineStr"/>
      <c r="Q24" s="18" t="inlineStr">
        <is>
          <t>Go-live</t>
        </is>
      </c>
      <c r="R24" s="21" t="n"/>
      <c r="S24" s="21" t="n"/>
      <c r="T24" s="20" t="inlineStr">
        <is>
          <t>◆</t>
        </is>
      </c>
      <c r="U24" s="21" t="n"/>
      <c r="V24" s="21" t="n"/>
      <c r="W24" s="21" t="n"/>
      <c r="X24" s="21" t="n"/>
      <c r="Y24" s="21" t="n"/>
      <c r="Z24" s="21" t="n"/>
      <c r="AA24" s="22" t="n"/>
      <c r="AB24" s="21" t="n"/>
      <c r="AC24" s="21" t="n"/>
    </row>
    <row r="25">
      <c r="A25" s="13" t="inlineStr">
        <is>
          <t>Client inputs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 ht="30" customHeight="1">
      <c r="A26" s="24" t="inlineStr">
        <is>
          <t>I4</t>
        </is>
      </c>
      <c r="B26" s="16" t="inlineStr">
        <is>
          <t>Client inputs</t>
        </is>
      </c>
      <c r="C26" s="17" t="inlineStr">
        <is>
          <t>SMTP mailbox and credentials</t>
        </is>
      </c>
      <c r="D26" s="16" t="inlineStr">
        <is>
          <t>Broker</t>
        </is>
      </c>
      <c r="E26" s="17" t="inlineStr">
        <is>
          <t>Broker IT head</t>
        </is>
      </c>
      <c r="F26" s="17" t="inlineStr">
        <is>
          <t>Mailbox in the secret store</t>
        </is>
      </c>
      <c r="G26" s="17" t="inlineStr">
        <is>
          <t>M3</t>
        </is>
      </c>
      <c r="H26" s="18" t="n">
        <v>5</v>
      </c>
      <c r="I26" s="18" t="n">
        <v>1</v>
      </c>
      <c r="J26" s="18" t="n">
        <v>6</v>
      </c>
      <c r="K26" s="19">
        <f>WORKDAY($D$2,I26)</f>
        <v/>
      </c>
      <c r="L26" s="19">
        <f>IF(H26=0,K26,WORKDAY($D$2,J26-1))</f>
        <v/>
      </c>
      <c r="M26" s="18" t="n">
        <v>1</v>
      </c>
      <c r="N26" s="18" t="n">
        <v>2</v>
      </c>
      <c r="O26" s="18" t="n">
        <v>36</v>
      </c>
      <c r="P26" s="18" t="inlineStr"/>
      <c r="Q26" s="18" t="inlineStr">
        <is>
          <t>Go-live</t>
        </is>
      </c>
      <c r="R26" s="25" t="n"/>
      <c r="S26" s="25" t="n"/>
      <c r="T26" s="21" t="n"/>
      <c r="U26" s="21" t="n"/>
      <c r="V26" s="21" t="n"/>
      <c r="W26" s="21" t="n"/>
      <c r="X26" s="21" t="n"/>
      <c r="Y26" s="21" t="n"/>
      <c r="Z26" s="21" t="n"/>
      <c r="AA26" s="22" t="n"/>
      <c r="AB26" s="21" t="n"/>
      <c r="AC26" s="21" t="n"/>
    </row>
    <row r="27" ht="30" customHeight="1">
      <c r="A27" s="24" t="inlineStr">
        <is>
          <t>I3</t>
        </is>
      </c>
      <c r="B27" s="16" t="inlineStr">
        <is>
          <t>Client inputs</t>
        </is>
      </c>
      <c r="C27" s="17" t="inlineStr">
        <is>
          <t>User list with roles, branches and reporting lines (My Team follows the reporting line)</t>
        </is>
      </c>
      <c r="D27" s="16" t="inlineStr">
        <is>
          <t>Broker</t>
        </is>
      </c>
      <c r="E27" s="17" t="inlineStr">
        <is>
          <t>Broker System Administrator</t>
        </is>
      </c>
      <c r="F27" s="17" t="inlineStr">
        <is>
          <t>Users sheet</t>
        </is>
      </c>
      <c r="G27" s="17" t="inlineStr">
        <is>
          <t>M3</t>
        </is>
      </c>
      <c r="H27" s="18" t="n">
        <v>6</v>
      </c>
      <c r="I27" s="18" t="n">
        <v>1</v>
      </c>
      <c r="J27" s="18" t="n">
        <v>7</v>
      </c>
      <c r="K27" s="19">
        <f>WORKDAY($D$2,I27)</f>
        <v/>
      </c>
      <c r="L27" s="19">
        <f>IF(H27=0,K27,WORKDAY($D$2,J27-1))</f>
        <v/>
      </c>
      <c r="M27" s="18" t="n">
        <v>1</v>
      </c>
      <c r="N27" s="18" t="n">
        <v>2</v>
      </c>
      <c r="O27" s="18" t="n">
        <v>1</v>
      </c>
      <c r="P27" s="18" t="inlineStr"/>
      <c r="Q27" s="18" t="inlineStr">
        <is>
          <t>Go-live</t>
        </is>
      </c>
      <c r="R27" s="25" t="n"/>
      <c r="S27" s="25" t="n"/>
      <c r="T27" s="21" t="n"/>
      <c r="U27" s="21" t="n"/>
      <c r="V27" s="21" t="n"/>
      <c r="W27" s="21" t="n"/>
      <c r="X27" s="21" t="n"/>
      <c r="Y27" s="21" t="n"/>
      <c r="Z27" s="21" t="n"/>
      <c r="AA27" s="22" t="n"/>
      <c r="AB27" s="21" t="n"/>
      <c r="AC27" s="21" t="n"/>
    </row>
    <row r="28" ht="30" customHeight="1">
      <c r="A28" s="15" t="inlineStr">
        <is>
          <t>I1</t>
        </is>
      </c>
      <c r="B28" s="16" t="inlineStr">
        <is>
          <t>Client inputs</t>
        </is>
      </c>
      <c r="C28" s="17" t="inlineStr">
        <is>
          <t>Insurer list and agreements, commission and referrer rates, product list</t>
        </is>
      </c>
      <c r="D28" s="16" t="inlineStr">
        <is>
          <t>Broker</t>
        </is>
      </c>
      <c r="E28" s="17" t="inlineStr">
        <is>
          <t>Broker key users</t>
        </is>
      </c>
      <c r="F28" s="17" t="inlineStr">
        <is>
          <t>Filled sheets of the configuration kit</t>
        </is>
      </c>
      <c r="G28" s="17" t="inlineStr">
        <is>
          <t>M3</t>
        </is>
      </c>
      <c r="H28" s="18" t="n">
        <v>7</v>
      </c>
      <c r="I28" s="18" t="n">
        <v>1</v>
      </c>
      <c r="J28" s="18" t="n">
        <v>8</v>
      </c>
      <c r="K28" s="19">
        <f>WORKDAY($D$2,I28)</f>
        <v/>
      </c>
      <c r="L28" s="19">
        <f>IF(H28=0,K28,WORKDAY($D$2,J28-1))</f>
        <v/>
      </c>
      <c r="M28" s="18" t="n">
        <v>1</v>
      </c>
      <c r="N28" s="18" t="n">
        <v>2</v>
      </c>
      <c r="O28" s="18" t="n">
        <v>0</v>
      </c>
      <c r="P28" s="18" t="inlineStr">
        <is>
          <t>Yes</t>
        </is>
      </c>
      <c r="Q28" s="18" t="inlineStr">
        <is>
          <t>Go-live</t>
        </is>
      </c>
      <c r="R28" s="27" t="n"/>
      <c r="S28" s="27" t="n"/>
      <c r="T28" s="21" t="n"/>
      <c r="U28" s="21" t="n"/>
      <c r="V28" s="21" t="n"/>
      <c r="W28" s="21" t="n"/>
      <c r="X28" s="21" t="n"/>
      <c r="Y28" s="21" t="n"/>
      <c r="Z28" s="21" t="n"/>
      <c r="AA28" s="22" t="n"/>
      <c r="AB28" s="21" t="n"/>
      <c r="AC28" s="21" t="n"/>
    </row>
    <row r="29" ht="30" customHeight="1">
      <c r="A29" s="15" t="inlineStr">
        <is>
          <t>I2</t>
        </is>
      </c>
      <c r="B29" s="16" t="inlineStr">
        <is>
          <t>Client inputs</t>
        </is>
      </c>
      <c r="C29" s="17" t="inlineStr">
        <is>
          <t>Chart of accounts and the accountant's mapping decisions</t>
        </is>
      </c>
      <c r="D29" s="16" t="inlineStr">
        <is>
          <t>Broker</t>
        </is>
      </c>
      <c r="E29" s="17" t="inlineStr">
        <is>
          <t>Broker Accounting Manager</t>
        </is>
      </c>
      <c r="F29" s="17" t="inlineStr">
        <is>
          <t>Chart of Accounts sheet; mapping decisions</t>
        </is>
      </c>
      <c r="G29" s="17" t="inlineStr">
        <is>
          <t>M3</t>
        </is>
      </c>
      <c r="H29" s="18" t="n">
        <v>7</v>
      </c>
      <c r="I29" s="18" t="n">
        <v>1</v>
      </c>
      <c r="J29" s="18" t="n">
        <v>8</v>
      </c>
      <c r="K29" s="19">
        <f>WORKDAY($D$2,I29)</f>
        <v/>
      </c>
      <c r="L29" s="19">
        <f>IF(H29=0,K29,WORKDAY($D$2,J29-1))</f>
        <v/>
      </c>
      <c r="M29" s="18" t="n">
        <v>1</v>
      </c>
      <c r="N29" s="18" t="n">
        <v>2</v>
      </c>
      <c r="O29" s="18" t="n">
        <v>0</v>
      </c>
      <c r="P29" s="18" t="inlineStr">
        <is>
          <t>Yes</t>
        </is>
      </c>
      <c r="Q29" s="18" t="inlineStr">
        <is>
          <t>Go-live</t>
        </is>
      </c>
      <c r="R29" s="27" t="n"/>
      <c r="S29" s="27" t="n"/>
      <c r="T29" s="21" t="n"/>
      <c r="U29" s="21" t="n"/>
      <c r="V29" s="21" t="n"/>
      <c r="W29" s="21" t="n"/>
      <c r="X29" s="21" t="n"/>
      <c r="Y29" s="21" t="n"/>
      <c r="Z29" s="21" t="n"/>
      <c r="AA29" s="22" t="n"/>
      <c r="AB29" s="21" t="n"/>
      <c r="AC29" s="21" t="n"/>
    </row>
    <row r="30" ht="30" customHeight="1">
      <c r="A30" s="24" t="inlineStr">
        <is>
          <t>I5</t>
        </is>
      </c>
      <c r="B30" s="16" t="inlineStr">
        <is>
          <t>Client inputs</t>
        </is>
      </c>
      <c r="C30" s="17" t="inlineStr">
        <is>
          <t>Bank accounts, one statement export per account, bank contacts for payment files, payee bank accounts</t>
        </is>
      </c>
      <c r="D30" s="16" t="inlineStr">
        <is>
          <t>Broker</t>
        </is>
      </c>
      <c r="E30" s="17" t="inlineStr">
        <is>
          <t>Broker Accounting</t>
        </is>
      </c>
      <c r="F30" s="17" t="inlineStr">
        <is>
          <t>Statement samples; Payee Bank Accounts sheet</t>
        </is>
      </c>
      <c r="G30" s="17" t="inlineStr">
        <is>
          <t>M3</t>
        </is>
      </c>
      <c r="H30" s="18" t="n">
        <v>8</v>
      </c>
      <c r="I30" s="18" t="n">
        <v>1</v>
      </c>
      <c r="J30" s="18" t="n">
        <v>9</v>
      </c>
      <c r="K30" s="19">
        <f>WORKDAY($D$2,I30)</f>
        <v/>
      </c>
      <c r="L30" s="19">
        <f>IF(H30=0,K30,WORKDAY($D$2,J30-1))</f>
        <v/>
      </c>
      <c r="M30" s="18" t="n">
        <v>1</v>
      </c>
      <c r="N30" s="18" t="n">
        <v>2</v>
      </c>
      <c r="O30" s="18" t="n">
        <v>30</v>
      </c>
      <c r="P30" s="18" t="inlineStr"/>
      <c r="Q30" s="18" t="inlineStr">
        <is>
          <t>Feature only</t>
        </is>
      </c>
      <c r="R30" s="25" t="n"/>
      <c r="S30" s="25" t="n"/>
      <c r="T30" s="21" t="n"/>
      <c r="U30" s="21" t="n"/>
      <c r="V30" s="21" t="n"/>
      <c r="W30" s="21" t="n"/>
      <c r="X30" s="21" t="n"/>
      <c r="Y30" s="21" t="n"/>
      <c r="Z30" s="21" t="n"/>
      <c r="AA30" s="22" t="n"/>
      <c r="AB30" s="21" t="n"/>
      <c r="AC30" s="21" t="n"/>
    </row>
    <row r="31" ht="30" customHeight="1">
      <c r="A31" s="24" t="inlineStr">
        <is>
          <t>I7</t>
        </is>
      </c>
      <c r="B31" s="16" t="inlineStr">
        <is>
          <t>Client inputs</t>
        </is>
      </c>
      <c r="C31" s="17" t="inlineStr">
        <is>
          <t>COC number series from each insurer</t>
        </is>
      </c>
      <c r="D31" s="16" t="inlineStr">
        <is>
          <t>Broker</t>
        </is>
      </c>
      <c r="E31" s="17" t="inlineStr">
        <is>
          <t>Broker Operations</t>
        </is>
      </c>
      <c r="F31" s="17" t="inlineStr">
        <is>
          <t>COC Series sheet</t>
        </is>
      </c>
      <c r="G31" s="17" t="inlineStr">
        <is>
          <t>M3</t>
        </is>
      </c>
      <c r="H31" s="18" t="n">
        <v>8</v>
      </c>
      <c r="I31" s="18" t="n">
        <v>1</v>
      </c>
      <c r="J31" s="18" t="n">
        <v>9</v>
      </c>
      <c r="K31" s="19">
        <f>WORKDAY($D$2,I31)</f>
        <v/>
      </c>
      <c r="L31" s="19">
        <f>IF(H31=0,K31,WORKDAY($D$2,J31-1))</f>
        <v/>
      </c>
      <c r="M31" s="18" t="n">
        <v>1</v>
      </c>
      <c r="N31" s="18" t="n">
        <v>2</v>
      </c>
      <c r="O31" s="18" t="n"/>
      <c r="P31" s="18" t="inlineStr"/>
      <c r="Q31" s="18" t="inlineStr">
        <is>
          <t>Feature only</t>
        </is>
      </c>
      <c r="R31" s="25" t="n"/>
      <c r="S31" s="25" t="n"/>
      <c r="T31" s="21" t="n"/>
      <c r="U31" s="21" t="n"/>
      <c r="V31" s="21" t="n"/>
      <c r="W31" s="21" t="n"/>
      <c r="X31" s="21" t="n"/>
      <c r="Y31" s="21" t="n"/>
      <c r="Z31" s="21" t="n"/>
      <c r="AA31" s="22" t="n"/>
      <c r="AB31" s="21" t="n"/>
      <c r="AC31" s="21" t="n"/>
    </row>
    <row r="32" ht="30" customHeight="1">
      <c r="A32" s="24" t="inlineStr">
        <is>
          <t>I10</t>
        </is>
      </c>
      <c r="B32" s="16" t="inlineStr">
        <is>
          <t>Client inputs</t>
        </is>
      </c>
      <c r="C32" s="17" t="inlineStr">
        <is>
          <t>UAT testers and sign-off authority named</t>
        </is>
      </c>
      <c r="D32" s="16" t="inlineStr">
        <is>
          <t>Broker</t>
        </is>
      </c>
      <c r="E32" s="17" t="inlineStr">
        <is>
          <t>Broker PM</t>
        </is>
      </c>
      <c r="F32" s="17" t="inlineStr">
        <is>
          <t>UAT roster</t>
        </is>
      </c>
      <c r="G32" s="17" t="inlineStr">
        <is>
          <t>M4</t>
        </is>
      </c>
      <c r="H32" s="18" t="n">
        <v>2</v>
      </c>
      <c r="I32" s="18" t="n">
        <v>2</v>
      </c>
      <c r="J32" s="18" t="n">
        <v>4</v>
      </c>
      <c r="K32" s="19">
        <f>WORKDAY($D$2,I32)</f>
        <v/>
      </c>
      <c r="L32" s="19">
        <f>IF(H32=0,K32,WORKDAY($D$2,J32-1))</f>
        <v/>
      </c>
      <c r="M32" s="18" t="n">
        <v>1</v>
      </c>
      <c r="N32" s="18" t="n">
        <v>1</v>
      </c>
      <c r="O32" s="18" t="n">
        <v>31</v>
      </c>
      <c r="P32" s="18" t="inlineStr"/>
      <c r="Q32" s="18" t="inlineStr">
        <is>
          <t>Go-live</t>
        </is>
      </c>
      <c r="R32" s="25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2" t="n"/>
      <c r="AB32" s="21" t="n"/>
      <c r="AC32" s="21" t="n"/>
    </row>
    <row r="33" ht="30" customHeight="1">
      <c r="A33" s="24" t="inlineStr">
        <is>
          <t>I9</t>
        </is>
      </c>
      <c r="B33" s="16" t="inlineStr">
        <is>
          <t>Client inputs</t>
        </is>
      </c>
      <c r="C33" s="17" t="inlineStr">
        <is>
          <t>Training rooms, devices and attendance list</t>
        </is>
      </c>
      <c r="D33" s="16" t="inlineStr">
        <is>
          <t>Broker</t>
        </is>
      </c>
      <c r="E33" s="17" t="inlineStr">
        <is>
          <t>Broker PM</t>
        </is>
      </c>
      <c r="F33" s="17" t="inlineStr">
        <is>
          <t>Training schedule</t>
        </is>
      </c>
      <c r="G33" s="17" t="inlineStr">
        <is>
          <t>M4</t>
        </is>
      </c>
      <c r="H33" s="18" t="n">
        <v>5</v>
      </c>
      <c r="I33" s="18" t="n">
        <v>2</v>
      </c>
      <c r="J33" s="18" t="n">
        <v>7</v>
      </c>
      <c r="K33" s="19">
        <f>WORKDAY($D$2,I33)</f>
        <v/>
      </c>
      <c r="L33" s="19">
        <f>IF(H33=0,K33,WORKDAY($D$2,J33-1))</f>
        <v/>
      </c>
      <c r="M33" s="18" t="n">
        <v>1</v>
      </c>
      <c r="N33" s="18" t="n">
        <v>2</v>
      </c>
      <c r="O33" s="18" t="n">
        <v>28</v>
      </c>
      <c r="P33" s="18" t="inlineStr"/>
      <c r="Q33" s="18" t="inlineStr">
        <is>
          <t>Go-live</t>
        </is>
      </c>
      <c r="R33" s="25" t="n"/>
      <c r="S33" s="25" t="n"/>
      <c r="T33" s="21" t="n"/>
      <c r="U33" s="21" t="n"/>
      <c r="V33" s="21" t="n"/>
      <c r="W33" s="21" t="n"/>
      <c r="X33" s="21" t="n"/>
      <c r="Y33" s="21" t="n"/>
      <c r="Z33" s="21" t="n"/>
      <c r="AA33" s="22" t="n"/>
      <c r="AB33" s="21" t="n"/>
      <c r="AC33" s="21" t="n"/>
    </row>
    <row r="34" ht="30" customHeight="1">
      <c r="A34" s="24" t="inlineStr">
        <is>
          <t>I8</t>
        </is>
      </c>
      <c r="B34" s="16" t="inlineStr">
        <is>
          <t>Client inputs</t>
        </is>
      </c>
      <c r="C34" s="17" t="inlineStr">
        <is>
          <t>Logo, sign-in picture, signatories with e-signature consent</t>
        </is>
      </c>
      <c r="D34" s="16" t="inlineStr">
        <is>
          <t>Broker</t>
        </is>
      </c>
      <c r="E34" s="17" t="inlineStr">
        <is>
          <t>Broker marketing and signatories</t>
        </is>
      </c>
      <c r="F34" s="17" t="inlineStr">
        <is>
          <t>Images; consents on file</t>
        </is>
      </c>
      <c r="G34" s="17" t="inlineStr">
        <is>
          <t>D4</t>
        </is>
      </c>
      <c r="H34" s="18" t="n">
        <v>5</v>
      </c>
      <c r="I34" s="18" t="n">
        <v>3</v>
      </c>
      <c r="J34" s="18" t="n">
        <v>8</v>
      </c>
      <c r="K34" s="19">
        <f>WORKDAY($D$2,I34)</f>
        <v/>
      </c>
      <c r="L34" s="19">
        <f>IF(H34=0,K34,WORKDAY($D$2,J34-1))</f>
        <v/>
      </c>
      <c r="M34" s="18" t="n">
        <v>1</v>
      </c>
      <c r="N34" s="18" t="n">
        <v>2</v>
      </c>
      <c r="O34" s="18" t="n">
        <v>18</v>
      </c>
      <c r="P34" s="18" t="inlineStr"/>
      <c r="Q34" s="18" t="inlineStr">
        <is>
          <t>Go-live</t>
        </is>
      </c>
      <c r="R34" s="25" t="n"/>
      <c r="S34" s="25" t="n"/>
      <c r="T34" s="21" t="n"/>
      <c r="U34" s="21" t="n"/>
      <c r="V34" s="21" t="n"/>
      <c r="W34" s="21" t="n"/>
      <c r="X34" s="21" t="n"/>
      <c r="Y34" s="21" t="n"/>
      <c r="Z34" s="21" t="n"/>
      <c r="AA34" s="22" t="n"/>
      <c r="AB34" s="21" t="n"/>
      <c r="AC34" s="21" t="n"/>
    </row>
    <row r="35" ht="40" customHeight="1">
      <c r="A35" s="24" t="inlineStr">
        <is>
          <t>I6</t>
        </is>
      </c>
      <c r="B35" s="16" t="inlineStr">
        <is>
          <t>Client inputs</t>
        </is>
      </c>
      <c r="C35" s="17" t="inlineStr">
        <is>
          <t>Partner contracts and credentials: SMS provider, CTPL authentication provider, payment gateway, insurer API access</t>
        </is>
      </c>
      <c r="D35" s="16" t="inlineStr">
        <is>
          <t>Broker</t>
        </is>
      </c>
      <c r="E35" s="17" t="inlineStr">
        <is>
          <t>Broker IT head and sponsor</t>
        </is>
      </c>
      <c r="F35" s="17" t="inlineStr">
        <is>
          <t>Signed contracts; credentials in the secret store</t>
        </is>
      </c>
      <c r="G35" s="17" t="inlineStr">
        <is>
          <t>D3</t>
        </is>
      </c>
      <c r="H35" s="18" t="n">
        <v>10</v>
      </c>
      <c r="I35" s="18" t="n">
        <v>4</v>
      </c>
      <c r="J35" s="18" t="n">
        <v>14</v>
      </c>
      <c r="K35" s="19">
        <f>WORKDAY($D$2,I35)</f>
        <v/>
      </c>
      <c r="L35" s="19">
        <f>IF(H35=0,K35,WORKDAY($D$2,J35-1))</f>
        <v/>
      </c>
      <c r="M35" s="18" t="n">
        <v>1</v>
      </c>
      <c r="N35" s="18" t="n">
        <v>3</v>
      </c>
      <c r="O35" s="18" t="n"/>
      <c r="P35" s="18" t="inlineStr"/>
      <c r="Q35" s="18" t="inlineStr">
        <is>
          <t>Feature only</t>
        </is>
      </c>
      <c r="R35" s="25" t="n"/>
      <c r="S35" s="25" t="n"/>
      <c r="T35" s="25" t="n"/>
      <c r="U35" s="21" t="n"/>
      <c r="V35" s="21" t="n"/>
      <c r="W35" s="21" t="n"/>
      <c r="X35" s="21" t="n"/>
      <c r="Y35" s="21" t="n"/>
      <c r="Z35" s="21" t="n"/>
      <c r="AA35" s="22" t="n"/>
      <c r="AB35" s="21" t="n"/>
      <c r="AC35" s="21" t="n"/>
    </row>
    <row r="36">
      <c r="A36" s="13" t="inlineStr">
        <is>
          <t>Regulatory registrations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 ht="30" customHeight="1">
      <c r="A37" s="24" t="inlineStr">
        <is>
          <t>R3</t>
        </is>
      </c>
      <c r="B37" s="16" t="inlineStr">
        <is>
          <t>Regulatory registrations</t>
        </is>
      </c>
      <c r="C37" s="17" t="inlineStr">
        <is>
          <t>AMLC: registration of the broker as covered person, portal access, institution code</t>
        </is>
      </c>
      <c r="D37" s="16" t="inlineStr">
        <is>
          <t>Broker</t>
        </is>
      </c>
      <c r="E37" s="17" t="inlineStr">
        <is>
          <t>Broker compliance officer</t>
        </is>
      </c>
      <c r="F37" s="17" t="inlineStr">
        <is>
          <t>Portal access; aml.amlc_institution_code</t>
        </is>
      </c>
      <c r="G37" s="17" t="inlineStr">
        <is>
          <t>M1</t>
        </is>
      </c>
      <c r="H37" s="18" t="n">
        <v>20</v>
      </c>
      <c r="I37" s="18" t="n">
        <v>0</v>
      </c>
      <c r="J37" s="18" t="n">
        <v>20</v>
      </c>
      <c r="K37" s="19">
        <f>WORKDAY($D$2,I37)</f>
        <v/>
      </c>
      <c r="L37" s="19">
        <f>IF(H37=0,K37,WORKDAY($D$2,J37-1))</f>
        <v/>
      </c>
      <c r="M37" s="18" t="n">
        <v>1</v>
      </c>
      <c r="N37" s="18" t="n">
        <v>4</v>
      </c>
      <c r="O37" s="18" t="n">
        <v>22</v>
      </c>
      <c r="P37" s="18" t="inlineStr"/>
      <c r="Q37" s="18" t="inlineStr">
        <is>
          <t>Go-live</t>
        </is>
      </c>
      <c r="R37" s="25" t="n"/>
      <c r="S37" s="25" t="n"/>
      <c r="T37" s="25" t="n"/>
      <c r="U37" s="25" t="n"/>
      <c r="V37" s="21" t="n"/>
      <c r="W37" s="21" t="n"/>
      <c r="X37" s="21" t="n"/>
      <c r="Y37" s="21" t="n"/>
      <c r="Z37" s="21" t="n"/>
      <c r="AA37" s="22" t="n"/>
      <c r="AB37" s="21" t="n"/>
      <c r="AC37" s="21" t="n"/>
    </row>
    <row r="38" ht="40" customHeight="1">
      <c r="A38" s="24" t="inlineStr">
        <is>
          <t>R1</t>
        </is>
      </c>
      <c r="B38" s="16" t="inlineStr">
        <is>
          <t>Regulatory registrations</t>
        </is>
      </c>
      <c r="C38" s="17" t="inlineStr">
        <is>
          <t>BIR: Authority to Print or CAS registration and the invoice serial range confirmed (new or existing); last numbers used</t>
        </is>
      </c>
      <c r="D38" s="16" t="inlineStr">
        <is>
          <t>Broker</t>
        </is>
      </c>
      <c r="E38" s="17" t="inlineStr">
        <is>
          <t>Broker Accounting Manager with the tax adviser</t>
        </is>
      </c>
      <c r="F38" s="17" t="inlineStr">
        <is>
          <t>ATP or CAS acknowledgement; invoice.* settings</t>
        </is>
      </c>
      <c r="G38" s="17" t="inlineStr">
        <is>
          <t>M1</t>
        </is>
      </c>
      <c r="H38" s="18" t="n">
        <v>25</v>
      </c>
      <c r="I38" s="18" t="n">
        <v>0</v>
      </c>
      <c r="J38" s="18" t="n">
        <v>25</v>
      </c>
      <c r="K38" s="19">
        <f>WORKDAY($D$2,I38)</f>
        <v/>
      </c>
      <c r="L38" s="19">
        <f>IF(H38=0,K38,WORKDAY($D$2,J38-1))</f>
        <v/>
      </c>
      <c r="M38" s="18" t="n">
        <v>1</v>
      </c>
      <c r="N38" s="18" t="n">
        <v>5</v>
      </c>
      <c r="O38" s="18" t="n">
        <v>12</v>
      </c>
      <c r="P38" s="18" t="inlineStr"/>
      <c r="Q38" s="18" t="inlineStr">
        <is>
          <t>Go-live</t>
        </is>
      </c>
      <c r="R38" s="25" t="n"/>
      <c r="S38" s="25" t="n"/>
      <c r="T38" s="25" t="n"/>
      <c r="U38" s="25" t="n"/>
      <c r="V38" s="25" t="n"/>
      <c r="W38" s="21" t="n"/>
      <c r="X38" s="21" t="n"/>
      <c r="Y38" s="21" t="n"/>
      <c r="Z38" s="21" t="n"/>
      <c r="AA38" s="22" t="n"/>
      <c r="AB38" s="21" t="n"/>
      <c r="AC38" s="21" t="n"/>
    </row>
    <row r="39" ht="30" customHeight="1">
      <c r="A39" s="24" t="inlineStr">
        <is>
          <t>R5</t>
        </is>
      </c>
      <c r="B39" s="16" t="inlineStr">
        <is>
          <t>Regulatory registrations</t>
        </is>
      </c>
      <c r="C39" s="17" t="inlineStr">
        <is>
          <t>NPC: registration of the DPO and the data processing systems confirmed; privacy notice version</t>
        </is>
      </c>
      <c r="D39" s="16" t="inlineStr">
        <is>
          <t>Broker</t>
        </is>
      </c>
      <c r="E39" s="17" t="inlineStr">
        <is>
          <t>Broker DPO</t>
        </is>
      </c>
      <c r="F39" s="17" t="inlineStr">
        <is>
          <t>NPC registration; privacy.notice_version</t>
        </is>
      </c>
      <c r="G39" s="17" t="inlineStr">
        <is>
          <t>M1</t>
        </is>
      </c>
      <c r="H39" s="18" t="n">
        <v>25</v>
      </c>
      <c r="I39" s="18" t="n">
        <v>0</v>
      </c>
      <c r="J39" s="18" t="n">
        <v>25</v>
      </c>
      <c r="K39" s="19">
        <f>WORKDAY($D$2,I39)</f>
        <v/>
      </c>
      <c r="L39" s="19">
        <f>IF(H39=0,K39,WORKDAY($D$2,J39-1))</f>
        <v/>
      </c>
      <c r="M39" s="18" t="n">
        <v>1</v>
      </c>
      <c r="N39" s="18" t="n">
        <v>5</v>
      </c>
      <c r="O39" s="18" t="n">
        <v>18</v>
      </c>
      <c r="P39" s="18" t="inlineStr"/>
      <c r="Q39" s="18" t="inlineStr">
        <is>
          <t>Go-live</t>
        </is>
      </c>
      <c r="R39" s="25" t="n"/>
      <c r="S39" s="25" t="n"/>
      <c r="T39" s="25" t="n"/>
      <c r="U39" s="25" t="n"/>
      <c r="V39" s="25" t="n"/>
      <c r="W39" s="21" t="n"/>
      <c r="X39" s="21" t="n"/>
      <c r="Y39" s="21" t="n"/>
      <c r="Z39" s="21" t="n"/>
      <c r="AA39" s="22" t="n"/>
      <c r="AB39" s="21" t="n"/>
      <c r="AC39" s="21" t="n"/>
    </row>
    <row r="40" ht="30" customHeight="1">
      <c r="A40" s="24" t="inlineStr">
        <is>
          <t>R2</t>
        </is>
      </c>
      <c r="B40" s="16" t="inlineStr">
        <is>
          <t>Regulatory registrations</t>
        </is>
      </c>
      <c r="C40" s="17" t="inlineStr">
        <is>
          <t>BIR: EIS enrolment and certification (when the broker is covered)</t>
        </is>
      </c>
      <c r="D40" s="16" t="inlineStr">
        <is>
          <t>Broker</t>
        </is>
      </c>
      <c r="E40" s="17" t="inlineStr">
        <is>
          <t>Broker Accounting Manager</t>
        </is>
      </c>
      <c r="F40" s="17" t="inlineStr">
        <is>
          <t>EIS accreditation id and credentials</t>
        </is>
      </c>
      <c r="G40" s="17" t="inlineStr">
        <is>
          <t>M1</t>
        </is>
      </c>
      <c r="H40" s="18" t="n">
        <v>30</v>
      </c>
      <c r="I40" s="18" t="n">
        <v>0</v>
      </c>
      <c r="J40" s="18" t="n">
        <v>30</v>
      </c>
      <c r="K40" s="19">
        <f>WORKDAY($D$2,I40)</f>
        <v/>
      </c>
      <c r="L40" s="19">
        <f>IF(H40=0,K40,WORKDAY($D$2,J40-1))</f>
        <v/>
      </c>
      <c r="M40" s="18" t="n">
        <v>1</v>
      </c>
      <c r="N40" s="18" t="n">
        <v>6</v>
      </c>
      <c r="O40" s="18" t="n"/>
      <c r="P40" s="18" t="inlineStr"/>
      <c r="Q40" s="18" t="inlineStr">
        <is>
          <t>Feature only</t>
        </is>
      </c>
      <c r="R40" s="25" t="n"/>
      <c r="S40" s="25" t="n"/>
      <c r="T40" s="25" t="n"/>
      <c r="U40" s="25" t="n"/>
      <c r="V40" s="25" t="n"/>
      <c r="W40" s="25" t="n"/>
      <c r="X40" s="21" t="n"/>
      <c r="Y40" s="21" t="n"/>
      <c r="Z40" s="21" t="n"/>
      <c r="AA40" s="22" t="n"/>
      <c r="AB40" s="21" t="n"/>
      <c r="AC40" s="21" t="n"/>
    </row>
    <row r="41" ht="30" customHeight="1">
      <c r="A41" s="24" t="inlineStr">
        <is>
          <t>R4</t>
        </is>
      </c>
      <c r="B41" s="16" t="inlineStr">
        <is>
          <t>Regulatory registrations</t>
        </is>
      </c>
      <c r="C41" s="17" t="inlineStr">
        <is>
          <t>IC: licence data of the firm, officers and agents; certificates of authority of the insurers</t>
        </is>
      </c>
      <c r="D41" s="16" t="inlineStr">
        <is>
          <t>Broker</t>
        </is>
      </c>
      <c r="E41" s="17" t="inlineStr">
        <is>
          <t>Broker compliance officer</t>
        </is>
      </c>
      <c r="F41" s="17" t="inlineStr">
        <is>
          <t>Licence copies; certificate numbers and validity</t>
        </is>
      </c>
      <c r="G41" s="17" t="inlineStr">
        <is>
          <t>M4</t>
        </is>
      </c>
      <c r="H41" s="18" t="n">
        <v>8</v>
      </c>
      <c r="I41" s="18" t="n">
        <v>2</v>
      </c>
      <c r="J41" s="18" t="n">
        <v>10</v>
      </c>
      <c r="K41" s="19">
        <f>WORKDAY($D$2,I41)</f>
        <v/>
      </c>
      <c r="L41" s="19">
        <f>IF(H41=0,K41,WORKDAY($D$2,J41-1))</f>
        <v/>
      </c>
      <c r="M41" s="18" t="n">
        <v>1</v>
      </c>
      <c r="N41" s="18" t="n">
        <v>2</v>
      </c>
      <c r="O41" s="18" t="n">
        <v>14</v>
      </c>
      <c r="P41" s="18" t="inlineStr"/>
      <c r="Q41" s="18" t="inlineStr">
        <is>
          <t>Go-live</t>
        </is>
      </c>
      <c r="R41" s="25" t="n"/>
      <c r="S41" s="25" t="n"/>
      <c r="T41" s="21" t="n"/>
      <c r="U41" s="21" t="n"/>
      <c r="V41" s="21" t="n"/>
      <c r="W41" s="21" t="n"/>
      <c r="X41" s="21" t="n"/>
      <c r="Y41" s="21" t="n"/>
      <c r="Z41" s="21" t="n"/>
      <c r="AA41" s="22" t="n"/>
      <c r="AB41" s="21" t="n"/>
      <c r="AC41" s="21" t="n"/>
    </row>
    <row r="42" ht="40" customHeight="1">
      <c r="A42" s="24" t="inlineStr">
        <is>
          <t>R8</t>
        </is>
      </c>
      <c r="B42" s="16" t="inlineStr">
        <is>
          <t>Regulatory registrations</t>
        </is>
      </c>
      <c r="C42" s="17" t="inlineStr">
        <is>
          <t>Contract reference covering the use of the client's marks on the engagement file (client brand pack only)</t>
        </is>
      </c>
      <c r="D42" s="16" t="inlineStr">
        <is>
          <t>Broker</t>
        </is>
      </c>
      <c r="E42" s="17" t="inlineStr">
        <is>
          <t>Broker sponsor</t>
        </is>
      </c>
      <c r="F42" s="17" t="inlineStr">
        <is>
          <t>Contract reference on the engagement file</t>
        </is>
      </c>
      <c r="G42" s="17" t="inlineStr">
        <is>
          <t>D4</t>
        </is>
      </c>
      <c r="H42" s="18" t="n">
        <v>5</v>
      </c>
      <c r="I42" s="18" t="n">
        <v>3</v>
      </c>
      <c r="J42" s="18" t="n">
        <v>8</v>
      </c>
      <c r="K42" s="19">
        <f>WORKDAY($D$2,I42)</f>
        <v/>
      </c>
      <c r="L42" s="19">
        <f>IF(H42=0,K42,WORKDAY($D$2,J42-1))</f>
        <v/>
      </c>
      <c r="M42" s="18" t="n">
        <v>1</v>
      </c>
      <c r="N42" s="18" t="n">
        <v>2</v>
      </c>
      <c r="O42" s="18" t="n"/>
      <c r="P42" s="18" t="inlineStr"/>
      <c r="Q42" s="18" t="inlineStr">
        <is>
          <t>Feature only</t>
        </is>
      </c>
      <c r="R42" s="25" t="n"/>
      <c r="S42" s="25" t="n"/>
      <c r="T42" s="21" t="n"/>
      <c r="U42" s="21" t="n"/>
      <c r="V42" s="21" t="n"/>
      <c r="W42" s="21" t="n"/>
      <c r="X42" s="21" t="n"/>
      <c r="Y42" s="21" t="n"/>
      <c r="Z42" s="21" t="n"/>
      <c r="AA42" s="22" t="n"/>
      <c r="AB42" s="21" t="n"/>
      <c r="AC42" s="21" t="n"/>
    </row>
    <row r="43" ht="30" customHeight="1">
      <c r="A43" s="24" t="inlineStr">
        <is>
          <t>R7</t>
        </is>
      </c>
      <c r="B43" s="16" t="inlineStr">
        <is>
          <t>Regulatory registrations</t>
        </is>
      </c>
      <c r="C43" s="17" t="inlineStr">
        <is>
          <t>Screening lists: UN and AMLC lists obtained; PEP list licence from a provider (when used)</t>
        </is>
      </c>
      <c r="D43" s="16" t="inlineStr">
        <is>
          <t>Broker</t>
        </is>
      </c>
      <c r="E43" s="17" t="inlineStr">
        <is>
          <t>Broker compliance officer</t>
        </is>
      </c>
      <c r="F43" s="17" t="inlineStr">
        <is>
          <t>List files and licence</t>
        </is>
      </c>
      <c r="G43" s="17" t="inlineStr">
        <is>
          <t>D2</t>
        </is>
      </c>
      <c r="H43" s="18" t="n">
        <v>12</v>
      </c>
      <c r="I43" s="18" t="n">
        <v>4</v>
      </c>
      <c r="J43" s="18" t="n">
        <v>16</v>
      </c>
      <c r="K43" s="19">
        <f>WORKDAY($D$2,I43)</f>
        <v/>
      </c>
      <c r="L43" s="19">
        <f>IF(H43=0,K43,WORKDAY($D$2,J43-1))</f>
        <v/>
      </c>
      <c r="M43" s="18" t="n">
        <v>1</v>
      </c>
      <c r="N43" s="18" t="n">
        <v>4</v>
      </c>
      <c r="O43" s="18" t="n">
        <v>26</v>
      </c>
      <c r="P43" s="18" t="inlineStr"/>
      <c r="Q43" s="18" t="inlineStr">
        <is>
          <t>Go-live</t>
        </is>
      </c>
      <c r="R43" s="25" t="n"/>
      <c r="S43" s="25" t="n"/>
      <c r="T43" s="25" t="n"/>
      <c r="U43" s="25" t="n"/>
      <c r="V43" s="21" t="n"/>
      <c r="W43" s="21" t="n"/>
      <c r="X43" s="21" t="n"/>
      <c r="Y43" s="21" t="n"/>
      <c r="Z43" s="21" t="n"/>
      <c r="AA43" s="22" t="n"/>
      <c r="AB43" s="21" t="n"/>
      <c r="AC43" s="21" t="n"/>
    </row>
    <row r="44" ht="40" customHeight="1">
      <c r="A44" s="24" t="inlineStr">
        <is>
          <t>R6</t>
        </is>
      </c>
      <c r="B44" s="16" t="inlineStr">
        <is>
          <t>Regulatory registrations</t>
        </is>
      </c>
      <c r="C44" s="17" t="inlineStr">
        <is>
          <t>Tax adviser confirmation: tax codes, ATC, rates, invoice and receipt wording, VAT treatment of commission</t>
        </is>
      </c>
      <c r="D44" s="16" t="inlineStr">
        <is>
          <t>Broker</t>
        </is>
      </c>
      <c r="E44" s="17" t="inlineStr">
        <is>
          <t>Broker tax adviser</t>
        </is>
      </c>
      <c r="F44" s="17" t="inlineStr">
        <is>
          <t>Written confirmation</t>
        </is>
      </c>
      <c r="G44" s="17" t="inlineStr">
        <is>
          <t>C3SS+5d</t>
        </is>
      </c>
      <c r="H44" s="18" t="n">
        <v>5</v>
      </c>
      <c r="I44" s="18" t="n">
        <v>24</v>
      </c>
      <c r="J44" s="18" t="n">
        <v>29</v>
      </c>
      <c r="K44" s="19">
        <f>WORKDAY($D$2,I44)</f>
        <v/>
      </c>
      <c r="L44" s="19">
        <f>IF(H44=0,K44,WORKDAY($D$2,J44-1))</f>
        <v/>
      </c>
      <c r="M44" s="18" t="n">
        <v>5</v>
      </c>
      <c r="N44" s="18" t="n">
        <v>6</v>
      </c>
      <c r="O44" s="18" t="n">
        <v>14</v>
      </c>
      <c r="P44" s="18" t="inlineStr"/>
      <c r="Q44" s="18" t="inlineStr">
        <is>
          <t>Go-live</t>
        </is>
      </c>
      <c r="R44" s="21" t="n"/>
      <c r="S44" s="21" t="n"/>
      <c r="T44" s="21" t="n"/>
      <c r="U44" s="21" t="n"/>
      <c r="V44" s="25" t="n"/>
      <c r="W44" s="25" t="n"/>
      <c r="X44" s="21" t="n"/>
      <c r="Y44" s="21" t="n"/>
      <c r="Z44" s="21" t="n"/>
      <c r="AA44" s="22" t="n"/>
      <c r="AB44" s="21" t="n"/>
      <c r="AC44" s="21" t="n"/>
    </row>
    <row r="45">
      <c r="A45" s="13" t="inlineStr">
        <is>
          <t>Configuration (go-live configuration kit)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 ht="52" customHeight="1">
      <c r="A46" s="15" t="inlineStr">
        <is>
          <t>C1</t>
        </is>
      </c>
      <c r="B46" s="16" t="inlineStr">
        <is>
          <t>Configuration (go-live configuration kit)</t>
        </is>
      </c>
      <c r="C46" s="17" t="inlineStr">
        <is>
          <t>Configuration kit filled: company, settings, PSGC addresses, branches, users, chart of accounts, banks, insurers, products, commission, taxes, authority limits, numbering</t>
        </is>
      </c>
      <c r="D46" s="16" t="inlineStr">
        <is>
          <t>Broker</t>
        </is>
      </c>
      <c r="E46" s="17" t="inlineStr">
        <is>
          <t>Broker key users with iorta TechNXT consultants</t>
        </is>
      </c>
      <c r="F46" s="17" t="inlineStr">
        <is>
          <t>Filled configuration workbook</t>
        </is>
      </c>
      <c r="G46" s="17" t="inlineStr">
        <is>
          <t>D1SS+5d, I1, I2, I3</t>
        </is>
      </c>
      <c r="H46" s="18" t="n">
        <v>8</v>
      </c>
      <c r="I46" s="18" t="n">
        <v>8</v>
      </c>
      <c r="J46" s="18" t="n">
        <v>16</v>
      </c>
      <c r="K46" s="19">
        <f>WORKDAY($D$2,I46)</f>
        <v/>
      </c>
      <c r="L46" s="19">
        <f>IF(H46=0,K46,WORKDAY($D$2,J46-1))</f>
        <v/>
      </c>
      <c r="M46" s="18" t="n">
        <v>2</v>
      </c>
      <c r="N46" s="18" t="n">
        <v>4</v>
      </c>
      <c r="O46" s="18" t="n">
        <v>0</v>
      </c>
      <c r="P46" s="18" t="inlineStr">
        <is>
          <t>Yes</t>
        </is>
      </c>
      <c r="Q46" s="18" t="inlineStr">
        <is>
          <t>Go-live</t>
        </is>
      </c>
      <c r="R46" s="21" t="n"/>
      <c r="S46" s="27" t="n"/>
      <c r="T46" s="27" t="n"/>
      <c r="U46" s="27" t="n"/>
      <c r="V46" s="21" t="n"/>
      <c r="W46" s="21" t="n"/>
      <c r="X46" s="21" t="n"/>
      <c r="Y46" s="21" t="n"/>
      <c r="Z46" s="21" t="n"/>
      <c r="AA46" s="22" t="n"/>
      <c r="AB46" s="21" t="n"/>
      <c r="AC46" s="21" t="n"/>
    </row>
    <row r="47" ht="40" customHeight="1">
      <c r="A47" s="15" t="inlineStr">
        <is>
          <t>C2</t>
        </is>
      </c>
      <c r="B47" s="16" t="inlineStr">
        <is>
          <t>Configuration (go-live configuration kit)</t>
        </is>
      </c>
      <c r="C47" s="17" t="inlineStr">
        <is>
          <t>Configuration kit uploaded, validated, errors workbook corrected and loaded in Dev (small, medium) or SIT (large, enterprise)</t>
        </is>
      </c>
      <c r="D47" s="16" t="inlineStr">
        <is>
          <t>iorta TechNXT</t>
        </is>
      </c>
      <c r="E47" s="17" t="inlineStr">
        <is>
          <t>iorta TechNXT consultant</t>
        </is>
      </c>
      <c r="F47" s="17" t="inlineStr">
        <is>
          <t>Batch Loaded; load history</t>
        </is>
      </c>
      <c r="G47" s="17" t="inlineStr">
        <is>
          <t>C1, E6</t>
        </is>
      </c>
      <c r="H47" s="18" t="n">
        <v>3</v>
      </c>
      <c r="I47" s="18" t="n">
        <v>16</v>
      </c>
      <c r="J47" s="18" t="n">
        <v>19</v>
      </c>
      <c r="K47" s="19">
        <f>WORKDAY($D$2,I47)</f>
        <v/>
      </c>
      <c r="L47" s="19">
        <f>IF(H47=0,K47,WORKDAY($D$2,J47-1))</f>
        <v/>
      </c>
      <c r="M47" s="18" t="n">
        <v>4</v>
      </c>
      <c r="N47" s="18" t="n">
        <v>4</v>
      </c>
      <c r="O47" s="18" t="n">
        <v>0</v>
      </c>
      <c r="P47" s="18" t="inlineStr">
        <is>
          <t>Yes</t>
        </is>
      </c>
      <c r="Q47" s="18" t="inlineStr">
        <is>
          <t>Go-live</t>
        </is>
      </c>
      <c r="R47" s="21" t="n"/>
      <c r="S47" s="21" t="n"/>
      <c r="T47" s="21" t="n"/>
      <c r="U47" s="23" t="n"/>
      <c r="V47" s="21" t="n"/>
      <c r="W47" s="21" t="n"/>
      <c r="X47" s="21" t="n"/>
      <c r="Y47" s="21" t="n"/>
      <c r="Z47" s="21" t="n"/>
      <c r="AA47" s="22" t="n"/>
      <c r="AB47" s="21" t="n"/>
      <c r="AC47" s="21" t="n"/>
    </row>
    <row r="48" ht="30" customHeight="1">
      <c r="A48" s="24" t="inlineStr">
        <is>
          <t>C4</t>
        </is>
      </c>
      <c r="B48" s="16" t="inlineStr">
        <is>
          <t>Configuration (go-live configuration kit)</t>
        </is>
      </c>
      <c r="C48" s="17" t="inlineStr">
        <is>
          <t>Configuration promoted to UAT for the first mock load (Current data workbook)</t>
        </is>
      </c>
      <c r="D48" s="16" t="inlineStr">
        <is>
          <t>iorta TechNXT</t>
        </is>
      </c>
      <c r="E48" s="17" t="inlineStr">
        <is>
          <t>iorta TechNXT consultant</t>
        </is>
      </c>
      <c r="F48" s="17" t="inlineStr">
        <is>
          <t>Load history in UAT</t>
        </is>
      </c>
      <c r="G48" s="17" t="inlineStr">
        <is>
          <t>C2</t>
        </is>
      </c>
      <c r="H48" s="18" t="n">
        <v>1</v>
      </c>
      <c r="I48" s="18" t="n">
        <v>19</v>
      </c>
      <c r="J48" s="18" t="n">
        <v>20</v>
      </c>
      <c r="K48" s="19">
        <f>WORKDAY($D$2,I48)</f>
        <v/>
      </c>
      <c r="L48" s="19">
        <f>IF(H48=0,K48,WORKDAY($D$2,J48-1))</f>
        <v/>
      </c>
      <c r="M48" s="18" t="n">
        <v>4</v>
      </c>
      <c r="N48" s="18" t="n">
        <v>4</v>
      </c>
      <c r="O48" s="18" t="n">
        <v>13</v>
      </c>
      <c r="P48" s="18" t="inlineStr"/>
      <c r="Q48" s="18" t="inlineStr">
        <is>
          <t>Go-live</t>
        </is>
      </c>
      <c r="R48" s="21" t="n"/>
      <c r="S48" s="21" t="n"/>
      <c r="T48" s="21" t="n"/>
      <c r="U48" s="26" t="n"/>
      <c r="V48" s="21" t="n"/>
      <c r="W48" s="21" t="n"/>
      <c r="X48" s="21" t="n"/>
      <c r="Y48" s="21" t="n"/>
      <c r="Z48" s="21" t="n"/>
      <c r="AA48" s="22" t="n"/>
      <c r="AB48" s="21" t="n"/>
      <c r="AC48" s="21" t="n"/>
    </row>
    <row r="49" ht="52" customHeight="1">
      <c r="A49" s="15" t="inlineStr">
        <is>
          <t>C3</t>
        </is>
      </c>
      <c r="B49" s="16" t="inlineStr">
        <is>
          <t>Configuration (go-live configuration kit)</t>
        </is>
      </c>
      <c r="C49" s="17" t="inlineStr">
        <is>
          <t>On-screen configuration: Product Configurator (templates, rating factors, acceptance rules, document templates, market mapping), tax codes, posting rules, approvals, roles, schedules</t>
        </is>
      </c>
      <c r="D49" s="16" t="inlineStr">
        <is>
          <t>iorta TechNXT</t>
        </is>
      </c>
      <c r="E49" s="17" t="inlineStr">
        <is>
          <t>iorta TechNXT consultants</t>
        </is>
      </c>
      <c r="F49" s="17" t="inlineStr">
        <is>
          <t>Configuration workbook updated with the values set</t>
        </is>
      </c>
      <c r="G49" s="17" t="inlineStr">
        <is>
          <t>C2, D5</t>
        </is>
      </c>
      <c r="H49" s="18" t="n">
        <v>11</v>
      </c>
      <c r="I49" s="18" t="n">
        <v>19</v>
      </c>
      <c r="J49" s="18" t="n">
        <v>30</v>
      </c>
      <c r="K49" s="19">
        <f>WORKDAY($D$2,I49)</f>
        <v/>
      </c>
      <c r="L49" s="19">
        <f>IF(H49=0,K49,WORKDAY($D$2,J49-1))</f>
        <v/>
      </c>
      <c r="M49" s="18" t="n">
        <v>4</v>
      </c>
      <c r="N49" s="18" t="n">
        <v>6</v>
      </c>
      <c r="O49" s="18" t="n">
        <v>0</v>
      </c>
      <c r="P49" s="18" t="inlineStr">
        <is>
          <t>Yes</t>
        </is>
      </c>
      <c r="Q49" s="18" t="inlineStr">
        <is>
          <t>Go-live</t>
        </is>
      </c>
      <c r="R49" s="21" t="n"/>
      <c r="S49" s="21" t="n"/>
      <c r="T49" s="21" t="n"/>
      <c r="U49" s="23" t="n"/>
      <c r="V49" s="23" t="n"/>
      <c r="W49" s="23" t="n"/>
      <c r="X49" s="21" t="n"/>
      <c r="Y49" s="21" t="n"/>
      <c r="Z49" s="21" t="n"/>
      <c r="AA49" s="22" t="n"/>
      <c r="AB49" s="21" t="n"/>
      <c r="AC49" s="21" t="n"/>
    </row>
    <row r="50" ht="30" customHeight="1">
      <c r="A50" s="15" t="inlineStr">
        <is>
          <t>C5</t>
        </is>
      </c>
      <c r="B50" s="16" t="inlineStr">
        <is>
          <t>Configuration (go-live configuration kit)</t>
        </is>
      </c>
      <c r="C50" s="17" t="inlineStr">
        <is>
          <t>Configuration complete</t>
        </is>
      </c>
      <c r="D50" s="16" t="inlineStr">
        <is>
          <t>iorta TechNXT</t>
        </is>
      </c>
      <c r="E50" s="17" t="inlineStr">
        <is>
          <t>iorta TechNXT delivery lead</t>
        </is>
      </c>
      <c r="F50" s="17" t="inlineStr">
        <is>
          <t>Checklist of GO_LIVE_DATA_SETUP steps 1 to 12</t>
        </is>
      </c>
      <c r="G50" s="17" t="inlineStr">
        <is>
          <t>C3, K1, B1</t>
        </is>
      </c>
      <c r="H50" s="18" t="n">
        <v>0</v>
      </c>
      <c r="I50" s="18" t="n">
        <v>30</v>
      </c>
      <c r="J50" s="18" t="n">
        <v>30</v>
      </c>
      <c r="K50" s="19">
        <f>WORKDAY($D$2,I50)</f>
        <v/>
      </c>
      <c r="L50" s="19">
        <f>IF(H50=0,K50,WORKDAY($D$2,J50-1))</f>
        <v/>
      </c>
      <c r="M50" s="18" t="n">
        <v>6</v>
      </c>
      <c r="N50" s="18" t="n">
        <v>6</v>
      </c>
      <c r="O50" s="18" t="n">
        <v>0</v>
      </c>
      <c r="P50" s="18" t="inlineStr">
        <is>
          <t>Yes</t>
        </is>
      </c>
      <c r="Q50" s="18" t="inlineStr">
        <is>
          <t>Go-live</t>
        </is>
      </c>
      <c r="R50" s="21" t="n"/>
      <c r="S50" s="21" t="n"/>
      <c r="T50" s="21" t="n"/>
      <c r="U50" s="21" t="n"/>
      <c r="V50" s="21" t="n"/>
      <c r="W50" s="20" t="inlineStr">
        <is>
          <t>◆</t>
        </is>
      </c>
      <c r="X50" s="21" t="n"/>
      <c r="Y50" s="21" t="n"/>
      <c r="Z50" s="21" t="n"/>
      <c r="AA50" s="22" t="n"/>
      <c r="AB50" s="21" t="n"/>
      <c r="AC50" s="21" t="n"/>
    </row>
    <row r="51">
      <c r="A51" s="13" t="inlineStr">
        <is>
          <t>Compliance set-up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 ht="52" customHeight="1">
      <c r="A52" s="24" t="inlineStr">
        <is>
          <t>K1</t>
        </is>
      </c>
      <c r="B52" s="16" t="inlineStr">
        <is>
          <t>Compliance set-up</t>
        </is>
      </c>
      <c r="C52" s="17" t="inlineStr">
        <is>
          <t>Compliance set-up: AML settings, risk factors, monitoring rules; licence register, fit and proper, insurer authority; complaints and breach settings; view:pii grants and masking</t>
        </is>
      </c>
      <c r="D52" s="16" t="inlineStr">
        <is>
          <t>iorta TechNXT</t>
        </is>
      </c>
      <c r="E52" s="17" t="inlineStr">
        <is>
          <t>iorta TechNXT consultant with the compliance officer</t>
        </is>
      </c>
      <c r="F52" s="17" t="inlineStr">
        <is>
          <t>AML Settings saved; registers filled</t>
        </is>
      </c>
      <c r="G52" s="17" t="inlineStr">
        <is>
          <t>C2, D2, R4</t>
        </is>
      </c>
      <c r="H52" s="18" t="n">
        <v>6</v>
      </c>
      <c r="I52" s="18" t="n">
        <v>19</v>
      </c>
      <c r="J52" s="18" t="n">
        <v>25</v>
      </c>
      <c r="K52" s="19">
        <f>WORKDAY($D$2,I52)</f>
        <v/>
      </c>
      <c r="L52" s="19">
        <f>IF(H52=0,K52,WORKDAY($D$2,J52-1))</f>
        <v/>
      </c>
      <c r="M52" s="18" t="n">
        <v>4</v>
      </c>
      <c r="N52" s="18" t="n">
        <v>5</v>
      </c>
      <c r="O52" s="18" t="n">
        <v>5</v>
      </c>
      <c r="P52" s="18" t="inlineStr"/>
      <c r="Q52" s="18" t="inlineStr">
        <is>
          <t>Go-live</t>
        </is>
      </c>
      <c r="R52" s="21" t="n"/>
      <c r="S52" s="21" t="n"/>
      <c r="T52" s="21" t="n"/>
      <c r="U52" s="26" t="n"/>
      <c r="V52" s="26" t="n"/>
      <c r="W52" s="21" t="n"/>
      <c r="X52" s="21" t="n"/>
      <c r="Y52" s="21" t="n"/>
      <c r="Z52" s="21" t="n"/>
      <c r="AA52" s="22" t="n"/>
      <c r="AB52" s="21" t="n"/>
      <c r="AC52" s="21" t="n"/>
    </row>
    <row r="53" ht="30" customHeight="1">
      <c r="A53" s="24" t="inlineStr">
        <is>
          <t>K2</t>
        </is>
      </c>
      <c r="B53" s="16" t="inlineStr">
        <is>
          <t>Compliance set-up</t>
        </is>
      </c>
      <c r="C53" s="17" t="inlineStr">
        <is>
          <t>Screening lists loaded (UN, AMLC, PEP, internal); clients rescreened</t>
        </is>
      </c>
      <c r="D53" s="16" t="inlineStr">
        <is>
          <t>Broker</t>
        </is>
      </c>
      <c r="E53" s="17" t="inlineStr">
        <is>
          <t>Broker compliance officer</t>
        </is>
      </c>
      <c r="F53" s="17" t="inlineStr">
        <is>
          <t>Versions on Screening Lists; rescreen result</t>
        </is>
      </c>
      <c r="G53" s="17" t="inlineStr">
        <is>
          <t>K1, R7</t>
        </is>
      </c>
      <c r="H53" s="18" t="n">
        <v>1</v>
      </c>
      <c r="I53" s="18" t="n">
        <v>25</v>
      </c>
      <c r="J53" s="18" t="n">
        <v>26</v>
      </c>
      <c r="K53" s="19">
        <f>WORKDAY($D$2,I53)</f>
        <v/>
      </c>
      <c r="L53" s="19">
        <f>IF(H53=0,K53,WORKDAY($D$2,J53-1))</f>
        <v/>
      </c>
      <c r="M53" s="18" t="n">
        <v>6</v>
      </c>
      <c r="N53" s="18" t="n">
        <v>6</v>
      </c>
      <c r="O53" s="18" t="n">
        <v>17</v>
      </c>
      <c r="P53" s="18" t="inlineStr"/>
      <c r="Q53" s="18" t="inlineStr">
        <is>
          <t>Go-live</t>
        </is>
      </c>
      <c r="R53" s="21" t="n"/>
      <c r="S53" s="21" t="n"/>
      <c r="T53" s="21" t="n"/>
      <c r="U53" s="21" t="n"/>
      <c r="V53" s="21" t="n"/>
      <c r="W53" s="25" t="n"/>
      <c r="X53" s="21" t="n"/>
      <c r="Y53" s="21" t="n"/>
      <c r="Z53" s="21" t="n"/>
      <c r="AA53" s="22" t="n"/>
      <c r="AB53" s="21" t="n"/>
      <c r="AC53" s="21" t="n"/>
    </row>
    <row r="54" ht="30" customHeight="1">
      <c r="A54" s="24" t="inlineStr">
        <is>
          <t>K3</t>
        </is>
      </c>
      <c r="B54" s="16" t="inlineStr">
        <is>
          <t>Compliance set-up</t>
        </is>
      </c>
      <c r="C54" s="17" t="inlineStr">
        <is>
          <t>AMLC report file test: CTR file generated in UAT and checked against the AMLC portal requirements</t>
        </is>
      </c>
      <c r="D54" s="16" t="inlineStr">
        <is>
          <t>Broker</t>
        </is>
      </c>
      <c r="E54" s="17" t="inlineStr">
        <is>
          <t>Broker compliance officer</t>
        </is>
      </c>
      <c r="F54" s="17" t="inlineStr">
        <is>
          <t>Test file; portal access confirmed</t>
        </is>
      </c>
      <c r="G54" s="17" t="inlineStr">
        <is>
          <t>K1, R3</t>
        </is>
      </c>
      <c r="H54" s="18" t="n">
        <v>1</v>
      </c>
      <c r="I54" s="18" t="n">
        <v>25</v>
      </c>
      <c r="J54" s="18" t="n">
        <v>26</v>
      </c>
      <c r="K54" s="19">
        <f>WORKDAY($D$2,I54)</f>
        <v/>
      </c>
      <c r="L54" s="19">
        <f>IF(H54=0,K54,WORKDAY($D$2,J54-1))</f>
        <v/>
      </c>
      <c r="M54" s="18" t="n">
        <v>6</v>
      </c>
      <c r="N54" s="18" t="n">
        <v>6</v>
      </c>
      <c r="O54" s="18" t="n">
        <v>17</v>
      </c>
      <c r="P54" s="18" t="inlineStr"/>
      <c r="Q54" s="18" t="inlineStr">
        <is>
          <t>Go-live</t>
        </is>
      </c>
      <c r="R54" s="21" t="n"/>
      <c r="S54" s="21" t="n"/>
      <c r="T54" s="21" t="n"/>
      <c r="U54" s="21" t="n"/>
      <c r="V54" s="21" t="n"/>
      <c r="W54" s="25" t="n"/>
      <c r="X54" s="21" t="n"/>
      <c r="Y54" s="21" t="n"/>
      <c r="Z54" s="21" t="n"/>
      <c r="AA54" s="22" t="n"/>
      <c r="AB54" s="21" t="n"/>
      <c r="AC54" s="21" t="n"/>
    </row>
    <row r="55">
      <c r="A55" s="13" t="inlineStr">
        <is>
          <t>Branding and brand pack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 ht="40" customHeight="1">
      <c r="A56" s="24" t="inlineStr">
        <is>
          <t>B1</t>
        </is>
      </c>
      <c r="B56" s="16" t="inlineStr">
        <is>
          <t>Branding and brand pack</t>
        </is>
      </c>
      <c r="C56" s="17" t="inlineStr">
        <is>
          <t>Theme and Branding, letterhead, sign-in page, branded documents and e-mails; e-signatures captured and mapped; brand pack exported</t>
        </is>
      </c>
      <c r="D56" s="16" t="inlineStr">
        <is>
          <t>iorta TechNXT</t>
        </is>
      </c>
      <c r="E56" s="17" t="inlineStr">
        <is>
          <t>iorta TechNXT consultant with the broker System Administrator</t>
        </is>
      </c>
      <c r="F56" s="17" t="inlineStr">
        <is>
          <t>Brand pack file; sample documents approved</t>
        </is>
      </c>
      <c r="G56" s="17" t="inlineStr">
        <is>
          <t>C2, I8</t>
        </is>
      </c>
      <c r="H56" s="18" t="n">
        <v>4</v>
      </c>
      <c r="I56" s="18" t="n">
        <v>19</v>
      </c>
      <c r="J56" s="18" t="n">
        <v>23</v>
      </c>
      <c r="K56" s="19">
        <f>WORKDAY($D$2,I56)</f>
        <v/>
      </c>
      <c r="L56" s="19">
        <f>IF(H56=0,K56,WORKDAY($D$2,J56-1))</f>
        <v/>
      </c>
      <c r="M56" s="18" t="n">
        <v>4</v>
      </c>
      <c r="N56" s="18" t="n">
        <v>5</v>
      </c>
      <c r="O56" s="18" t="n">
        <v>7</v>
      </c>
      <c r="P56" s="18" t="inlineStr"/>
      <c r="Q56" s="18" t="inlineStr">
        <is>
          <t>Go-live</t>
        </is>
      </c>
      <c r="R56" s="21" t="n"/>
      <c r="S56" s="21" t="n"/>
      <c r="T56" s="21" t="n"/>
      <c r="U56" s="26" t="n"/>
      <c r="V56" s="26" t="n"/>
      <c r="W56" s="21" t="n"/>
      <c r="X56" s="21" t="n"/>
      <c r="Y56" s="21" t="n"/>
      <c r="Z56" s="21" t="n"/>
      <c r="AA56" s="22" t="n"/>
      <c r="AB56" s="21" t="n"/>
      <c r="AC56" s="21" t="n"/>
    </row>
    <row r="57" ht="40" customHeight="1">
      <c r="A57" s="24" t="inlineStr">
        <is>
          <t>B2</t>
        </is>
      </c>
      <c r="B57" s="16" t="inlineStr">
        <is>
          <t>Branding and brand pack</t>
        </is>
      </c>
      <c r="C57" s="17" t="inlineStr">
        <is>
          <t>Client brand pack applied only in that client's environments under its contract with iorta TechNXT (for example the Toyota Insurance Services pack)</t>
        </is>
      </c>
      <c r="D57" s="16" t="inlineStr">
        <is>
          <t>iorta TechNXT</t>
        </is>
      </c>
      <c r="E57" s="17" t="inlineStr">
        <is>
          <t>iorta TechNXT consultant</t>
        </is>
      </c>
      <c r="F57" s="17" t="inlineStr">
        <is>
          <t>Pack enabled with the engagement confirmation; contract reference on file</t>
        </is>
      </c>
      <c r="G57" s="17" t="inlineStr">
        <is>
          <t>B1, R8</t>
        </is>
      </c>
      <c r="H57" s="18" t="n">
        <v>1</v>
      </c>
      <c r="I57" s="18" t="n">
        <v>23</v>
      </c>
      <c r="J57" s="18" t="n">
        <v>24</v>
      </c>
      <c r="K57" s="19">
        <f>WORKDAY($D$2,I57)</f>
        <v/>
      </c>
      <c r="L57" s="19">
        <f>IF(H57=0,K57,WORKDAY($D$2,J57-1))</f>
        <v/>
      </c>
      <c r="M57" s="18" t="n">
        <v>5</v>
      </c>
      <c r="N57" s="18" t="n">
        <v>5</v>
      </c>
      <c r="O57" s="18" t="n"/>
      <c r="P57" s="18" t="inlineStr"/>
      <c r="Q57" s="18" t="inlineStr">
        <is>
          <t>Feature only</t>
        </is>
      </c>
      <c r="R57" s="21" t="n"/>
      <c r="S57" s="21" t="n"/>
      <c r="T57" s="21" t="n"/>
      <c r="U57" s="21" t="n"/>
      <c r="V57" s="26" t="n"/>
      <c r="W57" s="21" t="n"/>
      <c r="X57" s="21" t="n"/>
      <c r="Y57" s="21" t="n"/>
      <c r="Z57" s="21" t="n"/>
      <c r="AA57" s="22" t="n"/>
      <c r="AB57" s="21" t="n"/>
      <c r="AC57" s="21" t="n"/>
    </row>
    <row r="58">
      <c r="A58" s="13" t="inlineStr">
        <is>
          <t>Integrations with partners</t>
        </is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 ht="30" customHeight="1">
      <c r="A59" s="24" t="inlineStr">
        <is>
          <t>N1</t>
        </is>
      </c>
      <c r="B59" s="16" t="inlineStr">
        <is>
          <t>Integrations with partners</t>
        </is>
      </c>
      <c r="C59" s="17" t="inlineStr">
        <is>
          <t>E-mail: SMTP set, password reset and approval link tested</t>
        </is>
      </c>
      <c r="D59" s="16" t="inlineStr">
        <is>
          <t>iorta TechNXT</t>
        </is>
      </c>
      <c r="E59" s="17" t="inlineStr">
        <is>
          <t>iorta TechNXT DevOps lead</t>
        </is>
      </c>
      <c r="F59" s="17" t="inlineStr">
        <is>
          <t>Test e-mails received</t>
        </is>
      </c>
      <c r="G59" s="17" t="inlineStr">
        <is>
          <t>E6, I4</t>
        </is>
      </c>
      <c r="H59" s="18" t="n">
        <v>1</v>
      </c>
      <c r="I59" s="18" t="n">
        <v>8</v>
      </c>
      <c r="J59" s="18" t="n">
        <v>9</v>
      </c>
      <c r="K59" s="19">
        <f>WORKDAY($D$2,I59)</f>
        <v/>
      </c>
      <c r="L59" s="19">
        <f>IF(H59=0,K59,WORKDAY($D$2,J59-1))</f>
        <v/>
      </c>
      <c r="M59" s="18" t="n">
        <v>2</v>
      </c>
      <c r="N59" s="18" t="n">
        <v>2</v>
      </c>
      <c r="O59" s="18" t="n">
        <v>34</v>
      </c>
      <c r="P59" s="18" t="inlineStr"/>
      <c r="Q59" s="18" t="inlineStr">
        <is>
          <t>Go-live</t>
        </is>
      </c>
      <c r="R59" s="21" t="n"/>
      <c r="S59" s="26" t="n"/>
      <c r="T59" s="21" t="n"/>
      <c r="U59" s="21" t="n"/>
      <c r="V59" s="21" t="n"/>
      <c r="W59" s="21" t="n"/>
      <c r="X59" s="21" t="n"/>
      <c r="Y59" s="21" t="n"/>
      <c r="Z59" s="21" t="n"/>
      <c r="AA59" s="22" t="n"/>
      <c r="AB59" s="21" t="n"/>
      <c r="AC59" s="21" t="n"/>
    </row>
    <row r="60" ht="30" customHeight="1">
      <c r="A60" s="24" t="inlineStr">
        <is>
          <t>N2</t>
        </is>
      </c>
      <c r="B60" s="16" t="inlineStr">
        <is>
          <t>Integrations with partners</t>
        </is>
      </c>
      <c r="C60" s="17" t="inlineStr">
        <is>
          <t>Bank statement formats: one statement per bank account imported with a balancing preview</t>
        </is>
      </c>
      <c r="D60" s="16" t="inlineStr">
        <is>
          <t>iorta TechNXT</t>
        </is>
      </c>
      <c r="E60" s="17" t="inlineStr">
        <is>
          <t>iorta TechNXT consultant with Accounting</t>
        </is>
      </c>
      <c r="F60" s="17" t="inlineStr">
        <is>
          <t>Import preview per account</t>
        </is>
      </c>
      <c r="G60" s="17" t="inlineStr">
        <is>
          <t>C2, I5</t>
        </is>
      </c>
      <c r="H60" s="18" t="n">
        <v>4</v>
      </c>
      <c r="I60" s="18" t="n">
        <v>19</v>
      </c>
      <c r="J60" s="18" t="n">
        <v>23</v>
      </c>
      <c r="K60" s="19">
        <f>WORKDAY($D$2,I60)</f>
        <v/>
      </c>
      <c r="L60" s="19">
        <f>IF(H60=0,K60,WORKDAY($D$2,J60-1))</f>
        <v/>
      </c>
      <c r="M60" s="18" t="n">
        <v>4</v>
      </c>
      <c r="N60" s="18" t="n">
        <v>5</v>
      </c>
      <c r="O60" s="18" t="n">
        <v>20</v>
      </c>
      <c r="P60" s="18" t="inlineStr"/>
      <c r="Q60" s="18" t="inlineStr">
        <is>
          <t>Go-live</t>
        </is>
      </c>
      <c r="R60" s="21" t="n"/>
      <c r="S60" s="21" t="n"/>
      <c r="T60" s="21" t="n"/>
      <c r="U60" s="26" t="n"/>
      <c r="V60" s="26" t="n"/>
      <c r="W60" s="21" t="n"/>
      <c r="X60" s="21" t="n"/>
      <c r="Y60" s="21" t="n"/>
      <c r="Z60" s="21" t="n"/>
      <c r="AA60" s="22" t="n"/>
      <c r="AB60" s="21" t="n"/>
      <c r="AC60" s="21" t="n"/>
    </row>
    <row r="61" ht="30" customHeight="1">
      <c r="A61" s="24" t="inlineStr">
        <is>
          <t>N7</t>
        </is>
      </c>
      <c r="B61" s="16" t="inlineStr">
        <is>
          <t>Integrations with partners</t>
        </is>
      </c>
      <c r="C61" s="17" t="inlineStr">
        <is>
          <t>Payment gateway: sandbox payment receipted, then one live test payment</t>
        </is>
      </c>
      <c r="D61" s="16" t="inlineStr">
        <is>
          <t>Partner</t>
        </is>
      </c>
      <c r="E61" s="17" t="inlineStr">
        <is>
          <t>Payment gateway, with Accounting</t>
        </is>
      </c>
      <c r="F61" s="17" t="inlineStr">
        <is>
          <t>Receipt of the sandbox payment</t>
        </is>
      </c>
      <c r="G61" s="17" t="inlineStr">
        <is>
          <t>C2, I6</t>
        </is>
      </c>
      <c r="H61" s="18" t="n">
        <v>5</v>
      </c>
      <c r="I61" s="18" t="n">
        <v>19</v>
      </c>
      <c r="J61" s="18" t="n">
        <v>24</v>
      </c>
      <c r="K61" s="19">
        <f>WORKDAY($D$2,I61)</f>
        <v/>
      </c>
      <c r="L61" s="19">
        <f>IF(H61=0,K61,WORKDAY($D$2,J61-1))</f>
        <v/>
      </c>
      <c r="M61" s="18" t="n">
        <v>4</v>
      </c>
      <c r="N61" s="18" t="n">
        <v>5</v>
      </c>
      <c r="O61" s="18" t="n"/>
      <c r="P61" s="18" t="inlineStr"/>
      <c r="Q61" s="18" t="inlineStr">
        <is>
          <t>Feature only</t>
        </is>
      </c>
      <c r="R61" s="21" t="n"/>
      <c r="S61" s="21" t="n"/>
      <c r="T61" s="21" t="n"/>
      <c r="U61" s="28" t="n"/>
      <c r="V61" s="28" t="n"/>
      <c r="W61" s="21" t="n"/>
      <c r="X61" s="21" t="n"/>
      <c r="Y61" s="21" t="n"/>
      <c r="Z61" s="21" t="n"/>
      <c r="AA61" s="22" t="n"/>
      <c r="AB61" s="21" t="n"/>
      <c r="AC61" s="21" t="n"/>
    </row>
    <row r="62" ht="30" customHeight="1">
      <c r="A62" s="24" t="inlineStr">
        <is>
          <t>N4</t>
        </is>
      </c>
      <c r="B62" s="16" t="inlineStr">
        <is>
          <t>Integrations with partners</t>
        </is>
      </c>
      <c r="C62" s="17" t="inlineStr">
        <is>
          <t>SMS or Viber connector: provider account, sender name, live test message</t>
        </is>
      </c>
      <c r="D62" s="16" t="inlineStr">
        <is>
          <t>Partner</t>
        </is>
      </c>
      <c r="E62" s="17" t="inlineStr">
        <is>
          <t>SMS provider, with the broker IT head</t>
        </is>
      </c>
      <c r="F62" s="17" t="inlineStr">
        <is>
          <t>Connector Live; test message in the outbox</t>
        </is>
      </c>
      <c r="G62" s="17" t="inlineStr">
        <is>
          <t>C2, I6</t>
        </is>
      </c>
      <c r="H62" s="18" t="n">
        <v>8</v>
      </c>
      <c r="I62" s="18" t="n">
        <v>19</v>
      </c>
      <c r="J62" s="18" t="n">
        <v>27</v>
      </c>
      <c r="K62" s="19">
        <f>WORKDAY($D$2,I62)</f>
        <v/>
      </c>
      <c r="L62" s="19">
        <f>IF(H62=0,K62,WORKDAY($D$2,J62-1))</f>
        <v/>
      </c>
      <c r="M62" s="18" t="n">
        <v>4</v>
      </c>
      <c r="N62" s="18" t="n">
        <v>6</v>
      </c>
      <c r="O62" s="18" t="n"/>
      <c r="P62" s="18" t="inlineStr"/>
      <c r="Q62" s="18" t="inlineStr">
        <is>
          <t>Feature only</t>
        </is>
      </c>
      <c r="R62" s="21" t="n"/>
      <c r="S62" s="21" t="n"/>
      <c r="T62" s="21" t="n"/>
      <c r="U62" s="28" t="n"/>
      <c r="V62" s="28" t="n"/>
      <c r="W62" s="28" t="n"/>
      <c r="X62" s="21" t="n"/>
      <c r="Y62" s="21" t="n"/>
      <c r="Z62" s="21" t="n"/>
      <c r="AA62" s="22" t="n"/>
      <c r="AB62" s="21" t="n"/>
      <c r="AC62" s="21" t="n"/>
    </row>
    <row r="63" ht="40" customHeight="1">
      <c r="A63" s="24" t="inlineStr">
        <is>
          <t>N5</t>
        </is>
      </c>
      <c r="B63" s="16" t="inlineStr">
        <is>
          <t>Integrations with partners</t>
        </is>
      </c>
      <c r="C63" s="17" t="inlineStr">
        <is>
          <t>CTPL authentication provider and LTO feed: broker accredited, COC series loaded, live authentication of one COC</t>
        </is>
      </c>
      <c r="D63" s="16" t="inlineStr">
        <is>
          <t>Partner</t>
        </is>
      </c>
      <c r="E63" s="17" t="inlineStr">
        <is>
          <t>IC-accredited authentication provider, with Operations</t>
        </is>
      </c>
      <c r="F63" s="17" t="inlineStr">
        <is>
          <t>Authenticated COC; LTO column result</t>
        </is>
      </c>
      <c r="G63" s="17" t="inlineStr">
        <is>
          <t>C2, I6, I7</t>
        </is>
      </c>
      <c r="H63" s="18" t="n">
        <v>10</v>
      </c>
      <c r="I63" s="18" t="n">
        <v>19</v>
      </c>
      <c r="J63" s="18" t="n">
        <v>29</v>
      </c>
      <c r="K63" s="19">
        <f>WORKDAY($D$2,I63)</f>
        <v/>
      </c>
      <c r="L63" s="19">
        <f>IF(H63=0,K63,WORKDAY($D$2,J63-1))</f>
        <v/>
      </c>
      <c r="M63" s="18" t="n">
        <v>4</v>
      </c>
      <c r="N63" s="18" t="n">
        <v>6</v>
      </c>
      <c r="O63" s="18" t="n"/>
      <c r="P63" s="18" t="inlineStr"/>
      <c r="Q63" s="18" t="inlineStr">
        <is>
          <t>Feature only</t>
        </is>
      </c>
      <c r="R63" s="21" t="n"/>
      <c r="S63" s="21" t="n"/>
      <c r="T63" s="21" t="n"/>
      <c r="U63" s="28" t="n"/>
      <c r="V63" s="28" t="n"/>
      <c r="W63" s="28" t="n"/>
      <c r="X63" s="21" t="n"/>
      <c r="Y63" s="21" t="n"/>
      <c r="Z63" s="21" t="n"/>
      <c r="AA63" s="22" t="n"/>
      <c r="AB63" s="21" t="n"/>
      <c r="AC63" s="21" t="n"/>
    </row>
    <row r="64" ht="30" customHeight="1">
      <c r="A64" s="24" t="inlineStr">
        <is>
          <t>N3</t>
        </is>
      </c>
      <c r="B64" s="16" t="inlineStr">
        <is>
          <t>Integrations with partners</t>
        </is>
      </c>
      <c r="C64" s="17" t="inlineStr">
        <is>
          <t>Bank payment files: each layout validated with the bank and a test file accepted by the bank</t>
        </is>
      </c>
      <c r="D64" s="16" t="inlineStr">
        <is>
          <t>Partner</t>
        </is>
      </c>
      <c r="E64" s="17" t="inlineStr">
        <is>
          <t>Bank, with Accounting and iorta TechNXT</t>
        </is>
      </c>
      <c r="F64" s="17" t="inlineStr">
        <is>
          <t>Bank acceptance of the test file</t>
        </is>
      </c>
      <c r="G64" s="17" t="inlineStr">
        <is>
          <t>C2, I5</t>
        </is>
      </c>
      <c r="H64" s="18" t="n">
        <v>15</v>
      </c>
      <c r="I64" s="18" t="n">
        <v>19</v>
      </c>
      <c r="J64" s="18" t="n">
        <v>34</v>
      </c>
      <c r="K64" s="19">
        <f>WORKDAY($D$2,I64)</f>
        <v/>
      </c>
      <c r="L64" s="19">
        <f>IF(H64=0,K64,WORKDAY($D$2,J64-1))</f>
        <v/>
      </c>
      <c r="M64" s="18" t="n">
        <v>4</v>
      </c>
      <c r="N64" s="18" t="n">
        <v>7</v>
      </c>
      <c r="O64" s="18" t="n"/>
      <c r="P64" s="18" t="inlineStr"/>
      <c r="Q64" s="18" t="inlineStr">
        <is>
          <t>Feature only</t>
        </is>
      </c>
      <c r="R64" s="21" t="n"/>
      <c r="S64" s="21" t="n"/>
      <c r="T64" s="21" t="n"/>
      <c r="U64" s="28" t="n"/>
      <c r="V64" s="28" t="n"/>
      <c r="W64" s="28" t="n"/>
      <c r="X64" s="28" t="n"/>
      <c r="Y64" s="21" t="n"/>
      <c r="Z64" s="21" t="n"/>
      <c r="AA64" s="22" t="n"/>
      <c r="AB64" s="21" t="n"/>
      <c r="AC64" s="21" t="n"/>
    </row>
    <row r="65" ht="30" customHeight="1">
      <c r="A65" s="24" t="inlineStr">
        <is>
          <t>N6</t>
        </is>
      </c>
      <c r="B65" s="16" t="inlineStr">
        <is>
          <t>Integrations with partners</t>
        </is>
      </c>
      <c r="C65" s="17" t="inlineStr">
        <is>
          <t>Insurer API connectors: mapping per insurer, preview, test issuance and claim status with the insurer</t>
        </is>
      </c>
      <c r="D65" s="16" t="inlineStr">
        <is>
          <t>Partner</t>
        </is>
      </c>
      <c r="E65" s="17" t="inlineStr">
        <is>
          <t>Insurers, with the Processing Team</t>
        </is>
      </c>
      <c r="F65" s="17" t="inlineStr">
        <is>
          <t>Accepted test request per insurer</t>
        </is>
      </c>
      <c r="G65" s="17" t="inlineStr">
        <is>
          <t>C3SS+2d, I6</t>
        </is>
      </c>
      <c r="H65" s="18" t="n">
        <v>15</v>
      </c>
      <c r="I65" s="18" t="n">
        <v>21</v>
      </c>
      <c r="J65" s="18" t="n">
        <v>36</v>
      </c>
      <c r="K65" s="19">
        <f>WORKDAY($D$2,I65)</f>
        <v/>
      </c>
      <c r="L65" s="19">
        <f>IF(H65=0,K65,WORKDAY($D$2,J65-1))</f>
        <v/>
      </c>
      <c r="M65" s="18" t="n">
        <v>5</v>
      </c>
      <c r="N65" s="18" t="n">
        <v>8</v>
      </c>
      <c r="O65" s="18" t="n"/>
      <c r="P65" s="18" t="inlineStr"/>
      <c r="Q65" s="18" t="inlineStr">
        <is>
          <t>Feature only</t>
        </is>
      </c>
      <c r="R65" s="21" t="n"/>
      <c r="S65" s="21" t="n"/>
      <c r="T65" s="21" t="n"/>
      <c r="U65" s="21" t="n"/>
      <c r="V65" s="28" t="n"/>
      <c r="W65" s="28" t="n"/>
      <c r="X65" s="28" t="n"/>
      <c r="Y65" s="28" t="n"/>
      <c r="Z65" s="21" t="n"/>
      <c r="AA65" s="22" t="n"/>
      <c r="AB65" s="21" t="n"/>
      <c r="AC65" s="21" t="n"/>
    </row>
    <row r="66" ht="30" customHeight="1">
      <c r="A66" s="24" t="inlineStr">
        <is>
          <t>N8</t>
        </is>
      </c>
      <c r="B66" s="16" t="inlineStr">
        <is>
          <t>Integrations with partners</t>
        </is>
      </c>
      <c r="C66" s="17" t="inlineStr">
        <is>
          <t>BIR EIS connector set in test mode; payloads checked</t>
        </is>
      </c>
      <c r="D66" s="16" t="inlineStr">
        <is>
          <t>iorta TechNXT</t>
        </is>
      </c>
      <c r="E66" s="17" t="inlineStr">
        <is>
          <t>iorta TechNXT consultant</t>
        </is>
      </c>
      <c r="F66" s="17" t="inlineStr">
        <is>
          <t>Accepted test submissions</t>
        </is>
      </c>
      <c r="G66" s="17" t="inlineStr">
        <is>
          <t>C3</t>
        </is>
      </c>
      <c r="H66" s="18" t="n">
        <v>1</v>
      </c>
      <c r="I66" s="18" t="n">
        <v>30</v>
      </c>
      <c r="J66" s="18" t="n">
        <v>31</v>
      </c>
      <c r="K66" s="19">
        <f>WORKDAY($D$2,I66)</f>
        <v/>
      </c>
      <c r="L66" s="19">
        <f>IF(H66=0,K66,WORKDAY($D$2,J66-1))</f>
        <v/>
      </c>
      <c r="M66" s="18" t="n">
        <v>7</v>
      </c>
      <c r="N66" s="18" t="n">
        <v>7</v>
      </c>
      <c r="O66" s="18" t="n"/>
      <c r="P66" s="18" t="inlineStr"/>
      <c r="Q66" s="18" t="inlineStr">
        <is>
          <t>Feature only</t>
        </is>
      </c>
      <c r="R66" s="21" t="n"/>
      <c r="S66" s="21" t="n"/>
      <c r="T66" s="21" t="n"/>
      <c r="U66" s="21" t="n"/>
      <c r="V66" s="21" t="n"/>
      <c r="W66" s="21" t="n"/>
      <c r="X66" s="26" t="n"/>
      <c r="Y66" s="21" t="n"/>
      <c r="Z66" s="21" t="n"/>
      <c r="AA66" s="22" t="n"/>
      <c r="AB66" s="21" t="n"/>
      <c r="AC66" s="21" t="n"/>
    </row>
    <row r="67" ht="30" customHeight="1">
      <c r="A67" s="24" t="inlineStr">
        <is>
          <t>N9</t>
        </is>
      </c>
      <c r="B67" s="16" t="inlineStr">
        <is>
          <t>Integrations with partners</t>
        </is>
      </c>
      <c r="C67" s="17" t="inlineStr">
        <is>
          <t>BIR EIS connector live (after enrolment); earlier invoices queued</t>
        </is>
      </c>
      <c r="D67" s="16" t="inlineStr">
        <is>
          <t>iorta TechNXT</t>
        </is>
      </c>
      <c r="E67" s="17" t="inlineStr">
        <is>
          <t>iorta TechNXT consultant with Accounting</t>
        </is>
      </c>
      <c r="F67" s="17" t="inlineStr">
        <is>
          <t>Accepted live submission</t>
        </is>
      </c>
      <c r="G67" s="17" t="inlineStr">
        <is>
          <t>N8, R2, X6</t>
        </is>
      </c>
      <c r="H67" s="18" t="n">
        <v>2</v>
      </c>
      <c r="I67" s="18" t="n">
        <v>45</v>
      </c>
      <c r="J67" s="18" t="n">
        <v>47</v>
      </c>
      <c r="K67" s="19">
        <f>WORKDAY($D$2,I67)</f>
        <v/>
      </c>
      <c r="L67" s="19">
        <f>IF(H67=0,K67,WORKDAY($D$2,J67-1))</f>
        <v/>
      </c>
      <c r="M67" s="18" t="n">
        <v>10</v>
      </c>
      <c r="N67" s="18" t="n">
        <v>10</v>
      </c>
      <c r="O67" s="18" t="n"/>
      <c r="P67" s="18" t="inlineStr"/>
      <c r="Q67" s="18" t="inlineStr">
        <is>
          <t>Feature only</t>
        </is>
      </c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6" t="n"/>
      <c r="AB67" s="21" t="n"/>
      <c r="AC67" s="21" t="n"/>
    </row>
    <row r="68">
      <c r="A68" s="13" t="inlineStr">
        <is>
          <t>Data migration (go-live migration kit)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 ht="30" customHeight="1">
      <c r="A69" s="24" t="inlineStr">
        <is>
          <t>G1</t>
        </is>
      </c>
      <c r="B69" s="16" t="inlineStr">
        <is>
          <t>Data migration (go-live migration kit)</t>
        </is>
      </c>
      <c r="C69" s="17" t="inlineStr">
        <is>
          <t>Extraction and cleansing of the old system data for the first mock load</t>
        </is>
      </c>
      <c r="D69" s="16" t="inlineStr">
        <is>
          <t>Broker</t>
        </is>
      </c>
      <c r="E69" s="17" t="inlineStr">
        <is>
          <t>Broker data owners</t>
        </is>
      </c>
      <c r="F69" s="17" t="inlineStr">
        <is>
          <t>Extract files; data quality notes</t>
        </is>
      </c>
      <c r="G69" s="17" t="inlineStr">
        <is>
          <t>M3</t>
        </is>
      </c>
      <c r="H69" s="18" t="n">
        <v>12</v>
      </c>
      <c r="I69" s="18" t="n">
        <v>1</v>
      </c>
      <c r="J69" s="18" t="n">
        <v>13</v>
      </c>
      <c r="K69" s="19">
        <f>WORKDAY($D$2,I69)</f>
        <v/>
      </c>
      <c r="L69" s="19">
        <f>IF(H69=0,K69,WORKDAY($D$2,J69-1))</f>
        <v/>
      </c>
      <c r="M69" s="18" t="n">
        <v>1</v>
      </c>
      <c r="N69" s="18" t="n">
        <v>3</v>
      </c>
      <c r="O69" s="18" t="n">
        <v>20</v>
      </c>
      <c r="P69" s="18" t="inlineStr"/>
      <c r="Q69" s="18" t="inlineStr">
        <is>
          <t>Go-live</t>
        </is>
      </c>
      <c r="R69" s="25" t="n"/>
      <c r="S69" s="25" t="n"/>
      <c r="T69" s="25" t="n"/>
      <c r="U69" s="21" t="n"/>
      <c r="V69" s="21" t="n"/>
      <c r="W69" s="21" t="n"/>
      <c r="X69" s="21" t="n"/>
      <c r="Y69" s="21" t="n"/>
      <c r="Z69" s="21" t="n"/>
      <c r="AA69" s="22" t="n"/>
      <c r="AB69" s="21" t="n"/>
      <c r="AC69" s="21" t="n"/>
    </row>
    <row r="70" ht="30" customHeight="1">
      <c r="A70" s="24" t="inlineStr">
        <is>
          <t>G2</t>
        </is>
      </c>
      <c r="B70" s="16" t="inlineStr">
        <is>
          <t>Data migration (go-live migration kit)</t>
        </is>
      </c>
      <c r="C70" s="17" t="inlineStr">
        <is>
          <t>Mapping to the migration kit (clients, policies, open items, open claims, opening balances)</t>
        </is>
      </c>
      <c r="D70" s="16" t="inlineStr">
        <is>
          <t>iorta TechNXT</t>
        </is>
      </c>
      <c r="E70" s="17" t="inlineStr">
        <is>
          <t>iorta TechNXT migration lead</t>
        </is>
      </c>
      <c r="F70" s="17" t="inlineStr">
        <is>
          <t>Mapping sheets</t>
        </is>
      </c>
      <c r="G70" s="17" t="inlineStr">
        <is>
          <t>G1SS+5d</t>
        </is>
      </c>
      <c r="H70" s="18" t="n">
        <v>5</v>
      </c>
      <c r="I70" s="18" t="n">
        <v>6</v>
      </c>
      <c r="J70" s="18" t="n">
        <v>11</v>
      </c>
      <c r="K70" s="19">
        <f>WORKDAY($D$2,I70)</f>
        <v/>
      </c>
      <c r="L70" s="19">
        <f>IF(H70=0,K70,WORKDAY($D$2,J70-1))</f>
        <v/>
      </c>
      <c r="M70" s="18" t="n">
        <v>2</v>
      </c>
      <c r="N70" s="18" t="n">
        <v>3</v>
      </c>
      <c r="O70" s="18" t="n">
        <v>22</v>
      </c>
      <c r="P70" s="18" t="inlineStr"/>
      <c r="Q70" s="18" t="inlineStr">
        <is>
          <t>Go-live</t>
        </is>
      </c>
      <c r="R70" s="21" t="n"/>
      <c r="S70" s="26" t="n"/>
      <c r="T70" s="26" t="n"/>
      <c r="U70" s="21" t="n"/>
      <c r="V70" s="21" t="n"/>
      <c r="W70" s="21" t="n"/>
      <c r="X70" s="21" t="n"/>
      <c r="Y70" s="21" t="n"/>
      <c r="Z70" s="21" t="n"/>
      <c r="AA70" s="22" t="n"/>
      <c r="AB70" s="21" t="n"/>
      <c r="AC70" s="21" t="n"/>
    </row>
    <row r="71" ht="30" customHeight="1">
      <c r="A71" s="24" t="inlineStr">
        <is>
          <t>G3</t>
        </is>
      </c>
      <c r="B71" s="16" t="inlineStr">
        <is>
          <t>Data migration (go-live migration kit)</t>
        </is>
      </c>
      <c r="C71" s="17" t="inlineStr">
        <is>
          <t>Mock load 1: cutover date set, validate, errors workbook, load, reconciliation</t>
        </is>
      </c>
      <c r="D71" s="16" t="inlineStr">
        <is>
          <t>iorta TechNXT</t>
        </is>
      </c>
      <c r="E71" s="17" t="inlineStr">
        <is>
          <t>iorta TechNXT migration lead</t>
        </is>
      </c>
      <c r="F71" s="17" t="inlineStr">
        <is>
          <t>Reconciliation workbook signed</t>
        </is>
      </c>
      <c r="G71" s="17" t="inlineStr">
        <is>
          <t>G1, G2, C4, C2</t>
        </is>
      </c>
      <c r="H71" s="18" t="n">
        <v>4</v>
      </c>
      <c r="I71" s="18" t="n">
        <v>20</v>
      </c>
      <c r="J71" s="18" t="n">
        <v>24</v>
      </c>
      <c r="K71" s="19">
        <f>WORKDAY($D$2,I71)</f>
        <v/>
      </c>
      <c r="L71" s="19">
        <f>IF(H71=0,K71,WORKDAY($D$2,J71-1))</f>
        <v/>
      </c>
      <c r="M71" s="18" t="n">
        <v>5</v>
      </c>
      <c r="N71" s="18" t="n">
        <v>5</v>
      </c>
      <c r="O71" s="18" t="n">
        <v>13</v>
      </c>
      <c r="P71" s="18" t="inlineStr"/>
      <c r="Q71" s="18" t="inlineStr">
        <is>
          <t>Go-live</t>
        </is>
      </c>
      <c r="R71" s="21" t="n"/>
      <c r="S71" s="21" t="n"/>
      <c r="T71" s="21" t="n"/>
      <c r="U71" s="21" t="n"/>
      <c r="V71" s="26" t="n"/>
      <c r="W71" s="21" t="n"/>
      <c r="X71" s="21" t="n"/>
      <c r="Y71" s="21" t="n"/>
      <c r="Z71" s="21" t="n"/>
      <c r="AA71" s="22" t="n"/>
      <c r="AB71" s="21" t="n"/>
      <c r="AC71" s="21" t="n"/>
    </row>
    <row r="72" ht="30" customHeight="1">
      <c r="A72" s="24" t="inlineStr">
        <is>
          <t>G4</t>
        </is>
      </c>
      <c r="B72" s="16" t="inlineStr">
        <is>
          <t>Data migration (go-live migration kit)</t>
        </is>
      </c>
      <c r="C72" s="17" t="inlineStr">
        <is>
          <t>Mock load 2 on a fresh extract, with transaction reset before it</t>
        </is>
      </c>
      <c r="D72" s="16" t="inlineStr">
        <is>
          <t>iorta TechNXT</t>
        </is>
      </c>
      <c r="E72" s="17" t="inlineStr">
        <is>
          <t>iorta TechNXT migration lead</t>
        </is>
      </c>
      <c r="F72" s="17" t="inlineStr">
        <is>
          <t>Reconciliation workbook signed</t>
        </is>
      </c>
      <c r="G72" s="17" t="inlineStr">
        <is>
          <t>G3, C5</t>
        </is>
      </c>
      <c r="H72" s="18" t="n">
        <v>3</v>
      </c>
      <c r="I72" s="18" t="n">
        <v>30</v>
      </c>
      <c r="J72" s="18" t="n">
        <v>33</v>
      </c>
      <c r="K72" s="19">
        <f>WORKDAY($D$2,I72)</f>
        <v/>
      </c>
      <c r="L72" s="19">
        <f>IF(H72=0,K72,WORKDAY($D$2,J72-1))</f>
        <v/>
      </c>
      <c r="M72" s="18" t="n">
        <v>7</v>
      </c>
      <c r="N72" s="18" t="n">
        <v>7</v>
      </c>
      <c r="O72" s="18" t="n">
        <v>7</v>
      </c>
      <c r="P72" s="18" t="inlineStr"/>
      <c r="Q72" s="18" t="inlineStr">
        <is>
          <t>Go-live</t>
        </is>
      </c>
      <c r="R72" s="21" t="n"/>
      <c r="S72" s="21" t="n"/>
      <c r="T72" s="21" t="n"/>
      <c r="U72" s="21" t="n"/>
      <c r="V72" s="21" t="n"/>
      <c r="W72" s="21" t="n"/>
      <c r="X72" s="26" t="n"/>
      <c r="Y72" s="21" t="n"/>
      <c r="Z72" s="21" t="n"/>
      <c r="AA72" s="22" t="n"/>
      <c r="AB72" s="21" t="n"/>
      <c r="AC72" s="21" t="n"/>
    </row>
    <row r="73">
      <c r="A73" s="13" t="inlineStr">
        <is>
          <t>Training</t>
        </is>
      </c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 ht="30" customHeight="1">
      <c r="A74" s="24" t="inlineStr">
        <is>
          <t>L2</t>
        </is>
      </c>
      <c r="B74" s="16" t="inlineStr">
        <is>
          <t>Training</t>
        </is>
      </c>
      <c r="C74" s="17" t="inlineStr">
        <is>
          <t>Compliance officer, DPO and System Administrator training on the compliance and privacy screens</t>
        </is>
      </c>
      <c r="D74" s="16" t="inlineStr">
        <is>
          <t>iorta TechNXT</t>
        </is>
      </c>
      <c r="E74" s="17" t="inlineStr">
        <is>
          <t>iorta TechNXT consultant</t>
        </is>
      </c>
      <c r="F74" s="17" t="inlineStr">
        <is>
          <t>Attendance and assessment</t>
        </is>
      </c>
      <c r="G74" s="17" t="inlineStr">
        <is>
          <t>K1</t>
        </is>
      </c>
      <c r="H74" s="18" t="n">
        <v>1</v>
      </c>
      <c r="I74" s="18" t="n">
        <v>25</v>
      </c>
      <c r="J74" s="18" t="n">
        <v>26</v>
      </c>
      <c r="K74" s="19">
        <f>WORKDAY($D$2,I74)</f>
        <v/>
      </c>
      <c r="L74" s="19">
        <f>IF(H74=0,K74,WORKDAY($D$2,J74-1))</f>
        <v/>
      </c>
      <c r="M74" s="18" t="n">
        <v>6</v>
      </c>
      <c r="N74" s="18" t="n">
        <v>6</v>
      </c>
      <c r="O74" s="18" t="n">
        <v>17</v>
      </c>
      <c r="P74" s="18" t="inlineStr"/>
      <c r="Q74" s="18" t="inlineStr">
        <is>
          <t>Go-live</t>
        </is>
      </c>
      <c r="R74" s="21" t="n"/>
      <c r="S74" s="21" t="n"/>
      <c r="T74" s="21" t="n"/>
      <c r="U74" s="21" t="n"/>
      <c r="V74" s="21" t="n"/>
      <c r="W74" s="26" t="n"/>
      <c r="X74" s="21" t="n"/>
      <c r="Y74" s="21" t="n"/>
      <c r="Z74" s="21" t="n"/>
      <c r="AA74" s="22" t="n"/>
      <c r="AB74" s="21" t="n"/>
      <c r="AC74" s="21" t="n"/>
    </row>
    <row r="75" ht="30" customHeight="1">
      <c r="A75" s="15" t="inlineStr">
        <is>
          <t>L1</t>
        </is>
      </c>
      <c r="B75" s="16" t="inlineStr">
        <is>
          <t>Training</t>
        </is>
      </c>
      <c r="C75" s="17" t="inlineStr">
        <is>
          <t>Train-the-trainer for key users, with trainer skills and teach-back</t>
        </is>
      </c>
      <c r="D75" s="16" t="inlineStr">
        <is>
          <t>iorta TechNXT</t>
        </is>
      </c>
      <c r="E75" s="17" t="inlineStr">
        <is>
          <t>iorta TechNXT consultants</t>
        </is>
      </c>
      <c r="F75" s="17" t="inlineStr">
        <is>
          <t>Key users passed at 90%</t>
        </is>
      </c>
      <c r="G75" s="17" t="inlineStr">
        <is>
          <t>C5</t>
        </is>
      </c>
      <c r="H75" s="18" t="n">
        <v>5</v>
      </c>
      <c r="I75" s="18" t="n">
        <v>30</v>
      </c>
      <c r="J75" s="18" t="n">
        <v>35</v>
      </c>
      <c r="K75" s="19">
        <f>WORKDAY($D$2,I75)</f>
        <v/>
      </c>
      <c r="L75" s="19">
        <f>IF(H75=0,K75,WORKDAY($D$2,J75-1))</f>
        <v/>
      </c>
      <c r="M75" s="18" t="n">
        <v>7</v>
      </c>
      <c r="N75" s="18" t="n">
        <v>7</v>
      </c>
      <c r="O75" s="18" t="n">
        <v>0</v>
      </c>
      <c r="P75" s="18" t="inlineStr">
        <is>
          <t>Yes</t>
        </is>
      </c>
      <c r="Q75" s="18" t="inlineStr">
        <is>
          <t>Go-live</t>
        </is>
      </c>
      <c r="R75" s="21" t="n"/>
      <c r="S75" s="21" t="n"/>
      <c r="T75" s="21" t="n"/>
      <c r="U75" s="21" t="n"/>
      <c r="V75" s="21" t="n"/>
      <c r="W75" s="21" t="n"/>
      <c r="X75" s="23" t="n"/>
      <c r="Y75" s="21" t="n"/>
      <c r="Z75" s="21" t="n"/>
      <c r="AA75" s="22" t="n"/>
      <c r="AB75" s="21" t="n"/>
      <c r="AC75" s="21" t="n"/>
    </row>
    <row r="76" ht="30" customHeight="1">
      <c r="A76" s="15" t="inlineStr">
        <is>
          <t>L3</t>
        </is>
      </c>
      <c r="B76" s="16" t="inlineStr">
        <is>
          <t>Training</t>
        </is>
      </c>
      <c r="C76" s="17" t="inlineStr">
        <is>
          <t>End-user training per role, run by key users</t>
        </is>
      </c>
      <c r="D76" s="16" t="inlineStr">
        <is>
          <t>Broker</t>
        </is>
      </c>
      <c r="E76" s="17" t="inlineStr">
        <is>
          <t>Broker key users</t>
        </is>
      </c>
      <c r="F76" s="17" t="inlineStr">
        <is>
          <t>Every user trained and assessed</t>
        </is>
      </c>
      <c r="G76" s="17" t="inlineStr">
        <is>
          <t>L1, T3, I9</t>
        </is>
      </c>
      <c r="H76" s="18" t="n">
        <v>8</v>
      </c>
      <c r="I76" s="18" t="n">
        <v>35</v>
      </c>
      <c r="J76" s="18" t="n">
        <v>43</v>
      </c>
      <c r="K76" s="19">
        <f>WORKDAY($D$2,I76)</f>
        <v/>
      </c>
      <c r="L76" s="19">
        <f>IF(H76=0,K76,WORKDAY($D$2,J76-1))</f>
        <v/>
      </c>
      <c r="M76" s="18" t="n">
        <v>8</v>
      </c>
      <c r="N76" s="18" t="n">
        <v>9</v>
      </c>
      <c r="O76" s="18" t="n">
        <v>0</v>
      </c>
      <c r="P76" s="18" t="inlineStr">
        <is>
          <t>Yes</t>
        </is>
      </c>
      <c r="Q76" s="18" t="inlineStr">
        <is>
          <t>Go-live</t>
        </is>
      </c>
      <c r="R76" s="21" t="n"/>
      <c r="S76" s="21" t="n"/>
      <c r="T76" s="21" t="n"/>
      <c r="U76" s="21" t="n"/>
      <c r="V76" s="21" t="n"/>
      <c r="W76" s="21" t="n"/>
      <c r="X76" s="21" t="n"/>
      <c r="Y76" s="27" t="n"/>
      <c r="Z76" s="27" t="n"/>
      <c r="AA76" s="22" t="n"/>
      <c r="AB76" s="21" t="n"/>
      <c r="AC76" s="21" t="n"/>
    </row>
    <row r="77">
      <c r="A77" s="13" t="inlineStr">
        <is>
          <t>SIT and UAT</t>
        </is>
      </c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 ht="40" customHeight="1">
      <c r="A78" s="15" t="inlineStr">
        <is>
          <t>T1</t>
        </is>
      </c>
      <c r="B78" s="16" t="inlineStr">
        <is>
          <t>SIT and UAT</t>
        </is>
      </c>
      <c r="C78" s="17" t="inlineStr">
        <is>
          <t>System integration test in Dev (small, medium) or SIT (large, enterprise): end-to-end flows, uat-scenario.js, connectors in test mode</t>
        </is>
      </c>
      <c r="D78" s="16" t="inlineStr">
        <is>
          <t>iorta TechNXT</t>
        </is>
      </c>
      <c r="E78" s="17" t="inlineStr">
        <is>
          <t>iorta TechNXT test lead</t>
        </is>
      </c>
      <c r="F78" s="17" t="inlineStr">
        <is>
          <t>SIT results; defect log</t>
        </is>
      </c>
      <c r="G78" s="17" t="inlineStr">
        <is>
          <t>C3SS+6d, C2</t>
        </is>
      </c>
      <c r="H78" s="18" t="n">
        <v>9</v>
      </c>
      <c r="I78" s="18" t="n">
        <v>25</v>
      </c>
      <c r="J78" s="18" t="n">
        <v>34</v>
      </c>
      <c r="K78" s="19">
        <f>WORKDAY($D$2,I78)</f>
        <v/>
      </c>
      <c r="L78" s="19">
        <f>IF(H78=0,K78,WORKDAY($D$2,J78-1))</f>
        <v/>
      </c>
      <c r="M78" s="18" t="n">
        <v>6</v>
      </c>
      <c r="N78" s="18" t="n">
        <v>7</v>
      </c>
      <c r="O78" s="18" t="n">
        <v>0</v>
      </c>
      <c r="P78" s="18" t="inlineStr">
        <is>
          <t>Yes</t>
        </is>
      </c>
      <c r="Q78" s="18" t="inlineStr">
        <is>
          <t>Go-live</t>
        </is>
      </c>
      <c r="R78" s="21" t="n"/>
      <c r="S78" s="21" t="n"/>
      <c r="T78" s="21" t="n"/>
      <c r="U78" s="21" t="n"/>
      <c r="V78" s="21" t="n"/>
      <c r="W78" s="23" t="n"/>
      <c r="X78" s="23" t="n"/>
      <c r="Y78" s="21" t="n"/>
      <c r="Z78" s="21" t="n"/>
      <c r="AA78" s="22" t="n"/>
      <c r="AB78" s="21" t="n"/>
      <c r="AC78" s="21" t="n"/>
    </row>
    <row r="79" ht="30" customHeight="1">
      <c r="A79" s="15" t="inlineStr">
        <is>
          <t>T2</t>
        </is>
      </c>
      <c r="B79" s="16" t="inlineStr">
        <is>
          <t>SIT and UAT</t>
        </is>
      </c>
      <c r="C79" s="17" t="inlineStr">
        <is>
          <t>SIT exit</t>
        </is>
      </c>
      <c r="D79" s="16" t="inlineStr">
        <is>
          <t>iorta TechNXT</t>
        </is>
      </c>
      <c r="E79" s="17" t="inlineStr">
        <is>
          <t>iorta TechNXT test lead</t>
        </is>
      </c>
      <c r="F79" s="17" t="inlineStr">
        <is>
          <t>SIT exit report</t>
        </is>
      </c>
      <c r="G79" s="17" t="inlineStr">
        <is>
          <t>T1, C5</t>
        </is>
      </c>
      <c r="H79" s="18" t="n">
        <v>0</v>
      </c>
      <c r="I79" s="18" t="n">
        <v>34</v>
      </c>
      <c r="J79" s="18" t="n">
        <v>34</v>
      </c>
      <c r="K79" s="19">
        <f>WORKDAY($D$2,I79)</f>
        <v/>
      </c>
      <c r="L79" s="19">
        <f>IF(H79=0,K79,WORKDAY($D$2,J79-1))</f>
        <v/>
      </c>
      <c r="M79" s="18" t="n">
        <v>7</v>
      </c>
      <c r="N79" s="18" t="n">
        <v>7</v>
      </c>
      <c r="O79" s="18" t="n">
        <v>0</v>
      </c>
      <c r="P79" s="18" t="inlineStr">
        <is>
          <t>Yes</t>
        </is>
      </c>
      <c r="Q79" s="18" t="inlineStr">
        <is>
          <t>Go-live</t>
        </is>
      </c>
      <c r="R79" s="21" t="n"/>
      <c r="S79" s="21" t="n"/>
      <c r="T79" s="21" t="n"/>
      <c r="U79" s="21" t="n"/>
      <c r="V79" s="21" t="n"/>
      <c r="W79" s="21" t="n"/>
      <c r="X79" s="20" t="inlineStr">
        <is>
          <t>◆</t>
        </is>
      </c>
      <c r="Y79" s="21" t="n"/>
      <c r="Z79" s="21" t="n"/>
      <c r="AA79" s="22" t="n"/>
      <c r="AB79" s="21" t="n"/>
      <c r="AC79" s="21" t="n"/>
    </row>
    <row r="80" ht="40" customHeight="1">
      <c r="A80" s="15" t="inlineStr">
        <is>
          <t>T3</t>
        </is>
      </c>
      <c r="B80" s="16" t="inlineStr">
        <is>
          <t>SIT and UAT</t>
        </is>
      </c>
      <c r="C80" s="17" t="inlineStr">
        <is>
          <t>Release candidate and frozen configuration promoted to UAT (Current data workbook, brand pack); comparison report clean</t>
        </is>
      </c>
      <c r="D80" s="16" t="inlineStr">
        <is>
          <t>iorta TechNXT</t>
        </is>
      </c>
      <c r="E80" s="17" t="inlineStr">
        <is>
          <t>iorta TechNXT delivery lead</t>
        </is>
      </c>
      <c r="F80" s="17" t="inlineStr">
        <is>
          <t>Deploy run; comparison workbook</t>
        </is>
      </c>
      <c r="G80" s="17" t="inlineStr">
        <is>
          <t>T2, E3</t>
        </is>
      </c>
      <c r="H80" s="18" t="n">
        <v>1</v>
      </c>
      <c r="I80" s="18" t="n">
        <v>34</v>
      </c>
      <c r="J80" s="18" t="n">
        <v>35</v>
      </c>
      <c r="K80" s="19">
        <f>WORKDAY($D$2,I80)</f>
        <v/>
      </c>
      <c r="L80" s="19">
        <f>IF(H80=0,K80,WORKDAY($D$2,J80-1))</f>
        <v/>
      </c>
      <c r="M80" s="18" t="n">
        <v>7</v>
      </c>
      <c r="N80" s="18" t="n">
        <v>7</v>
      </c>
      <c r="O80" s="18" t="n">
        <v>0</v>
      </c>
      <c r="P80" s="18" t="inlineStr">
        <is>
          <t>Yes</t>
        </is>
      </c>
      <c r="Q80" s="18" t="inlineStr">
        <is>
          <t>Go-live</t>
        </is>
      </c>
      <c r="R80" s="21" t="n"/>
      <c r="S80" s="21" t="n"/>
      <c r="T80" s="21" t="n"/>
      <c r="U80" s="21" t="n"/>
      <c r="V80" s="21" t="n"/>
      <c r="W80" s="21" t="n"/>
      <c r="X80" s="23" t="n"/>
      <c r="Y80" s="21" t="n"/>
      <c r="Z80" s="21" t="n"/>
      <c r="AA80" s="22" t="n"/>
      <c r="AB80" s="21" t="n"/>
      <c r="AC80" s="21" t="n"/>
    </row>
    <row r="81" ht="30" customHeight="1">
      <c r="A81" s="15" t="inlineStr">
        <is>
          <t>T4</t>
        </is>
      </c>
      <c r="B81" s="16" t="inlineStr">
        <is>
          <t>SIT and UAT</t>
        </is>
      </c>
      <c r="C81" s="17" t="inlineStr">
        <is>
          <t>UAT cycles with the UAT scripts and broker scenarios, including compliance, BIR and integration scripts</t>
        </is>
      </c>
      <c r="D81" s="16" t="inlineStr">
        <is>
          <t>Broker</t>
        </is>
      </c>
      <c r="E81" s="17" t="inlineStr">
        <is>
          <t>Broker key users</t>
        </is>
      </c>
      <c r="F81" s="17" t="inlineStr">
        <is>
          <t>UAT results per script</t>
        </is>
      </c>
      <c r="G81" s="17" t="inlineStr">
        <is>
          <t>T3, I10</t>
        </is>
      </c>
      <c r="H81" s="18" t="n">
        <v>8</v>
      </c>
      <c r="I81" s="18" t="n">
        <v>35</v>
      </c>
      <c r="J81" s="18" t="n">
        <v>43</v>
      </c>
      <c r="K81" s="19">
        <f>WORKDAY($D$2,I81)</f>
        <v/>
      </c>
      <c r="L81" s="19">
        <f>IF(H81=0,K81,WORKDAY($D$2,J81-1))</f>
        <v/>
      </c>
      <c r="M81" s="18" t="n">
        <v>8</v>
      </c>
      <c r="N81" s="18" t="n">
        <v>9</v>
      </c>
      <c r="O81" s="18" t="n">
        <v>0</v>
      </c>
      <c r="P81" s="18" t="inlineStr">
        <is>
          <t>Yes</t>
        </is>
      </c>
      <c r="Q81" s="18" t="inlineStr">
        <is>
          <t>Go-live</t>
        </is>
      </c>
      <c r="R81" s="21" t="n"/>
      <c r="S81" s="21" t="n"/>
      <c r="T81" s="21" t="n"/>
      <c r="U81" s="21" t="n"/>
      <c r="V81" s="21" t="n"/>
      <c r="W81" s="21" t="n"/>
      <c r="X81" s="21" t="n"/>
      <c r="Y81" s="27" t="n"/>
      <c r="Z81" s="27" t="n"/>
      <c r="AA81" s="22" t="n"/>
      <c r="AB81" s="21" t="n"/>
      <c r="AC81" s="21" t="n"/>
    </row>
    <row r="82" ht="30" customHeight="1">
      <c r="A82" s="15" t="inlineStr">
        <is>
          <t>T5</t>
        </is>
      </c>
      <c r="B82" s="16" t="inlineStr">
        <is>
          <t>SIT and UAT</t>
        </is>
      </c>
      <c r="C82" s="17" t="inlineStr">
        <is>
          <t>UAT sign-off</t>
        </is>
      </c>
      <c r="D82" s="16" t="inlineStr">
        <is>
          <t>Broker</t>
        </is>
      </c>
      <c r="E82" s="17" t="inlineStr">
        <is>
          <t>Broker sponsor and process owners</t>
        </is>
      </c>
      <c r="F82" s="17" t="inlineStr">
        <is>
          <t>UAT Sign-off Certificate (Form 1)</t>
        </is>
      </c>
      <c r="G82" s="17" t="inlineStr">
        <is>
          <t>T4, R6</t>
        </is>
      </c>
      <c r="H82" s="18" t="n">
        <v>0</v>
      </c>
      <c r="I82" s="18" t="n">
        <v>43</v>
      </c>
      <c r="J82" s="18" t="n">
        <v>43</v>
      </c>
      <c r="K82" s="19">
        <f>WORKDAY($D$2,I82)</f>
        <v/>
      </c>
      <c r="L82" s="19">
        <f>IF(H82=0,K82,WORKDAY($D$2,J82-1))</f>
        <v/>
      </c>
      <c r="M82" s="18" t="n">
        <v>9</v>
      </c>
      <c r="N82" s="18" t="n">
        <v>9</v>
      </c>
      <c r="O82" s="18" t="n">
        <v>0</v>
      </c>
      <c r="P82" s="18" t="inlineStr">
        <is>
          <t>Yes</t>
        </is>
      </c>
      <c r="Q82" s="18" t="inlineStr">
        <is>
          <t>Go-live</t>
        </is>
      </c>
      <c r="R82" s="21" t="n"/>
      <c r="S82" s="21" t="n"/>
      <c r="T82" s="21" t="n"/>
      <c r="U82" s="21" t="n"/>
      <c r="V82" s="21" t="n"/>
      <c r="W82" s="21" t="n"/>
      <c r="X82" s="21" t="n"/>
      <c r="Y82" s="21" t="n"/>
      <c r="Z82" s="20" t="inlineStr">
        <is>
          <t>◆</t>
        </is>
      </c>
      <c r="AA82" s="22" t="n"/>
      <c r="AB82" s="21" t="n"/>
      <c r="AC82" s="21" t="n"/>
    </row>
    <row r="83">
      <c r="A83" s="13" t="inlineStr">
        <is>
          <t>Rehearsal and cutover</t>
        </is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 ht="30" customHeight="1">
      <c r="A84" s="24" t="inlineStr">
        <is>
          <t>X1</t>
        </is>
      </c>
      <c r="B84" s="16" t="inlineStr">
        <is>
          <t>Rehearsal and cutover</t>
        </is>
      </c>
      <c r="C84" s="17" t="inlineStr">
        <is>
          <t>Release tag and frozen configuration deployed to Production; production smoke test; transaction reset</t>
        </is>
      </c>
      <c r="D84" s="16" t="inlineStr">
        <is>
          <t>iorta TechNXT</t>
        </is>
      </c>
      <c r="E84" s="17" t="inlineStr">
        <is>
          <t>iorta TechNXT DevOps lead</t>
        </is>
      </c>
      <c r="F84" s="17" t="inlineStr">
        <is>
          <t>Deploy run; smoke test record; reset audit entry</t>
        </is>
      </c>
      <c r="G84" s="17" t="inlineStr">
        <is>
          <t>T3, E7, R1</t>
        </is>
      </c>
      <c r="H84" s="18" t="n">
        <v>2</v>
      </c>
      <c r="I84" s="18" t="n">
        <v>35</v>
      </c>
      <c r="J84" s="18" t="n">
        <v>37</v>
      </c>
      <c r="K84" s="19">
        <f>WORKDAY($D$2,I84)</f>
        <v/>
      </c>
      <c r="L84" s="19">
        <f>IF(H84=0,K84,WORKDAY($D$2,J84-1))</f>
        <v/>
      </c>
      <c r="M84" s="18" t="n">
        <v>8</v>
      </c>
      <c r="N84" s="18" t="n">
        <v>8</v>
      </c>
      <c r="O84" s="18" t="n">
        <v>2</v>
      </c>
      <c r="P84" s="18" t="inlineStr"/>
      <c r="Q84" s="18" t="inlineStr">
        <is>
          <t>Go-live</t>
        </is>
      </c>
      <c r="R84" s="21" t="n"/>
      <c r="S84" s="21" t="n"/>
      <c r="T84" s="21" t="n"/>
      <c r="U84" s="21" t="n"/>
      <c r="V84" s="21" t="n"/>
      <c r="W84" s="21" t="n"/>
      <c r="X84" s="21" t="n"/>
      <c r="Y84" s="26" t="n"/>
      <c r="Z84" s="21" t="n"/>
      <c r="AA84" s="22" t="n"/>
      <c r="AB84" s="21" t="n"/>
      <c r="AC84" s="21" t="n"/>
    </row>
    <row r="85" ht="30" customHeight="1">
      <c r="A85" s="24" t="inlineStr">
        <is>
          <t>X2</t>
        </is>
      </c>
      <c r="B85" s="16" t="inlineStr">
        <is>
          <t>Rehearsal and cutover</t>
        </is>
      </c>
      <c r="C85" s="17" t="inlineStr">
        <is>
          <t>Pre-Prod created from a production backup (masked when people without production access take part)</t>
        </is>
      </c>
      <c r="D85" s="16" t="inlineStr">
        <is>
          <t>iorta TechNXT</t>
        </is>
      </c>
      <c r="E85" s="17" t="inlineStr">
        <is>
          <t>iorta TechNXT DevOps lead</t>
        </is>
      </c>
      <c r="F85" s="17" t="inlineStr">
        <is>
          <t>Restore record (counts as a restore test)</t>
        </is>
      </c>
      <c r="G85" s="17" t="inlineStr">
        <is>
          <t>X1</t>
        </is>
      </c>
      <c r="H85" s="18" t="n">
        <v>1</v>
      </c>
      <c r="I85" s="18" t="n">
        <v>37</v>
      </c>
      <c r="J85" s="18" t="n">
        <v>38</v>
      </c>
      <c r="K85" s="19">
        <f>WORKDAY($D$2,I85)</f>
        <v/>
      </c>
      <c r="L85" s="19">
        <f>IF(H85=0,K85,WORKDAY($D$2,J85-1))</f>
        <v/>
      </c>
      <c r="M85" s="18" t="n">
        <v>8</v>
      </c>
      <c r="N85" s="18" t="n">
        <v>8</v>
      </c>
      <c r="O85" s="18" t="n">
        <v>2</v>
      </c>
      <c r="P85" s="18" t="inlineStr"/>
      <c r="Q85" s="18" t="inlineStr">
        <is>
          <t>Go-live</t>
        </is>
      </c>
      <c r="R85" s="21" t="n"/>
      <c r="S85" s="21" t="n"/>
      <c r="T85" s="21" t="n"/>
      <c r="U85" s="21" t="n"/>
      <c r="V85" s="21" t="n"/>
      <c r="W85" s="21" t="n"/>
      <c r="X85" s="21" t="n"/>
      <c r="Y85" s="26" t="n"/>
      <c r="Z85" s="21" t="n"/>
      <c r="AA85" s="22" t="n"/>
      <c r="AB85" s="21" t="n"/>
      <c r="AC85" s="21" t="n"/>
    </row>
    <row r="86" ht="40" customHeight="1">
      <c r="A86" s="15" t="inlineStr">
        <is>
          <t>X3</t>
        </is>
      </c>
      <c r="B86" s="16" t="inlineStr">
        <is>
          <t>Rehearsal and cutover</t>
        </is>
      </c>
      <c r="C86" s="17" t="inlineStr">
        <is>
          <t>Cutover rehearsal in Pre-Prod: reset, migration load of a fresh extract, reconciliation, go-live lock, comparison against Production, timings</t>
        </is>
      </c>
      <c r="D86" s="16" t="inlineStr">
        <is>
          <t>iorta TechNXT</t>
        </is>
      </c>
      <c r="E86" s="17" t="inlineStr">
        <is>
          <t>iorta TechNXT migration lead</t>
        </is>
      </c>
      <c r="F86" s="17" t="inlineStr">
        <is>
          <t>Rehearsal log; reconciliation signed</t>
        </is>
      </c>
      <c r="G86" s="17" t="inlineStr">
        <is>
          <t>X2, G4, T4SS+5d</t>
        </is>
      </c>
      <c r="H86" s="18" t="n">
        <v>3</v>
      </c>
      <c r="I86" s="18" t="n">
        <v>40</v>
      </c>
      <c r="J86" s="18" t="n">
        <v>43</v>
      </c>
      <c r="K86" s="19">
        <f>WORKDAY($D$2,I86)</f>
        <v/>
      </c>
      <c r="L86" s="19">
        <f>IF(H86=0,K86,WORKDAY($D$2,J86-1))</f>
        <v/>
      </c>
      <c r="M86" s="18" t="n">
        <v>9</v>
      </c>
      <c r="N86" s="18" t="n">
        <v>9</v>
      </c>
      <c r="O86" s="18" t="n">
        <v>0</v>
      </c>
      <c r="P86" s="18" t="inlineStr">
        <is>
          <t>Yes</t>
        </is>
      </c>
      <c r="Q86" s="18" t="inlineStr">
        <is>
          <t>Go-live</t>
        </is>
      </c>
      <c r="R86" s="21" t="n"/>
      <c r="S86" s="21" t="n"/>
      <c r="T86" s="21" t="n"/>
      <c r="U86" s="21" t="n"/>
      <c r="V86" s="21" t="n"/>
      <c r="W86" s="21" t="n"/>
      <c r="X86" s="21" t="n"/>
      <c r="Y86" s="21" t="n"/>
      <c r="Z86" s="23" t="n"/>
      <c r="AA86" s="22" t="n"/>
      <c r="AB86" s="21" t="n"/>
      <c r="AC86" s="21" t="n"/>
    </row>
    <row r="87" ht="30" customHeight="1">
      <c r="A87" s="15" t="inlineStr">
        <is>
          <t>X4</t>
        </is>
      </c>
      <c r="B87" s="16" t="inlineStr">
        <is>
          <t>Rehearsal and cutover</t>
        </is>
      </c>
      <c r="C87" s="17" t="inlineStr">
        <is>
          <t>Go/no-go 1: UAT signed, rehearsal reconciled, users trained, registrations and partner states confirmed</t>
        </is>
      </c>
      <c r="D87" s="16" t="inlineStr">
        <is>
          <t>Broker</t>
        </is>
      </c>
      <c r="E87" s="17" t="inlineStr">
        <is>
          <t>Steering committee</t>
        </is>
      </c>
      <c r="F87" s="17" t="inlineStr">
        <is>
          <t>Minutes</t>
        </is>
      </c>
      <c r="G87" s="17" t="inlineStr">
        <is>
          <t>X3, T5, L3, L2, K2, K3, N1, N2, R5, B1</t>
        </is>
      </c>
      <c r="H87" s="18" t="n">
        <v>0</v>
      </c>
      <c r="I87" s="18" t="n">
        <v>43</v>
      </c>
      <c r="J87" s="18" t="n">
        <v>43</v>
      </c>
      <c r="K87" s="19">
        <f>WORKDAY($D$2,I87)</f>
        <v/>
      </c>
      <c r="L87" s="19">
        <f>IF(H87=0,K87,WORKDAY($D$2,J87-1))</f>
        <v/>
      </c>
      <c r="M87" s="18" t="n">
        <v>9</v>
      </c>
      <c r="N87" s="18" t="n">
        <v>9</v>
      </c>
      <c r="O87" s="18" t="n">
        <v>0</v>
      </c>
      <c r="P87" s="18" t="inlineStr">
        <is>
          <t>Yes</t>
        </is>
      </c>
      <c r="Q87" s="18" t="inlineStr">
        <is>
          <t>Go-live</t>
        </is>
      </c>
      <c r="R87" s="21" t="n"/>
      <c r="S87" s="21" t="n"/>
      <c r="T87" s="21" t="n"/>
      <c r="U87" s="21" t="n"/>
      <c r="V87" s="21" t="n"/>
      <c r="W87" s="21" t="n"/>
      <c r="X87" s="21" t="n"/>
      <c r="Y87" s="21" t="n"/>
      <c r="Z87" s="20" t="inlineStr">
        <is>
          <t>◆</t>
        </is>
      </c>
      <c r="AA87" s="22" t="n"/>
      <c r="AB87" s="21" t="n"/>
      <c r="AC87" s="21" t="n"/>
    </row>
    <row r="88" ht="40" customHeight="1">
      <c r="A88" s="15" t="inlineStr">
        <is>
          <t>X5</t>
        </is>
      </c>
      <c r="B88" s="16" t="inlineStr">
        <is>
          <t>Rehearsal and cutover</t>
        </is>
      </c>
      <c r="C88" s="17" t="inlineStr">
        <is>
          <t>Cutover: freeze, final extract, final load, reconciliation, go/no-go 2, golive.locked, mask:data --register-production</t>
        </is>
      </c>
      <c r="D88" s="16" t="inlineStr">
        <is>
          <t>Broker</t>
        </is>
      </c>
      <c r="E88" s="17" t="inlineStr">
        <is>
          <t>Broker PM with the iorta TechNXT migration lead</t>
        </is>
      </c>
      <c r="F88" s="17" t="inlineStr">
        <is>
          <t>Signed reconciliation; go decision; audit entries</t>
        </is>
      </c>
      <c r="G88" s="17" t="inlineStr">
        <is>
          <t>X4</t>
        </is>
      </c>
      <c r="H88" s="18" t="n">
        <v>2</v>
      </c>
      <c r="I88" s="18" t="n">
        <v>43</v>
      </c>
      <c r="J88" s="18" t="n">
        <v>45</v>
      </c>
      <c r="K88" s="19">
        <f>WORKDAY($D$2,I88)</f>
        <v/>
      </c>
      <c r="L88" s="19">
        <f>IF(H88=0,K88,WORKDAY($D$2,J88-1))</f>
        <v/>
      </c>
      <c r="M88" s="18" t="n">
        <v>9</v>
      </c>
      <c r="N88" s="18" t="n">
        <v>9</v>
      </c>
      <c r="O88" s="18" t="n">
        <v>0</v>
      </c>
      <c r="P88" s="18" t="inlineStr">
        <is>
          <t>Yes</t>
        </is>
      </c>
      <c r="Q88" s="18" t="inlineStr">
        <is>
          <t>Go-live</t>
        </is>
      </c>
      <c r="R88" s="21" t="n"/>
      <c r="S88" s="21" t="n"/>
      <c r="T88" s="21" t="n"/>
      <c r="U88" s="21" t="n"/>
      <c r="V88" s="21" t="n"/>
      <c r="W88" s="21" t="n"/>
      <c r="X88" s="21" t="n"/>
      <c r="Y88" s="21" t="n"/>
      <c r="Z88" s="27" t="n"/>
      <c r="AA88" s="22" t="n"/>
      <c r="AB88" s="21" t="n"/>
      <c r="AC88" s="21" t="n"/>
    </row>
    <row r="89" ht="30" customHeight="1">
      <c r="A89" s="15" t="inlineStr">
        <is>
          <t>X6</t>
        </is>
      </c>
      <c r="B89" s="16" t="inlineStr">
        <is>
          <t>Rehearsal and cutover</t>
        </is>
      </c>
      <c r="C89" s="17" t="inlineStr">
        <is>
          <t>Go-live</t>
        </is>
      </c>
      <c r="D89" s="16" t="inlineStr">
        <is>
          <t>Broker</t>
        </is>
      </c>
      <c r="E89" s="17" t="inlineStr">
        <is>
          <t>Broker sponsor</t>
        </is>
      </c>
      <c r="F89" s="17" t="inlineStr">
        <is>
          <t>First day of transactions in BrokerVerse</t>
        </is>
      </c>
      <c r="G89" s="17" t="inlineStr">
        <is>
          <t>X5</t>
        </is>
      </c>
      <c r="H89" s="18" t="n">
        <v>0</v>
      </c>
      <c r="I89" s="18" t="n">
        <v>45</v>
      </c>
      <c r="J89" s="18" t="n">
        <v>45</v>
      </c>
      <c r="K89" s="19">
        <f>WORKDAY($D$2,I89)</f>
        <v/>
      </c>
      <c r="L89" s="19">
        <f>IF(H89=0,K89,WORKDAY($D$2,J89-1))</f>
        <v/>
      </c>
      <c r="M89" s="18" t="n">
        <v>10</v>
      </c>
      <c r="N89" s="18" t="n">
        <v>10</v>
      </c>
      <c r="O89" s="18" t="n">
        <v>0</v>
      </c>
      <c r="P89" s="18" t="inlineStr">
        <is>
          <t>Yes</t>
        </is>
      </c>
      <c r="Q89" s="18" t="inlineStr">
        <is>
          <t>Go-live</t>
        </is>
      </c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9" t="inlineStr">
        <is>
          <t>GO</t>
        </is>
      </c>
      <c r="AB89" s="21" t="n"/>
      <c r="AC89" s="21" t="n"/>
    </row>
    <row r="90">
      <c r="A90" s="13" t="inlineStr">
        <is>
          <t>Hypercare</t>
        </is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 ht="40" customHeight="1">
      <c r="A91" s="24" t="inlineStr">
        <is>
          <t>H1</t>
        </is>
      </c>
      <c r="B91" s="16" t="inlineStr">
        <is>
          <t>Hypercare</t>
        </is>
      </c>
      <c r="C91" s="17" t="inlineStr">
        <is>
          <t>Hypercare: daily check-ins in week 1, then weekly; first receipts, remittances, bank imports and payment files watched</t>
        </is>
      </c>
      <c r="D91" s="16" t="inlineStr">
        <is>
          <t>iorta TechNXT</t>
        </is>
      </c>
      <c r="E91" s="17" t="inlineStr">
        <is>
          <t>iorta TechNXT PM</t>
        </is>
      </c>
      <c r="F91" s="17" t="inlineStr">
        <is>
          <t>Hypercare log</t>
        </is>
      </c>
      <c r="G91" s="17" t="inlineStr">
        <is>
          <t>X6</t>
        </is>
      </c>
      <c r="H91" s="18" t="n">
        <v>15</v>
      </c>
      <c r="I91" s="18" t="n">
        <v>45</v>
      </c>
      <c r="J91" s="18" t="n">
        <v>60</v>
      </c>
      <c r="K91" s="19">
        <f>WORKDAY($D$2,I91)</f>
        <v/>
      </c>
      <c r="L91" s="19">
        <f>IF(H91=0,K91,WORKDAY($D$2,J91-1))</f>
        <v/>
      </c>
      <c r="M91" s="18" t="n">
        <v>10</v>
      </c>
      <c r="N91" s="18" t="n">
        <v>12</v>
      </c>
      <c r="O91" s="18" t="n"/>
      <c r="P91" s="18" t="inlineStr"/>
      <c r="Q91" s="18" t="inlineStr">
        <is>
          <t>Hypercare exit</t>
        </is>
      </c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6" t="n"/>
      <c r="AB91" s="26" t="n"/>
      <c r="AC91" s="26" t="n"/>
    </row>
    <row r="92" ht="30" customHeight="1">
      <c r="A92" s="24" t="inlineStr">
        <is>
          <t>H2</t>
        </is>
      </c>
      <c r="B92" s="16" t="inlineStr">
        <is>
          <t>Hypercare</t>
        </is>
      </c>
      <c r="C92" s="17" t="inlineStr">
        <is>
          <t>First month-end close and BIR working papers of the first month supported</t>
        </is>
      </c>
      <c r="D92" s="16" t="inlineStr">
        <is>
          <t>Broker</t>
        </is>
      </c>
      <c r="E92" s="17" t="inlineStr">
        <is>
          <t>Broker Accounting Manager</t>
        </is>
      </c>
      <c r="F92" s="17" t="inlineStr">
        <is>
          <t>Approved Month-End Close run</t>
        </is>
      </c>
      <c r="G92" s="17" t="inlineStr">
        <is>
          <t>X6+10d</t>
        </is>
      </c>
      <c r="H92" s="18" t="n">
        <v>5</v>
      </c>
      <c r="I92" s="18" t="n">
        <v>55</v>
      </c>
      <c r="J92" s="18" t="n">
        <v>60</v>
      </c>
      <c r="K92" s="19">
        <f>WORKDAY($D$2,I92)</f>
        <v/>
      </c>
      <c r="L92" s="19">
        <f>IF(H92=0,K92,WORKDAY($D$2,J92-1))</f>
        <v/>
      </c>
      <c r="M92" s="18" t="n">
        <v>12</v>
      </c>
      <c r="N92" s="18" t="n">
        <v>12</v>
      </c>
      <c r="O92" s="18" t="n"/>
      <c r="P92" s="18" t="inlineStr"/>
      <c r="Q92" s="18" t="inlineStr">
        <is>
          <t>Hypercare exit</t>
        </is>
      </c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2" t="n"/>
      <c r="AB92" s="21" t="n"/>
      <c r="AC92" s="25" t="n"/>
    </row>
    <row r="93" ht="40" customHeight="1">
      <c r="A93" s="24" t="inlineStr">
        <is>
          <t>H3</t>
        </is>
      </c>
      <c r="B93" s="16" t="inlineStr">
        <is>
          <t>Hypercare</t>
        </is>
      </c>
      <c r="C93" s="17" t="inlineStr">
        <is>
          <t>Knowledge transfer, configuration baseline (Current data workbook of Production), handover; Pre-Prod removed</t>
        </is>
      </c>
      <c r="D93" s="16" t="inlineStr">
        <is>
          <t>iorta TechNXT</t>
        </is>
      </c>
      <c r="E93" s="17" t="inlineStr">
        <is>
          <t>iorta TechNXT PM and support manager</t>
        </is>
      </c>
      <c r="F93" s="17" t="inlineStr">
        <is>
          <t>Hypercare Exit and Handover Certificate</t>
        </is>
      </c>
      <c r="G93" s="17" t="inlineStr">
        <is>
          <t>H1, H2</t>
        </is>
      </c>
      <c r="H93" s="18" t="n">
        <v>0</v>
      </c>
      <c r="I93" s="18" t="n">
        <v>60</v>
      </c>
      <c r="J93" s="18" t="n">
        <v>60</v>
      </c>
      <c r="K93" s="19">
        <f>WORKDAY($D$2,I93)</f>
        <v/>
      </c>
      <c r="L93" s="19">
        <f>IF(H93=0,K93,WORKDAY($D$2,J93-1))</f>
        <v/>
      </c>
      <c r="M93" s="18" t="n">
        <v>12</v>
      </c>
      <c r="N93" s="18" t="n">
        <v>12</v>
      </c>
      <c r="O93" s="18" t="n"/>
      <c r="P93" s="18" t="inlineStr"/>
      <c r="Q93" s="18" t="inlineStr">
        <is>
          <t>Hypercare exit</t>
        </is>
      </c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2" t="n"/>
      <c r="AB93" s="21" t="n"/>
      <c r="AC93" s="20" t="inlineStr">
        <is>
          <t>◆</t>
        </is>
      </c>
    </row>
  </sheetData>
  <autoFilter ref="A5:Q9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9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4" customWidth="1" min="3" max="3"/>
    <col width="13" customWidth="1" min="4" max="4"/>
    <col width="24" customWidth="1" min="5" max="5"/>
    <col width="30" customWidth="1" min="6" max="6"/>
    <col width="18" customWidth="1" min="7" max="7"/>
    <col width="10" customWidth="1" min="8" max="8"/>
    <col width="7" customWidth="1" min="9" max="9"/>
    <col width="7" customWidth="1" min="10" max="10"/>
    <col width="12" customWidth="1" min="11" max="11"/>
    <col width="12" customWidth="1" min="12" max="12"/>
    <col width="7" customWidth="1" min="13" max="13"/>
    <col width="7" customWidth="1" min="14" max="14"/>
    <col width="10" customWidth="1" min="15" max="15"/>
    <col width="8" customWidth="1" min="16" max="16"/>
    <col width="11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</cols>
  <sheetData>
    <row r="1">
      <c r="A1" s="4" t="inlineStr">
        <is>
          <t>BrokerVerse OOTB implementation plan: Large broker (20 weeks, go-live at the start of week 15)</t>
        </is>
      </c>
    </row>
    <row r="2">
      <c r="A2" s="11" t="inlineStr">
        <is>
          <t>Kick-off date (a Monday):</t>
        </is>
      </c>
      <c r="D2" s="12" t="n">
        <v>46328</v>
      </c>
      <c r="F2" s="5" t="inlineStr">
        <is>
          <t>Type the kick-off date in the yellow cell: start and finish dates follow (working days, weekends skipped; add holidays as a third WORKDAY argument). Environments: Dev, SIT, UAT, Production (high availability); Pre-Prod temporary. Mock loads 1 and 2 in SIT, mock load 3 in UAT; the cutover rehearsal in Pre-Prod is the fourth load.</t>
        </is>
      </c>
    </row>
    <row r="3">
      <c r="A3" s="5" t="inlineStr">
        <is>
          <t>Bars: blue iorta TechNXT, green broker, gold partner; red border and red ID = on the critical path to go-live. Float = working days a task can slip before the go-live date moves (empty: the task does not hold the go-live).</t>
        </is>
      </c>
    </row>
    <row r="5" ht="42" customHeight="1">
      <c r="A5" s="6" t="inlineStr">
        <is>
          <t>ID</t>
        </is>
      </c>
      <c r="B5" s="6" t="inlineStr">
        <is>
          <t>Phase</t>
        </is>
      </c>
      <c r="C5" s="6" t="inlineStr">
        <is>
          <t>Task</t>
        </is>
      </c>
      <c r="D5" s="6" t="inlineStr">
        <is>
          <t>Party</t>
        </is>
      </c>
      <c r="E5" s="6" t="inlineStr">
        <is>
          <t>Owner role</t>
        </is>
      </c>
      <c r="F5" s="6" t="inlineStr">
        <is>
          <t>Deliverable or evidence</t>
        </is>
      </c>
      <c r="G5" s="6" t="inlineStr">
        <is>
          <t>Predecessors</t>
        </is>
      </c>
      <c r="H5" s="6" t="inlineStr">
        <is>
          <t>Duration (working days)</t>
        </is>
      </c>
      <c r="I5" s="6" t="inlineStr">
        <is>
          <t>Start day</t>
        </is>
      </c>
      <c r="J5" s="6" t="inlineStr">
        <is>
          <t>Finish day</t>
        </is>
      </c>
      <c r="K5" s="6" t="inlineStr">
        <is>
          <t>Start date</t>
        </is>
      </c>
      <c r="L5" s="6" t="inlineStr">
        <is>
          <t>Finish date</t>
        </is>
      </c>
      <c r="M5" s="6" t="inlineStr">
        <is>
          <t>Start week</t>
        </is>
      </c>
      <c r="N5" s="6" t="inlineStr">
        <is>
          <t>End week</t>
        </is>
      </c>
      <c r="O5" s="6" t="inlineStr">
        <is>
          <t>Float to go-live (days)</t>
        </is>
      </c>
      <c r="P5" s="6" t="inlineStr">
        <is>
          <t>Critical</t>
        </is>
      </c>
      <c r="Q5" s="6" t="inlineStr">
        <is>
          <t>Holds back</t>
        </is>
      </c>
      <c r="R5" s="6" t="inlineStr">
        <is>
          <t>W1</t>
        </is>
      </c>
      <c r="S5" s="6" t="inlineStr">
        <is>
          <t>W2</t>
        </is>
      </c>
      <c r="T5" s="6" t="inlineStr">
        <is>
          <t>W3</t>
        </is>
      </c>
      <c r="U5" s="6" t="inlineStr">
        <is>
          <t>W4</t>
        </is>
      </c>
      <c r="V5" s="6" t="inlineStr">
        <is>
          <t>W5</t>
        </is>
      </c>
      <c r="W5" s="6" t="inlineStr">
        <is>
          <t>W6</t>
        </is>
      </c>
      <c r="X5" s="6" t="inlineStr">
        <is>
          <t>W7</t>
        </is>
      </c>
      <c r="Y5" s="6" t="inlineStr">
        <is>
          <t>W8</t>
        </is>
      </c>
      <c r="Z5" s="6" t="inlineStr">
        <is>
          <t>W9</t>
        </is>
      </c>
      <c r="AA5" s="6" t="inlineStr">
        <is>
          <t>W10</t>
        </is>
      </c>
      <c r="AB5" s="6" t="inlineStr">
        <is>
          <t>W11</t>
        </is>
      </c>
      <c r="AC5" s="6" t="inlineStr">
        <is>
          <t>W12</t>
        </is>
      </c>
      <c r="AD5" s="6" t="inlineStr">
        <is>
          <t>W13</t>
        </is>
      </c>
      <c r="AE5" s="6" t="inlineStr">
        <is>
          <t>W14</t>
        </is>
      </c>
      <c r="AF5" s="6" t="inlineStr">
        <is>
          <t>W15</t>
        </is>
      </c>
      <c r="AG5" s="6" t="inlineStr">
        <is>
          <t>W16</t>
        </is>
      </c>
      <c r="AH5" s="6" t="inlineStr">
        <is>
          <t>W17</t>
        </is>
      </c>
      <c r="AI5" s="6" t="inlineStr">
        <is>
          <t>W18</t>
        </is>
      </c>
      <c r="AJ5" s="6" t="inlineStr">
        <is>
          <t>W19</t>
        </is>
      </c>
      <c r="AK5" s="6" t="inlineStr">
        <is>
          <t>W20</t>
        </is>
      </c>
    </row>
    <row r="6">
      <c r="A6" s="13" t="inlineStr">
        <is>
          <t>Mobilisation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</row>
    <row r="7" ht="30" customHeight="1">
      <c r="A7" s="15" t="inlineStr">
        <is>
          <t>M1</t>
        </is>
      </c>
      <c r="B7" s="16" t="inlineStr">
        <is>
          <t>Mobilisation</t>
        </is>
      </c>
      <c r="C7" s="17" t="inlineStr">
        <is>
          <t>Kick-off</t>
        </is>
      </c>
      <c r="D7" s="16" t="inlineStr">
        <is>
          <t>iorta TechNXT</t>
        </is>
      </c>
      <c r="E7" s="17" t="inlineStr">
        <is>
          <t>iorta TechNXT PM</t>
        </is>
      </c>
      <c r="F7" s="17" t="inlineStr">
        <is>
          <t>Kick-off held; plan and go-live date confirmed</t>
        </is>
      </c>
      <c r="G7" s="17" t="inlineStr"/>
      <c r="H7" s="18" t="n">
        <v>0</v>
      </c>
      <c r="I7" s="18" t="n">
        <v>0</v>
      </c>
      <c r="J7" s="18" t="n">
        <v>0</v>
      </c>
      <c r="K7" s="19">
        <f>WORKDAY($D$2,I7)</f>
        <v/>
      </c>
      <c r="L7" s="19">
        <f>IF(H7=0,K7,WORKDAY($D$2,J7-1))</f>
        <v/>
      </c>
      <c r="M7" s="18" t="n">
        <v>1</v>
      </c>
      <c r="N7" s="18" t="n">
        <v>1</v>
      </c>
      <c r="O7" s="18" t="n">
        <v>0</v>
      </c>
      <c r="P7" s="18" t="inlineStr">
        <is>
          <t>Yes</t>
        </is>
      </c>
      <c r="Q7" s="18" t="inlineStr">
        <is>
          <t>Go-live</t>
        </is>
      </c>
      <c r="R7" s="20" t="inlineStr">
        <is>
          <t>◆</t>
        </is>
      </c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2" t="n"/>
      <c r="AG7" s="21" t="n"/>
      <c r="AH7" s="21" t="n"/>
      <c r="AI7" s="21" t="n"/>
      <c r="AJ7" s="21" t="n"/>
      <c r="AK7" s="21" t="n"/>
    </row>
    <row r="8" ht="30" customHeight="1">
      <c r="A8" s="15" t="inlineStr">
        <is>
          <t>M3</t>
        </is>
      </c>
      <c r="B8" s="16" t="inlineStr">
        <is>
          <t>Mobilisation</t>
        </is>
      </c>
      <c r="C8" s="17" t="inlineStr">
        <is>
          <t>Data request list and the go-live kits issued (configuration and migration workbooks, upload templates)</t>
        </is>
      </c>
      <c r="D8" s="16" t="inlineStr">
        <is>
          <t>iorta TechNXT</t>
        </is>
      </c>
      <c r="E8" s="17" t="inlineStr">
        <is>
          <t>iorta TechNXT PM</t>
        </is>
      </c>
      <c r="F8" s="17" t="inlineStr">
        <is>
          <t>Data request list; blank workbooks handed over</t>
        </is>
      </c>
      <c r="G8" s="17" t="inlineStr">
        <is>
          <t>M1</t>
        </is>
      </c>
      <c r="H8" s="18" t="n">
        <v>1</v>
      </c>
      <c r="I8" s="18" t="n">
        <v>0</v>
      </c>
      <c r="J8" s="18" t="n">
        <v>1</v>
      </c>
      <c r="K8" s="19">
        <f>WORKDAY($D$2,I8)</f>
        <v/>
      </c>
      <c r="L8" s="19">
        <f>IF(H8=0,K8,WORKDAY($D$2,J8-1))</f>
        <v/>
      </c>
      <c r="M8" s="18" t="n">
        <v>1</v>
      </c>
      <c r="N8" s="18" t="n">
        <v>1</v>
      </c>
      <c r="O8" s="18" t="n">
        <v>0</v>
      </c>
      <c r="P8" s="18" t="inlineStr">
        <is>
          <t>Yes</t>
        </is>
      </c>
      <c r="Q8" s="18" t="inlineStr">
        <is>
          <t>Go-live</t>
        </is>
      </c>
      <c r="R8" s="23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2" t="n"/>
      <c r="AG8" s="21" t="n"/>
      <c r="AH8" s="21" t="n"/>
      <c r="AI8" s="21" t="n"/>
      <c r="AJ8" s="21" t="n"/>
      <c r="AK8" s="21" t="n"/>
    </row>
    <row r="9" ht="30" customHeight="1">
      <c r="A9" s="24" t="inlineStr">
        <is>
          <t>M4</t>
        </is>
      </c>
      <c r="B9" s="16" t="inlineStr">
        <is>
          <t>Mobilisation</t>
        </is>
      </c>
      <c r="C9" s="17" t="inlineStr">
        <is>
          <t>Broker team named: PM, key users, Accounting Manager, System Administrator, compliance officer, DPO</t>
        </is>
      </c>
      <c r="D9" s="16" t="inlineStr">
        <is>
          <t>Broker</t>
        </is>
      </c>
      <c r="E9" s="17" t="inlineStr">
        <is>
          <t>Broker sponsor</t>
        </is>
      </c>
      <c r="F9" s="17" t="inlineStr">
        <is>
          <t>Named team with committed time</t>
        </is>
      </c>
      <c r="G9" s="17" t="inlineStr">
        <is>
          <t>M1</t>
        </is>
      </c>
      <c r="H9" s="18" t="n">
        <v>3</v>
      </c>
      <c r="I9" s="18" t="n">
        <v>0</v>
      </c>
      <c r="J9" s="18" t="n">
        <v>3</v>
      </c>
      <c r="K9" s="19">
        <f>WORKDAY($D$2,I9)</f>
        <v/>
      </c>
      <c r="L9" s="19">
        <f>IF(H9=0,K9,WORKDAY($D$2,J9-1))</f>
        <v/>
      </c>
      <c r="M9" s="18" t="n">
        <v>1</v>
      </c>
      <c r="N9" s="18" t="n">
        <v>1</v>
      </c>
      <c r="O9" s="18" t="n">
        <v>24</v>
      </c>
      <c r="P9" s="18" t="inlineStr"/>
      <c r="Q9" s="18" t="inlineStr">
        <is>
          <t>Go-live</t>
        </is>
      </c>
      <c r="R9" s="25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2" t="n"/>
      <c r="AG9" s="21" t="n"/>
      <c r="AH9" s="21" t="n"/>
      <c r="AI9" s="21" t="n"/>
      <c r="AJ9" s="21" t="n"/>
      <c r="AK9" s="21" t="n"/>
    </row>
    <row r="10" ht="30" customHeight="1">
      <c r="A10" s="24" t="inlineStr">
        <is>
          <t>M5</t>
        </is>
      </c>
      <c r="B10" s="16" t="inlineStr">
        <is>
          <t>Mobilisation</t>
        </is>
      </c>
      <c r="C10" s="17" t="inlineStr">
        <is>
          <t>Hosting option, environment set and data location confirmed; environments ordered</t>
        </is>
      </c>
      <c r="D10" s="16" t="inlineStr">
        <is>
          <t>Broker</t>
        </is>
      </c>
      <c r="E10" s="17" t="inlineStr">
        <is>
          <t>Broker sponsor and IT head</t>
        </is>
      </c>
      <c r="F10" s="17" t="inlineStr">
        <is>
          <t>Order Form hosting fields; transfer decision recorded</t>
        </is>
      </c>
      <c r="G10" s="17" t="inlineStr">
        <is>
          <t>M1</t>
        </is>
      </c>
      <c r="H10" s="18" t="n">
        <v>3</v>
      </c>
      <c r="I10" s="18" t="n">
        <v>0</v>
      </c>
      <c r="J10" s="18" t="n">
        <v>3</v>
      </c>
      <c r="K10" s="19">
        <f>WORKDAY($D$2,I10)</f>
        <v/>
      </c>
      <c r="L10" s="19">
        <f>IF(H10=0,K10,WORKDAY($D$2,J10-1))</f>
        <v/>
      </c>
      <c r="M10" s="18" t="n">
        <v>1</v>
      </c>
      <c r="N10" s="18" t="n">
        <v>1</v>
      </c>
      <c r="O10" s="18" t="n">
        <v>12</v>
      </c>
      <c r="P10" s="18" t="inlineStr"/>
      <c r="Q10" s="18" t="inlineStr">
        <is>
          <t>Go-live</t>
        </is>
      </c>
      <c r="R10" s="25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2" t="n"/>
      <c r="AG10" s="21" t="n"/>
      <c r="AH10" s="21" t="n"/>
      <c r="AI10" s="21" t="n"/>
      <c r="AJ10" s="21" t="n"/>
      <c r="AK10" s="21" t="n"/>
    </row>
    <row r="11" ht="30" customHeight="1">
      <c r="A11" s="24" t="inlineStr">
        <is>
          <t>M2</t>
        </is>
      </c>
      <c r="B11" s="16" t="inlineStr">
        <is>
          <t>Mobilisation</t>
        </is>
      </c>
      <c r="C11" s="17" t="inlineStr">
        <is>
          <t>Project charter, baselined plan, governance calendar, RAID log</t>
        </is>
      </c>
      <c r="D11" s="16" t="inlineStr">
        <is>
          <t>iorta TechNXT</t>
        </is>
      </c>
      <c r="E11" s="17" t="inlineStr">
        <is>
          <t>iorta TechNXT PM</t>
        </is>
      </c>
      <c r="F11" s="17" t="inlineStr">
        <is>
          <t>Charter and plan signed</t>
        </is>
      </c>
      <c r="G11" s="17" t="inlineStr">
        <is>
          <t>M1</t>
        </is>
      </c>
      <c r="H11" s="18" t="n">
        <v>5</v>
      </c>
      <c r="I11" s="18" t="n">
        <v>0</v>
      </c>
      <c r="J11" s="18" t="n">
        <v>5</v>
      </c>
      <c r="K11" s="19">
        <f>WORKDAY($D$2,I11)</f>
        <v/>
      </c>
      <c r="L11" s="19">
        <f>IF(H11=0,K11,WORKDAY($D$2,J11-1))</f>
        <v/>
      </c>
      <c r="M11" s="18" t="n">
        <v>1</v>
      </c>
      <c r="N11" s="18" t="n">
        <v>1</v>
      </c>
      <c r="O11" s="18" t="n">
        <v>24</v>
      </c>
      <c r="P11" s="18" t="inlineStr"/>
      <c r="Q11" s="18" t="inlineStr">
        <is>
          <t>Go-live</t>
        </is>
      </c>
      <c r="R11" s="26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2" t="n"/>
      <c r="AG11" s="21" t="n"/>
      <c r="AH11" s="21" t="n"/>
      <c r="AI11" s="21" t="n"/>
      <c r="AJ11" s="21" t="n"/>
      <c r="AK11" s="21" t="n"/>
    </row>
    <row r="12">
      <c r="A12" s="13" t="inlineStr">
        <is>
          <t>Environments and pipeline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</row>
    <row r="13" ht="30" customHeight="1">
      <c r="A13" s="24" t="inlineStr">
        <is>
          <t>E1</t>
        </is>
      </c>
      <c r="B13" s="16" t="inlineStr">
        <is>
          <t>Environments and pipeline</t>
        </is>
      </c>
      <c r="C13" s="17" t="inlineStr">
        <is>
          <t>Dev provisioned</t>
        </is>
      </c>
      <c r="D13" s="16" t="inlineStr">
        <is>
          <t>iorta TechNXT</t>
        </is>
      </c>
      <c r="E13" s="17" t="inlineStr">
        <is>
          <t>iorta TechNXT DevOps lead</t>
        </is>
      </c>
      <c r="F13" s="17" t="inlineStr">
        <is>
          <t>Environment sheet: Dev</t>
        </is>
      </c>
      <c r="G13" s="17" t="inlineStr">
        <is>
          <t>M5</t>
        </is>
      </c>
      <c r="H13" s="18" t="n">
        <v>4</v>
      </c>
      <c r="I13" s="18" t="n">
        <v>3</v>
      </c>
      <c r="J13" s="18" t="n">
        <v>7</v>
      </c>
      <c r="K13" s="19">
        <f>WORKDAY($D$2,I13)</f>
        <v/>
      </c>
      <c r="L13" s="19">
        <f>IF(H13=0,K13,WORKDAY($D$2,J13-1))</f>
        <v/>
      </c>
      <c r="M13" s="18" t="n">
        <v>1</v>
      </c>
      <c r="N13" s="18" t="n">
        <v>2</v>
      </c>
      <c r="O13" s="18" t="n">
        <v>12</v>
      </c>
      <c r="P13" s="18" t="inlineStr"/>
      <c r="Q13" s="18" t="inlineStr">
        <is>
          <t>Go-live</t>
        </is>
      </c>
      <c r="R13" s="26" t="n"/>
      <c r="S13" s="26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2" t="n"/>
      <c r="AG13" s="21" t="n"/>
      <c r="AH13" s="21" t="n"/>
      <c r="AI13" s="21" t="n"/>
      <c r="AJ13" s="21" t="n"/>
      <c r="AK13" s="21" t="n"/>
    </row>
    <row r="14" ht="30" customHeight="1">
      <c r="A14" s="24" t="inlineStr">
        <is>
          <t>E3</t>
        </is>
      </c>
      <c r="B14" s="16" t="inlineStr">
        <is>
          <t>Environments and pipeline</t>
        </is>
      </c>
      <c r="C14" s="17" t="inlineStr">
        <is>
          <t>UAT provisioned</t>
        </is>
      </c>
      <c r="D14" s="16" t="inlineStr">
        <is>
          <t>iorta TechNXT</t>
        </is>
      </c>
      <c r="E14" s="17" t="inlineStr">
        <is>
          <t>iorta TechNXT DevOps lead</t>
        </is>
      </c>
      <c r="F14" s="17" t="inlineStr">
        <is>
          <t>Environment sheet: UAT</t>
        </is>
      </c>
      <c r="G14" s="17" t="inlineStr">
        <is>
          <t>M5</t>
        </is>
      </c>
      <c r="H14" s="18" t="n">
        <v>4</v>
      </c>
      <c r="I14" s="18" t="n">
        <v>3</v>
      </c>
      <c r="J14" s="18" t="n">
        <v>7</v>
      </c>
      <c r="K14" s="19">
        <f>WORKDAY($D$2,I14)</f>
        <v/>
      </c>
      <c r="L14" s="19">
        <f>IF(H14=0,K14,WORKDAY($D$2,J14-1))</f>
        <v/>
      </c>
      <c r="M14" s="18" t="n">
        <v>1</v>
      </c>
      <c r="N14" s="18" t="n">
        <v>2</v>
      </c>
      <c r="O14" s="18" t="n">
        <v>16</v>
      </c>
      <c r="P14" s="18" t="inlineStr"/>
      <c r="Q14" s="18" t="inlineStr">
        <is>
          <t>Go-live</t>
        </is>
      </c>
      <c r="R14" s="26" t="n"/>
      <c r="S14" s="26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2" t="n"/>
      <c r="AG14" s="21" t="n"/>
      <c r="AH14" s="21" t="n"/>
      <c r="AI14" s="21" t="n"/>
      <c r="AJ14" s="21" t="n"/>
      <c r="AK14" s="21" t="n"/>
    </row>
    <row r="15" ht="40" customHeight="1">
      <c r="A15" s="24" t="inlineStr">
        <is>
          <t>E5</t>
        </is>
      </c>
      <c r="B15" s="16" t="inlineStr">
        <is>
          <t>Environments and pipeline</t>
        </is>
      </c>
      <c r="C15" s="17" t="inlineStr">
        <is>
          <t>Application secrets per environment in the secret store: JWT_SECRET, DATA_ENCRYPTION_KEY, PII_ENCRYPTION_KEY generated; key custody and escrow copy agreed</t>
        </is>
      </c>
      <c r="D15" s="16" t="inlineStr">
        <is>
          <t>iorta TechNXT</t>
        </is>
      </c>
      <c r="E15" s="17" t="inlineStr">
        <is>
          <t>iorta TechNXT DevOps lead with the broker IT head</t>
        </is>
      </c>
      <c r="F15" s="17" t="inlineStr">
        <is>
          <t>Key custody record signed by both</t>
        </is>
      </c>
      <c r="G15" s="17" t="inlineStr">
        <is>
          <t>E1</t>
        </is>
      </c>
      <c r="H15" s="18" t="n">
        <v>2</v>
      </c>
      <c r="I15" s="18" t="n">
        <v>7</v>
      </c>
      <c r="J15" s="18" t="n">
        <v>9</v>
      </c>
      <c r="K15" s="19">
        <f>WORKDAY($D$2,I15)</f>
        <v/>
      </c>
      <c r="L15" s="19">
        <f>IF(H15=0,K15,WORKDAY($D$2,J15-1))</f>
        <v/>
      </c>
      <c r="M15" s="18" t="n">
        <v>2</v>
      </c>
      <c r="N15" s="18" t="n">
        <v>2</v>
      </c>
      <c r="O15" s="18" t="n">
        <v>14</v>
      </c>
      <c r="P15" s="18" t="inlineStr"/>
      <c r="Q15" s="18" t="inlineStr">
        <is>
          <t>Go-live</t>
        </is>
      </c>
      <c r="R15" s="21" t="n"/>
      <c r="S15" s="26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2" t="n"/>
      <c r="AG15" s="21" t="n"/>
      <c r="AH15" s="21" t="n"/>
      <c r="AI15" s="21" t="n"/>
      <c r="AJ15" s="21" t="n"/>
      <c r="AK15" s="21" t="n"/>
    </row>
    <row r="16" ht="40" customHeight="1">
      <c r="A16" s="24" t="inlineStr">
        <is>
          <t>E4</t>
        </is>
      </c>
      <c r="B16" s="16" t="inlineStr">
        <is>
          <t>Environments and pipeline</t>
        </is>
      </c>
      <c r="C16" s="17" t="inlineStr">
        <is>
          <t>GitHub Environments (dev, sit, uat, preprod, production): protection rules, reviewers, variables, environment secrets</t>
        </is>
      </c>
      <c r="D16" s="16" t="inlineStr">
        <is>
          <t>iorta TechNXT</t>
        </is>
      </c>
      <c r="E16" s="17" t="inlineStr">
        <is>
          <t>iorta TechNXT DevOps lead</t>
        </is>
      </c>
      <c r="F16" s="17" t="inlineStr">
        <is>
          <t>Settings recorded in the environment sheet</t>
        </is>
      </c>
      <c r="G16" s="17" t="inlineStr">
        <is>
          <t>E1</t>
        </is>
      </c>
      <c r="H16" s="18" t="n">
        <v>3</v>
      </c>
      <c r="I16" s="18" t="n">
        <v>7</v>
      </c>
      <c r="J16" s="18" t="n">
        <v>10</v>
      </c>
      <c r="K16" s="19">
        <f>WORKDAY($D$2,I16)</f>
        <v/>
      </c>
      <c r="L16" s="19">
        <f>IF(H16=0,K16,WORKDAY($D$2,J16-1))</f>
        <v/>
      </c>
      <c r="M16" s="18" t="n">
        <v>2</v>
      </c>
      <c r="N16" s="18" t="n">
        <v>2</v>
      </c>
      <c r="O16" s="18" t="n">
        <v>13</v>
      </c>
      <c r="P16" s="18" t="inlineStr"/>
      <c r="Q16" s="18" t="inlineStr">
        <is>
          <t>Go-live</t>
        </is>
      </c>
      <c r="R16" s="21" t="n"/>
      <c r="S16" s="26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2" t="n"/>
      <c r="AG16" s="21" t="n"/>
      <c r="AH16" s="21" t="n"/>
      <c r="AI16" s="21" t="n"/>
      <c r="AJ16" s="21" t="n"/>
      <c r="AK16" s="21" t="n"/>
    </row>
    <row r="17" ht="30" customHeight="1">
      <c r="A17" s="24" t="inlineStr">
        <is>
          <t>E2</t>
        </is>
      </c>
      <c r="B17" s="16" t="inlineStr">
        <is>
          <t>Environments and pipeline</t>
        </is>
      </c>
      <c r="C17" s="17" t="inlineStr">
        <is>
          <t>SIT provisioned (large and enterprise brokers)</t>
        </is>
      </c>
      <c r="D17" s="16" t="inlineStr">
        <is>
          <t>iorta TechNXT</t>
        </is>
      </c>
      <c r="E17" s="17" t="inlineStr">
        <is>
          <t>iorta TechNXT DevOps lead</t>
        </is>
      </c>
      <c r="F17" s="17" t="inlineStr">
        <is>
          <t>Environment sheet: SIT</t>
        </is>
      </c>
      <c r="G17" s="17" t="inlineStr">
        <is>
          <t>E1</t>
        </is>
      </c>
      <c r="H17" s="18" t="n">
        <v>4</v>
      </c>
      <c r="I17" s="18" t="n">
        <v>7</v>
      </c>
      <c r="J17" s="18" t="n">
        <v>11</v>
      </c>
      <c r="K17" s="19">
        <f>WORKDAY($D$2,I17)</f>
        <v/>
      </c>
      <c r="L17" s="19">
        <f>IF(H17=0,K17,WORKDAY($D$2,J17-1))</f>
        <v/>
      </c>
      <c r="M17" s="18" t="n">
        <v>2</v>
      </c>
      <c r="N17" s="18" t="n">
        <v>3</v>
      </c>
      <c r="O17" s="18" t="n">
        <v>12</v>
      </c>
      <c r="P17" s="18" t="inlineStr"/>
      <c r="Q17" s="18" t="inlineStr">
        <is>
          <t>Go-live</t>
        </is>
      </c>
      <c r="R17" s="21" t="n"/>
      <c r="S17" s="26" t="n"/>
      <c r="T17" s="26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2" t="n"/>
      <c r="AG17" s="21" t="n"/>
      <c r="AH17" s="21" t="n"/>
      <c r="AI17" s="21" t="n"/>
      <c r="AJ17" s="21" t="n"/>
      <c r="AK17" s="21" t="n"/>
    </row>
    <row r="18" ht="30" customHeight="1">
      <c r="A18" s="24" t="inlineStr">
        <is>
          <t>E7</t>
        </is>
      </c>
      <c r="B18" s="16" t="inlineStr">
        <is>
          <t>Environments and pipeline</t>
        </is>
      </c>
      <c r="C18" s="17" t="inlineStr">
        <is>
          <t>Production provisioned at production topology; backups, monitoring, restore test</t>
        </is>
      </c>
      <c r="D18" s="16" t="inlineStr">
        <is>
          <t>iorta TechNXT</t>
        </is>
      </c>
      <c r="E18" s="17" t="inlineStr">
        <is>
          <t>iorta TechNXT DevOps lead</t>
        </is>
      </c>
      <c r="F18" s="17" t="inlineStr">
        <is>
          <t>Environment sheet; restore test record</t>
        </is>
      </c>
      <c r="G18" s="17" t="inlineStr">
        <is>
          <t>E5</t>
        </is>
      </c>
      <c r="H18" s="18" t="n">
        <v>10</v>
      </c>
      <c r="I18" s="18" t="n">
        <v>9</v>
      </c>
      <c r="J18" s="18" t="n">
        <v>19</v>
      </c>
      <c r="K18" s="19">
        <f>WORKDAY($D$2,I18)</f>
        <v/>
      </c>
      <c r="L18" s="19">
        <f>IF(H18=0,K18,WORKDAY($D$2,J18-1))</f>
        <v/>
      </c>
      <c r="M18" s="18" t="n">
        <v>2</v>
      </c>
      <c r="N18" s="18" t="n">
        <v>4</v>
      </c>
      <c r="O18" s="18" t="n">
        <v>42</v>
      </c>
      <c r="P18" s="18" t="inlineStr"/>
      <c r="Q18" s="18" t="inlineStr">
        <is>
          <t>Go-live</t>
        </is>
      </c>
      <c r="R18" s="21" t="n"/>
      <c r="S18" s="26" t="n"/>
      <c r="T18" s="26" t="n"/>
      <c r="U18" s="26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2" t="n"/>
      <c r="AG18" s="21" t="n"/>
      <c r="AH18" s="21" t="n"/>
      <c r="AI18" s="21" t="n"/>
      <c r="AJ18" s="21" t="n"/>
      <c r="AK18" s="21" t="n"/>
    </row>
    <row r="19" ht="30" customHeight="1">
      <c r="A19" s="24" t="inlineStr">
        <is>
          <t>E6</t>
        </is>
      </c>
      <c r="B19" s="16" t="inlineStr">
        <is>
          <t>Environments and pipeline</t>
        </is>
      </c>
      <c r="C19" s="17" t="inlineStr">
        <is>
          <t>First deployment through the pipeline (CI, deploy, smoke test) to Dev and UAT (and SIT)</t>
        </is>
      </c>
      <c r="D19" s="16" t="inlineStr">
        <is>
          <t>iorta TechNXT</t>
        </is>
      </c>
      <c r="E19" s="17" t="inlineStr">
        <is>
          <t>iorta TechNXT DevOps lead</t>
        </is>
      </c>
      <c r="F19" s="17" t="inlineStr">
        <is>
          <t>Deploy run summaries; smoke test passed</t>
        </is>
      </c>
      <c r="G19" s="17" t="inlineStr">
        <is>
          <t>E4, E5, E3, E2</t>
        </is>
      </c>
      <c r="H19" s="18" t="n">
        <v>2</v>
      </c>
      <c r="I19" s="18" t="n">
        <v>11</v>
      </c>
      <c r="J19" s="18" t="n">
        <v>13</v>
      </c>
      <c r="K19" s="19">
        <f>WORKDAY($D$2,I19)</f>
        <v/>
      </c>
      <c r="L19" s="19">
        <f>IF(H19=0,K19,WORKDAY($D$2,J19-1))</f>
        <v/>
      </c>
      <c r="M19" s="18" t="n">
        <v>3</v>
      </c>
      <c r="N19" s="18" t="n">
        <v>3</v>
      </c>
      <c r="O19" s="18" t="n">
        <v>12</v>
      </c>
      <c r="P19" s="18" t="inlineStr"/>
      <c r="Q19" s="18" t="inlineStr">
        <is>
          <t>Go-live</t>
        </is>
      </c>
      <c r="R19" s="21" t="n"/>
      <c r="S19" s="21" t="n"/>
      <c r="T19" s="26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2" t="n"/>
      <c r="AG19" s="21" t="n"/>
      <c r="AH19" s="21" t="n"/>
      <c r="AI19" s="21" t="n"/>
      <c r="AJ19" s="21" t="n"/>
      <c r="AK19" s="21" t="n"/>
    </row>
    <row r="20">
      <c r="A20" s="13" t="inlineStr">
        <is>
          <t>Discovery and fit-gap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</row>
    <row r="21" ht="40" customHeight="1">
      <c r="A21" s="24" t="inlineStr">
        <is>
          <t>D1</t>
        </is>
      </c>
      <c r="B21" s="16" t="inlineStr">
        <is>
          <t>Discovery and fit-gap</t>
        </is>
      </c>
      <c r="C21" s="17" t="inlineStr">
        <is>
          <t>Process workshops on the delivered system: organisation, sales, placement, servicing, claims, billing, remittance, commission, ledger, tax, distribution</t>
        </is>
      </c>
      <c r="D21" s="16" t="inlineStr">
        <is>
          <t>iorta TechNXT</t>
        </is>
      </c>
      <c r="E21" s="17" t="inlineStr">
        <is>
          <t>iorta TechNXT consultants</t>
        </is>
      </c>
      <c r="F21" s="17" t="inlineStr">
        <is>
          <t>Workshop notes; decisions in the configuration workbook</t>
        </is>
      </c>
      <c r="G21" s="17" t="inlineStr">
        <is>
          <t>M1</t>
        </is>
      </c>
      <c r="H21" s="18" t="n">
        <v>20</v>
      </c>
      <c r="I21" s="18" t="n">
        <v>0</v>
      </c>
      <c r="J21" s="18" t="n">
        <v>20</v>
      </c>
      <c r="K21" s="19">
        <f>WORKDAY($D$2,I21)</f>
        <v/>
      </c>
      <c r="L21" s="19">
        <f>IF(H21=0,K21,WORKDAY($D$2,J21-1))</f>
        <v/>
      </c>
      <c r="M21" s="18" t="n">
        <v>1</v>
      </c>
      <c r="N21" s="18" t="n">
        <v>4</v>
      </c>
      <c r="O21" s="18" t="n">
        <v>7</v>
      </c>
      <c r="P21" s="18" t="inlineStr"/>
      <c r="Q21" s="18" t="inlineStr">
        <is>
          <t>Go-live</t>
        </is>
      </c>
      <c r="R21" s="26" t="n"/>
      <c r="S21" s="26" t="n"/>
      <c r="T21" s="26" t="n"/>
      <c r="U21" s="26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2" t="n"/>
      <c r="AG21" s="21" t="n"/>
      <c r="AH21" s="21" t="n"/>
      <c r="AI21" s="21" t="n"/>
      <c r="AJ21" s="21" t="n"/>
      <c r="AK21" s="21" t="n"/>
    </row>
    <row r="22" ht="40" customHeight="1">
      <c r="A22" s="24" t="inlineStr">
        <is>
          <t>D4</t>
        </is>
      </c>
      <c r="B22" s="16" t="inlineStr">
        <is>
          <t>Discovery and fit-gap</t>
        </is>
      </c>
      <c r="C22" s="17" t="inlineStr">
        <is>
          <t>Branding workshop: theme, logo, sign-in picture, documents, e-signatures, brand pack choice</t>
        </is>
      </c>
      <c r="D22" s="16" t="inlineStr">
        <is>
          <t>iorta TechNXT</t>
        </is>
      </c>
      <c r="E22" s="17" t="inlineStr">
        <is>
          <t>iorta TechNXT consultant</t>
        </is>
      </c>
      <c r="F22" s="17" t="inlineStr">
        <is>
          <t>Branding decisions; client brand pack needed or not, with its contract reference</t>
        </is>
      </c>
      <c r="G22" s="17" t="inlineStr">
        <is>
          <t>M4</t>
        </is>
      </c>
      <c r="H22" s="18" t="n">
        <v>1</v>
      </c>
      <c r="I22" s="18" t="n">
        <v>3</v>
      </c>
      <c r="J22" s="18" t="n">
        <v>4</v>
      </c>
      <c r="K22" s="19">
        <f>WORKDAY($D$2,I22)</f>
        <v/>
      </c>
      <c r="L22" s="19">
        <f>IF(H22=0,K22,WORKDAY($D$2,J22-1))</f>
        <v/>
      </c>
      <c r="M22" s="18" t="n">
        <v>1</v>
      </c>
      <c r="N22" s="18" t="n">
        <v>1</v>
      </c>
      <c r="O22" s="18" t="n">
        <v>25</v>
      </c>
      <c r="P22" s="18" t="inlineStr"/>
      <c r="Q22" s="18" t="inlineStr">
        <is>
          <t>Go-live</t>
        </is>
      </c>
      <c r="R22" s="26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2" t="n"/>
      <c r="AG22" s="21" t="n"/>
      <c r="AH22" s="21" t="n"/>
      <c r="AI22" s="21" t="n"/>
      <c r="AJ22" s="21" t="n"/>
      <c r="AK22" s="21" t="n"/>
    </row>
    <row r="23" ht="40" customHeight="1">
      <c r="A23" s="24" t="inlineStr">
        <is>
          <t>D2</t>
        </is>
      </c>
      <c r="B23" s="16" t="inlineStr">
        <is>
          <t>Discovery and fit-gap</t>
        </is>
      </c>
      <c r="C23" s="17" t="inlineStr">
        <is>
          <t>Compliance workshop: AML/CFT programme, IC registers, complaints, breach procedure, masking by role</t>
        </is>
      </c>
      <c r="D23" s="16" t="inlineStr">
        <is>
          <t>iorta TechNXT</t>
        </is>
      </c>
      <c r="E23" s="17" t="inlineStr">
        <is>
          <t>iorta TechNXT consultant with the compliance officer and DPO</t>
        </is>
      </c>
      <c r="F23" s="17" t="inlineStr">
        <is>
          <t>Compliance decisions recorded</t>
        </is>
      </c>
      <c r="G23" s="17" t="inlineStr">
        <is>
          <t>M4</t>
        </is>
      </c>
      <c r="H23" s="18" t="n">
        <v>2</v>
      </c>
      <c r="I23" s="18" t="n">
        <v>3</v>
      </c>
      <c r="J23" s="18" t="n">
        <v>5</v>
      </c>
      <c r="K23" s="19">
        <f>WORKDAY($D$2,I23)</f>
        <v/>
      </c>
      <c r="L23" s="19">
        <f>IF(H23=0,K23,WORKDAY($D$2,J23-1))</f>
        <v/>
      </c>
      <c r="M23" s="18" t="n">
        <v>1</v>
      </c>
      <c r="N23" s="18" t="n">
        <v>1</v>
      </c>
      <c r="O23" s="18" t="n">
        <v>24</v>
      </c>
      <c r="P23" s="18" t="inlineStr"/>
      <c r="Q23" s="18" t="inlineStr">
        <is>
          <t>Go-live</t>
        </is>
      </c>
      <c r="R23" s="26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2" t="n"/>
      <c r="AG23" s="21" t="n"/>
      <c r="AH23" s="21" t="n"/>
      <c r="AI23" s="21" t="n"/>
      <c r="AJ23" s="21" t="n"/>
      <c r="AK23" s="21" t="n"/>
    </row>
    <row r="24" ht="40" customHeight="1">
      <c r="A24" s="24" t="inlineStr">
        <is>
          <t>D3</t>
        </is>
      </c>
      <c r="B24" s="16" t="inlineStr">
        <is>
          <t>Discovery and fit-gap</t>
        </is>
      </c>
      <c r="C24" s="17" t="inlineStr">
        <is>
          <t>Integration workshop: banks, SMS or Viber, CTPL authentication and LTO, insurers, payment gateway, BIR EIS, AMLC reporting</t>
        </is>
      </c>
      <c r="D24" s="16" t="inlineStr">
        <is>
          <t>iorta TechNXT</t>
        </is>
      </c>
      <c r="E24" s="17" t="inlineStr">
        <is>
          <t>iorta TechNXT technical lead</t>
        </is>
      </c>
      <c r="F24" s="17" t="inlineStr">
        <is>
          <t>Integration list with partner contacts</t>
        </is>
      </c>
      <c r="G24" s="17" t="inlineStr">
        <is>
          <t>M4</t>
        </is>
      </c>
      <c r="H24" s="18" t="n">
        <v>2</v>
      </c>
      <c r="I24" s="18" t="n">
        <v>3</v>
      </c>
      <c r="J24" s="18" t="n">
        <v>5</v>
      </c>
      <c r="K24" s="19">
        <f>WORKDAY($D$2,I24)</f>
        <v/>
      </c>
      <c r="L24" s="19">
        <f>IF(H24=0,K24,WORKDAY($D$2,J24-1))</f>
        <v/>
      </c>
      <c r="M24" s="18" t="n">
        <v>1</v>
      </c>
      <c r="N24" s="18" t="n">
        <v>1</v>
      </c>
      <c r="O24" s="18" t="n">
        <v>24</v>
      </c>
      <c r="P24" s="18" t="inlineStr"/>
      <c r="Q24" s="18" t="inlineStr">
        <is>
          <t>Go-live</t>
        </is>
      </c>
      <c r="R24" s="26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2" t="n"/>
      <c r="AG24" s="21" t="n"/>
      <c r="AH24" s="21" t="n"/>
      <c r="AI24" s="21" t="n"/>
      <c r="AJ24" s="21" t="n"/>
      <c r="AK24" s="21" t="n"/>
    </row>
    <row r="25" ht="30" customHeight="1">
      <c r="A25" s="24" t="inlineStr">
        <is>
          <t>D5</t>
        </is>
      </c>
      <c r="B25" s="16" t="inlineStr">
        <is>
          <t>Discovery and fit-gap</t>
        </is>
      </c>
      <c r="C25" s="17" t="inlineStr">
        <is>
          <t>Configuration decisions and fit-gap register signed</t>
        </is>
      </c>
      <c r="D25" s="16" t="inlineStr">
        <is>
          <t>Broker</t>
        </is>
      </c>
      <c r="E25" s="17" t="inlineStr">
        <is>
          <t>Broker process owners</t>
        </is>
      </c>
      <c r="F25" s="17" t="inlineStr">
        <is>
          <t>Signed fit-gap register</t>
        </is>
      </c>
      <c r="G25" s="17" t="inlineStr">
        <is>
          <t>D1, D2, D3, D4, M2</t>
        </is>
      </c>
      <c r="H25" s="18" t="n">
        <v>0</v>
      </c>
      <c r="I25" s="18" t="n">
        <v>20</v>
      </c>
      <c r="J25" s="18" t="n">
        <v>20</v>
      </c>
      <c r="K25" s="19">
        <f>WORKDAY($D$2,I25)</f>
        <v/>
      </c>
      <c r="L25" s="19">
        <f>IF(H25=0,K25,WORKDAY($D$2,J25-1))</f>
        <v/>
      </c>
      <c r="M25" s="18" t="n">
        <v>4</v>
      </c>
      <c r="N25" s="18" t="n">
        <v>4</v>
      </c>
      <c r="O25" s="18" t="n">
        <v>9</v>
      </c>
      <c r="P25" s="18" t="inlineStr"/>
      <c r="Q25" s="18" t="inlineStr">
        <is>
          <t>Go-live</t>
        </is>
      </c>
      <c r="R25" s="21" t="n"/>
      <c r="S25" s="21" t="n"/>
      <c r="T25" s="21" t="n"/>
      <c r="U25" s="20" t="inlineStr">
        <is>
          <t>◆</t>
        </is>
      </c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2" t="n"/>
      <c r="AG25" s="21" t="n"/>
      <c r="AH25" s="21" t="n"/>
      <c r="AI25" s="21" t="n"/>
      <c r="AJ25" s="21" t="n"/>
      <c r="AK25" s="21" t="n"/>
    </row>
    <row r="26">
      <c r="A26" s="13" t="inlineStr">
        <is>
          <t>Client inputs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</row>
    <row r="27" ht="30" customHeight="1">
      <c r="A27" s="24" t="inlineStr">
        <is>
          <t>I4</t>
        </is>
      </c>
      <c r="B27" s="16" t="inlineStr">
        <is>
          <t>Client inputs</t>
        </is>
      </c>
      <c r="C27" s="17" t="inlineStr">
        <is>
          <t>SMTP mailbox and credentials</t>
        </is>
      </c>
      <c r="D27" s="16" t="inlineStr">
        <is>
          <t>Broker</t>
        </is>
      </c>
      <c r="E27" s="17" t="inlineStr">
        <is>
          <t>Broker IT head</t>
        </is>
      </c>
      <c r="F27" s="17" t="inlineStr">
        <is>
          <t>Mailbox in the secret store</t>
        </is>
      </c>
      <c r="G27" s="17" t="inlineStr">
        <is>
          <t>M3</t>
        </is>
      </c>
      <c r="H27" s="18" t="n">
        <v>5</v>
      </c>
      <c r="I27" s="18" t="n">
        <v>1</v>
      </c>
      <c r="J27" s="18" t="n">
        <v>6</v>
      </c>
      <c r="K27" s="19">
        <f>WORKDAY($D$2,I27)</f>
        <v/>
      </c>
      <c r="L27" s="19">
        <f>IF(H27=0,K27,WORKDAY($D$2,J27-1))</f>
        <v/>
      </c>
      <c r="M27" s="18" t="n">
        <v>1</v>
      </c>
      <c r="N27" s="18" t="n">
        <v>2</v>
      </c>
      <c r="O27" s="18" t="n">
        <v>60</v>
      </c>
      <c r="P27" s="18" t="inlineStr"/>
      <c r="Q27" s="18" t="inlineStr">
        <is>
          <t>Go-live</t>
        </is>
      </c>
      <c r="R27" s="25" t="n"/>
      <c r="S27" s="25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2" t="n"/>
      <c r="AG27" s="21" t="n"/>
      <c r="AH27" s="21" t="n"/>
      <c r="AI27" s="21" t="n"/>
      <c r="AJ27" s="21" t="n"/>
      <c r="AK27" s="21" t="n"/>
    </row>
    <row r="28" ht="30" customHeight="1">
      <c r="A28" s="24" t="inlineStr">
        <is>
          <t>I3</t>
        </is>
      </c>
      <c r="B28" s="16" t="inlineStr">
        <is>
          <t>Client inputs</t>
        </is>
      </c>
      <c r="C28" s="17" t="inlineStr">
        <is>
          <t>User list with roles, branches and reporting lines (My Team follows the reporting line)</t>
        </is>
      </c>
      <c r="D28" s="16" t="inlineStr">
        <is>
          <t>Broker</t>
        </is>
      </c>
      <c r="E28" s="17" t="inlineStr">
        <is>
          <t>Broker System Administrator</t>
        </is>
      </c>
      <c r="F28" s="17" t="inlineStr">
        <is>
          <t>Users sheet</t>
        </is>
      </c>
      <c r="G28" s="17" t="inlineStr">
        <is>
          <t>M3</t>
        </is>
      </c>
      <c r="H28" s="18" t="n">
        <v>10</v>
      </c>
      <c r="I28" s="18" t="n">
        <v>1</v>
      </c>
      <c r="J28" s="18" t="n">
        <v>11</v>
      </c>
      <c r="K28" s="19">
        <f>WORKDAY($D$2,I28)</f>
        <v/>
      </c>
      <c r="L28" s="19">
        <f>IF(H28=0,K28,WORKDAY($D$2,J28-1))</f>
        <v/>
      </c>
      <c r="M28" s="18" t="n">
        <v>1</v>
      </c>
      <c r="N28" s="18" t="n">
        <v>3</v>
      </c>
      <c r="O28" s="18" t="n">
        <v>2</v>
      </c>
      <c r="P28" s="18" t="inlineStr"/>
      <c r="Q28" s="18" t="inlineStr">
        <is>
          <t>Go-live</t>
        </is>
      </c>
      <c r="R28" s="25" t="n"/>
      <c r="S28" s="25" t="n"/>
      <c r="T28" s="25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2" t="n"/>
      <c r="AG28" s="21" t="n"/>
      <c r="AH28" s="21" t="n"/>
      <c r="AI28" s="21" t="n"/>
      <c r="AJ28" s="21" t="n"/>
      <c r="AK28" s="21" t="n"/>
    </row>
    <row r="29" ht="30" customHeight="1">
      <c r="A29" s="24" t="inlineStr">
        <is>
          <t>I5</t>
        </is>
      </c>
      <c r="B29" s="16" t="inlineStr">
        <is>
          <t>Client inputs</t>
        </is>
      </c>
      <c r="C29" s="17" t="inlineStr">
        <is>
          <t>Bank accounts, one statement export per account, bank contacts for payment files, payee bank accounts</t>
        </is>
      </c>
      <c r="D29" s="16" t="inlineStr">
        <is>
          <t>Broker</t>
        </is>
      </c>
      <c r="E29" s="17" t="inlineStr">
        <is>
          <t>Broker Accounting</t>
        </is>
      </c>
      <c r="F29" s="17" t="inlineStr">
        <is>
          <t>Statement samples; Payee Bank Accounts sheet</t>
        </is>
      </c>
      <c r="G29" s="17" t="inlineStr">
        <is>
          <t>M3</t>
        </is>
      </c>
      <c r="H29" s="18" t="n">
        <v>10</v>
      </c>
      <c r="I29" s="18" t="n">
        <v>1</v>
      </c>
      <c r="J29" s="18" t="n">
        <v>11</v>
      </c>
      <c r="K29" s="19">
        <f>WORKDAY($D$2,I29)</f>
        <v/>
      </c>
      <c r="L29" s="19">
        <f>IF(H29=0,K29,WORKDAY($D$2,J29-1))</f>
        <v/>
      </c>
      <c r="M29" s="18" t="n">
        <v>1</v>
      </c>
      <c r="N29" s="18" t="n">
        <v>3</v>
      </c>
      <c r="O29" s="18" t="n">
        <v>51</v>
      </c>
      <c r="P29" s="18" t="inlineStr"/>
      <c r="Q29" s="18" t="inlineStr">
        <is>
          <t>Feature only</t>
        </is>
      </c>
      <c r="R29" s="25" t="n"/>
      <c r="S29" s="25" t="n"/>
      <c r="T29" s="25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2" t="n"/>
      <c r="AG29" s="21" t="n"/>
      <c r="AH29" s="21" t="n"/>
      <c r="AI29" s="21" t="n"/>
      <c r="AJ29" s="21" t="n"/>
      <c r="AK29" s="21" t="n"/>
    </row>
    <row r="30" ht="30" customHeight="1">
      <c r="A30" s="24" t="inlineStr">
        <is>
          <t>I7</t>
        </is>
      </c>
      <c r="B30" s="16" t="inlineStr">
        <is>
          <t>Client inputs</t>
        </is>
      </c>
      <c r="C30" s="17" t="inlineStr">
        <is>
          <t>COC number series from each insurer</t>
        </is>
      </c>
      <c r="D30" s="16" t="inlineStr">
        <is>
          <t>Broker</t>
        </is>
      </c>
      <c r="E30" s="17" t="inlineStr">
        <is>
          <t>Broker Operations</t>
        </is>
      </c>
      <c r="F30" s="17" t="inlineStr">
        <is>
          <t>COC Series sheet</t>
        </is>
      </c>
      <c r="G30" s="17" t="inlineStr">
        <is>
          <t>M3</t>
        </is>
      </c>
      <c r="H30" s="18" t="n">
        <v>10</v>
      </c>
      <c r="I30" s="18" t="n">
        <v>1</v>
      </c>
      <c r="J30" s="18" t="n">
        <v>11</v>
      </c>
      <c r="K30" s="19">
        <f>WORKDAY($D$2,I30)</f>
        <v/>
      </c>
      <c r="L30" s="19">
        <f>IF(H30=0,K30,WORKDAY($D$2,J30-1))</f>
        <v/>
      </c>
      <c r="M30" s="18" t="n">
        <v>1</v>
      </c>
      <c r="N30" s="18" t="n">
        <v>3</v>
      </c>
      <c r="O30" s="18" t="n"/>
      <c r="P30" s="18" t="inlineStr"/>
      <c r="Q30" s="18" t="inlineStr">
        <is>
          <t>Feature only</t>
        </is>
      </c>
      <c r="R30" s="25" t="n"/>
      <c r="S30" s="25" t="n"/>
      <c r="T30" s="25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2" t="n"/>
      <c r="AG30" s="21" t="n"/>
      <c r="AH30" s="21" t="n"/>
      <c r="AI30" s="21" t="n"/>
      <c r="AJ30" s="21" t="n"/>
      <c r="AK30" s="21" t="n"/>
    </row>
    <row r="31" ht="30" customHeight="1">
      <c r="A31" s="15" t="inlineStr">
        <is>
          <t>I1</t>
        </is>
      </c>
      <c r="B31" s="16" t="inlineStr">
        <is>
          <t>Client inputs</t>
        </is>
      </c>
      <c r="C31" s="17" t="inlineStr">
        <is>
          <t>Insurer list and agreements, commission and referrer rates, product list</t>
        </is>
      </c>
      <c r="D31" s="16" t="inlineStr">
        <is>
          <t>Broker</t>
        </is>
      </c>
      <c r="E31" s="17" t="inlineStr">
        <is>
          <t>Broker key users</t>
        </is>
      </c>
      <c r="F31" s="17" t="inlineStr">
        <is>
          <t>Filled sheets of the configuration kit</t>
        </is>
      </c>
      <c r="G31" s="17" t="inlineStr">
        <is>
          <t>M3</t>
        </is>
      </c>
      <c r="H31" s="18" t="n">
        <v>12</v>
      </c>
      <c r="I31" s="18" t="n">
        <v>1</v>
      </c>
      <c r="J31" s="18" t="n">
        <v>13</v>
      </c>
      <c r="K31" s="19">
        <f>WORKDAY($D$2,I31)</f>
        <v/>
      </c>
      <c r="L31" s="19">
        <f>IF(H31=0,K31,WORKDAY($D$2,J31-1))</f>
        <v/>
      </c>
      <c r="M31" s="18" t="n">
        <v>1</v>
      </c>
      <c r="N31" s="18" t="n">
        <v>3</v>
      </c>
      <c r="O31" s="18" t="n">
        <v>0</v>
      </c>
      <c r="P31" s="18" t="inlineStr">
        <is>
          <t>Yes</t>
        </is>
      </c>
      <c r="Q31" s="18" t="inlineStr">
        <is>
          <t>Go-live</t>
        </is>
      </c>
      <c r="R31" s="27" t="n"/>
      <c r="S31" s="27" t="n"/>
      <c r="T31" s="27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2" t="n"/>
      <c r="AG31" s="21" t="n"/>
      <c r="AH31" s="21" t="n"/>
      <c r="AI31" s="21" t="n"/>
      <c r="AJ31" s="21" t="n"/>
      <c r="AK31" s="21" t="n"/>
    </row>
    <row r="32" ht="30" customHeight="1">
      <c r="A32" s="15" t="inlineStr">
        <is>
          <t>I2</t>
        </is>
      </c>
      <c r="B32" s="16" t="inlineStr">
        <is>
          <t>Client inputs</t>
        </is>
      </c>
      <c r="C32" s="17" t="inlineStr">
        <is>
          <t>Chart of accounts and the accountant's mapping decisions</t>
        </is>
      </c>
      <c r="D32" s="16" t="inlineStr">
        <is>
          <t>Broker</t>
        </is>
      </c>
      <c r="E32" s="17" t="inlineStr">
        <is>
          <t>Broker Accounting Manager</t>
        </is>
      </c>
      <c r="F32" s="17" t="inlineStr">
        <is>
          <t>Chart of Accounts sheet; mapping decisions</t>
        </is>
      </c>
      <c r="G32" s="17" t="inlineStr">
        <is>
          <t>M3</t>
        </is>
      </c>
      <c r="H32" s="18" t="n">
        <v>12</v>
      </c>
      <c r="I32" s="18" t="n">
        <v>1</v>
      </c>
      <c r="J32" s="18" t="n">
        <v>13</v>
      </c>
      <c r="K32" s="19">
        <f>WORKDAY($D$2,I32)</f>
        <v/>
      </c>
      <c r="L32" s="19">
        <f>IF(H32=0,K32,WORKDAY($D$2,J32-1))</f>
        <v/>
      </c>
      <c r="M32" s="18" t="n">
        <v>1</v>
      </c>
      <c r="N32" s="18" t="n">
        <v>3</v>
      </c>
      <c r="O32" s="18" t="n">
        <v>0</v>
      </c>
      <c r="P32" s="18" t="inlineStr">
        <is>
          <t>Yes</t>
        </is>
      </c>
      <c r="Q32" s="18" t="inlineStr">
        <is>
          <t>Go-live</t>
        </is>
      </c>
      <c r="R32" s="27" t="n"/>
      <c r="S32" s="27" t="n"/>
      <c r="T32" s="27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2" t="n"/>
      <c r="AG32" s="21" t="n"/>
      <c r="AH32" s="21" t="n"/>
      <c r="AI32" s="21" t="n"/>
      <c r="AJ32" s="21" t="n"/>
      <c r="AK32" s="21" t="n"/>
    </row>
    <row r="33" ht="30" customHeight="1">
      <c r="A33" s="24" t="inlineStr">
        <is>
          <t>I10</t>
        </is>
      </c>
      <c r="B33" s="16" t="inlineStr">
        <is>
          <t>Client inputs</t>
        </is>
      </c>
      <c r="C33" s="17" t="inlineStr">
        <is>
          <t>UAT testers and sign-off authority named</t>
        </is>
      </c>
      <c r="D33" s="16" t="inlineStr">
        <is>
          <t>Broker</t>
        </is>
      </c>
      <c r="E33" s="17" t="inlineStr">
        <is>
          <t>Broker PM</t>
        </is>
      </c>
      <c r="F33" s="17" t="inlineStr">
        <is>
          <t>UAT roster</t>
        </is>
      </c>
      <c r="G33" s="17" t="inlineStr">
        <is>
          <t>M4</t>
        </is>
      </c>
      <c r="H33" s="18" t="n">
        <v>3</v>
      </c>
      <c r="I33" s="18" t="n">
        <v>3</v>
      </c>
      <c r="J33" s="18" t="n">
        <v>6</v>
      </c>
      <c r="K33" s="19">
        <f>WORKDAY($D$2,I33)</f>
        <v/>
      </c>
      <c r="L33" s="19">
        <f>IF(H33=0,K33,WORKDAY($D$2,J33-1))</f>
        <v/>
      </c>
      <c r="M33" s="18" t="n">
        <v>1</v>
      </c>
      <c r="N33" s="18" t="n">
        <v>2</v>
      </c>
      <c r="O33" s="18" t="n">
        <v>53</v>
      </c>
      <c r="P33" s="18" t="inlineStr"/>
      <c r="Q33" s="18" t="inlineStr">
        <is>
          <t>Go-live</t>
        </is>
      </c>
      <c r="R33" s="25" t="n"/>
      <c r="S33" s="25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2" t="n"/>
      <c r="AG33" s="21" t="n"/>
      <c r="AH33" s="21" t="n"/>
      <c r="AI33" s="21" t="n"/>
      <c r="AJ33" s="21" t="n"/>
      <c r="AK33" s="21" t="n"/>
    </row>
    <row r="34" ht="30" customHeight="1">
      <c r="A34" s="24" t="inlineStr">
        <is>
          <t>I9</t>
        </is>
      </c>
      <c r="B34" s="16" t="inlineStr">
        <is>
          <t>Client inputs</t>
        </is>
      </c>
      <c r="C34" s="17" t="inlineStr">
        <is>
          <t>Training rooms, devices and attendance list</t>
        </is>
      </c>
      <c r="D34" s="16" t="inlineStr">
        <is>
          <t>Broker</t>
        </is>
      </c>
      <c r="E34" s="17" t="inlineStr">
        <is>
          <t>Broker PM</t>
        </is>
      </c>
      <c r="F34" s="17" t="inlineStr">
        <is>
          <t>Training schedule</t>
        </is>
      </c>
      <c r="G34" s="17" t="inlineStr">
        <is>
          <t>M4</t>
        </is>
      </c>
      <c r="H34" s="18" t="n">
        <v>5</v>
      </c>
      <c r="I34" s="18" t="n">
        <v>3</v>
      </c>
      <c r="J34" s="18" t="n">
        <v>8</v>
      </c>
      <c r="K34" s="19">
        <f>WORKDAY($D$2,I34)</f>
        <v/>
      </c>
      <c r="L34" s="19">
        <f>IF(H34=0,K34,WORKDAY($D$2,J34-1))</f>
        <v/>
      </c>
      <c r="M34" s="18" t="n">
        <v>1</v>
      </c>
      <c r="N34" s="18" t="n">
        <v>2</v>
      </c>
      <c r="O34" s="18" t="n">
        <v>52</v>
      </c>
      <c r="P34" s="18" t="inlineStr"/>
      <c r="Q34" s="18" t="inlineStr">
        <is>
          <t>Go-live</t>
        </is>
      </c>
      <c r="R34" s="25" t="n"/>
      <c r="S34" s="25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2" t="n"/>
      <c r="AG34" s="21" t="n"/>
      <c r="AH34" s="21" t="n"/>
      <c r="AI34" s="21" t="n"/>
      <c r="AJ34" s="21" t="n"/>
      <c r="AK34" s="21" t="n"/>
    </row>
    <row r="35" ht="30" customHeight="1">
      <c r="A35" s="24" t="inlineStr">
        <is>
          <t>I8</t>
        </is>
      </c>
      <c r="B35" s="16" t="inlineStr">
        <is>
          <t>Client inputs</t>
        </is>
      </c>
      <c r="C35" s="17" t="inlineStr">
        <is>
          <t>Logo, sign-in picture, signatories with e-signature consent</t>
        </is>
      </c>
      <c r="D35" s="16" t="inlineStr">
        <is>
          <t>Broker</t>
        </is>
      </c>
      <c r="E35" s="17" t="inlineStr">
        <is>
          <t>Broker marketing and signatories</t>
        </is>
      </c>
      <c r="F35" s="17" t="inlineStr">
        <is>
          <t>Images; consents on file</t>
        </is>
      </c>
      <c r="G35" s="17" t="inlineStr">
        <is>
          <t>D4</t>
        </is>
      </c>
      <c r="H35" s="18" t="n">
        <v>5</v>
      </c>
      <c r="I35" s="18" t="n">
        <v>4</v>
      </c>
      <c r="J35" s="18" t="n">
        <v>9</v>
      </c>
      <c r="K35" s="19">
        <f>WORKDAY($D$2,I35)</f>
        <v/>
      </c>
      <c r="L35" s="19">
        <f>IF(H35=0,K35,WORKDAY($D$2,J35-1))</f>
        <v/>
      </c>
      <c r="M35" s="18" t="n">
        <v>1</v>
      </c>
      <c r="N35" s="18" t="n">
        <v>2</v>
      </c>
      <c r="O35" s="18" t="n">
        <v>38</v>
      </c>
      <c r="P35" s="18" t="inlineStr"/>
      <c r="Q35" s="18" t="inlineStr">
        <is>
          <t>Go-live</t>
        </is>
      </c>
      <c r="R35" s="25" t="n"/>
      <c r="S35" s="25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2" t="n"/>
      <c r="AG35" s="21" t="n"/>
      <c r="AH35" s="21" t="n"/>
      <c r="AI35" s="21" t="n"/>
      <c r="AJ35" s="21" t="n"/>
      <c r="AK35" s="21" t="n"/>
    </row>
    <row r="36" ht="40" customHeight="1">
      <c r="A36" s="24" t="inlineStr">
        <is>
          <t>I6</t>
        </is>
      </c>
      <c r="B36" s="16" t="inlineStr">
        <is>
          <t>Client inputs</t>
        </is>
      </c>
      <c r="C36" s="17" t="inlineStr">
        <is>
          <t>Partner contracts and credentials: SMS provider, CTPL authentication provider, payment gateway, insurer API access</t>
        </is>
      </c>
      <c r="D36" s="16" t="inlineStr">
        <is>
          <t>Broker</t>
        </is>
      </c>
      <c r="E36" s="17" t="inlineStr">
        <is>
          <t>Broker IT head and sponsor</t>
        </is>
      </c>
      <c r="F36" s="17" t="inlineStr">
        <is>
          <t>Signed contracts; credentials in the secret store</t>
        </is>
      </c>
      <c r="G36" s="17" t="inlineStr">
        <is>
          <t>D3</t>
        </is>
      </c>
      <c r="H36" s="18" t="n">
        <v>15</v>
      </c>
      <c r="I36" s="18" t="n">
        <v>5</v>
      </c>
      <c r="J36" s="18" t="n">
        <v>20</v>
      </c>
      <c r="K36" s="19">
        <f>WORKDAY($D$2,I36)</f>
        <v/>
      </c>
      <c r="L36" s="19">
        <f>IF(H36=0,K36,WORKDAY($D$2,J36-1))</f>
        <v/>
      </c>
      <c r="M36" s="18" t="n">
        <v>2</v>
      </c>
      <c r="N36" s="18" t="n">
        <v>4</v>
      </c>
      <c r="O36" s="18" t="n"/>
      <c r="P36" s="18" t="inlineStr"/>
      <c r="Q36" s="18" t="inlineStr">
        <is>
          <t>Feature only</t>
        </is>
      </c>
      <c r="R36" s="21" t="n"/>
      <c r="S36" s="25" t="n"/>
      <c r="T36" s="25" t="n"/>
      <c r="U36" s="25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2" t="n"/>
      <c r="AG36" s="21" t="n"/>
      <c r="AH36" s="21" t="n"/>
      <c r="AI36" s="21" t="n"/>
      <c r="AJ36" s="21" t="n"/>
      <c r="AK36" s="21" t="n"/>
    </row>
    <row r="37">
      <c r="A37" s="13" t="inlineStr">
        <is>
          <t>Regulatory registrations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</row>
    <row r="38" ht="30" customHeight="1">
      <c r="A38" s="24" t="inlineStr">
        <is>
          <t>R3</t>
        </is>
      </c>
      <c r="B38" s="16" t="inlineStr">
        <is>
          <t>Regulatory registrations</t>
        </is>
      </c>
      <c r="C38" s="17" t="inlineStr">
        <is>
          <t>AMLC: registration of the broker as covered person, portal access, institution code</t>
        </is>
      </c>
      <c r="D38" s="16" t="inlineStr">
        <is>
          <t>Broker</t>
        </is>
      </c>
      <c r="E38" s="17" t="inlineStr">
        <is>
          <t>Broker compliance officer</t>
        </is>
      </c>
      <c r="F38" s="17" t="inlineStr">
        <is>
          <t>Portal access; aml.amlc_institution_code</t>
        </is>
      </c>
      <c r="G38" s="17" t="inlineStr">
        <is>
          <t>M1</t>
        </is>
      </c>
      <c r="H38" s="18" t="n">
        <v>20</v>
      </c>
      <c r="I38" s="18" t="n">
        <v>0</v>
      </c>
      <c r="J38" s="18" t="n">
        <v>20</v>
      </c>
      <c r="K38" s="19">
        <f>WORKDAY($D$2,I38)</f>
        <v/>
      </c>
      <c r="L38" s="19">
        <f>IF(H38=0,K38,WORKDAY($D$2,J38-1))</f>
        <v/>
      </c>
      <c r="M38" s="18" t="n">
        <v>1</v>
      </c>
      <c r="N38" s="18" t="n">
        <v>4</v>
      </c>
      <c r="O38" s="18" t="n">
        <v>46</v>
      </c>
      <c r="P38" s="18" t="inlineStr"/>
      <c r="Q38" s="18" t="inlineStr">
        <is>
          <t>Go-live</t>
        </is>
      </c>
      <c r="R38" s="25" t="n"/>
      <c r="S38" s="25" t="n"/>
      <c r="T38" s="25" t="n"/>
      <c r="U38" s="25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2" t="n"/>
      <c r="AG38" s="21" t="n"/>
      <c r="AH38" s="21" t="n"/>
      <c r="AI38" s="21" t="n"/>
      <c r="AJ38" s="21" t="n"/>
      <c r="AK38" s="21" t="n"/>
    </row>
    <row r="39" ht="40" customHeight="1">
      <c r="A39" s="24" t="inlineStr">
        <is>
          <t>R1</t>
        </is>
      </c>
      <c r="B39" s="16" t="inlineStr">
        <is>
          <t>Regulatory registrations</t>
        </is>
      </c>
      <c r="C39" s="17" t="inlineStr">
        <is>
          <t>BIR: Authority to Print or CAS registration and the invoice serial range confirmed (new or existing); last numbers used</t>
        </is>
      </c>
      <c r="D39" s="16" t="inlineStr">
        <is>
          <t>Broker</t>
        </is>
      </c>
      <c r="E39" s="17" t="inlineStr">
        <is>
          <t>Broker Accounting Manager with the tax adviser</t>
        </is>
      </c>
      <c r="F39" s="17" t="inlineStr">
        <is>
          <t>ATP or CAS acknowledgement; invoice.* settings</t>
        </is>
      </c>
      <c r="G39" s="17" t="inlineStr">
        <is>
          <t>M1</t>
        </is>
      </c>
      <c r="H39" s="18" t="n">
        <v>30</v>
      </c>
      <c r="I39" s="18" t="n">
        <v>0</v>
      </c>
      <c r="J39" s="18" t="n">
        <v>30</v>
      </c>
      <c r="K39" s="19">
        <f>WORKDAY($D$2,I39)</f>
        <v/>
      </c>
      <c r="L39" s="19">
        <f>IF(H39=0,K39,WORKDAY($D$2,J39-1))</f>
        <v/>
      </c>
      <c r="M39" s="18" t="n">
        <v>1</v>
      </c>
      <c r="N39" s="18" t="n">
        <v>6</v>
      </c>
      <c r="O39" s="18" t="n">
        <v>31</v>
      </c>
      <c r="P39" s="18" t="inlineStr"/>
      <c r="Q39" s="18" t="inlineStr">
        <is>
          <t>Go-live</t>
        </is>
      </c>
      <c r="R39" s="25" t="n"/>
      <c r="S39" s="25" t="n"/>
      <c r="T39" s="25" t="n"/>
      <c r="U39" s="25" t="n"/>
      <c r="V39" s="25" t="n"/>
      <c r="W39" s="25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2" t="n"/>
      <c r="AG39" s="21" t="n"/>
      <c r="AH39" s="21" t="n"/>
      <c r="AI39" s="21" t="n"/>
      <c r="AJ39" s="21" t="n"/>
      <c r="AK39" s="21" t="n"/>
    </row>
    <row r="40" ht="30" customHeight="1">
      <c r="A40" s="24" t="inlineStr">
        <is>
          <t>R2</t>
        </is>
      </c>
      <c r="B40" s="16" t="inlineStr">
        <is>
          <t>Regulatory registrations</t>
        </is>
      </c>
      <c r="C40" s="17" t="inlineStr">
        <is>
          <t>BIR: EIS enrolment and certification (when the broker is covered)</t>
        </is>
      </c>
      <c r="D40" s="16" t="inlineStr">
        <is>
          <t>Broker</t>
        </is>
      </c>
      <c r="E40" s="17" t="inlineStr">
        <is>
          <t>Broker Accounting Manager</t>
        </is>
      </c>
      <c r="F40" s="17" t="inlineStr">
        <is>
          <t>EIS accreditation id and credentials</t>
        </is>
      </c>
      <c r="G40" s="17" t="inlineStr">
        <is>
          <t>M1</t>
        </is>
      </c>
      <c r="H40" s="18" t="n">
        <v>30</v>
      </c>
      <c r="I40" s="18" t="n">
        <v>0</v>
      </c>
      <c r="J40" s="18" t="n">
        <v>30</v>
      </c>
      <c r="K40" s="19">
        <f>WORKDAY($D$2,I40)</f>
        <v/>
      </c>
      <c r="L40" s="19">
        <f>IF(H40=0,K40,WORKDAY($D$2,J40-1))</f>
        <v/>
      </c>
      <c r="M40" s="18" t="n">
        <v>1</v>
      </c>
      <c r="N40" s="18" t="n">
        <v>6</v>
      </c>
      <c r="O40" s="18" t="n"/>
      <c r="P40" s="18" t="inlineStr"/>
      <c r="Q40" s="18" t="inlineStr">
        <is>
          <t>Feature only</t>
        </is>
      </c>
      <c r="R40" s="25" t="n"/>
      <c r="S40" s="25" t="n"/>
      <c r="T40" s="25" t="n"/>
      <c r="U40" s="25" t="n"/>
      <c r="V40" s="25" t="n"/>
      <c r="W40" s="25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2" t="n"/>
      <c r="AG40" s="21" t="n"/>
      <c r="AH40" s="21" t="n"/>
      <c r="AI40" s="21" t="n"/>
      <c r="AJ40" s="21" t="n"/>
      <c r="AK40" s="21" t="n"/>
    </row>
    <row r="41" ht="30" customHeight="1">
      <c r="A41" s="24" t="inlineStr">
        <is>
          <t>R5</t>
        </is>
      </c>
      <c r="B41" s="16" t="inlineStr">
        <is>
          <t>Regulatory registrations</t>
        </is>
      </c>
      <c r="C41" s="17" t="inlineStr">
        <is>
          <t>NPC: registration of the DPO and the data processing systems confirmed; privacy notice version</t>
        </is>
      </c>
      <c r="D41" s="16" t="inlineStr">
        <is>
          <t>Broker</t>
        </is>
      </c>
      <c r="E41" s="17" t="inlineStr">
        <is>
          <t>Broker DPO</t>
        </is>
      </c>
      <c r="F41" s="17" t="inlineStr">
        <is>
          <t>NPC registration; privacy.notice_version</t>
        </is>
      </c>
      <c r="G41" s="17" t="inlineStr">
        <is>
          <t>M1</t>
        </is>
      </c>
      <c r="H41" s="18" t="n">
        <v>30</v>
      </c>
      <c r="I41" s="18" t="n">
        <v>0</v>
      </c>
      <c r="J41" s="18" t="n">
        <v>30</v>
      </c>
      <c r="K41" s="19">
        <f>WORKDAY($D$2,I41)</f>
        <v/>
      </c>
      <c r="L41" s="19">
        <f>IF(H41=0,K41,WORKDAY($D$2,J41-1))</f>
        <v/>
      </c>
      <c r="M41" s="18" t="n">
        <v>1</v>
      </c>
      <c r="N41" s="18" t="n">
        <v>6</v>
      </c>
      <c r="O41" s="18" t="n">
        <v>38</v>
      </c>
      <c r="P41" s="18" t="inlineStr"/>
      <c r="Q41" s="18" t="inlineStr">
        <is>
          <t>Go-live</t>
        </is>
      </c>
      <c r="R41" s="25" t="n"/>
      <c r="S41" s="25" t="n"/>
      <c r="T41" s="25" t="n"/>
      <c r="U41" s="25" t="n"/>
      <c r="V41" s="25" t="n"/>
      <c r="W41" s="25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2" t="n"/>
      <c r="AG41" s="21" t="n"/>
      <c r="AH41" s="21" t="n"/>
      <c r="AI41" s="21" t="n"/>
      <c r="AJ41" s="21" t="n"/>
      <c r="AK41" s="21" t="n"/>
    </row>
    <row r="42" ht="30" customHeight="1">
      <c r="A42" s="24" t="inlineStr">
        <is>
          <t>R4</t>
        </is>
      </c>
      <c r="B42" s="16" t="inlineStr">
        <is>
          <t>Regulatory registrations</t>
        </is>
      </c>
      <c r="C42" s="17" t="inlineStr">
        <is>
          <t>IC: licence data of the firm, officers and agents; certificates of authority of the insurers</t>
        </is>
      </c>
      <c r="D42" s="16" t="inlineStr">
        <is>
          <t>Broker</t>
        </is>
      </c>
      <c r="E42" s="17" t="inlineStr">
        <is>
          <t>Broker compliance officer</t>
        </is>
      </c>
      <c r="F42" s="17" t="inlineStr">
        <is>
          <t>Licence copies; certificate numbers and validity</t>
        </is>
      </c>
      <c r="G42" s="17" t="inlineStr">
        <is>
          <t>M4</t>
        </is>
      </c>
      <c r="H42" s="18" t="n">
        <v>10</v>
      </c>
      <c r="I42" s="18" t="n">
        <v>3</v>
      </c>
      <c r="J42" s="18" t="n">
        <v>13</v>
      </c>
      <c r="K42" s="19">
        <f>WORKDAY($D$2,I42)</f>
        <v/>
      </c>
      <c r="L42" s="19">
        <f>IF(H42=0,K42,WORKDAY($D$2,J42-1))</f>
        <v/>
      </c>
      <c r="M42" s="18" t="n">
        <v>1</v>
      </c>
      <c r="N42" s="18" t="n">
        <v>3</v>
      </c>
      <c r="O42" s="18" t="n">
        <v>31</v>
      </c>
      <c r="P42" s="18" t="inlineStr"/>
      <c r="Q42" s="18" t="inlineStr">
        <is>
          <t>Go-live</t>
        </is>
      </c>
      <c r="R42" s="25" t="n"/>
      <c r="S42" s="25" t="n"/>
      <c r="T42" s="25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2" t="n"/>
      <c r="AG42" s="21" t="n"/>
      <c r="AH42" s="21" t="n"/>
      <c r="AI42" s="21" t="n"/>
      <c r="AJ42" s="21" t="n"/>
      <c r="AK42" s="21" t="n"/>
    </row>
    <row r="43" ht="40" customHeight="1">
      <c r="A43" s="24" t="inlineStr">
        <is>
          <t>R8</t>
        </is>
      </c>
      <c r="B43" s="16" t="inlineStr">
        <is>
          <t>Regulatory registrations</t>
        </is>
      </c>
      <c r="C43" s="17" t="inlineStr">
        <is>
          <t>Contract reference covering the use of the client's marks on the engagement file (client brand pack only)</t>
        </is>
      </c>
      <c r="D43" s="16" t="inlineStr">
        <is>
          <t>Broker</t>
        </is>
      </c>
      <c r="E43" s="17" t="inlineStr">
        <is>
          <t>Broker sponsor</t>
        </is>
      </c>
      <c r="F43" s="17" t="inlineStr">
        <is>
          <t>Contract reference on the engagement file</t>
        </is>
      </c>
      <c r="G43" s="17" t="inlineStr">
        <is>
          <t>D4</t>
        </is>
      </c>
      <c r="H43" s="18" t="n">
        <v>5</v>
      </c>
      <c r="I43" s="18" t="n">
        <v>4</v>
      </c>
      <c r="J43" s="18" t="n">
        <v>9</v>
      </c>
      <c r="K43" s="19">
        <f>WORKDAY($D$2,I43)</f>
        <v/>
      </c>
      <c r="L43" s="19">
        <f>IF(H43=0,K43,WORKDAY($D$2,J43-1))</f>
        <v/>
      </c>
      <c r="M43" s="18" t="n">
        <v>1</v>
      </c>
      <c r="N43" s="18" t="n">
        <v>2</v>
      </c>
      <c r="O43" s="18" t="n"/>
      <c r="P43" s="18" t="inlineStr"/>
      <c r="Q43" s="18" t="inlineStr">
        <is>
          <t>Feature only</t>
        </is>
      </c>
      <c r="R43" s="25" t="n"/>
      <c r="S43" s="25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2" t="n"/>
      <c r="AG43" s="21" t="n"/>
      <c r="AH43" s="21" t="n"/>
      <c r="AI43" s="21" t="n"/>
      <c r="AJ43" s="21" t="n"/>
      <c r="AK43" s="21" t="n"/>
    </row>
    <row r="44" ht="30" customHeight="1">
      <c r="A44" s="24" t="inlineStr">
        <is>
          <t>R7</t>
        </is>
      </c>
      <c r="B44" s="16" t="inlineStr">
        <is>
          <t>Regulatory registrations</t>
        </is>
      </c>
      <c r="C44" s="17" t="inlineStr">
        <is>
          <t>Screening lists: UN and AMLC lists obtained; PEP list licence from a provider (when used)</t>
        </is>
      </c>
      <c r="D44" s="16" t="inlineStr">
        <is>
          <t>Broker</t>
        </is>
      </c>
      <c r="E44" s="17" t="inlineStr">
        <is>
          <t>Broker compliance officer</t>
        </is>
      </c>
      <c r="F44" s="17" t="inlineStr">
        <is>
          <t>List files and licence</t>
        </is>
      </c>
      <c r="G44" s="17" t="inlineStr">
        <is>
          <t>D2</t>
        </is>
      </c>
      <c r="H44" s="18" t="n">
        <v>15</v>
      </c>
      <c r="I44" s="18" t="n">
        <v>5</v>
      </c>
      <c r="J44" s="18" t="n">
        <v>20</v>
      </c>
      <c r="K44" s="19">
        <f>WORKDAY($D$2,I44)</f>
        <v/>
      </c>
      <c r="L44" s="19">
        <f>IF(H44=0,K44,WORKDAY($D$2,J44-1))</f>
        <v/>
      </c>
      <c r="M44" s="18" t="n">
        <v>2</v>
      </c>
      <c r="N44" s="18" t="n">
        <v>4</v>
      </c>
      <c r="O44" s="18" t="n">
        <v>47</v>
      </c>
      <c r="P44" s="18" t="inlineStr"/>
      <c r="Q44" s="18" t="inlineStr">
        <is>
          <t>Go-live</t>
        </is>
      </c>
      <c r="R44" s="21" t="n"/>
      <c r="S44" s="25" t="n"/>
      <c r="T44" s="25" t="n"/>
      <c r="U44" s="25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2" t="n"/>
      <c r="AG44" s="21" t="n"/>
      <c r="AH44" s="21" t="n"/>
      <c r="AI44" s="21" t="n"/>
      <c r="AJ44" s="21" t="n"/>
      <c r="AK44" s="21" t="n"/>
    </row>
    <row r="45" ht="40" customHeight="1">
      <c r="A45" s="24" t="inlineStr">
        <is>
          <t>R6</t>
        </is>
      </c>
      <c r="B45" s="16" t="inlineStr">
        <is>
          <t>Regulatory registrations</t>
        </is>
      </c>
      <c r="C45" s="17" t="inlineStr">
        <is>
          <t>Tax adviser confirmation: tax codes, ATC, rates, invoice and receipt wording, VAT treatment of commission</t>
        </is>
      </c>
      <c r="D45" s="16" t="inlineStr">
        <is>
          <t>Broker</t>
        </is>
      </c>
      <c r="E45" s="17" t="inlineStr">
        <is>
          <t>Broker tax adviser</t>
        </is>
      </c>
      <c r="F45" s="17" t="inlineStr">
        <is>
          <t>Written confirmation</t>
        </is>
      </c>
      <c r="G45" s="17" t="inlineStr">
        <is>
          <t>C3SS+8d</t>
        </is>
      </c>
      <c r="H45" s="18" t="n">
        <v>8</v>
      </c>
      <c r="I45" s="18" t="n">
        <v>37</v>
      </c>
      <c r="J45" s="18" t="n">
        <v>45</v>
      </c>
      <c r="K45" s="19">
        <f>WORKDAY($D$2,I45)</f>
        <v/>
      </c>
      <c r="L45" s="19">
        <f>IF(H45=0,K45,WORKDAY($D$2,J45-1))</f>
        <v/>
      </c>
      <c r="M45" s="18" t="n">
        <v>8</v>
      </c>
      <c r="N45" s="18" t="n">
        <v>9</v>
      </c>
      <c r="O45" s="18" t="n">
        <v>23</v>
      </c>
      <c r="P45" s="18" t="inlineStr"/>
      <c r="Q45" s="18" t="inlineStr">
        <is>
          <t>Go-live</t>
        </is>
      </c>
      <c r="R45" s="21" t="n"/>
      <c r="S45" s="21" t="n"/>
      <c r="T45" s="21" t="n"/>
      <c r="U45" s="21" t="n"/>
      <c r="V45" s="21" t="n"/>
      <c r="W45" s="21" t="n"/>
      <c r="X45" s="21" t="n"/>
      <c r="Y45" s="25" t="n"/>
      <c r="Z45" s="25" t="n"/>
      <c r="AA45" s="21" t="n"/>
      <c r="AB45" s="21" t="n"/>
      <c r="AC45" s="21" t="n"/>
      <c r="AD45" s="21" t="n"/>
      <c r="AE45" s="21" t="n"/>
      <c r="AF45" s="22" t="n"/>
      <c r="AG45" s="21" t="n"/>
      <c r="AH45" s="21" t="n"/>
      <c r="AI45" s="21" t="n"/>
      <c r="AJ45" s="21" t="n"/>
      <c r="AK45" s="21" t="n"/>
    </row>
    <row r="46">
      <c r="A46" s="13" t="inlineStr">
        <is>
          <t>Configuration (go-live configuration kit)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</row>
    <row r="47" ht="52" customHeight="1">
      <c r="A47" s="15" t="inlineStr">
        <is>
          <t>C1</t>
        </is>
      </c>
      <c r="B47" s="16" t="inlineStr">
        <is>
          <t>Configuration (go-live configuration kit)</t>
        </is>
      </c>
      <c r="C47" s="17" t="inlineStr">
        <is>
          <t>Configuration kit filled: company, settings, PSGC addresses, branches, users, chart of accounts, banks, insurers, products, commission, taxes, authority limits, numbering</t>
        </is>
      </c>
      <c r="D47" s="16" t="inlineStr">
        <is>
          <t>Broker</t>
        </is>
      </c>
      <c r="E47" s="17" t="inlineStr">
        <is>
          <t>Broker key users with iorta TechNXT consultants</t>
        </is>
      </c>
      <c r="F47" s="17" t="inlineStr">
        <is>
          <t>Filled configuration workbook</t>
        </is>
      </c>
      <c r="G47" s="17" t="inlineStr">
        <is>
          <t>D1SS+6d, I1, I2, I3</t>
        </is>
      </c>
      <c r="H47" s="18" t="n">
        <v>12</v>
      </c>
      <c r="I47" s="18" t="n">
        <v>13</v>
      </c>
      <c r="J47" s="18" t="n">
        <v>25</v>
      </c>
      <c r="K47" s="19">
        <f>WORKDAY($D$2,I47)</f>
        <v/>
      </c>
      <c r="L47" s="19">
        <f>IF(H47=0,K47,WORKDAY($D$2,J47-1))</f>
        <v/>
      </c>
      <c r="M47" s="18" t="n">
        <v>3</v>
      </c>
      <c r="N47" s="18" t="n">
        <v>5</v>
      </c>
      <c r="O47" s="18" t="n">
        <v>0</v>
      </c>
      <c r="P47" s="18" t="inlineStr">
        <is>
          <t>Yes</t>
        </is>
      </c>
      <c r="Q47" s="18" t="inlineStr">
        <is>
          <t>Go-live</t>
        </is>
      </c>
      <c r="R47" s="21" t="n"/>
      <c r="S47" s="21" t="n"/>
      <c r="T47" s="27" t="n"/>
      <c r="U47" s="27" t="n"/>
      <c r="V47" s="27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2" t="n"/>
      <c r="AG47" s="21" t="n"/>
      <c r="AH47" s="21" t="n"/>
      <c r="AI47" s="21" t="n"/>
      <c r="AJ47" s="21" t="n"/>
      <c r="AK47" s="21" t="n"/>
    </row>
    <row r="48" ht="40" customHeight="1">
      <c r="A48" s="15" t="inlineStr">
        <is>
          <t>C2</t>
        </is>
      </c>
      <c r="B48" s="16" t="inlineStr">
        <is>
          <t>Configuration (go-live configuration kit)</t>
        </is>
      </c>
      <c r="C48" s="17" t="inlineStr">
        <is>
          <t>Configuration kit uploaded, validated, errors workbook corrected and loaded in Dev (small, medium) or SIT (large, enterprise)</t>
        </is>
      </c>
      <c r="D48" s="16" t="inlineStr">
        <is>
          <t>iorta TechNXT</t>
        </is>
      </c>
      <c r="E48" s="17" t="inlineStr">
        <is>
          <t>iorta TechNXT consultant</t>
        </is>
      </c>
      <c r="F48" s="17" t="inlineStr">
        <is>
          <t>Batch Loaded; load history</t>
        </is>
      </c>
      <c r="G48" s="17" t="inlineStr">
        <is>
          <t>C1, E6</t>
        </is>
      </c>
      <c r="H48" s="18" t="n">
        <v>4</v>
      </c>
      <c r="I48" s="18" t="n">
        <v>25</v>
      </c>
      <c r="J48" s="18" t="n">
        <v>29</v>
      </c>
      <c r="K48" s="19">
        <f>WORKDAY($D$2,I48)</f>
        <v/>
      </c>
      <c r="L48" s="19">
        <f>IF(H48=0,K48,WORKDAY($D$2,J48-1))</f>
        <v/>
      </c>
      <c r="M48" s="18" t="n">
        <v>6</v>
      </c>
      <c r="N48" s="18" t="n">
        <v>6</v>
      </c>
      <c r="O48" s="18" t="n">
        <v>0</v>
      </c>
      <c r="P48" s="18" t="inlineStr">
        <is>
          <t>Yes</t>
        </is>
      </c>
      <c r="Q48" s="18" t="inlineStr">
        <is>
          <t>Go-live</t>
        </is>
      </c>
      <c r="R48" s="21" t="n"/>
      <c r="S48" s="21" t="n"/>
      <c r="T48" s="21" t="n"/>
      <c r="U48" s="21" t="n"/>
      <c r="V48" s="21" t="n"/>
      <c r="W48" s="23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2" t="n"/>
      <c r="AG48" s="21" t="n"/>
      <c r="AH48" s="21" t="n"/>
      <c r="AI48" s="21" t="n"/>
      <c r="AJ48" s="21" t="n"/>
      <c r="AK48" s="21" t="n"/>
    </row>
    <row r="49" ht="52" customHeight="1">
      <c r="A49" s="15" t="inlineStr">
        <is>
          <t>C3</t>
        </is>
      </c>
      <c r="B49" s="16" t="inlineStr">
        <is>
          <t>Configuration (go-live configuration kit)</t>
        </is>
      </c>
      <c r="C49" s="17" t="inlineStr">
        <is>
          <t>On-screen configuration: Product Configurator (templates, rating factors, acceptance rules, document templates, market mapping), tax codes, posting rules, approvals, roles, schedules</t>
        </is>
      </c>
      <c r="D49" s="16" t="inlineStr">
        <is>
          <t>iorta TechNXT</t>
        </is>
      </c>
      <c r="E49" s="17" t="inlineStr">
        <is>
          <t>iorta TechNXT consultants</t>
        </is>
      </c>
      <c r="F49" s="17" t="inlineStr">
        <is>
          <t>Configuration workbook updated with the values set</t>
        </is>
      </c>
      <c r="G49" s="17" t="inlineStr">
        <is>
          <t>C2, D5</t>
        </is>
      </c>
      <c r="H49" s="18" t="n">
        <v>18</v>
      </c>
      <c r="I49" s="18" t="n">
        <v>29</v>
      </c>
      <c r="J49" s="18" t="n">
        <v>47</v>
      </c>
      <c r="K49" s="19">
        <f>WORKDAY($D$2,I49)</f>
        <v/>
      </c>
      <c r="L49" s="19">
        <f>IF(H49=0,K49,WORKDAY($D$2,J49-1))</f>
        <v/>
      </c>
      <c r="M49" s="18" t="n">
        <v>6</v>
      </c>
      <c r="N49" s="18" t="n">
        <v>10</v>
      </c>
      <c r="O49" s="18" t="n">
        <v>0</v>
      </c>
      <c r="P49" s="18" t="inlineStr">
        <is>
          <t>Yes</t>
        </is>
      </c>
      <c r="Q49" s="18" t="inlineStr">
        <is>
          <t>Go-live</t>
        </is>
      </c>
      <c r="R49" s="21" t="n"/>
      <c r="S49" s="21" t="n"/>
      <c r="T49" s="21" t="n"/>
      <c r="U49" s="21" t="n"/>
      <c r="V49" s="21" t="n"/>
      <c r="W49" s="23" t="n"/>
      <c r="X49" s="23" t="n"/>
      <c r="Y49" s="23" t="n"/>
      <c r="Z49" s="23" t="n"/>
      <c r="AA49" s="23" t="n"/>
      <c r="AB49" s="21" t="n"/>
      <c r="AC49" s="21" t="n"/>
      <c r="AD49" s="21" t="n"/>
      <c r="AE49" s="21" t="n"/>
      <c r="AF49" s="22" t="n"/>
      <c r="AG49" s="21" t="n"/>
      <c r="AH49" s="21" t="n"/>
      <c r="AI49" s="21" t="n"/>
      <c r="AJ49" s="21" t="n"/>
      <c r="AK49" s="21" t="n"/>
    </row>
    <row r="50" ht="30" customHeight="1">
      <c r="A50" s="24" t="inlineStr">
        <is>
          <t>C5</t>
        </is>
      </c>
      <c r="B50" s="16" t="inlineStr">
        <is>
          <t>Configuration (go-live configuration kit)</t>
        </is>
      </c>
      <c r="C50" s="17" t="inlineStr">
        <is>
          <t>Configuration complete</t>
        </is>
      </c>
      <c r="D50" s="16" t="inlineStr">
        <is>
          <t>iorta TechNXT</t>
        </is>
      </c>
      <c r="E50" s="17" t="inlineStr">
        <is>
          <t>iorta TechNXT delivery lead</t>
        </is>
      </c>
      <c r="F50" s="17" t="inlineStr">
        <is>
          <t>Checklist of GO_LIVE_DATA_SETUP steps 1 to 12</t>
        </is>
      </c>
      <c r="G50" s="17" t="inlineStr">
        <is>
          <t>C3, K1, B1</t>
        </is>
      </c>
      <c r="H50" s="18" t="n">
        <v>0</v>
      </c>
      <c r="I50" s="18" t="n">
        <v>47</v>
      </c>
      <c r="J50" s="18" t="n">
        <v>47</v>
      </c>
      <c r="K50" s="19">
        <f>WORKDAY($D$2,I50)</f>
        <v/>
      </c>
      <c r="L50" s="19">
        <f>IF(H50=0,K50,WORKDAY($D$2,J50-1))</f>
        <v/>
      </c>
      <c r="M50" s="18" t="n">
        <v>10</v>
      </c>
      <c r="N50" s="18" t="n">
        <v>10</v>
      </c>
      <c r="O50" s="18" t="n">
        <v>5</v>
      </c>
      <c r="P50" s="18" t="inlineStr"/>
      <c r="Q50" s="18" t="inlineStr">
        <is>
          <t>Go-live</t>
        </is>
      </c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0" t="inlineStr">
        <is>
          <t>◆</t>
        </is>
      </c>
      <c r="AB50" s="21" t="n"/>
      <c r="AC50" s="21" t="n"/>
      <c r="AD50" s="21" t="n"/>
      <c r="AE50" s="21" t="n"/>
      <c r="AF50" s="22" t="n"/>
      <c r="AG50" s="21" t="n"/>
      <c r="AH50" s="21" t="n"/>
      <c r="AI50" s="21" t="n"/>
      <c r="AJ50" s="21" t="n"/>
      <c r="AK50" s="21" t="n"/>
    </row>
    <row r="51">
      <c r="A51" s="13" t="inlineStr">
        <is>
          <t>Compliance set-up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</row>
    <row r="52" ht="52" customHeight="1">
      <c r="A52" s="24" t="inlineStr">
        <is>
          <t>K1</t>
        </is>
      </c>
      <c r="B52" s="16" t="inlineStr">
        <is>
          <t>Compliance set-up</t>
        </is>
      </c>
      <c r="C52" s="17" t="inlineStr">
        <is>
          <t>Compliance set-up: AML settings, risk factors, monitoring rules; licence register, fit and proper, insurer authority; complaints and breach settings; view:pii grants and masking</t>
        </is>
      </c>
      <c r="D52" s="16" t="inlineStr">
        <is>
          <t>iorta TechNXT</t>
        </is>
      </c>
      <c r="E52" s="17" t="inlineStr">
        <is>
          <t>iorta TechNXT consultant with the compliance officer</t>
        </is>
      </c>
      <c r="F52" s="17" t="inlineStr">
        <is>
          <t>AML Settings saved; registers filled</t>
        </is>
      </c>
      <c r="G52" s="17" t="inlineStr">
        <is>
          <t>C2, D2, R4</t>
        </is>
      </c>
      <c r="H52" s="18" t="n">
        <v>8</v>
      </c>
      <c r="I52" s="18" t="n">
        <v>29</v>
      </c>
      <c r="J52" s="18" t="n">
        <v>37</v>
      </c>
      <c r="K52" s="19">
        <f>WORKDAY($D$2,I52)</f>
        <v/>
      </c>
      <c r="L52" s="19">
        <f>IF(H52=0,K52,WORKDAY($D$2,J52-1))</f>
        <v/>
      </c>
      <c r="M52" s="18" t="n">
        <v>6</v>
      </c>
      <c r="N52" s="18" t="n">
        <v>8</v>
      </c>
      <c r="O52" s="18" t="n">
        <v>15</v>
      </c>
      <c r="P52" s="18" t="inlineStr"/>
      <c r="Q52" s="18" t="inlineStr">
        <is>
          <t>Go-live</t>
        </is>
      </c>
      <c r="R52" s="21" t="n"/>
      <c r="S52" s="21" t="n"/>
      <c r="T52" s="21" t="n"/>
      <c r="U52" s="21" t="n"/>
      <c r="V52" s="21" t="n"/>
      <c r="W52" s="26" t="n"/>
      <c r="X52" s="26" t="n"/>
      <c r="Y52" s="26" t="n"/>
      <c r="Z52" s="21" t="n"/>
      <c r="AA52" s="21" t="n"/>
      <c r="AB52" s="21" t="n"/>
      <c r="AC52" s="21" t="n"/>
      <c r="AD52" s="21" t="n"/>
      <c r="AE52" s="21" t="n"/>
      <c r="AF52" s="22" t="n"/>
      <c r="AG52" s="21" t="n"/>
      <c r="AH52" s="21" t="n"/>
      <c r="AI52" s="21" t="n"/>
      <c r="AJ52" s="21" t="n"/>
      <c r="AK52" s="21" t="n"/>
    </row>
    <row r="53" ht="30" customHeight="1">
      <c r="A53" s="24" t="inlineStr">
        <is>
          <t>K2</t>
        </is>
      </c>
      <c r="B53" s="16" t="inlineStr">
        <is>
          <t>Compliance set-up</t>
        </is>
      </c>
      <c r="C53" s="17" t="inlineStr">
        <is>
          <t>Screening lists loaded (UN, AMLC, PEP, internal); clients rescreened</t>
        </is>
      </c>
      <c r="D53" s="16" t="inlineStr">
        <is>
          <t>Broker</t>
        </is>
      </c>
      <c r="E53" s="17" t="inlineStr">
        <is>
          <t>Broker compliance officer</t>
        </is>
      </c>
      <c r="F53" s="17" t="inlineStr">
        <is>
          <t>Versions on Screening Lists; rescreen result</t>
        </is>
      </c>
      <c r="G53" s="17" t="inlineStr">
        <is>
          <t>K1, R7</t>
        </is>
      </c>
      <c r="H53" s="18" t="n">
        <v>1</v>
      </c>
      <c r="I53" s="18" t="n">
        <v>37</v>
      </c>
      <c r="J53" s="18" t="n">
        <v>38</v>
      </c>
      <c r="K53" s="19">
        <f>WORKDAY($D$2,I53)</f>
        <v/>
      </c>
      <c r="L53" s="19">
        <f>IF(H53=0,K53,WORKDAY($D$2,J53-1))</f>
        <v/>
      </c>
      <c r="M53" s="18" t="n">
        <v>8</v>
      </c>
      <c r="N53" s="18" t="n">
        <v>8</v>
      </c>
      <c r="O53" s="18" t="n">
        <v>30</v>
      </c>
      <c r="P53" s="18" t="inlineStr"/>
      <c r="Q53" s="18" t="inlineStr">
        <is>
          <t>Go-live</t>
        </is>
      </c>
      <c r="R53" s="21" t="n"/>
      <c r="S53" s="21" t="n"/>
      <c r="T53" s="21" t="n"/>
      <c r="U53" s="21" t="n"/>
      <c r="V53" s="21" t="n"/>
      <c r="W53" s="21" t="n"/>
      <c r="X53" s="21" t="n"/>
      <c r="Y53" s="25" t="n"/>
      <c r="Z53" s="21" t="n"/>
      <c r="AA53" s="21" t="n"/>
      <c r="AB53" s="21" t="n"/>
      <c r="AC53" s="21" t="n"/>
      <c r="AD53" s="21" t="n"/>
      <c r="AE53" s="21" t="n"/>
      <c r="AF53" s="22" t="n"/>
      <c r="AG53" s="21" t="n"/>
      <c r="AH53" s="21" t="n"/>
      <c r="AI53" s="21" t="n"/>
      <c r="AJ53" s="21" t="n"/>
      <c r="AK53" s="21" t="n"/>
    </row>
    <row r="54" ht="30" customHeight="1">
      <c r="A54" s="24" t="inlineStr">
        <is>
          <t>K3</t>
        </is>
      </c>
      <c r="B54" s="16" t="inlineStr">
        <is>
          <t>Compliance set-up</t>
        </is>
      </c>
      <c r="C54" s="17" t="inlineStr">
        <is>
          <t>AMLC report file test: CTR file generated in UAT and checked against the AMLC portal requirements</t>
        </is>
      </c>
      <c r="D54" s="16" t="inlineStr">
        <is>
          <t>Broker</t>
        </is>
      </c>
      <c r="E54" s="17" t="inlineStr">
        <is>
          <t>Broker compliance officer</t>
        </is>
      </c>
      <c r="F54" s="17" t="inlineStr">
        <is>
          <t>Test file; portal access confirmed</t>
        </is>
      </c>
      <c r="G54" s="17" t="inlineStr">
        <is>
          <t>K1, R3</t>
        </is>
      </c>
      <c r="H54" s="18" t="n">
        <v>2</v>
      </c>
      <c r="I54" s="18" t="n">
        <v>37</v>
      </c>
      <c r="J54" s="18" t="n">
        <v>39</v>
      </c>
      <c r="K54" s="19">
        <f>WORKDAY($D$2,I54)</f>
        <v/>
      </c>
      <c r="L54" s="19">
        <f>IF(H54=0,K54,WORKDAY($D$2,J54-1))</f>
        <v/>
      </c>
      <c r="M54" s="18" t="n">
        <v>8</v>
      </c>
      <c r="N54" s="18" t="n">
        <v>8</v>
      </c>
      <c r="O54" s="18" t="n">
        <v>29</v>
      </c>
      <c r="P54" s="18" t="inlineStr"/>
      <c r="Q54" s="18" t="inlineStr">
        <is>
          <t>Go-live</t>
        </is>
      </c>
      <c r="R54" s="21" t="n"/>
      <c r="S54" s="21" t="n"/>
      <c r="T54" s="21" t="n"/>
      <c r="U54" s="21" t="n"/>
      <c r="V54" s="21" t="n"/>
      <c r="W54" s="21" t="n"/>
      <c r="X54" s="21" t="n"/>
      <c r="Y54" s="25" t="n"/>
      <c r="Z54" s="21" t="n"/>
      <c r="AA54" s="21" t="n"/>
      <c r="AB54" s="21" t="n"/>
      <c r="AC54" s="21" t="n"/>
      <c r="AD54" s="21" t="n"/>
      <c r="AE54" s="21" t="n"/>
      <c r="AF54" s="22" t="n"/>
      <c r="AG54" s="21" t="n"/>
      <c r="AH54" s="21" t="n"/>
      <c r="AI54" s="21" t="n"/>
      <c r="AJ54" s="21" t="n"/>
      <c r="AK54" s="21" t="n"/>
    </row>
    <row r="55">
      <c r="A55" s="13" t="inlineStr">
        <is>
          <t>Branding and brand pack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</row>
    <row r="56" ht="40" customHeight="1">
      <c r="A56" s="24" t="inlineStr">
        <is>
          <t>B1</t>
        </is>
      </c>
      <c r="B56" s="16" t="inlineStr">
        <is>
          <t>Branding and brand pack</t>
        </is>
      </c>
      <c r="C56" s="17" t="inlineStr">
        <is>
          <t>Theme and Branding, letterhead, sign-in page, branded documents and e-mails; e-signatures captured and mapped; brand pack exported</t>
        </is>
      </c>
      <c r="D56" s="16" t="inlineStr">
        <is>
          <t>iorta TechNXT</t>
        </is>
      </c>
      <c r="E56" s="17" t="inlineStr">
        <is>
          <t>iorta TechNXT consultant with the broker System Administrator</t>
        </is>
      </c>
      <c r="F56" s="17" t="inlineStr">
        <is>
          <t>Brand pack file; sample documents approved</t>
        </is>
      </c>
      <c r="G56" s="17" t="inlineStr">
        <is>
          <t>C2, I8</t>
        </is>
      </c>
      <c r="H56" s="18" t="n">
        <v>5</v>
      </c>
      <c r="I56" s="18" t="n">
        <v>29</v>
      </c>
      <c r="J56" s="18" t="n">
        <v>34</v>
      </c>
      <c r="K56" s="19">
        <f>WORKDAY($D$2,I56)</f>
        <v/>
      </c>
      <c r="L56" s="19">
        <f>IF(H56=0,K56,WORKDAY($D$2,J56-1))</f>
        <v/>
      </c>
      <c r="M56" s="18" t="n">
        <v>6</v>
      </c>
      <c r="N56" s="18" t="n">
        <v>7</v>
      </c>
      <c r="O56" s="18" t="n">
        <v>18</v>
      </c>
      <c r="P56" s="18" t="inlineStr"/>
      <c r="Q56" s="18" t="inlineStr">
        <is>
          <t>Go-live</t>
        </is>
      </c>
      <c r="R56" s="21" t="n"/>
      <c r="S56" s="21" t="n"/>
      <c r="T56" s="21" t="n"/>
      <c r="U56" s="21" t="n"/>
      <c r="V56" s="21" t="n"/>
      <c r="W56" s="26" t="n"/>
      <c r="X56" s="26" t="n"/>
      <c r="Y56" s="21" t="n"/>
      <c r="Z56" s="21" t="n"/>
      <c r="AA56" s="21" t="n"/>
      <c r="AB56" s="21" t="n"/>
      <c r="AC56" s="21" t="n"/>
      <c r="AD56" s="21" t="n"/>
      <c r="AE56" s="21" t="n"/>
      <c r="AF56" s="22" t="n"/>
      <c r="AG56" s="21" t="n"/>
      <c r="AH56" s="21" t="n"/>
      <c r="AI56" s="21" t="n"/>
      <c r="AJ56" s="21" t="n"/>
      <c r="AK56" s="21" t="n"/>
    </row>
    <row r="57" ht="40" customHeight="1">
      <c r="A57" s="24" t="inlineStr">
        <is>
          <t>B2</t>
        </is>
      </c>
      <c r="B57" s="16" t="inlineStr">
        <is>
          <t>Branding and brand pack</t>
        </is>
      </c>
      <c r="C57" s="17" t="inlineStr">
        <is>
          <t>Client brand pack applied only in that client's environments under its contract with iorta TechNXT (for example the Toyota Insurance Services pack)</t>
        </is>
      </c>
      <c r="D57" s="16" t="inlineStr">
        <is>
          <t>iorta TechNXT</t>
        </is>
      </c>
      <c r="E57" s="17" t="inlineStr">
        <is>
          <t>iorta TechNXT consultant</t>
        </is>
      </c>
      <c r="F57" s="17" t="inlineStr">
        <is>
          <t>Pack enabled with the engagement confirmation; contract reference on file</t>
        </is>
      </c>
      <c r="G57" s="17" t="inlineStr">
        <is>
          <t>B1, R8</t>
        </is>
      </c>
      <c r="H57" s="18" t="n">
        <v>1</v>
      </c>
      <c r="I57" s="18" t="n">
        <v>34</v>
      </c>
      <c r="J57" s="18" t="n">
        <v>35</v>
      </c>
      <c r="K57" s="19">
        <f>WORKDAY($D$2,I57)</f>
        <v/>
      </c>
      <c r="L57" s="19">
        <f>IF(H57=0,K57,WORKDAY($D$2,J57-1))</f>
        <v/>
      </c>
      <c r="M57" s="18" t="n">
        <v>7</v>
      </c>
      <c r="N57" s="18" t="n">
        <v>7</v>
      </c>
      <c r="O57" s="18" t="n"/>
      <c r="P57" s="18" t="inlineStr"/>
      <c r="Q57" s="18" t="inlineStr">
        <is>
          <t>Feature only</t>
        </is>
      </c>
      <c r="R57" s="21" t="n"/>
      <c r="S57" s="21" t="n"/>
      <c r="T57" s="21" t="n"/>
      <c r="U57" s="21" t="n"/>
      <c r="V57" s="21" t="n"/>
      <c r="W57" s="21" t="n"/>
      <c r="X57" s="26" t="n"/>
      <c r="Y57" s="21" t="n"/>
      <c r="Z57" s="21" t="n"/>
      <c r="AA57" s="21" t="n"/>
      <c r="AB57" s="21" t="n"/>
      <c r="AC57" s="21" t="n"/>
      <c r="AD57" s="21" t="n"/>
      <c r="AE57" s="21" t="n"/>
      <c r="AF57" s="22" t="n"/>
      <c r="AG57" s="21" t="n"/>
      <c r="AH57" s="21" t="n"/>
      <c r="AI57" s="21" t="n"/>
      <c r="AJ57" s="21" t="n"/>
      <c r="AK57" s="21" t="n"/>
    </row>
    <row r="58">
      <c r="A58" s="13" t="inlineStr">
        <is>
          <t>Integrations with partners</t>
        </is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</row>
    <row r="59" ht="30" customHeight="1">
      <c r="A59" s="24" t="inlineStr">
        <is>
          <t>N1</t>
        </is>
      </c>
      <c r="B59" s="16" t="inlineStr">
        <is>
          <t>Integrations with partners</t>
        </is>
      </c>
      <c r="C59" s="17" t="inlineStr">
        <is>
          <t>E-mail: SMTP set, password reset and approval link tested</t>
        </is>
      </c>
      <c r="D59" s="16" t="inlineStr">
        <is>
          <t>iorta TechNXT</t>
        </is>
      </c>
      <c r="E59" s="17" t="inlineStr">
        <is>
          <t>iorta TechNXT DevOps lead</t>
        </is>
      </c>
      <c r="F59" s="17" t="inlineStr">
        <is>
          <t>Test e-mails received</t>
        </is>
      </c>
      <c r="G59" s="17" t="inlineStr">
        <is>
          <t>E6, I4</t>
        </is>
      </c>
      <c r="H59" s="18" t="n">
        <v>2</v>
      </c>
      <c r="I59" s="18" t="n">
        <v>13</v>
      </c>
      <c r="J59" s="18" t="n">
        <v>15</v>
      </c>
      <c r="K59" s="19">
        <f>WORKDAY($D$2,I59)</f>
        <v/>
      </c>
      <c r="L59" s="19">
        <f>IF(H59=0,K59,WORKDAY($D$2,J59-1))</f>
        <v/>
      </c>
      <c r="M59" s="18" t="n">
        <v>3</v>
      </c>
      <c r="N59" s="18" t="n">
        <v>3</v>
      </c>
      <c r="O59" s="18" t="n">
        <v>53</v>
      </c>
      <c r="P59" s="18" t="inlineStr"/>
      <c r="Q59" s="18" t="inlineStr">
        <is>
          <t>Go-live</t>
        </is>
      </c>
      <c r="R59" s="21" t="n"/>
      <c r="S59" s="21" t="n"/>
      <c r="T59" s="26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2" t="n"/>
      <c r="AG59" s="21" t="n"/>
      <c r="AH59" s="21" t="n"/>
      <c r="AI59" s="21" t="n"/>
      <c r="AJ59" s="21" t="n"/>
      <c r="AK59" s="21" t="n"/>
    </row>
    <row r="60" ht="30" customHeight="1">
      <c r="A60" s="24" t="inlineStr">
        <is>
          <t>N7</t>
        </is>
      </c>
      <c r="B60" s="16" t="inlineStr">
        <is>
          <t>Integrations with partners</t>
        </is>
      </c>
      <c r="C60" s="17" t="inlineStr">
        <is>
          <t>Payment gateway: sandbox payment receipted, then one live test payment</t>
        </is>
      </c>
      <c r="D60" s="16" t="inlineStr">
        <is>
          <t>Partner</t>
        </is>
      </c>
      <c r="E60" s="17" t="inlineStr">
        <is>
          <t>Payment gateway, with Accounting</t>
        </is>
      </c>
      <c r="F60" s="17" t="inlineStr">
        <is>
          <t>Receipt of the sandbox payment</t>
        </is>
      </c>
      <c r="G60" s="17" t="inlineStr">
        <is>
          <t>C2, I6</t>
        </is>
      </c>
      <c r="H60" s="18" t="n">
        <v>5</v>
      </c>
      <c r="I60" s="18" t="n">
        <v>29</v>
      </c>
      <c r="J60" s="18" t="n">
        <v>34</v>
      </c>
      <c r="K60" s="19">
        <f>WORKDAY($D$2,I60)</f>
        <v/>
      </c>
      <c r="L60" s="19">
        <f>IF(H60=0,K60,WORKDAY($D$2,J60-1))</f>
        <v/>
      </c>
      <c r="M60" s="18" t="n">
        <v>6</v>
      </c>
      <c r="N60" s="18" t="n">
        <v>7</v>
      </c>
      <c r="O60" s="18" t="n"/>
      <c r="P60" s="18" t="inlineStr"/>
      <c r="Q60" s="18" t="inlineStr">
        <is>
          <t>Feature only</t>
        </is>
      </c>
      <c r="R60" s="21" t="n"/>
      <c r="S60" s="21" t="n"/>
      <c r="T60" s="21" t="n"/>
      <c r="U60" s="21" t="n"/>
      <c r="V60" s="21" t="n"/>
      <c r="W60" s="28" t="n"/>
      <c r="X60" s="28" t="n"/>
      <c r="Y60" s="21" t="n"/>
      <c r="Z60" s="21" t="n"/>
      <c r="AA60" s="21" t="n"/>
      <c r="AB60" s="21" t="n"/>
      <c r="AC60" s="21" t="n"/>
      <c r="AD60" s="21" t="n"/>
      <c r="AE60" s="21" t="n"/>
      <c r="AF60" s="22" t="n"/>
      <c r="AG60" s="21" t="n"/>
      <c r="AH60" s="21" t="n"/>
      <c r="AI60" s="21" t="n"/>
      <c r="AJ60" s="21" t="n"/>
      <c r="AK60" s="21" t="n"/>
    </row>
    <row r="61" ht="30" customHeight="1">
      <c r="A61" s="24" t="inlineStr">
        <is>
          <t>N2</t>
        </is>
      </c>
      <c r="B61" s="16" t="inlineStr">
        <is>
          <t>Integrations with partners</t>
        </is>
      </c>
      <c r="C61" s="17" t="inlineStr">
        <is>
          <t>Bank statement formats: one statement per bank account imported with a balancing preview</t>
        </is>
      </c>
      <c r="D61" s="16" t="inlineStr">
        <is>
          <t>iorta TechNXT</t>
        </is>
      </c>
      <c r="E61" s="17" t="inlineStr">
        <is>
          <t>iorta TechNXT consultant with Accounting</t>
        </is>
      </c>
      <c r="F61" s="17" t="inlineStr">
        <is>
          <t>Import preview per account</t>
        </is>
      </c>
      <c r="G61" s="17" t="inlineStr">
        <is>
          <t>C2, I5</t>
        </is>
      </c>
      <c r="H61" s="18" t="n">
        <v>6</v>
      </c>
      <c r="I61" s="18" t="n">
        <v>29</v>
      </c>
      <c r="J61" s="18" t="n">
        <v>35</v>
      </c>
      <c r="K61" s="19">
        <f>WORKDAY($D$2,I61)</f>
        <v/>
      </c>
      <c r="L61" s="19">
        <f>IF(H61=0,K61,WORKDAY($D$2,J61-1))</f>
        <v/>
      </c>
      <c r="M61" s="18" t="n">
        <v>6</v>
      </c>
      <c r="N61" s="18" t="n">
        <v>7</v>
      </c>
      <c r="O61" s="18" t="n">
        <v>33</v>
      </c>
      <c r="P61" s="18" t="inlineStr"/>
      <c r="Q61" s="18" t="inlineStr">
        <is>
          <t>Go-live</t>
        </is>
      </c>
      <c r="R61" s="21" t="n"/>
      <c r="S61" s="21" t="n"/>
      <c r="T61" s="21" t="n"/>
      <c r="U61" s="21" t="n"/>
      <c r="V61" s="21" t="n"/>
      <c r="W61" s="26" t="n"/>
      <c r="X61" s="26" t="n"/>
      <c r="Y61" s="21" t="n"/>
      <c r="Z61" s="21" t="n"/>
      <c r="AA61" s="21" t="n"/>
      <c r="AB61" s="21" t="n"/>
      <c r="AC61" s="21" t="n"/>
      <c r="AD61" s="21" t="n"/>
      <c r="AE61" s="21" t="n"/>
      <c r="AF61" s="22" t="n"/>
      <c r="AG61" s="21" t="n"/>
      <c r="AH61" s="21" t="n"/>
      <c r="AI61" s="21" t="n"/>
      <c r="AJ61" s="21" t="n"/>
      <c r="AK61" s="21" t="n"/>
    </row>
    <row r="62" ht="30" customHeight="1">
      <c r="A62" s="24" t="inlineStr">
        <is>
          <t>N4</t>
        </is>
      </c>
      <c r="B62" s="16" t="inlineStr">
        <is>
          <t>Integrations with partners</t>
        </is>
      </c>
      <c r="C62" s="17" t="inlineStr">
        <is>
          <t>SMS or Viber connector: provider account, sender name, live test message</t>
        </is>
      </c>
      <c r="D62" s="16" t="inlineStr">
        <is>
          <t>Partner</t>
        </is>
      </c>
      <c r="E62" s="17" t="inlineStr">
        <is>
          <t>SMS provider, with the broker IT head</t>
        </is>
      </c>
      <c r="F62" s="17" t="inlineStr">
        <is>
          <t>Connector Live; test message in the outbox</t>
        </is>
      </c>
      <c r="G62" s="17" t="inlineStr">
        <is>
          <t>C2, I6</t>
        </is>
      </c>
      <c r="H62" s="18" t="n">
        <v>10</v>
      </c>
      <c r="I62" s="18" t="n">
        <v>29</v>
      </c>
      <c r="J62" s="18" t="n">
        <v>39</v>
      </c>
      <c r="K62" s="19">
        <f>WORKDAY($D$2,I62)</f>
        <v/>
      </c>
      <c r="L62" s="19">
        <f>IF(H62=0,K62,WORKDAY($D$2,J62-1))</f>
        <v/>
      </c>
      <c r="M62" s="18" t="n">
        <v>6</v>
      </c>
      <c r="N62" s="18" t="n">
        <v>8</v>
      </c>
      <c r="O62" s="18" t="n"/>
      <c r="P62" s="18" t="inlineStr"/>
      <c r="Q62" s="18" t="inlineStr">
        <is>
          <t>Feature only</t>
        </is>
      </c>
      <c r="R62" s="21" t="n"/>
      <c r="S62" s="21" t="n"/>
      <c r="T62" s="21" t="n"/>
      <c r="U62" s="21" t="n"/>
      <c r="V62" s="21" t="n"/>
      <c r="W62" s="28" t="n"/>
      <c r="X62" s="28" t="n"/>
      <c r="Y62" s="28" t="n"/>
      <c r="Z62" s="21" t="n"/>
      <c r="AA62" s="21" t="n"/>
      <c r="AB62" s="21" t="n"/>
      <c r="AC62" s="21" t="n"/>
      <c r="AD62" s="21" t="n"/>
      <c r="AE62" s="21" t="n"/>
      <c r="AF62" s="22" t="n"/>
      <c r="AG62" s="21" t="n"/>
      <c r="AH62" s="21" t="n"/>
      <c r="AI62" s="21" t="n"/>
      <c r="AJ62" s="21" t="n"/>
      <c r="AK62" s="21" t="n"/>
    </row>
    <row r="63" ht="40" customHeight="1">
      <c r="A63" s="24" t="inlineStr">
        <is>
          <t>N5</t>
        </is>
      </c>
      <c r="B63" s="16" t="inlineStr">
        <is>
          <t>Integrations with partners</t>
        </is>
      </c>
      <c r="C63" s="17" t="inlineStr">
        <is>
          <t>CTPL authentication provider and LTO feed: broker accredited, COC series loaded, live authentication of one COC</t>
        </is>
      </c>
      <c r="D63" s="16" t="inlineStr">
        <is>
          <t>Partner</t>
        </is>
      </c>
      <c r="E63" s="17" t="inlineStr">
        <is>
          <t>IC-accredited authentication provider, with Operations</t>
        </is>
      </c>
      <c r="F63" s="17" t="inlineStr">
        <is>
          <t>Authenticated COC; LTO column result</t>
        </is>
      </c>
      <c r="G63" s="17" t="inlineStr">
        <is>
          <t>C2, I6, I7</t>
        </is>
      </c>
      <c r="H63" s="18" t="n">
        <v>15</v>
      </c>
      <c r="I63" s="18" t="n">
        <v>29</v>
      </c>
      <c r="J63" s="18" t="n">
        <v>44</v>
      </c>
      <c r="K63" s="19">
        <f>WORKDAY($D$2,I63)</f>
        <v/>
      </c>
      <c r="L63" s="19">
        <f>IF(H63=0,K63,WORKDAY($D$2,J63-1))</f>
        <v/>
      </c>
      <c r="M63" s="18" t="n">
        <v>6</v>
      </c>
      <c r="N63" s="18" t="n">
        <v>9</v>
      </c>
      <c r="O63" s="18" t="n"/>
      <c r="P63" s="18" t="inlineStr"/>
      <c r="Q63" s="18" t="inlineStr">
        <is>
          <t>Feature only</t>
        </is>
      </c>
      <c r="R63" s="21" t="n"/>
      <c r="S63" s="21" t="n"/>
      <c r="T63" s="21" t="n"/>
      <c r="U63" s="21" t="n"/>
      <c r="V63" s="21" t="n"/>
      <c r="W63" s="28" t="n"/>
      <c r="X63" s="28" t="n"/>
      <c r="Y63" s="28" t="n"/>
      <c r="Z63" s="28" t="n"/>
      <c r="AA63" s="21" t="n"/>
      <c r="AB63" s="21" t="n"/>
      <c r="AC63" s="21" t="n"/>
      <c r="AD63" s="21" t="n"/>
      <c r="AE63" s="21" t="n"/>
      <c r="AF63" s="22" t="n"/>
      <c r="AG63" s="21" t="n"/>
      <c r="AH63" s="21" t="n"/>
      <c r="AI63" s="21" t="n"/>
      <c r="AJ63" s="21" t="n"/>
      <c r="AK63" s="21" t="n"/>
    </row>
    <row r="64" ht="30" customHeight="1">
      <c r="A64" s="24" t="inlineStr">
        <is>
          <t>N3</t>
        </is>
      </c>
      <c r="B64" s="16" t="inlineStr">
        <is>
          <t>Integrations with partners</t>
        </is>
      </c>
      <c r="C64" s="17" t="inlineStr">
        <is>
          <t>Bank payment files: each layout validated with the bank and a test file accepted by the bank</t>
        </is>
      </c>
      <c r="D64" s="16" t="inlineStr">
        <is>
          <t>Partner</t>
        </is>
      </c>
      <c r="E64" s="17" t="inlineStr">
        <is>
          <t>Bank, with Accounting and iorta TechNXT</t>
        </is>
      </c>
      <c r="F64" s="17" t="inlineStr">
        <is>
          <t>Bank acceptance of the test file</t>
        </is>
      </c>
      <c r="G64" s="17" t="inlineStr">
        <is>
          <t>C2, I5</t>
        </is>
      </c>
      <c r="H64" s="18" t="n">
        <v>20</v>
      </c>
      <c r="I64" s="18" t="n">
        <v>29</v>
      </c>
      <c r="J64" s="18" t="n">
        <v>49</v>
      </c>
      <c r="K64" s="19">
        <f>WORKDAY($D$2,I64)</f>
        <v/>
      </c>
      <c r="L64" s="19">
        <f>IF(H64=0,K64,WORKDAY($D$2,J64-1))</f>
        <v/>
      </c>
      <c r="M64" s="18" t="n">
        <v>6</v>
      </c>
      <c r="N64" s="18" t="n">
        <v>10</v>
      </c>
      <c r="O64" s="18" t="n"/>
      <c r="P64" s="18" t="inlineStr"/>
      <c r="Q64" s="18" t="inlineStr">
        <is>
          <t>Feature only</t>
        </is>
      </c>
      <c r="R64" s="21" t="n"/>
      <c r="S64" s="21" t="n"/>
      <c r="T64" s="21" t="n"/>
      <c r="U64" s="21" t="n"/>
      <c r="V64" s="21" t="n"/>
      <c r="W64" s="28" t="n"/>
      <c r="X64" s="28" t="n"/>
      <c r="Y64" s="28" t="n"/>
      <c r="Z64" s="28" t="n"/>
      <c r="AA64" s="28" t="n"/>
      <c r="AB64" s="21" t="n"/>
      <c r="AC64" s="21" t="n"/>
      <c r="AD64" s="21" t="n"/>
      <c r="AE64" s="21" t="n"/>
      <c r="AF64" s="22" t="n"/>
      <c r="AG64" s="21" t="n"/>
      <c r="AH64" s="21" t="n"/>
      <c r="AI64" s="21" t="n"/>
      <c r="AJ64" s="21" t="n"/>
      <c r="AK64" s="21" t="n"/>
    </row>
    <row r="65" ht="30" customHeight="1">
      <c r="A65" s="24" t="inlineStr">
        <is>
          <t>N6</t>
        </is>
      </c>
      <c r="B65" s="16" t="inlineStr">
        <is>
          <t>Integrations with partners</t>
        </is>
      </c>
      <c r="C65" s="17" t="inlineStr">
        <is>
          <t>Insurer API connectors: mapping per insurer, preview, test issuance and claim status with the insurer</t>
        </is>
      </c>
      <c r="D65" s="16" t="inlineStr">
        <is>
          <t>Partner</t>
        </is>
      </c>
      <c r="E65" s="17" t="inlineStr">
        <is>
          <t>Insurers, with the Processing Team</t>
        </is>
      </c>
      <c r="F65" s="17" t="inlineStr">
        <is>
          <t>Accepted test request per insurer</t>
        </is>
      </c>
      <c r="G65" s="17" t="inlineStr">
        <is>
          <t>C3SS+2d, I6</t>
        </is>
      </c>
      <c r="H65" s="18" t="n">
        <v>20</v>
      </c>
      <c r="I65" s="18" t="n">
        <v>31</v>
      </c>
      <c r="J65" s="18" t="n">
        <v>51</v>
      </c>
      <c r="K65" s="19">
        <f>WORKDAY($D$2,I65)</f>
        <v/>
      </c>
      <c r="L65" s="19">
        <f>IF(H65=0,K65,WORKDAY($D$2,J65-1))</f>
        <v/>
      </c>
      <c r="M65" s="18" t="n">
        <v>7</v>
      </c>
      <c r="N65" s="18" t="n">
        <v>11</v>
      </c>
      <c r="O65" s="18" t="n"/>
      <c r="P65" s="18" t="inlineStr"/>
      <c r="Q65" s="18" t="inlineStr">
        <is>
          <t>Feature only</t>
        </is>
      </c>
      <c r="R65" s="21" t="n"/>
      <c r="S65" s="21" t="n"/>
      <c r="T65" s="21" t="n"/>
      <c r="U65" s="21" t="n"/>
      <c r="V65" s="21" t="n"/>
      <c r="W65" s="21" t="n"/>
      <c r="X65" s="28" t="n"/>
      <c r="Y65" s="28" t="n"/>
      <c r="Z65" s="28" t="n"/>
      <c r="AA65" s="28" t="n"/>
      <c r="AB65" s="28" t="n"/>
      <c r="AC65" s="21" t="n"/>
      <c r="AD65" s="21" t="n"/>
      <c r="AE65" s="21" t="n"/>
      <c r="AF65" s="22" t="n"/>
      <c r="AG65" s="21" t="n"/>
      <c r="AH65" s="21" t="n"/>
      <c r="AI65" s="21" t="n"/>
      <c r="AJ65" s="21" t="n"/>
      <c r="AK65" s="21" t="n"/>
    </row>
    <row r="66" ht="30" customHeight="1">
      <c r="A66" s="24" t="inlineStr">
        <is>
          <t>N8</t>
        </is>
      </c>
      <c r="B66" s="16" t="inlineStr">
        <is>
          <t>Integrations with partners</t>
        </is>
      </c>
      <c r="C66" s="17" t="inlineStr">
        <is>
          <t>BIR EIS connector set in test mode; payloads checked</t>
        </is>
      </c>
      <c r="D66" s="16" t="inlineStr">
        <is>
          <t>iorta TechNXT</t>
        </is>
      </c>
      <c r="E66" s="17" t="inlineStr">
        <is>
          <t>iorta TechNXT consultant</t>
        </is>
      </c>
      <c r="F66" s="17" t="inlineStr">
        <is>
          <t>Accepted test submissions</t>
        </is>
      </c>
      <c r="G66" s="17" t="inlineStr">
        <is>
          <t>C3</t>
        </is>
      </c>
      <c r="H66" s="18" t="n">
        <v>2</v>
      </c>
      <c r="I66" s="18" t="n">
        <v>47</v>
      </c>
      <c r="J66" s="18" t="n">
        <v>49</v>
      </c>
      <c r="K66" s="19">
        <f>WORKDAY($D$2,I66)</f>
        <v/>
      </c>
      <c r="L66" s="19">
        <f>IF(H66=0,K66,WORKDAY($D$2,J66-1))</f>
        <v/>
      </c>
      <c r="M66" s="18" t="n">
        <v>10</v>
      </c>
      <c r="N66" s="18" t="n">
        <v>10</v>
      </c>
      <c r="O66" s="18" t="n"/>
      <c r="P66" s="18" t="inlineStr"/>
      <c r="Q66" s="18" t="inlineStr">
        <is>
          <t>Feature only</t>
        </is>
      </c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6" t="n"/>
      <c r="AB66" s="21" t="n"/>
      <c r="AC66" s="21" t="n"/>
      <c r="AD66" s="21" t="n"/>
      <c r="AE66" s="21" t="n"/>
      <c r="AF66" s="22" t="n"/>
      <c r="AG66" s="21" t="n"/>
      <c r="AH66" s="21" t="n"/>
      <c r="AI66" s="21" t="n"/>
      <c r="AJ66" s="21" t="n"/>
      <c r="AK66" s="21" t="n"/>
    </row>
    <row r="67" ht="30" customHeight="1">
      <c r="A67" s="24" t="inlineStr">
        <is>
          <t>N9</t>
        </is>
      </c>
      <c r="B67" s="16" t="inlineStr">
        <is>
          <t>Integrations with partners</t>
        </is>
      </c>
      <c r="C67" s="17" t="inlineStr">
        <is>
          <t>BIR EIS connector live (after enrolment); earlier invoices queued</t>
        </is>
      </c>
      <c r="D67" s="16" t="inlineStr">
        <is>
          <t>iorta TechNXT</t>
        </is>
      </c>
      <c r="E67" s="17" t="inlineStr">
        <is>
          <t>iorta TechNXT consultant with Accounting</t>
        </is>
      </c>
      <c r="F67" s="17" t="inlineStr">
        <is>
          <t>Accepted live submission</t>
        </is>
      </c>
      <c r="G67" s="17" t="inlineStr">
        <is>
          <t>N8, R2, X6</t>
        </is>
      </c>
      <c r="H67" s="18" t="n">
        <v>2</v>
      </c>
      <c r="I67" s="18" t="n">
        <v>70</v>
      </c>
      <c r="J67" s="18" t="n">
        <v>72</v>
      </c>
      <c r="K67" s="19">
        <f>WORKDAY($D$2,I67)</f>
        <v/>
      </c>
      <c r="L67" s="19">
        <f>IF(H67=0,K67,WORKDAY($D$2,J67-1))</f>
        <v/>
      </c>
      <c r="M67" s="18" t="n">
        <v>15</v>
      </c>
      <c r="N67" s="18" t="n">
        <v>15</v>
      </c>
      <c r="O67" s="18" t="n"/>
      <c r="P67" s="18" t="inlineStr"/>
      <c r="Q67" s="18" t="inlineStr">
        <is>
          <t>Feature only</t>
        </is>
      </c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6" t="n"/>
      <c r="AG67" s="21" t="n"/>
      <c r="AH67" s="21" t="n"/>
      <c r="AI67" s="21" t="n"/>
      <c r="AJ67" s="21" t="n"/>
      <c r="AK67" s="21" t="n"/>
    </row>
    <row r="68">
      <c r="A68" s="13" t="inlineStr">
        <is>
          <t>Data migration (go-live migration kit)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</row>
    <row r="69" ht="30" customHeight="1">
      <c r="A69" s="24" t="inlineStr">
        <is>
          <t>G1</t>
        </is>
      </c>
      <c r="B69" s="16" t="inlineStr">
        <is>
          <t>Data migration (go-live migration kit)</t>
        </is>
      </c>
      <c r="C69" s="17" t="inlineStr">
        <is>
          <t>Extraction and cleansing of the old system data for the first mock load</t>
        </is>
      </c>
      <c r="D69" s="16" t="inlineStr">
        <is>
          <t>Broker</t>
        </is>
      </c>
      <c r="E69" s="17" t="inlineStr">
        <is>
          <t>Broker data owners</t>
        </is>
      </c>
      <c r="F69" s="17" t="inlineStr">
        <is>
          <t>Extract files; data quality notes</t>
        </is>
      </c>
      <c r="G69" s="17" t="inlineStr">
        <is>
          <t>M3</t>
        </is>
      </c>
      <c r="H69" s="18" t="n">
        <v>20</v>
      </c>
      <c r="I69" s="18" t="n">
        <v>1</v>
      </c>
      <c r="J69" s="18" t="n">
        <v>21</v>
      </c>
      <c r="K69" s="19">
        <f>WORKDAY($D$2,I69)</f>
        <v/>
      </c>
      <c r="L69" s="19">
        <f>IF(H69=0,K69,WORKDAY($D$2,J69-1))</f>
        <v/>
      </c>
      <c r="M69" s="18" t="n">
        <v>1</v>
      </c>
      <c r="N69" s="18" t="n">
        <v>5</v>
      </c>
      <c r="O69" s="18" t="n">
        <v>31</v>
      </c>
      <c r="P69" s="18" t="inlineStr"/>
      <c r="Q69" s="18" t="inlineStr">
        <is>
          <t>Go-live</t>
        </is>
      </c>
      <c r="R69" s="25" t="n"/>
      <c r="S69" s="25" t="n"/>
      <c r="T69" s="25" t="n"/>
      <c r="U69" s="25" t="n"/>
      <c r="V69" s="25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2" t="n"/>
      <c r="AG69" s="21" t="n"/>
      <c r="AH69" s="21" t="n"/>
      <c r="AI69" s="21" t="n"/>
      <c r="AJ69" s="21" t="n"/>
      <c r="AK69" s="21" t="n"/>
    </row>
    <row r="70" ht="30" customHeight="1">
      <c r="A70" s="24" t="inlineStr">
        <is>
          <t>G2</t>
        </is>
      </c>
      <c r="B70" s="16" t="inlineStr">
        <is>
          <t>Data migration (go-live migration kit)</t>
        </is>
      </c>
      <c r="C70" s="17" t="inlineStr">
        <is>
          <t>Mapping to the migration kit (clients, policies, open items, open claims, opening balances)</t>
        </is>
      </c>
      <c r="D70" s="16" t="inlineStr">
        <is>
          <t>iorta TechNXT</t>
        </is>
      </c>
      <c r="E70" s="17" t="inlineStr">
        <is>
          <t>iorta TechNXT migration lead</t>
        </is>
      </c>
      <c r="F70" s="17" t="inlineStr">
        <is>
          <t>Mapping sheets</t>
        </is>
      </c>
      <c r="G70" s="17" t="inlineStr">
        <is>
          <t>G1SS+8d</t>
        </is>
      </c>
      <c r="H70" s="18" t="n">
        <v>8</v>
      </c>
      <c r="I70" s="18" t="n">
        <v>9</v>
      </c>
      <c r="J70" s="18" t="n">
        <v>17</v>
      </c>
      <c r="K70" s="19">
        <f>WORKDAY($D$2,I70)</f>
        <v/>
      </c>
      <c r="L70" s="19">
        <f>IF(H70=0,K70,WORKDAY($D$2,J70-1))</f>
        <v/>
      </c>
      <c r="M70" s="18" t="n">
        <v>2</v>
      </c>
      <c r="N70" s="18" t="n">
        <v>4</v>
      </c>
      <c r="O70" s="18" t="n">
        <v>35</v>
      </c>
      <c r="P70" s="18" t="inlineStr"/>
      <c r="Q70" s="18" t="inlineStr">
        <is>
          <t>Go-live</t>
        </is>
      </c>
      <c r="R70" s="21" t="n"/>
      <c r="S70" s="26" t="n"/>
      <c r="T70" s="26" t="n"/>
      <c r="U70" s="26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2" t="n"/>
      <c r="AG70" s="21" t="n"/>
      <c r="AH70" s="21" t="n"/>
      <c r="AI70" s="21" t="n"/>
      <c r="AJ70" s="21" t="n"/>
      <c r="AK70" s="21" t="n"/>
    </row>
    <row r="71" ht="30" customHeight="1">
      <c r="A71" s="24" t="inlineStr">
        <is>
          <t>G3</t>
        </is>
      </c>
      <c r="B71" s="16" t="inlineStr">
        <is>
          <t>Data migration (go-live migration kit)</t>
        </is>
      </c>
      <c r="C71" s="17" t="inlineStr">
        <is>
          <t>Mock load 1: cutover date set, validate, errors workbook, load, reconciliation</t>
        </is>
      </c>
      <c r="D71" s="16" t="inlineStr">
        <is>
          <t>iorta TechNXT</t>
        </is>
      </c>
      <c r="E71" s="17" t="inlineStr">
        <is>
          <t>iorta TechNXT migration lead</t>
        </is>
      </c>
      <c r="F71" s="17" t="inlineStr">
        <is>
          <t>Reconciliation workbook signed</t>
        </is>
      </c>
      <c r="G71" s="17" t="inlineStr">
        <is>
          <t>G1, G2, C2</t>
        </is>
      </c>
      <c r="H71" s="18" t="n">
        <v>5</v>
      </c>
      <c r="I71" s="18" t="n">
        <v>29</v>
      </c>
      <c r="J71" s="18" t="n">
        <v>34</v>
      </c>
      <c r="K71" s="19">
        <f>WORKDAY($D$2,I71)</f>
        <v/>
      </c>
      <c r="L71" s="19">
        <f>IF(H71=0,K71,WORKDAY($D$2,J71-1))</f>
        <v/>
      </c>
      <c r="M71" s="18" t="n">
        <v>6</v>
      </c>
      <c r="N71" s="18" t="n">
        <v>7</v>
      </c>
      <c r="O71" s="18" t="n">
        <v>23</v>
      </c>
      <c r="P71" s="18" t="inlineStr"/>
      <c r="Q71" s="18" t="inlineStr">
        <is>
          <t>Go-live</t>
        </is>
      </c>
      <c r="R71" s="21" t="n"/>
      <c r="S71" s="21" t="n"/>
      <c r="T71" s="21" t="n"/>
      <c r="U71" s="21" t="n"/>
      <c r="V71" s="21" t="n"/>
      <c r="W71" s="26" t="n"/>
      <c r="X71" s="26" t="n"/>
      <c r="Y71" s="21" t="n"/>
      <c r="Z71" s="21" t="n"/>
      <c r="AA71" s="21" t="n"/>
      <c r="AB71" s="21" t="n"/>
      <c r="AC71" s="21" t="n"/>
      <c r="AD71" s="21" t="n"/>
      <c r="AE71" s="21" t="n"/>
      <c r="AF71" s="22" t="n"/>
      <c r="AG71" s="21" t="n"/>
      <c r="AH71" s="21" t="n"/>
      <c r="AI71" s="21" t="n"/>
      <c r="AJ71" s="21" t="n"/>
      <c r="AK71" s="21" t="n"/>
    </row>
    <row r="72" ht="30" customHeight="1">
      <c r="A72" s="24" t="inlineStr">
        <is>
          <t>G4</t>
        </is>
      </c>
      <c r="B72" s="16" t="inlineStr">
        <is>
          <t>Data migration (go-live migration kit)</t>
        </is>
      </c>
      <c r="C72" s="17" t="inlineStr">
        <is>
          <t>Mock load 2 on a fresh extract, with transaction reset before it</t>
        </is>
      </c>
      <c r="D72" s="16" t="inlineStr">
        <is>
          <t>iorta TechNXT</t>
        </is>
      </c>
      <c r="E72" s="17" t="inlineStr">
        <is>
          <t>iorta TechNXT migration lead</t>
        </is>
      </c>
      <c r="F72" s="17" t="inlineStr">
        <is>
          <t>Reconciliation workbook signed</t>
        </is>
      </c>
      <c r="G72" s="17" t="inlineStr">
        <is>
          <t>G3, C5</t>
        </is>
      </c>
      <c r="H72" s="18" t="n">
        <v>4</v>
      </c>
      <c r="I72" s="18" t="n">
        <v>47</v>
      </c>
      <c r="J72" s="18" t="n">
        <v>51</v>
      </c>
      <c r="K72" s="19">
        <f>WORKDAY($D$2,I72)</f>
        <v/>
      </c>
      <c r="L72" s="19">
        <f>IF(H72=0,K72,WORKDAY($D$2,J72-1))</f>
        <v/>
      </c>
      <c r="M72" s="18" t="n">
        <v>10</v>
      </c>
      <c r="N72" s="18" t="n">
        <v>11</v>
      </c>
      <c r="O72" s="18" t="n">
        <v>10</v>
      </c>
      <c r="P72" s="18" t="inlineStr"/>
      <c r="Q72" s="18" t="inlineStr">
        <is>
          <t>Go-live</t>
        </is>
      </c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6" t="n"/>
      <c r="AB72" s="26" t="n"/>
      <c r="AC72" s="21" t="n"/>
      <c r="AD72" s="21" t="n"/>
      <c r="AE72" s="21" t="n"/>
      <c r="AF72" s="22" t="n"/>
      <c r="AG72" s="21" t="n"/>
      <c r="AH72" s="21" t="n"/>
      <c r="AI72" s="21" t="n"/>
      <c r="AJ72" s="21" t="n"/>
      <c r="AK72" s="21" t="n"/>
    </row>
    <row r="73" ht="30" customHeight="1">
      <c r="A73" s="24" t="inlineStr">
        <is>
          <t>G5</t>
        </is>
      </c>
      <c r="B73" s="16" t="inlineStr">
        <is>
          <t>Data migration (go-live migration kit)</t>
        </is>
      </c>
      <c r="C73" s="17" t="inlineStr">
        <is>
          <t>Mock load 3 in UAT (large, enterprise)</t>
        </is>
      </c>
      <c r="D73" s="16" t="inlineStr">
        <is>
          <t>iorta TechNXT</t>
        </is>
      </c>
      <c r="E73" s="17" t="inlineStr">
        <is>
          <t>iorta TechNXT migration lead</t>
        </is>
      </c>
      <c r="F73" s="17" t="inlineStr">
        <is>
          <t>Reconciliation workbook signed</t>
        </is>
      </c>
      <c r="G73" s="17" t="inlineStr">
        <is>
          <t>G4, T3</t>
        </is>
      </c>
      <c r="H73" s="18" t="n">
        <v>4</v>
      </c>
      <c r="I73" s="18" t="n">
        <v>59</v>
      </c>
      <c r="J73" s="18" t="n">
        <v>63</v>
      </c>
      <c r="K73" s="19">
        <f>WORKDAY($D$2,I73)</f>
        <v/>
      </c>
      <c r="L73" s="19">
        <f>IF(H73=0,K73,WORKDAY($D$2,J73-1))</f>
        <v/>
      </c>
      <c r="M73" s="18" t="n">
        <v>12</v>
      </c>
      <c r="N73" s="18" t="n">
        <v>13</v>
      </c>
      <c r="O73" s="18" t="n">
        <v>2</v>
      </c>
      <c r="P73" s="18" t="inlineStr"/>
      <c r="Q73" s="18" t="inlineStr">
        <is>
          <t>Go-live</t>
        </is>
      </c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6" t="n"/>
      <c r="AD73" s="26" t="n"/>
      <c r="AE73" s="21" t="n"/>
      <c r="AF73" s="22" t="n"/>
      <c r="AG73" s="21" t="n"/>
      <c r="AH73" s="21" t="n"/>
      <c r="AI73" s="21" t="n"/>
      <c r="AJ73" s="21" t="n"/>
      <c r="AK73" s="21" t="n"/>
    </row>
    <row r="74">
      <c r="A74" s="13" t="inlineStr">
        <is>
          <t>Training</t>
        </is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</row>
    <row r="75" ht="30" customHeight="1">
      <c r="A75" s="24" t="inlineStr">
        <is>
          <t>L2</t>
        </is>
      </c>
      <c r="B75" s="16" t="inlineStr">
        <is>
          <t>Training</t>
        </is>
      </c>
      <c r="C75" s="17" t="inlineStr">
        <is>
          <t>Compliance officer, DPO and System Administrator training on the compliance and privacy screens</t>
        </is>
      </c>
      <c r="D75" s="16" t="inlineStr">
        <is>
          <t>iorta TechNXT</t>
        </is>
      </c>
      <c r="E75" s="17" t="inlineStr">
        <is>
          <t>iorta TechNXT consultant</t>
        </is>
      </c>
      <c r="F75" s="17" t="inlineStr">
        <is>
          <t>Attendance and assessment</t>
        </is>
      </c>
      <c r="G75" s="17" t="inlineStr">
        <is>
          <t>K1</t>
        </is>
      </c>
      <c r="H75" s="18" t="n">
        <v>2</v>
      </c>
      <c r="I75" s="18" t="n">
        <v>37</v>
      </c>
      <c r="J75" s="18" t="n">
        <v>39</v>
      </c>
      <c r="K75" s="19">
        <f>WORKDAY($D$2,I75)</f>
        <v/>
      </c>
      <c r="L75" s="19">
        <f>IF(H75=0,K75,WORKDAY($D$2,J75-1))</f>
        <v/>
      </c>
      <c r="M75" s="18" t="n">
        <v>8</v>
      </c>
      <c r="N75" s="18" t="n">
        <v>8</v>
      </c>
      <c r="O75" s="18" t="n">
        <v>29</v>
      </c>
      <c r="P75" s="18" t="inlineStr"/>
      <c r="Q75" s="18" t="inlineStr">
        <is>
          <t>Go-live</t>
        </is>
      </c>
      <c r="R75" s="21" t="n"/>
      <c r="S75" s="21" t="n"/>
      <c r="T75" s="21" t="n"/>
      <c r="U75" s="21" t="n"/>
      <c r="V75" s="21" t="n"/>
      <c r="W75" s="21" t="n"/>
      <c r="X75" s="21" t="n"/>
      <c r="Y75" s="26" t="n"/>
      <c r="Z75" s="21" t="n"/>
      <c r="AA75" s="21" t="n"/>
      <c r="AB75" s="21" t="n"/>
      <c r="AC75" s="21" t="n"/>
      <c r="AD75" s="21" t="n"/>
      <c r="AE75" s="21" t="n"/>
      <c r="AF75" s="22" t="n"/>
      <c r="AG75" s="21" t="n"/>
      <c r="AH75" s="21" t="n"/>
      <c r="AI75" s="21" t="n"/>
      <c r="AJ75" s="21" t="n"/>
      <c r="AK75" s="21" t="n"/>
    </row>
    <row r="76" ht="30" customHeight="1">
      <c r="A76" s="24" t="inlineStr">
        <is>
          <t>L1</t>
        </is>
      </c>
      <c r="B76" s="16" t="inlineStr">
        <is>
          <t>Training</t>
        </is>
      </c>
      <c r="C76" s="17" t="inlineStr">
        <is>
          <t>Train-the-trainer for key users, with trainer skills and teach-back</t>
        </is>
      </c>
      <c r="D76" s="16" t="inlineStr">
        <is>
          <t>iorta TechNXT</t>
        </is>
      </c>
      <c r="E76" s="17" t="inlineStr">
        <is>
          <t>iorta TechNXT consultants</t>
        </is>
      </c>
      <c r="F76" s="17" t="inlineStr">
        <is>
          <t>Key users passed at 90%</t>
        </is>
      </c>
      <c r="G76" s="17" t="inlineStr">
        <is>
          <t>C5</t>
        </is>
      </c>
      <c r="H76" s="18" t="n">
        <v>8</v>
      </c>
      <c r="I76" s="18" t="n">
        <v>47</v>
      </c>
      <c r="J76" s="18" t="n">
        <v>55</v>
      </c>
      <c r="K76" s="19">
        <f>WORKDAY($D$2,I76)</f>
        <v/>
      </c>
      <c r="L76" s="19">
        <f>IF(H76=0,K76,WORKDAY($D$2,J76-1))</f>
        <v/>
      </c>
      <c r="M76" s="18" t="n">
        <v>10</v>
      </c>
      <c r="N76" s="18" t="n">
        <v>11</v>
      </c>
      <c r="O76" s="18" t="n">
        <v>5</v>
      </c>
      <c r="P76" s="18" t="inlineStr"/>
      <c r="Q76" s="18" t="inlineStr">
        <is>
          <t>Go-live</t>
        </is>
      </c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6" t="n"/>
      <c r="AB76" s="26" t="n"/>
      <c r="AC76" s="21" t="n"/>
      <c r="AD76" s="21" t="n"/>
      <c r="AE76" s="21" t="n"/>
      <c r="AF76" s="22" t="n"/>
      <c r="AG76" s="21" t="n"/>
      <c r="AH76" s="21" t="n"/>
      <c r="AI76" s="21" t="n"/>
      <c r="AJ76" s="21" t="n"/>
      <c r="AK76" s="21" t="n"/>
    </row>
    <row r="77" ht="30" customHeight="1">
      <c r="A77" s="24" t="inlineStr">
        <is>
          <t>L3</t>
        </is>
      </c>
      <c r="B77" s="16" t="inlineStr">
        <is>
          <t>Training</t>
        </is>
      </c>
      <c r="C77" s="17" t="inlineStr">
        <is>
          <t>End-user training per role, run by key users</t>
        </is>
      </c>
      <c r="D77" s="16" t="inlineStr">
        <is>
          <t>Broker</t>
        </is>
      </c>
      <c r="E77" s="17" t="inlineStr">
        <is>
          <t>Broker key users</t>
        </is>
      </c>
      <c r="F77" s="17" t="inlineStr">
        <is>
          <t>Every user trained and assessed</t>
        </is>
      </c>
      <c r="G77" s="17" t="inlineStr">
        <is>
          <t>L1, T3, I9</t>
        </is>
      </c>
      <c r="H77" s="18" t="n">
        <v>8</v>
      </c>
      <c r="I77" s="18" t="n">
        <v>59</v>
      </c>
      <c r="J77" s="18" t="n">
        <v>67</v>
      </c>
      <c r="K77" s="19">
        <f>WORKDAY($D$2,I77)</f>
        <v/>
      </c>
      <c r="L77" s="19">
        <f>IF(H77=0,K77,WORKDAY($D$2,J77-1))</f>
        <v/>
      </c>
      <c r="M77" s="18" t="n">
        <v>12</v>
      </c>
      <c r="N77" s="18" t="n">
        <v>14</v>
      </c>
      <c r="O77" s="18" t="n">
        <v>1</v>
      </c>
      <c r="P77" s="18" t="inlineStr"/>
      <c r="Q77" s="18" t="inlineStr">
        <is>
          <t>Go-live</t>
        </is>
      </c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5" t="n"/>
      <c r="AD77" s="25" t="n"/>
      <c r="AE77" s="25" t="n"/>
      <c r="AF77" s="22" t="n"/>
      <c r="AG77" s="21" t="n"/>
      <c r="AH77" s="21" t="n"/>
      <c r="AI77" s="21" t="n"/>
      <c r="AJ77" s="21" t="n"/>
      <c r="AK77" s="21" t="n"/>
    </row>
    <row r="78">
      <c r="A78" s="13" t="inlineStr">
        <is>
          <t>SIT and UAT</t>
        </is>
      </c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</row>
    <row r="79" ht="40" customHeight="1">
      <c r="A79" s="15" t="inlineStr">
        <is>
          <t>T1</t>
        </is>
      </c>
      <c r="B79" s="16" t="inlineStr">
        <is>
          <t>SIT and UAT</t>
        </is>
      </c>
      <c r="C79" s="17" t="inlineStr">
        <is>
          <t>System integration test in Dev (small, medium) or SIT (large, enterprise): end-to-end flows, uat-scenario.js, connectors in test mode</t>
        </is>
      </c>
      <c r="D79" s="16" t="inlineStr">
        <is>
          <t>iorta TechNXT</t>
        </is>
      </c>
      <c r="E79" s="17" t="inlineStr">
        <is>
          <t>iorta TechNXT test lead</t>
        </is>
      </c>
      <c r="F79" s="17" t="inlineStr">
        <is>
          <t>SIT results; defect log</t>
        </is>
      </c>
      <c r="G79" s="17" t="inlineStr">
        <is>
          <t>C3SS+18d, C2</t>
        </is>
      </c>
      <c r="H79" s="18" t="n">
        <v>10</v>
      </c>
      <c r="I79" s="18" t="n">
        <v>47</v>
      </c>
      <c r="J79" s="18" t="n">
        <v>57</v>
      </c>
      <c r="K79" s="19">
        <f>WORKDAY($D$2,I79)</f>
        <v/>
      </c>
      <c r="L79" s="19">
        <f>IF(H79=0,K79,WORKDAY($D$2,J79-1))</f>
        <v/>
      </c>
      <c r="M79" s="18" t="n">
        <v>10</v>
      </c>
      <c r="N79" s="18" t="n">
        <v>12</v>
      </c>
      <c r="O79" s="18" t="n">
        <v>0</v>
      </c>
      <c r="P79" s="18" t="inlineStr">
        <is>
          <t>Yes</t>
        </is>
      </c>
      <c r="Q79" s="18" t="inlineStr">
        <is>
          <t>Go-live</t>
        </is>
      </c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3" t="n"/>
      <c r="AB79" s="23" t="n"/>
      <c r="AC79" s="23" t="n"/>
      <c r="AD79" s="21" t="n"/>
      <c r="AE79" s="21" t="n"/>
      <c r="AF79" s="22" t="n"/>
      <c r="AG79" s="21" t="n"/>
      <c r="AH79" s="21" t="n"/>
      <c r="AI79" s="21" t="n"/>
      <c r="AJ79" s="21" t="n"/>
      <c r="AK79" s="21" t="n"/>
    </row>
    <row r="80" ht="30" customHeight="1">
      <c r="A80" s="15" t="inlineStr">
        <is>
          <t>T2</t>
        </is>
      </c>
      <c r="B80" s="16" t="inlineStr">
        <is>
          <t>SIT and UAT</t>
        </is>
      </c>
      <c r="C80" s="17" t="inlineStr">
        <is>
          <t>SIT exit</t>
        </is>
      </c>
      <c r="D80" s="16" t="inlineStr">
        <is>
          <t>iorta TechNXT</t>
        </is>
      </c>
      <c r="E80" s="17" t="inlineStr">
        <is>
          <t>iorta TechNXT test lead</t>
        </is>
      </c>
      <c r="F80" s="17" t="inlineStr">
        <is>
          <t>SIT exit report</t>
        </is>
      </c>
      <c r="G80" s="17" t="inlineStr">
        <is>
          <t>T1, C5</t>
        </is>
      </c>
      <c r="H80" s="18" t="n">
        <v>0</v>
      </c>
      <c r="I80" s="18" t="n">
        <v>57</v>
      </c>
      <c r="J80" s="18" t="n">
        <v>57</v>
      </c>
      <c r="K80" s="19">
        <f>WORKDAY($D$2,I80)</f>
        <v/>
      </c>
      <c r="L80" s="19">
        <f>IF(H80=0,K80,WORKDAY($D$2,J80-1))</f>
        <v/>
      </c>
      <c r="M80" s="18" t="n">
        <v>12</v>
      </c>
      <c r="N80" s="18" t="n">
        <v>12</v>
      </c>
      <c r="O80" s="18" t="n">
        <v>0</v>
      </c>
      <c r="P80" s="18" t="inlineStr">
        <is>
          <t>Yes</t>
        </is>
      </c>
      <c r="Q80" s="18" t="inlineStr">
        <is>
          <t>Go-live</t>
        </is>
      </c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0" t="inlineStr">
        <is>
          <t>◆</t>
        </is>
      </c>
      <c r="AD80" s="21" t="n"/>
      <c r="AE80" s="21" t="n"/>
      <c r="AF80" s="22" t="n"/>
      <c r="AG80" s="21" t="n"/>
      <c r="AH80" s="21" t="n"/>
      <c r="AI80" s="21" t="n"/>
      <c r="AJ80" s="21" t="n"/>
      <c r="AK80" s="21" t="n"/>
    </row>
    <row r="81" ht="40" customHeight="1">
      <c r="A81" s="15" t="inlineStr">
        <is>
          <t>T3</t>
        </is>
      </c>
      <c r="B81" s="16" t="inlineStr">
        <is>
          <t>SIT and UAT</t>
        </is>
      </c>
      <c r="C81" s="17" t="inlineStr">
        <is>
          <t>Release candidate and frozen configuration promoted to UAT (Current data workbook, brand pack); comparison report clean</t>
        </is>
      </c>
      <c r="D81" s="16" t="inlineStr">
        <is>
          <t>iorta TechNXT</t>
        </is>
      </c>
      <c r="E81" s="17" t="inlineStr">
        <is>
          <t>iorta TechNXT delivery lead</t>
        </is>
      </c>
      <c r="F81" s="17" t="inlineStr">
        <is>
          <t>Deploy run; comparison workbook</t>
        </is>
      </c>
      <c r="G81" s="17" t="inlineStr">
        <is>
          <t>T2, E3</t>
        </is>
      </c>
      <c r="H81" s="18" t="n">
        <v>2</v>
      </c>
      <c r="I81" s="18" t="n">
        <v>57</v>
      </c>
      <c r="J81" s="18" t="n">
        <v>59</v>
      </c>
      <c r="K81" s="19">
        <f>WORKDAY($D$2,I81)</f>
        <v/>
      </c>
      <c r="L81" s="19">
        <f>IF(H81=0,K81,WORKDAY($D$2,J81-1))</f>
        <v/>
      </c>
      <c r="M81" s="18" t="n">
        <v>12</v>
      </c>
      <c r="N81" s="18" t="n">
        <v>12</v>
      </c>
      <c r="O81" s="18" t="n">
        <v>0</v>
      </c>
      <c r="P81" s="18" t="inlineStr">
        <is>
          <t>Yes</t>
        </is>
      </c>
      <c r="Q81" s="18" t="inlineStr">
        <is>
          <t>Go-live</t>
        </is>
      </c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3" t="n"/>
      <c r="AD81" s="21" t="n"/>
      <c r="AE81" s="21" t="n"/>
      <c r="AF81" s="22" t="n"/>
      <c r="AG81" s="21" t="n"/>
      <c r="AH81" s="21" t="n"/>
      <c r="AI81" s="21" t="n"/>
      <c r="AJ81" s="21" t="n"/>
      <c r="AK81" s="21" t="n"/>
    </row>
    <row r="82" ht="30" customHeight="1">
      <c r="A82" s="15" t="inlineStr">
        <is>
          <t>T4</t>
        </is>
      </c>
      <c r="B82" s="16" t="inlineStr">
        <is>
          <t>SIT and UAT</t>
        </is>
      </c>
      <c r="C82" s="17" t="inlineStr">
        <is>
          <t>UAT cycles with the UAT scripts and broker scenarios, including compliance, BIR and integration scripts</t>
        </is>
      </c>
      <c r="D82" s="16" t="inlineStr">
        <is>
          <t>Broker</t>
        </is>
      </c>
      <c r="E82" s="17" t="inlineStr">
        <is>
          <t>Broker key users</t>
        </is>
      </c>
      <c r="F82" s="17" t="inlineStr">
        <is>
          <t>UAT results per script</t>
        </is>
      </c>
      <c r="G82" s="17" t="inlineStr">
        <is>
          <t>T3, I10</t>
        </is>
      </c>
      <c r="H82" s="18" t="n">
        <v>9</v>
      </c>
      <c r="I82" s="18" t="n">
        <v>59</v>
      </c>
      <c r="J82" s="18" t="n">
        <v>68</v>
      </c>
      <c r="K82" s="19">
        <f>WORKDAY($D$2,I82)</f>
        <v/>
      </c>
      <c r="L82" s="19">
        <f>IF(H82=0,K82,WORKDAY($D$2,J82-1))</f>
        <v/>
      </c>
      <c r="M82" s="18" t="n">
        <v>12</v>
      </c>
      <c r="N82" s="18" t="n">
        <v>14</v>
      </c>
      <c r="O82" s="18" t="n">
        <v>0</v>
      </c>
      <c r="P82" s="18" t="inlineStr">
        <is>
          <t>Yes</t>
        </is>
      </c>
      <c r="Q82" s="18" t="inlineStr">
        <is>
          <t>Go-live</t>
        </is>
      </c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7" t="n"/>
      <c r="AD82" s="27" t="n"/>
      <c r="AE82" s="27" t="n"/>
      <c r="AF82" s="22" t="n"/>
      <c r="AG82" s="21" t="n"/>
      <c r="AH82" s="21" t="n"/>
      <c r="AI82" s="21" t="n"/>
      <c r="AJ82" s="21" t="n"/>
      <c r="AK82" s="21" t="n"/>
    </row>
    <row r="83" ht="30" customHeight="1">
      <c r="A83" s="15" t="inlineStr">
        <is>
          <t>T5</t>
        </is>
      </c>
      <c r="B83" s="16" t="inlineStr">
        <is>
          <t>SIT and UAT</t>
        </is>
      </c>
      <c r="C83" s="17" t="inlineStr">
        <is>
          <t>UAT sign-off</t>
        </is>
      </c>
      <c r="D83" s="16" t="inlineStr">
        <is>
          <t>Broker</t>
        </is>
      </c>
      <c r="E83" s="17" t="inlineStr">
        <is>
          <t>Broker sponsor and process owners</t>
        </is>
      </c>
      <c r="F83" s="17" t="inlineStr">
        <is>
          <t>UAT Sign-off Certificate (Form 1)</t>
        </is>
      </c>
      <c r="G83" s="17" t="inlineStr">
        <is>
          <t>T4, R6</t>
        </is>
      </c>
      <c r="H83" s="18" t="n">
        <v>0</v>
      </c>
      <c r="I83" s="18" t="n">
        <v>68</v>
      </c>
      <c r="J83" s="18" t="n">
        <v>68</v>
      </c>
      <c r="K83" s="19">
        <f>WORKDAY($D$2,I83)</f>
        <v/>
      </c>
      <c r="L83" s="19">
        <f>IF(H83=0,K83,WORKDAY($D$2,J83-1))</f>
        <v/>
      </c>
      <c r="M83" s="18" t="n">
        <v>14</v>
      </c>
      <c r="N83" s="18" t="n">
        <v>14</v>
      </c>
      <c r="O83" s="18" t="n">
        <v>0</v>
      </c>
      <c r="P83" s="18" t="inlineStr">
        <is>
          <t>Yes</t>
        </is>
      </c>
      <c r="Q83" s="18" t="inlineStr">
        <is>
          <t>Go-live</t>
        </is>
      </c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0" t="inlineStr">
        <is>
          <t>◆</t>
        </is>
      </c>
      <c r="AF83" s="22" t="n"/>
      <c r="AG83" s="21" t="n"/>
      <c r="AH83" s="21" t="n"/>
      <c r="AI83" s="21" t="n"/>
      <c r="AJ83" s="21" t="n"/>
      <c r="AK83" s="21" t="n"/>
    </row>
    <row r="84">
      <c r="A84" s="13" t="inlineStr">
        <is>
          <t>Rehearsal and cutover</t>
        </is>
      </c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</row>
    <row r="85" ht="30" customHeight="1">
      <c r="A85" s="24" t="inlineStr">
        <is>
          <t>X1</t>
        </is>
      </c>
      <c r="B85" s="16" t="inlineStr">
        <is>
          <t>Rehearsal and cutover</t>
        </is>
      </c>
      <c r="C85" s="17" t="inlineStr">
        <is>
          <t>Release tag and frozen configuration deployed to Production; production smoke test; transaction reset</t>
        </is>
      </c>
      <c r="D85" s="16" t="inlineStr">
        <is>
          <t>iorta TechNXT</t>
        </is>
      </c>
      <c r="E85" s="17" t="inlineStr">
        <is>
          <t>iorta TechNXT DevOps lead</t>
        </is>
      </c>
      <c r="F85" s="17" t="inlineStr">
        <is>
          <t>Deploy run; smoke test record; reset audit entry</t>
        </is>
      </c>
      <c r="G85" s="17" t="inlineStr">
        <is>
          <t>T3, E7, R1</t>
        </is>
      </c>
      <c r="H85" s="18" t="n">
        <v>2</v>
      </c>
      <c r="I85" s="18" t="n">
        <v>59</v>
      </c>
      <c r="J85" s="18" t="n">
        <v>61</v>
      </c>
      <c r="K85" s="19">
        <f>WORKDAY($D$2,I85)</f>
        <v/>
      </c>
      <c r="L85" s="19">
        <f>IF(H85=0,K85,WORKDAY($D$2,J85-1))</f>
        <v/>
      </c>
      <c r="M85" s="18" t="n">
        <v>12</v>
      </c>
      <c r="N85" s="18" t="n">
        <v>13</v>
      </c>
      <c r="O85" s="18" t="n">
        <v>2</v>
      </c>
      <c r="P85" s="18" t="inlineStr"/>
      <c r="Q85" s="18" t="inlineStr">
        <is>
          <t>Go-live</t>
        </is>
      </c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6" t="n"/>
      <c r="AD85" s="26" t="n"/>
      <c r="AE85" s="21" t="n"/>
      <c r="AF85" s="22" t="n"/>
      <c r="AG85" s="21" t="n"/>
      <c r="AH85" s="21" t="n"/>
      <c r="AI85" s="21" t="n"/>
      <c r="AJ85" s="21" t="n"/>
      <c r="AK85" s="21" t="n"/>
    </row>
    <row r="86" ht="30" customHeight="1">
      <c r="A86" s="24" t="inlineStr">
        <is>
          <t>X2</t>
        </is>
      </c>
      <c r="B86" s="16" t="inlineStr">
        <is>
          <t>Rehearsal and cutover</t>
        </is>
      </c>
      <c r="C86" s="17" t="inlineStr">
        <is>
          <t>Pre-Prod created from a production backup (masked when people without production access take part)</t>
        </is>
      </c>
      <c r="D86" s="16" t="inlineStr">
        <is>
          <t>iorta TechNXT</t>
        </is>
      </c>
      <c r="E86" s="17" t="inlineStr">
        <is>
          <t>iorta TechNXT DevOps lead</t>
        </is>
      </c>
      <c r="F86" s="17" t="inlineStr">
        <is>
          <t>Restore record (counts as a restore test)</t>
        </is>
      </c>
      <c r="G86" s="17" t="inlineStr">
        <is>
          <t>X1</t>
        </is>
      </c>
      <c r="H86" s="18" t="n">
        <v>2</v>
      </c>
      <c r="I86" s="18" t="n">
        <v>61</v>
      </c>
      <c r="J86" s="18" t="n">
        <v>63</v>
      </c>
      <c r="K86" s="19">
        <f>WORKDAY($D$2,I86)</f>
        <v/>
      </c>
      <c r="L86" s="19">
        <f>IF(H86=0,K86,WORKDAY($D$2,J86-1))</f>
        <v/>
      </c>
      <c r="M86" s="18" t="n">
        <v>13</v>
      </c>
      <c r="N86" s="18" t="n">
        <v>13</v>
      </c>
      <c r="O86" s="18" t="n">
        <v>2</v>
      </c>
      <c r="P86" s="18" t="inlineStr"/>
      <c r="Q86" s="18" t="inlineStr">
        <is>
          <t>Go-live</t>
        </is>
      </c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6" t="n"/>
      <c r="AE86" s="21" t="n"/>
      <c r="AF86" s="22" t="n"/>
      <c r="AG86" s="21" t="n"/>
      <c r="AH86" s="21" t="n"/>
      <c r="AI86" s="21" t="n"/>
      <c r="AJ86" s="21" t="n"/>
      <c r="AK86" s="21" t="n"/>
    </row>
    <row r="87" ht="40" customHeight="1">
      <c r="A87" s="15" t="inlineStr">
        <is>
          <t>X3</t>
        </is>
      </c>
      <c r="B87" s="16" t="inlineStr">
        <is>
          <t>Rehearsal and cutover</t>
        </is>
      </c>
      <c r="C87" s="17" t="inlineStr">
        <is>
          <t>Cutover rehearsal in Pre-Prod: reset, migration load of a fresh extract, reconciliation, go-live lock, comparison against Production, timings</t>
        </is>
      </c>
      <c r="D87" s="16" t="inlineStr">
        <is>
          <t>iorta TechNXT</t>
        </is>
      </c>
      <c r="E87" s="17" t="inlineStr">
        <is>
          <t>iorta TechNXT migration lead</t>
        </is>
      </c>
      <c r="F87" s="17" t="inlineStr">
        <is>
          <t>Rehearsal log; reconciliation signed</t>
        </is>
      </c>
      <c r="G87" s="17" t="inlineStr">
        <is>
          <t>X2, G4, G5, T4SS+6d</t>
        </is>
      </c>
      <c r="H87" s="18" t="n">
        <v>3</v>
      </c>
      <c r="I87" s="18" t="n">
        <v>65</v>
      </c>
      <c r="J87" s="18" t="n">
        <v>68</v>
      </c>
      <c r="K87" s="19">
        <f>WORKDAY($D$2,I87)</f>
        <v/>
      </c>
      <c r="L87" s="19">
        <f>IF(H87=0,K87,WORKDAY($D$2,J87-1))</f>
        <v/>
      </c>
      <c r="M87" s="18" t="n">
        <v>14</v>
      </c>
      <c r="N87" s="18" t="n">
        <v>14</v>
      </c>
      <c r="O87" s="18" t="n">
        <v>0</v>
      </c>
      <c r="P87" s="18" t="inlineStr">
        <is>
          <t>Yes</t>
        </is>
      </c>
      <c r="Q87" s="18" t="inlineStr">
        <is>
          <t>Go-live</t>
        </is>
      </c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3" t="n"/>
      <c r="AF87" s="22" t="n"/>
      <c r="AG87" s="21" t="n"/>
      <c r="AH87" s="21" t="n"/>
      <c r="AI87" s="21" t="n"/>
      <c r="AJ87" s="21" t="n"/>
      <c r="AK87" s="21" t="n"/>
    </row>
    <row r="88" ht="30" customHeight="1">
      <c r="A88" s="15" t="inlineStr">
        <is>
          <t>X4</t>
        </is>
      </c>
      <c r="B88" s="16" t="inlineStr">
        <is>
          <t>Rehearsal and cutover</t>
        </is>
      </c>
      <c r="C88" s="17" t="inlineStr">
        <is>
          <t>Go/no-go 1: UAT signed, rehearsal reconciled, users trained, registrations and partner states confirmed</t>
        </is>
      </c>
      <c r="D88" s="16" t="inlineStr">
        <is>
          <t>Broker</t>
        </is>
      </c>
      <c r="E88" s="17" t="inlineStr">
        <is>
          <t>Steering committee</t>
        </is>
      </c>
      <c r="F88" s="17" t="inlineStr">
        <is>
          <t>Minutes</t>
        </is>
      </c>
      <c r="G88" s="17" t="inlineStr">
        <is>
          <t>X3, T5, L3, L2, K2, K3, N1, N2, R5, B1</t>
        </is>
      </c>
      <c r="H88" s="18" t="n">
        <v>0</v>
      </c>
      <c r="I88" s="18" t="n">
        <v>68</v>
      </c>
      <c r="J88" s="18" t="n">
        <v>68</v>
      </c>
      <c r="K88" s="19">
        <f>WORKDAY($D$2,I88)</f>
        <v/>
      </c>
      <c r="L88" s="19">
        <f>IF(H88=0,K88,WORKDAY($D$2,J88-1))</f>
        <v/>
      </c>
      <c r="M88" s="18" t="n">
        <v>14</v>
      </c>
      <c r="N88" s="18" t="n">
        <v>14</v>
      </c>
      <c r="O88" s="18" t="n">
        <v>0</v>
      </c>
      <c r="P88" s="18" t="inlineStr">
        <is>
          <t>Yes</t>
        </is>
      </c>
      <c r="Q88" s="18" t="inlineStr">
        <is>
          <t>Go-live</t>
        </is>
      </c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0" t="inlineStr">
        <is>
          <t>◆</t>
        </is>
      </c>
      <c r="AF88" s="22" t="n"/>
      <c r="AG88" s="21" t="n"/>
      <c r="AH88" s="21" t="n"/>
      <c r="AI88" s="21" t="n"/>
      <c r="AJ88" s="21" t="n"/>
      <c r="AK88" s="21" t="n"/>
    </row>
    <row r="89" ht="40" customHeight="1">
      <c r="A89" s="15" t="inlineStr">
        <is>
          <t>X5</t>
        </is>
      </c>
      <c r="B89" s="16" t="inlineStr">
        <is>
          <t>Rehearsal and cutover</t>
        </is>
      </c>
      <c r="C89" s="17" t="inlineStr">
        <is>
          <t>Cutover: freeze, final extract, final load, reconciliation, go/no-go 2, golive.locked, mask:data --register-production</t>
        </is>
      </c>
      <c r="D89" s="16" t="inlineStr">
        <is>
          <t>Broker</t>
        </is>
      </c>
      <c r="E89" s="17" t="inlineStr">
        <is>
          <t>Broker PM with the iorta TechNXT migration lead</t>
        </is>
      </c>
      <c r="F89" s="17" t="inlineStr">
        <is>
          <t>Signed reconciliation; go decision; audit entries</t>
        </is>
      </c>
      <c r="G89" s="17" t="inlineStr">
        <is>
          <t>X4</t>
        </is>
      </c>
      <c r="H89" s="18" t="n">
        <v>2</v>
      </c>
      <c r="I89" s="18" t="n">
        <v>68</v>
      </c>
      <c r="J89" s="18" t="n">
        <v>70</v>
      </c>
      <c r="K89" s="19">
        <f>WORKDAY($D$2,I89)</f>
        <v/>
      </c>
      <c r="L89" s="19">
        <f>IF(H89=0,K89,WORKDAY($D$2,J89-1))</f>
        <v/>
      </c>
      <c r="M89" s="18" t="n">
        <v>14</v>
      </c>
      <c r="N89" s="18" t="n">
        <v>14</v>
      </c>
      <c r="O89" s="18" t="n">
        <v>0</v>
      </c>
      <c r="P89" s="18" t="inlineStr">
        <is>
          <t>Yes</t>
        </is>
      </c>
      <c r="Q89" s="18" t="inlineStr">
        <is>
          <t>Go-live</t>
        </is>
      </c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7" t="n"/>
      <c r="AF89" s="22" t="n"/>
      <c r="AG89" s="21" t="n"/>
      <c r="AH89" s="21" t="n"/>
      <c r="AI89" s="21" t="n"/>
      <c r="AJ89" s="21" t="n"/>
      <c r="AK89" s="21" t="n"/>
    </row>
    <row r="90" ht="30" customHeight="1">
      <c r="A90" s="15" t="inlineStr">
        <is>
          <t>X6</t>
        </is>
      </c>
      <c r="B90" s="16" t="inlineStr">
        <is>
          <t>Rehearsal and cutover</t>
        </is>
      </c>
      <c r="C90" s="17" t="inlineStr">
        <is>
          <t>Go-live</t>
        </is>
      </c>
      <c r="D90" s="16" t="inlineStr">
        <is>
          <t>Broker</t>
        </is>
      </c>
      <c r="E90" s="17" t="inlineStr">
        <is>
          <t>Broker sponsor</t>
        </is>
      </c>
      <c r="F90" s="17" t="inlineStr">
        <is>
          <t>First day of transactions in BrokerVerse</t>
        </is>
      </c>
      <c r="G90" s="17" t="inlineStr">
        <is>
          <t>X5</t>
        </is>
      </c>
      <c r="H90" s="18" t="n">
        <v>0</v>
      </c>
      <c r="I90" s="18" t="n">
        <v>70</v>
      </c>
      <c r="J90" s="18" t="n">
        <v>70</v>
      </c>
      <c r="K90" s="19">
        <f>WORKDAY($D$2,I90)</f>
        <v/>
      </c>
      <c r="L90" s="19">
        <f>IF(H90=0,K90,WORKDAY($D$2,J90-1))</f>
        <v/>
      </c>
      <c r="M90" s="18" t="n">
        <v>15</v>
      </c>
      <c r="N90" s="18" t="n">
        <v>15</v>
      </c>
      <c r="O90" s="18" t="n">
        <v>0</v>
      </c>
      <c r="P90" s="18" t="inlineStr">
        <is>
          <t>Yes</t>
        </is>
      </c>
      <c r="Q90" s="18" t="inlineStr">
        <is>
          <t>Go-live</t>
        </is>
      </c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9" t="inlineStr">
        <is>
          <t>GO</t>
        </is>
      </c>
      <c r="AG90" s="21" t="n"/>
      <c r="AH90" s="21" t="n"/>
      <c r="AI90" s="21" t="n"/>
      <c r="AJ90" s="21" t="n"/>
      <c r="AK90" s="21" t="n"/>
    </row>
    <row r="91">
      <c r="A91" s="13" t="inlineStr">
        <is>
          <t>Hypercare</t>
        </is>
      </c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</row>
    <row r="92" ht="40" customHeight="1">
      <c r="A92" s="24" t="inlineStr">
        <is>
          <t>H1</t>
        </is>
      </c>
      <c r="B92" s="16" t="inlineStr">
        <is>
          <t>Hypercare</t>
        </is>
      </c>
      <c r="C92" s="17" t="inlineStr">
        <is>
          <t>Hypercare: daily check-ins in week 1, then weekly; first receipts, remittances, bank imports and payment files watched</t>
        </is>
      </c>
      <c r="D92" s="16" t="inlineStr">
        <is>
          <t>iorta TechNXT</t>
        </is>
      </c>
      <c r="E92" s="17" t="inlineStr">
        <is>
          <t>iorta TechNXT PM</t>
        </is>
      </c>
      <c r="F92" s="17" t="inlineStr">
        <is>
          <t>Hypercare log</t>
        </is>
      </c>
      <c r="G92" s="17" t="inlineStr">
        <is>
          <t>X6</t>
        </is>
      </c>
      <c r="H92" s="18" t="n">
        <v>30</v>
      </c>
      <c r="I92" s="18" t="n">
        <v>70</v>
      </c>
      <c r="J92" s="18" t="n">
        <v>100</v>
      </c>
      <c r="K92" s="19">
        <f>WORKDAY($D$2,I92)</f>
        <v/>
      </c>
      <c r="L92" s="19">
        <f>IF(H92=0,K92,WORKDAY($D$2,J92-1))</f>
        <v/>
      </c>
      <c r="M92" s="18" t="n">
        <v>15</v>
      </c>
      <c r="N92" s="18" t="n">
        <v>20</v>
      </c>
      <c r="O92" s="18" t="n"/>
      <c r="P92" s="18" t="inlineStr"/>
      <c r="Q92" s="18" t="inlineStr">
        <is>
          <t>Hypercare exit</t>
        </is>
      </c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6" t="n"/>
      <c r="AG92" s="26" t="n"/>
      <c r="AH92" s="26" t="n"/>
      <c r="AI92" s="26" t="n"/>
      <c r="AJ92" s="26" t="n"/>
      <c r="AK92" s="26" t="n"/>
    </row>
    <row r="93" ht="30" customHeight="1">
      <c r="A93" s="24" t="inlineStr">
        <is>
          <t>H2</t>
        </is>
      </c>
      <c r="B93" s="16" t="inlineStr">
        <is>
          <t>Hypercare</t>
        </is>
      </c>
      <c r="C93" s="17" t="inlineStr">
        <is>
          <t>First month-end close and BIR working papers of the first month supported</t>
        </is>
      </c>
      <c r="D93" s="16" t="inlineStr">
        <is>
          <t>Broker</t>
        </is>
      </c>
      <c r="E93" s="17" t="inlineStr">
        <is>
          <t>Broker Accounting Manager</t>
        </is>
      </c>
      <c r="F93" s="17" t="inlineStr">
        <is>
          <t>Approved Month-End Close run</t>
        </is>
      </c>
      <c r="G93" s="17" t="inlineStr">
        <is>
          <t>X6+15d</t>
        </is>
      </c>
      <c r="H93" s="18" t="n">
        <v>10</v>
      </c>
      <c r="I93" s="18" t="n">
        <v>85</v>
      </c>
      <c r="J93" s="18" t="n">
        <v>95</v>
      </c>
      <c r="K93" s="19">
        <f>WORKDAY($D$2,I93)</f>
        <v/>
      </c>
      <c r="L93" s="19">
        <f>IF(H93=0,K93,WORKDAY($D$2,J93-1))</f>
        <v/>
      </c>
      <c r="M93" s="18" t="n">
        <v>18</v>
      </c>
      <c r="N93" s="18" t="n">
        <v>19</v>
      </c>
      <c r="O93" s="18" t="n"/>
      <c r="P93" s="18" t="inlineStr"/>
      <c r="Q93" s="18" t="inlineStr">
        <is>
          <t>Hypercare exit</t>
        </is>
      </c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2" t="n"/>
      <c r="AG93" s="21" t="n"/>
      <c r="AH93" s="21" t="n"/>
      <c r="AI93" s="25" t="n"/>
      <c r="AJ93" s="25" t="n"/>
      <c r="AK93" s="21" t="n"/>
    </row>
    <row r="94" ht="40" customHeight="1">
      <c r="A94" s="24" t="inlineStr">
        <is>
          <t>H3</t>
        </is>
      </c>
      <c r="B94" s="16" t="inlineStr">
        <is>
          <t>Hypercare</t>
        </is>
      </c>
      <c r="C94" s="17" t="inlineStr">
        <is>
          <t>Knowledge transfer, configuration baseline (Current data workbook of Production), handover; Pre-Prod removed</t>
        </is>
      </c>
      <c r="D94" s="16" t="inlineStr">
        <is>
          <t>iorta TechNXT</t>
        </is>
      </c>
      <c r="E94" s="17" t="inlineStr">
        <is>
          <t>iorta TechNXT PM and support manager</t>
        </is>
      </c>
      <c r="F94" s="17" t="inlineStr">
        <is>
          <t>Hypercare Exit and Handover Certificate</t>
        </is>
      </c>
      <c r="G94" s="17" t="inlineStr">
        <is>
          <t>H1, H2</t>
        </is>
      </c>
      <c r="H94" s="18" t="n">
        <v>0</v>
      </c>
      <c r="I94" s="18" t="n">
        <v>100</v>
      </c>
      <c r="J94" s="18" t="n">
        <v>100</v>
      </c>
      <c r="K94" s="19">
        <f>WORKDAY($D$2,I94)</f>
        <v/>
      </c>
      <c r="L94" s="19">
        <f>IF(H94=0,K94,WORKDAY($D$2,J94-1))</f>
        <v/>
      </c>
      <c r="M94" s="18" t="n">
        <v>20</v>
      </c>
      <c r="N94" s="18" t="n">
        <v>20</v>
      </c>
      <c r="O94" s="18" t="n"/>
      <c r="P94" s="18" t="inlineStr"/>
      <c r="Q94" s="18" t="inlineStr">
        <is>
          <t>Hypercare exit</t>
        </is>
      </c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2" t="n"/>
      <c r="AG94" s="21" t="n"/>
      <c r="AH94" s="21" t="n"/>
      <c r="AI94" s="21" t="n"/>
      <c r="AJ94" s="21" t="n"/>
      <c r="AK94" s="20" t="inlineStr">
        <is>
          <t>◆</t>
        </is>
      </c>
    </row>
  </sheetData>
  <autoFilter ref="A5:Q94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9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4" customWidth="1" min="3" max="3"/>
    <col width="13" customWidth="1" min="4" max="4"/>
    <col width="24" customWidth="1" min="5" max="5"/>
    <col width="30" customWidth="1" min="6" max="6"/>
    <col width="18" customWidth="1" min="7" max="7"/>
    <col width="10" customWidth="1" min="8" max="8"/>
    <col width="7" customWidth="1" min="9" max="9"/>
    <col width="7" customWidth="1" min="10" max="10"/>
    <col width="12" customWidth="1" min="11" max="11"/>
    <col width="12" customWidth="1" min="12" max="12"/>
    <col width="7" customWidth="1" min="13" max="13"/>
    <col width="7" customWidth="1" min="14" max="14"/>
    <col width="10" customWidth="1" min="15" max="15"/>
    <col width="8" customWidth="1" min="16" max="16"/>
    <col width="11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</cols>
  <sheetData>
    <row r="1">
      <c r="A1" s="4" t="inlineStr">
        <is>
          <t>BrokerVerse OOTB implementation plan: Enterprise broker (26 weeks, go-live at the start of week 21)</t>
        </is>
      </c>
    </row>
    <row r="2">
      <c r="A2" s="11" t="inlineStr">
        <is>
          <t>Kick-off date (a Monday):</t>
        </is>
      </c>
      <c r="D2" s="12" t="n">
        <v>46328</v>
      </c>
      <c r="F2" s="5" t="inlineStr">
        <is>
          <t>Type the kick-off date in the yellow cell: start and finish dates follow (working days, weekends skipped; add holidays as a third WORKDAY argument). Environments: Dev, SIT, UAT, Production (high availability, cross-region backup copy); Pre-Prod temporary. Mock loads 1 and 2 in SIT, mock loads 3 and 4 in UAT; the cutover rehearsal in Pre-Prod is the fifth load.</t>
        </is>
      </c>
    </row>
    <row r="3">
      <c r="A3" s="5" t="inlineStr">
        <is>
          <t>Bars: blue iorta TechNXT, green broker, gold partner; red border and red ID = on the critical path to go-live. Float = working days a task can slip before the go-live date moves (empty: the task does not hold the go-live).</t>
        </is>
      </c>
    </row>
    <row r="5" ht="42" customHeight="1">
      <c r="A5" s="6" t="inlineStr">
        <is>
          <t>ID</t>
        </is>
      </c>
      <c r="B5" s="6" t="inlineStr">
        <is>
          <t>Phase</t>
        </is>
      </c>
      <c r="C5" s="6" t="inlineStr">
        <is>
          <t>Task</t>
        </is>
      </c>
      <c r="D5" s="6" t="inlineStr">
        <is>
          <t>Party</t>
        </is>
      </c>
      <c r="E5" s="6" t="inlineStr">
        <is>
          <t>Owner role</t>
        </is>
      </c>
      <c r="F5" s="6" t="inlineStr">
        <is>
          <t>Deliverable or evidence</t>
        </is>
      </c>
      <c r="G5" s="6" t="inlineStr">
        <is>
          <t>Predecessors</t>
        </is>
      </c>
      <c r="H5" s="6" t="inlineStr">
        <is>
          <t>Duration (working days)</t>
        </is>
      </c>
      <c r="I5" s="6" t="inlineStr">
        <is>
          <t>Start day</t>
        </is>
      </c>
      <c r="J5" s="6" t="inlineStr">
        <is>
          <t>Finish day</t>
        </is>
      </c>
      <c r="K5" s="6" t="inlineStr">
        <is>
          <t>Start date</t>
        </is>
      </c>
      <c r="L5" s="6" t="inlineStr">
        <is>
          <t>Finish date</t>
        </is>
      </c>
      <c r="M5" s="6" t="inlineStr">
        <is>
          <t>Start week</t>
        </is>
      </c>
      <c r="N5" s="6" t="inlineStr">
        <is>
          <t>End week</t>
        </is>
      </c>
      <c r="O5" s="6" t="inlineStr">
        <is>
          <t>Float to go-live (days)</t>
        </is>
      </c>
      <c r="P5" s="6" t="inlineStr">
        <is>
          <t>Critical</t>
        </is>
      </c>
      <c r="Q5" s="6" t="inlineStr">
        <is>
          <t>Holds back</t>
        </is>
      </c>
      <c r="R5" s="6" t="inlineStr">
        <is>
          <t>W1</t>
        </is>
      </c>
      <c r="S5" s="6" t="inlineStr">
        <is>
          <t>W2</t>
        </is>
      </c>
      <c r="T5" s="6" t="inlineStr">
        <is>
          <t>W3</t>
        </is>
      </c>
      <c r="U5" s="6" t="inlineStr">
        <is>
          <t>W4</t>
        </is>
      </c>
      <c r="V5" s="6" t="inlineStr">
        <is>
          <t>W5</t>
        </is>
      </c>
      <c r="W5" s="6" t="inlineStr">
        <is>
          <t>W6</t>
        </is>
      </c>
      <c r="X5" s="6" t="inlineStr">
        <is>
          <t>W7</t>
        </is>
      </c>
      <c r="Y5" s="6" t="inlineStr">
        <is>
          <t>W8</t>
        </is>
      </c>
      <c r="Z5" s="6" t="inlineStr">
        <is>
          <t>W9</t>
        </is>
      </c>
      <c r="AA5" s="6" t="inlineStr">
        <is>
          <t>W10</t>
        </is>
      </c>
      <c r="AB5" s="6" t="inlineStr">
        <is>
          <t>W11</t>
        </is>
      </c>
      <c r="AC5" s="6" t="inlineStr">
        <is>
          <t>W12</t>
        </is>
      </c>
      <c r="AD5" s="6" t="inlineStr">
        <is>
          <t>W13</t>
        </is>
      </c>
      <c r="AE5" s="6" t="inlineStr">
        <is>
          <t>W14</t>
        </is>
      </c>
      <c r="AF5" s="6" t="inlineStr">
        <is>
          <t>W15</t>
        </is>
      </c>
      <c r="AG5" s="6" t="inlineStr">
        <is>
          <t>W16</t>
        </is>
      </c>
      <c r="AH5" s="6" t="inlineStr">
        <is>
          <t>W17</t>
        </is>
      </c>
      <c r="AI5" s="6" t="inlineStr">
        <is>
          <t>W18</t>
        </is>
      </c>
      <c r="AJ5" s="6" t="inlineStr">
        <is>
          <t>W19</t>
        </is>
      </c>
      <c r="AK5" s="6" t="inlineStr">
        <is>
          <t>W20</t>
        </is>
      </c>
      <c r="AL5" s="6" t="inlineStr">
        <is>
          <t>W21</t>
        </is>
      </c>
      <c r="AM5" s="6" t="inlineStr">
        <is>
          <t>W22</t>
        </is>
      </c>
      <c r="AN5" s="6" t="inlineStr">
        <is>
          <t>W23</t>
        </is>
      </c>
      <c r="AO5" s="6" t="inlineStr">
        <is>
          <t>W24</t>
        </is>
      </c>
      <c r="AP5" s="6" t="inlineStr">
        <is>
          <t>W25</t>
        </is>
      </c>
      <c r="AQ5" s="6" t="inlineStr">
        <is>
          <t>W26</t>
        </is>
      </c>
    </row>
    <row r="6">
      <c r="A6" s="13" t="inlineStr">
        <is>
          <t>Mobilisation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</row>
    <row r="7" ht="30" customHeight="1">
      <c r="A7" s="15" t="inlineStr">
        <is>
          <t>M1</t>
        </is>
      </c>
      <c r="B7" s="16" t="inlineStr">
        <is>
          <t>Mobilisation</t>
        </is>
      </c>
      <c r="C7" s="17" t="inlineStr">
        <is>
          <t>Kick-off</t>
        </is>
      </c>
      <c r="D7" s="16" t="inlineStr">
        <is>
          <t>iorta TechNXT</t>
        </is>
      </c>
      <c r="E7" s="17" t="inlineStr">
        <is>
          <t>iorta TechNXT PM</t>
        </is>
      </c>
      <c r="F7" s="17" t="inlineStr">
        <is>
          <t>Kick-off held; plan and go-live date confirmed</t>
        </is>
      </c>
      <c r="G7" s="17" t="inlineStr"/>
      <c r="H7" s="18" t="n">
        <v>0</v>
      </c>
      <c r="I7" s="18" t="n">
        <v>0</v>
      </c>
      <c r="J7" s="18" t="n">
        <v>0</v>
      </c>
      <c r="K7" s="19">
        <f>WORKDAY($D$2,I7)</f>
        <v/>
      </c>
      <c r="L7" s="19">
        <f>IF(H7=0,K7,WORKDAY($D$2,J7-1))</f>
        <v/>
      </c>
      <c r="M7" s="18" t="n">
        <v>1</v>
      </c>
      <c r="N7" s="18" t="n">
        <v>1</v>
      </c>
      <c r="O7" s="18" t="n">
        <v>0</v>
      </c>
      <c r="P7" s="18" t="inlineStr">
        <is>
          <t>Yes</t>
        </is>
      </c>
      <c r="Q7" s="18" t="inlineStr">
        <is>
          <t>Go-live</t>
        </is>
      </c>
      <c r="R7" s="20" t="inlineStr">
        <is>
          <t>◆</t>
        </is>
      </c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2" t="n"/>
      <c r="AM7" s="21" t="n"/>
      <c r="AN7" s="21" t="n"/>
      <c r="AO7" s="21" t="n"/>
      <c r="AP7" s="21" t="n"/>
      <c r="AQ7" s="21" t="n"/>
    </row>
    <row r="8" ht="30" customHeight="1">
      <c r="A8" s="15" t="inlineStr">
        <is>
          <t>M3</t>
        </is>
      </c>
      <c r="B8" s="16" t="inlineStr">
        <is>
          <t>Mobilisation</t>
        </is>
      </c>
      <c r="C8" s="17" t="inlineStr">
        <is>
          <t>Data request list and the go-live kits issued (configuration and migration workbooks, upload templates)</t>
        </is>
      </c>
      <c r="D8" s="16" t="inlineStr">
        <is>
          <t>iorta TechNXT</t>
        </is>
      </c>
      <c r="E8" s="17" t="inlineStr">
        <is>
          <t>iorta TechNXT PM</t>
        </is>
      </c>
      <c r="F8" s="17" t="inlineStr">
        <is>
          <t>Data request list; blank workbooks handed over</t>
        </is>
      </c>
      <c r="G8" s="17" t="inlineStr">
        <is>
          <t>M1</t>
        </is>
      </c>
      <c r="H8" s="18" t="n">
        <v>1</v>
      </c>
      <c r="I8" s="18" t="n">
        <v>0</v>
      </c>
      <c r="J8" s="18" t="n">
        <v>1</v>
      </c>
      <c r="K8" s="19">
        <f>WORKDAY($D$2,I8)</f>
        <v/>
      </c>
      <c r="L8" s="19">
        <f>IF(H8=0,K8,WORKDAY($D$2,J8-1))</f>
        <v/>
      </c>
      <c r="M8" s="18" t="n">
        <v>1</v>
      </c>
      <c r="N8" s="18" t="n">
        <v>1</v>
      </c>
      <c r="O8" s="18" t="n">
        <v>0</v>
      </c>
      <c r="P8" s="18" t="inlineStr">
        <is>
          <t>Yes</t>
        </is>
      </c>
      <c r="Q8" s="18" t="inlineStr">
        <is>
          <t>Go-live</t>
        </is>
      </c>
      <c r="R8" s="23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2" t="n"/>
      <c r="AM8" s="21" t="n"/>
      <c r="AN8" s="21" t="n"/>
      <c r="AO8" s="21" t="n"/>
      <c r="AP8" s="21" t="n"/>
      <c r="AQ8" s="21" t="n"/>
    </row>
    <row r="9" ht="30" customHeight="1">
      <c r="A9" s="24" t="inlineStr">
        <is>
          <t>M4</t>
        </is>
      </c>
      <c r="B9" s="16" t="inlineStr">
        <is>
          <t>Mobilisation</t>
        </is>
      </c>
      <c r="C9" s="17" t="inlineStr">
        <is>
          <t>Broker team named: PM, key users, Accounting Manager, System Administrator, compliance officer, DPO</t>
        </is>
      </c>
      <c r="D9" s="16" t="inlineStr">
        <is>
          <t>Broker</t>
        </is>
      </c>
      <c r="E9" s="17" t="inlineStr">
        <is>
          <t>Broker sponsor</t>
        </is>
      </c>
      <c r="F9" s="17" t="inlineStr">
        <is>
          <t>Named team with committed time</t>
        </is>
      </c>
      <c r="G9" s="17" t="inlineStr">
        <is>
          <t>M1</t>
        </is>
      </c>
      <c r="H9" s="18" t="n">
        <v>3</v>
      </c>
      <c r="I9" s="18" t="n">
        <v>0</v>
      </c>
      <c r="J9" s="18" t="n">
        <v>3</v>
      </c>
      <c r="K9" s="19">
        <f>WORKDAY($D$2,I9)</f>
        <v/>
      </c>
      <c r="L9" s="19">
        <f>IF(H9=0,K9,WORKDAY($D$2,J9-1))</f>
        <v/>
      </c>
      <c r="M9" s="18" t="n">
        <v>1</v>
      </c>
      <c r="N9" s="18" t="n">
        <v>1</v>
      </c>
      <c r="O9" s="18" t="n">
        <v>30</v>
      </c>
      <c r="P9" s="18" t="inlineStr"/>
      <c r="Q9" s="18" t="inlineStr">
        <is>
          <t>Go-live</t>
        </is>
      </c>
      <c r="R9" s="25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2" t="n"/>
      <c r="AM9" s="21" t="n"/>
      <c r="AN9" s="21" t="n"/>
      <c r="AO9" s="21" t="n"/>
      <c r="AP9" s="21" t="n"/>
      <c r="AQ9" s="21" t="n"/>
    </row>
    <row r="10" ht="30" customHeight="1">
      <c r="A10" s="24" t="inlineStr">
        <is>
          <t>M5</t>
        </is>
      </c>
      <c r="B10" s="16" t="inlineStr">
        <is>
          <t>Mobilisation</t>
        </is>
      </c>
      <c r="C10" s="17" t="inlineStr">
        <is>
          <t>Hosting option, environment set and data location confirmed; environments ordered</t>
        </is>
      </c>
      <c r="D10" s="16" t="inlineStr">
        <is>
          <t>Broker</t>
        </is>
      </c>
      <c r="E10" s="17" t="inlineStr">
        <is>
          <t>Broker sponsor and IT head</t>
        </is>
      </c>
      <c r="F10" s="17" t="inlineStr">
        <is>
          <t>Order Form hosting fields; transfer decision recorded</t>
        </is>
      </c>
      <c r="G10" s="17" t="inlineStr">
        <is>
          <t>M1</t>
        </is>
      </c>
      <c r="H10" s="18" t="n">
        <v>3</v>
      </c>
      <c r="I10" s="18" t="n">
        <v>0</v>
      </c>
      <c r="J10" s="18" t="n">
        <v>3</v>
      </c>
      <c r="K10" s="19">
        <f>WORKDAY($D$2,I10)</f>
        <v/>
      </c>
      <c r="L10" s="19">
        <f>IF(H10=0,K10,WORKDAY($D$2,J10-1))</f>
        <v/>
      </c>
      <c r="M10" s="18" t="n">
        <v>1</v>
      </c>
      <c r="N10" s="18" t="n">
        <v>1</v>
      </c>
      <c r="O10" s="18" t="n">
        <v>17</v>
      </c>
      <c r="P10" s="18" t="inlineStr"/>
      <c r="Q10" s="18" t="inlineStr">
        <is>
          <t>Go-live</t>
        </is>
      </c>
      <c r="R10" s="25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2" t="n"/>
      <c r="AM10" s="21" t="n"/>
      <c r="AN10" s="21" t="n"/>
      <c r="AO10" s="21" t="n"/>
      <c r="AP10" s="21" t="n"/>
      <c r="AQ10" s="21" t="n"/>
    </row>
    <row r="11" ht="30" customHeight="1">
      <c r="A11" s="24" t="inlineStr">
        <is>
          <t>M2</t>
        </is>
      </c>
      <c r="B11" s="16" t="inlineStr">
        <is>
          <t>Mobilisation</t>
        </is>
      </c>
      <c r="C11" s="17" t="inlineStr">
        <is>
          <t>Project charter, baselined plan, governance calendar, RAID log</t>
        </is>
      </c>
      <c r="D11" s="16" t="inlineStr">
        <is>
          <t>iorta TechNXT</t>
        </is>
      </c>
      <c r="E11" s="17" t="inlineStr">
        <is>
          <t>iorta TechNXT PM</t>
        </is>
      </c>
      <c r="F11" s="17" t="inlineStr">
        <is>
          <t>Charter and plan signed</t>
        </is>
      </c>
      <c r="G11" s="17" t="inlineStr">
        <is>
          <t>M1</t>
        </is>
      </c>
      <c r="H11" s="18" t="n">
        <v>5</v>
      </c>
      <c r="I11" s="18" t="n">
        <v>0</v>
      </c>
      <c r="J11" s="18" t="n">
        <v>5</v>
      </c>
      <c r="K11" s="19">
        <f>WORKDAY($D$2,I11)</f>
        <v/>
      </c>
      <c r="L11" s="19">
        <f>IF(H11=0,K11,WORKDAY($D$2,J11-1))</f>
        <v/>
      </c>
      <c r="M11" s="18" t="n">
        <v>1</v>
      </c>
      <c r="N11" s="18" t="n">
        <v>1</v>
      </c>
      <c r="O11" s="18" t="n">
        <v>31</v>
      </c>
      <c r="P11" s="18" t="inlineStr"/>
      <c r="Q11" s="18" t="inlineStr">
        <is>
          <t>Go-live</t>
        </is>
      </c>
      <c r="R11" s="26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2" t="n"/>
      <c r="AM11" s="21" t="n"/>
      <c r="AN11" s="21" t="n"/>
      <c r="AO11" s="21" t="n"/>
      <c r="AP11" s="21" t="n"/>
      <c r="AQ11" s="21" t="n"/>
    </row>
    <row r="12">
      <c r="A12" s="13" t="inlineStr">
        <is>
          <t>Environments and pipeline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</row>
    <row r="13" ht="30" customHeight="1">
      <c r="A13" s="24" t="inlineStr">
        <is>
          <t>E1</t>
        </is>
      </c>
      <c r="B13" s="16" t="inlineStr">
        <is>
          <t>Environments and pipeline</t>
        </is>
      </c>
      <c r="C13" s="17" t="inlineStr">
        <is>
          <t>Dev provisioned</t>
        </is>
      </c>
      <c r="D13" s="16" t="inlineStr">
        <is>
          <t>iorta TechNXT</t>
        </is>
      </c>
      <c r="E13" s="17" t="inlineStr">
        <is>
          <t>iorta TechNXT DevOps lead</t>
        </is>
      </c>
      <c r="F13" s="17" t="inlineStr">
        <is>
          <t>Environment sheet: Dev</t>
        </is>
      </c>
      <c r="G13" s="17" t="inlineStr">
        <is>
          <t>M5</t>
        </is>
      </c>
      <c r="H13" s="18" t="n">
        <v>4</v>
      </c>
      <c r="I13" s="18" t="n">
        <v>3</v>
      </c>
      <c r="J13" s="18" t="n">
        <v>7</v>
      </c>
      <c r="K13" s="19">
        <f>WORKDAY($D$2,I13)</f>
        <v/>
      </c>
      <c r="L13" s="19">
        <f>IF(H13=0,K13,WORKDAY($D$2,J13-1))</f>
        <v/>
      </c>
      <c r="M13" s="18" t="n">
        <v>1</v>
      </c>
      <c r="N13" s="18" t="n">
        <v>2</v>
      </c>
      <c r="O13" s="18" t="n">
        <v>17</v>
      </c>
      <c r="P13" s="18" t="inlineStr"/>
      <c r="Q13" s="18" t="inlineStr">
        <is>
          <t>Go-live</t>
        </is>
      </c>
      <c r="R13" s="26" t="n"/>
      <c r="S13" s="26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2" t="n"/>
      <c r="AM13" s="21" t="n"/>
      <c r="AN13" s="21" t="n"/>
      <c r="AO13" s="21" t="n"/>
      <c r="AP13" s="21" t="n"/>
      <c r="AQ13" s="21" t="n"/>
    </row>
    <row r="14" ht="30" customHeight="1">
      <c r="A14" s="24" t="inlineStr">
        <is>
          <t>E3</t>
        </is>
      </c>
      <c r="B14" s="16" t="inlineStr">
        <is>
          <t>Environments and pipeline</t>
        </is>
      </c>
      <c r="C14" s="17" t="inlineStr">
        <is>
          <t>UAT provisioned</t>
        </is>
      </c>
      <c r="D14" s="16" t="inlineStr">
        <is>
          <t>iorta TechNXT</t>
        </is>
      </c>
      <c r="E14" s="17" t="inlineStr">
        <is>
          <t>iorta TechNXT DevOps lead</t>
        </is>
      </c>
      <c r="F14" s="17" t="inlineStr">
        <is>
          <t>Environment sheet: UAT</t>
        </is>
      </c>
      <c r="G14" s="17" t="inlineStr">
        <is>
          <t>M5</t>
        </is>
      </c>
      <c r="H14" s="18" t="n">
        <v>5</v>
      </c>
      <c r="I14" s="18" t="n">
        <v>3</v>
      </c>
      <c r="J14" s="18" t="n">
        <v>8</v>
      </c>
      <c r="K14" s="19">
        <f>WORKDAY($D$2,I14)</f>
        <v/>
      </c>
      <c r="L14" s="19">
        <f>IF(H14=0,K14,WORKDAY($D$2,J14-1))</f>
        <v/>
      </c>
      <c r="M14" s="18" t="n">
        <v>1</v>
      </c>
      <c r="N14" s="18" t="n">
        <v>2</v>
      </c>
      <c r="O14" s="18" t="n">
        <v>21</v>
      </c>
      <c r="P14" s="18" t="inlineStr"/>
      <c r="Q14" s="18" t="inlineStr">
        <is>
          <t>Go-live</t>
        </is>
      </c>
      <c r="R14" s="26" t="n"/>
      <c r="S14" s="26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2" t="n"/>
      <c r="AM14" s="21" t="n"/>
      <c r="AN14" s="21" t="n"/>
      <c r="AO14" s="21" t="n"/>
      <c r="AP14" s="21" t="n"/>
      <c r="AQ14" s="21" t="n"/>
    </row>
    <row r="15" ht="40" customHeight="1">
      <c r="A15" s="24" t="inlineStr">
        <is>
          <t>E5</t>
        </is>
      </c>
      <c r="B15" s="16" t="inlineStr">
        <is>
          <t>Environments and pipeline</t>
        </is>
      </c>
      <c r="C15" s="17" t="inlineStr">
        <is>
          <t>Application secrets per environment in the secret store: JWT_SECRET, DATA_ENCRYPTION_KEY, PII_ENCRYPTION_KEY generated; key custody and escrow copy agreed</t>
        </is>
      </c>
      <c r="D15" s="16" t="inlineStr">
        <is>
          <t>iorta TechNXT</t>
        </is>
      </c>
      <c r="E15" s="17" t="inlineStr">
        <is>
          <t>iorta TechNXT DevOps lead with the broker IT head</t>
        </is>
      </c>
      <c r="F15" s="17" t="inlineStr">
        <is>
          <t>Key custody record signed by both</t>
        </is>
      </c>
      <c r="G15" s="17" t="inlineStr">
        <is>
          <t>E1</t>
        </is>
      </c>
      <c r="H15" s="18" t="n">
        <v>2</v>
      </c>
      <c r="I15" s="18" t="n">
        <v>7</v>
      </c>
      <c r="J15" s="18" t="n">
        <v>9</v>
      </c>
      <c r="K15" s="19">
        <f>WORKDAY($D$2,I15)</f>
        <v/>
      </c>
      <c r="L15" s="19">
        <f>IF(H15=0,K15,WORKDAY($D$2,J15-1))</f>
        <v/>
      </c>
      <c r="M15" s="18" t="n">
        <v>2</v>
      </c>
      <c r="N15" s="18" t="n">
        <v>2</v>
      </c>
      <c r="O15" s="18" t="n">
        <v>20</v>
      </c>
      <c r="P15" s="18" t="inlineStr"/>
      <c r="Q15" s="18" t="inlineStr">
        <is>
          <t>Go-live</t>
        </is>
      </c>
      <c r="R15" s="21" t="n"/>
      <c r="S15" s="26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2" t="n"/>
      <c r="AM15" s="21" t="n"/>
      <c r="AN15" s="21" t="n"/>
      <c r="AO15" s="21" t="n"/>
      <c r="AP15" s="21" t="n"/>
      <c r="AQ15" s="21" t="n"/>
    </row>
    <row r="16" ht="40" customHeight="1">
      <c r="A16" s="24" t="inlineStr">
        <is>
          <t>E4</t>
        </is>
      </c>
      <c r="B16" s="16" t="inlineStr">
        <is>
          <t>Environments and pipeline</t>
        </is>
      </c>
      <c r="C16" s="17" t="inlineStr">
        <is>
          <t>GitHub Environments (dev, sit, uat, preprod, production): protection rules, reviewers, variables, environment secrets</t>
        </is>
      </c>
      <c r="D16" s="16" t="inlineStr">
        <is>
          <t>iorta TechNXT</t>
        </is>
      </c>
      <c r="E16" s="17" t="inlineStr">
        <is>
          <t>iorta TechNXT DevOps lead</t>
        </is>
      </c>
      <c r="F16" s="17" t="inlineStr">
        <is>
          <t>Settings recorded in the environment sheet</t>
        </is>
      </c>
      <c r="G16" s="17" t="inlineStr">
        <is>
          <t>E1</t>
        </is>
      </c>
      <c r="H16" s="18" t="n">
        <v>3</v>
      </c>
      <c r="I16" s="18" t="n">
        <v>7</v>
      </c>
      <c r="J16" s="18" t="n">
        <v>10</v>
      </c>
      <c r="K16" s="19">
        <f>WORKDAY($D$2,I16)</f>
        <v/>
      </c>
      <c r="L16" s="19">
        <f>IF(H16=0,K16,WORKDAY($D$2,J16-1))</f>
        <v/>
      </c>
      <c r="M16" s="18" t="n">
        <v>2</v>
      </c>
      <c r="N16" s="18" t="n">
        <v>2</v>
      </c>
      <c r="O16" s="18" t="n">
        <v>19</v>
      </c>
      <c r="P16" s="18" t="inlineStr"/>
      <c r="Q16" s="18" t="inlineStr">
        <is>
          <t>Go-live</t>
        </is>
      </c>
      <c r="R16" s="21" t="n"/>
      <c r="S16" s="26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2" t="n"/>
      <c r="AM16" s="21" t="n"/>
      <c r="AN16" s="21" t="n"/>
      <c r="AO16" s="21" t="n"/>
      <c r="AP16" s="21" t="n"/>
      <c r="AQ16" s="21" t="n"/>
    </row>
    <row r="17" ht="30" customHeight="1">
      <c r="A17" s="24" t="inlineStr">
        <is>
          <t>E2</t>
        </is>
      </c>
      <c r="B17" s="16" t="inlineStr">
        <is>
          <t>Environments and pipeline</t>
        </is>
      </c>
      <c r="C17" s="17" t="inlineStr">
        <is>
          <t>SIT provisioned (large and enterprise brokers)</t>
        </is>
      </c>
      <c r="D17" s="16" t="inlineStr">
        <is>
          <t>iorta TechNXT</t>
        </is>
      </c>
      <c r="E17" s="17" t="inlineStr">
        <is>
          <t>iorta TechNXT DevOps lead</t>
        </is>
      </c>
      <c r="F17" s="17" t="inlineStr">
        <is>
          <t>Environment sheet: SIT</t>
        </is>
      </c>
      <c r="G17" s="17" t="inlineStr">
        <is>
          <t>E1</t>
        </is>
      </c>
      <c r="H17" s="18" t="n">
        <v>5</v>
      </c>
      <c r="I17" s="18" t="n">
        <v>7</v>
      </c>
      <c r="J17" s="18" t="n">
        <v>12</v>
      </c>
      <c r="K17" s="19">
        <f>WORKDAY($D$2,I17)</f>
        <v/>
      </c>
      <c r="L17" s="19">
        <f>IF(H17=0,K17,WORKDAY($D$2,J17-1))</f>
        <v/>
      </c>
      <c r="M17" s="18" t="n">
        <v>2</v>
      </c>
      <c r="N17" s="18" t="n">
        <v>3</v>
      </c>
      <c r="O17" s="18" t="n">
        <v>17</v>
      </c>
      <c r="P17" s="18" t="inlineStr"/>
      <c r="Q17" s="18" t="inlineStr">
        <is>
          <t>Go-live</t>
        </is>
      </c>
      <c r="R17" s="21" t="n"/>
      <c r="S17" s="26" t="n"/>
      <c r="T17" s="26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2" t="n"/>
      <c r="AM17" s="21" t="n"/>
      <c r="AN17" s="21" t="n"/>
      <c r="AO17" s="21" t="n"/>
      <c r="AP17" s="21" t="n"/>
      <c r="AQ17" s="21" t="n"/>
    </row>
    <row r="18" ht="30" customHeight="1">
      <c r="A18" s="24" t="inlineStr">
        <is>
          <t>E7</t>
        </is>
      </c>
      <c r="B18" s="16" t="inlineStr">
        <is>
          <t>Environments and pipeline</t>
        </is>
      </c>
      <c r="C18" s="17" t="inlineStr">
        <is>
          <t>Production provisioned at production topology; backups, monitoring, restore test</t>
        </is>
      </c>
      <c r="D18" s="16" t="inlineStr">
        <is>
          <t>iorta TechNXT</t>
        </is>
      </c>
      <c r="E18" s="17" t="inlineStr">
        <is>
          <t>iorta TechNXT DevOps lead</t>
        </is>
      </c>
      <c r="F18" s="17" t="inlineStr">
        <is>
          <t>Environment sheet; restore test record</t>
        </is>
      </c>
      <c r="G18" s="17" t="inlineStr">
        <is>
          <t>E5</t>
        </is>
      </c>
      <c r="H18" s="18" t="n">
        <v>12</v>
      </c>
      <c r="I18" s="18" t="n">
        <v>9</v>
      </c>
      <c r="J18" s="18" t="n">
        <v>21</v>
      </c>
      <c r="K18" s="19">
        <f>WORKDAY($D$2,I18)</f>
        <v/>
      </c>
      <c r="L18" s="19">
        <f>IF(H18=0,K18,WORKDAY($D$2,J18-1))</f>
        <v/>
      </c>
      <c r="M18" s="18" t="n">
        <v>2</v>
      </c>
      <c r="N18" s="18" t="n">
        <v>5</v>
      </c>
      <c r="O18" s="18" t="n">
        <v>67</v>
      </c>
      <c r="P18" s="18" t="inlineStr"/>
      <c r="Q18" s="18" t="inlineStr">
        <is>
          <t>Go-live</t>
        </is>
      </c>
      <c r="R18" s="21" t="n"/>
      <c r="S18" s="26" t="n"/>
      <c r="T18" s="26" t="n"/>
      <c r="U18" s="26" t="n"/>
      <c r="V18" s="26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2" t="n"/>
      <c r="AM18" s="21" t="n"/>
      <c r="AN18" s="21" t="n"/>
      <c r="AO18" s="21" t="n"/>
      <c r="AP18" s="21" t="n"/>
      <c r="AQ18" s="21" t="n"/>
    </row>
    <row r="19" ht="30" customHeight="1">
      <c r="A19" s="24" t="inlineStr">
        <is>
          <t>E6</t>
        </is>
      </c>
      <c r="B19" s="16" t="inlineStr">
        <is>
          <t>Environments and pipeline</t>
        </is>
      </c>
      <c r="C19" s="17" t="inlineStr">
        <is>
          <t>First deployment through the pipeline (CI, deploy, smoke test) to Dev and UAT (and SIT)</t>
        </is>
      </c>
      <c r="D19" s="16" t="inlineStr">
        <is>
          <t>iorta TechNXT</t>
        </is>
      </c>
      <c r="E19" s="17" t="inlineStr">
        <is>
          <t>iorta TechNXT DevOps lead</t>
        </is>
      </c>
      <c r="F19" s="17" t="inlineStr">
        <is>
          <t>Deploy run summaries; smoke test passed</t>
        </is>
      </c>
      <c r="G19" s="17" t="inlineStr">
        <is>
          <t>E4, E5, E3, E2</t>
        </is>
      </c>
      <c r="H19" s="18" t="n">
        <v>2</v>
      </c>
      <c r="I19" s="18" t="n">
        <v>12</v>
      </c>
      <c r="J19" s="18" t="n">
        <v>14</v>
      </c>
      <c r="K19" s="19">
        <f>WORKDAY($D$2,I19)</f>
        <v/>
      </c>
      <c r="L19" s="19">
        <f>IF(H19=0,K19,WORKDAY($D$2,J19-1))</f>
        <v/>
      </c>
      <c r="M19" s="18" t="n">
        <v>3</v>
      </c>
      <c r="N19" s="18" t="n">
        <v>3</v>
      </c>
      <c r="O19" s="18" t="n">
        <v>17</v>
      </c>
      <c r="P19" s="18" t="inlineStr"/>
      <c r="Q19" s="18" t="inlineStr">
        <is>
          <t>Go-live</t>
        </is>
      </c>
      <c r="R19" s="21" t="n"/>
      <c r="S19" s="21" t="n"/>
      <c r="T19" s="26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2" t="n"/>
      <c r="AM19" s="21" t="n"/>
      <c r="AN19" s="21" t="n"/>
      <c r="AO19" s="21" t="n"/>
      <c r="AP19" s="21" t="n"/>
      <c r="AQ19" s="21" t="n"/>
    </row>
    <row r="20">
      <c r="A20" s="13" t="inlineStr">
        <is>
          <t>Discovery and fit-gap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</row>
    <row r="21" ht="40" customHeight="1">
      <c r="A21" s="24" t="inlineStr">
        <is>
          <t>D1</t>
        </is>
      </c>
      <c r="B21" s="16" t="inlineStr">
        <is>
          <t>Discovery and fit-gap</t>
        </is>
      </c>
      <c r="C21" s="17" t="inlineStr">
        <is>
          <t>Process workshops on the delivered system: organisation, sales, placement, servicing, claims, billing, remittance, commission, ledger, tax, distribution</t>
        </is>
      </c>
      <c r="D21" s="16" t="inlineStr">
        <is>
          <t>iorta TechNXT</t>
        </is>
      </c>
      <c r="E21" s="17" t="inlineStr">
        <is>
          <t>iorta TechNXT consultants</t>
        </is>
      </c>
      <c r="F21" s="17" t="inlineStr">
        <is>
          <t>Workshop notes; decisions in the configuration workbook</t>
        </is>
      </c>
      <c r="G21" s="17" t="inlineStr">
        <is>
          <t>M1</t>
        </is>
      </c>
      <c r="H21" s="18" t="n">
        <v>28</v>
      </c>
      <c r="I21" s="18" t="n">
        <v>0</v>
      </c>
      <c r="J21" s="18" t="n">
        <v>28</v>
      </c>
      <c r="K21" s="19">
        <f>WORKDAY($D$2,I21)</f>
        <v/>
      </c>
      <c r="L21" s="19">
        <f>IF(H21=0,K21,WORKDAY($D$2,J21-1))</f>
        <v/>
      </c>
      <c r="M21" s="18" t="n">
        <v>1</v>
      </c>
      <c r="N21" s="18" t="n">
        <v>6</v>
      </c>
      <c r="O21" s="18" t="n">
        <v>6</v>
      </c>
      <c r="P21" s="18" t="inlineStr"/>
      <c r="Q21" s="18" t="inlineStr">
        <is>
          <t>Go-live</t>
        </is>
      </c>
      <c r="R21" s="26" t="n"/>
      <c r="S21" s="26" t="n"/>
      <c r="T21" s="26" t="n"/>
      <c r="U21" s="26" t="n"/>
      <c r="V21" s="26" t="n"/>
      <c r="W21" s="26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2" t="n"/>
      <c r="AM21" s="21" t="n"/>
      <c r="AN21" s="21" t="n"/>
      <c r="AO21" s="21" t="n"/>
      <c r="AP21" s="21" t="n"/>
      <c r="AQ21" s="21" t="n"/>
    </row>
    <row r="22" ht="40" customHeight="1">
      <c r="A22" s="24" t="inlineStr">
        <is>
          <t>D4</t>
        </is>
      </c>
      <c r="B22" s="16" t="inlineStr">
        <is>
          <t>Discovery and fit-gap</t>
        </is>
      </c>
      <c r="C22" s="17" t="inlineStr">
        <is>
          <t>Branding workshop: theme, logo, sign-in picture, documents, e-signatures, brand pack choice</t>
        </is>
      </c>
      <c r="D22" s="16" t="inlineStr">
        <is>
          <t>iorta TechNXT</t>
        </is>
      </c>
      <c r="E22" s="17" t="inlineStr">
        <is>
          <t>iorta TechNXT consultant</t>
        </is>
      </c>
      <c r="F22" s="17" t="inlineStr">
        <is>
          <t>Branding decisions; client brand pack needed or not, with its contract reference</t>
        </is>
      </c>
      <c r="G22" s="17" t="inlineStr">
        <is>
          <t>M4</t>
        </is>
      </c>
      <c r="H22" s="18" t="n">
        <v>2</v>
      </c>
      <c r="I22" s="18" t="n">
        <v>3</v>
      </c>
      <c r="J22" s="18" t="n">
        <v>5</v>
      </c>
      <c r="K22" s="19">
        <f>WORKDAY($D$2,I22)</f>
        <v/>
      </c>
      <c r="L22" s="19">
        <f>IF(H22=0,K22,WORKDAY($D$2,J22-1))</f>
        <v/>
      </c>
      <c r="M22" s="18" t="n">
        <v>1</v>
      </c>
      <c r="N22" s="18" t="n">
        <v>1</v>
      </c>
      <c r="O22" s="18" t="n">
        <v>31</v>
      </c>
      <c r="P22" s="18" t="inlineStr"/>
      <c r="Q22" s="18" t="inlineStr">
        <is>
          <t>Go-live</t>
        </is>
      </c>
      <c r="R22" s="26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2" t="n"/>
      <c r="AM22" s="21" t="n"/>
      <c r="AN22" s="21" t="n"/>
      <c r="AO22" s="21" t="n"/>
      <c r="AP22" s="21" t="n"/>
      <c r="AQ22" s="21" t="n"/>
    </row>
    <row r="23" ht="40" customHeight="1">
      <c r="A23" s="24" t="inlineStr">
        <is>
          <t>D2</t>
        </is>
      </c>
      <c r="B23" s="16" t="inlineStr">
        <is>
          <t>Discovery and fit-gap</t>
        </is>
      </c>
      <c r="C23" s="17" t="inlineStr">
        <is>
          <t>Compliance workshop: AML/CFT programme, IC registers, complaints, breach procedure, masking by role</t>
        </is>
      </c>
      <c r="D23" s="16" t="inlineStr">
        <is>
          <t>iorta TechNXT</t>
        </is>
      </c>
      <c r="E23" s="17" t="inlineStr">
        <is>
          <t>iorta TechNXT consultant with the compliance officer and DPO</t>
        </is>
      </c>
      <c r="F23" s="17" t="inlineStr">
        <is>
          <t>Compliance decisions recorded</t>
        </is>
      </c>
      <c r="G23" s="17" t="inlineStr">
        <is>
          <t>M4</t>
        </is>
      </c>
      <c r="H23" s="18" t="n">
        <v>3</v>
      </c>
      <c r="I23" s="18" t="n">
        <v>3</v>
      </c>
      <c r="J23" s="18" t="n">
        <v>6</v>
      </c>
      <c r="K23" s="19">
        <f>WORKDAY($D$2,I23)</f>
        <v/>
      </c>
      <c r="L23" s="19">
        <f>IF(H23=0,K23,WORKDAY($D$2,J23-1))</f>
        <v/>
      </c>
      <c r="M23" s="18" t="n">
        <v>1</v>
      </c>
      <c r="N23" s="18" t="n">
        <v>2</v>
      </c>
      <c r="O23" s="18" t="n">
        <v>30</v>
      </c>
      <c r="P23" s="18" t="inlineStr"/>
      <c r="Q23" s="18" t="inlineStr">
        <is>
          <t>Go-live</t>
        </is>
      </c>
      <c r="R23" s="26" t="n"/>
      <c r="S23" s="26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2" t="n"/>
      <c r="AM23" s="21" t="n"/>
      <c r="AN23" s="21" t="n"/>
      <c r="AO23" s="21" t="n"/>
      <c r="AP23" s="21" t="n"/>
      <c r="AQ23" s="21" t="n"/>
    </row>
    <row r="24" ht="40" customHeight="1">
      <c r="A24" s="24" t="inlineStr">
        <is>
          <t>D3</t>
        </is>
      </c>
      <c r="B24" s="16" t="inlineStr">
        <is>
          <t>Discovery and fit-gap</t>
        </is>
      </c>
      <c r="C24" s="17" t="inlineStr">
        <is>
          <t>Integration workshop: banks, SMS or Viber, CTPL authentication and LTO, insurers, payment gateway, BIR EIS, AMLC reporting</t>
        </is>
      </c>
      <c r="D24" s="16" t="inlineStr">
        <is>
          <t>iorta TechNXT</t>
        </is>
      </c>
      <c r="E24" s="17" t="inlineStr">
        <is>
          <t>iorta TechNXT technical lead</t>
        </is>
      </c>
      <c r="F24" s="17" t="inlineStr">
        <is>
          <t>Integration list with partner contacts</t>
        </is>
      </c>
      <c r="G24" s="17" t="inlineStr">
        <is>
          <t>M4</t>
        </is>
      </c>
      <c r="H24" s="18" t="n">
        <v>3</v>
      </c>
      <c r="I24" s="18" t="n">
        <v>3</v>
      </c>
      <c r="J24" s="18" t="n">
        <v>6</v>
      </c>
      <c r="K24" s="19">
        <f>WORKDAY($D$2,I24)</f>
        <v/>
      </c>
      <c r="L24" s="19">
        <f>IF(H24=0,K24,WORKDAY($D$2,J24-1))</f>
        <v/>
      </c>
      <c r="M24" s="18" t="n">
        <v>1</v>
      </c>
      <c r="N24" s="18" t="n">
        <v>2</v>
      </c>
      <c r="O24" s="18" t="n">
        <v>30</v>
      </c>
      <c r="P24" s="18" t="inlineStr"/>
      <c r="Q24" s="18" t="inlineStr">
        <is>
          <t>Go-live</t>
        </is>
      </c>
      <c r="R24" s="26" t="n"/>
      <c r="S24" s="26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2" t="n"/>
      <c r="AM24" s="21" t="n"/>
      <c r="AN24" s="21" t="n"/>
      <c r="AO24" s="21" t="n"/>
      <c r="AP24" s="21" t="n"/>
      <c r="AQ24" s="21" t="n"/>
    </row>
    <row r="25" ht="30" customHeight="1">
      <c r="A25" s="24" t="inlineStr">
        <is>
          <t>D5</t>
        </is>
      </c>
      <c r="B25" s="16" t="inlineStr">
        <is>
          <t>Discovery and fit-gap</t>
        </is>
      </c>
      <c r="C25" s="17" t="inlineStr">
        <is>
          <t>Configuration decisions and fit-gap register signed</t>
        </is>
      </c>
      <c r="D25" s="16" t="inlineStr">
        <is>
          <t>Broker</t>
        </is>
      </c>
      <c r="E25" s="17" t="inlineStr">
        <is>
          <t>Broker process owners</t>
        </is>
      </c>
      <c r="F25" s="17" t="inlineStr">
        <is>
          <t>Signed fit-gap register</t>
        </is>
      </c>
      <c r="G25" s="17" t="inlineStr">
        <is>
          <t>D1, D2, D3, D4, M2</t>
        </is>
      </c>
      <c r="H25" s="18" t="n">
        <v>0</v>
      </c>
      <c r="I25" s="18" t="n">
        <v>28</v>
      </c>
      <c r="J25" s="18" t="n">
        <v>28</v>
      </c>
      <c r="K25" s="19">
        <f>WORKDAY($D$2,I25)</f>
        <v/>
      </c>
      <c r="L25" s="19">
        <f>IF(H25=0,K25,WORKDAY($D$2,J25-1))</f>
        <v/>
      </c>
      <c r="M25" s="18" t="n">
        <v>6</v>
      </c>
      <c r="N25" s="18" t="n">
        <v>6</v>
      </c>
      <c r="O25" s="18" t="n">
        <v>8</v>
      </c>
      <c r="P25" s="18" t="inlineStr"/>
      <c r="Q25" s="18" t="inlineStr">
        <is>
          <t>Go-live</t>
        </is>
      </c>
      <c r="R25" s="21" t="n"/>
      <c r="S25" s="21" t="n"/>
      <c r="T25" s="21" t="n"/>
      <c r="U25" s="21" t="n"/>
      <c r="V25" s="21" t="n"/>
      <c r="W25" s="20" t="inlineStr">
        <is>
          <t>◆</t>
        </is>
      </c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2" t="n"/>
      <c r="AM25" s="21" t="n"/>
      <c r="AN25" s="21" t="n"/>
      <c r="AO25" s="21" t="n"/>
      <c r="AP25" s="21" t="n"/>
      <c r="AQ25" s="21" t="n"/>
    </row>
    <row r="26">
      <c r="A26" s="13" t="inlineStr">
        <is>
          <t>Client inputs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</row>
    <row r="27" ht="30" customHeight="1">
      <c r="A27" s="24" t="inlineStr">
        <is>
          <t>I4</t>
        </is>
      </c>
      <c r="B27" s="16" t="inlineStr">
        <is>
          <t>Client inputs</t>
        </is>
      </c>
      <c r="C27" s="17" t="inlineStr">
        <is>
          <t>SMTP mailbox and credentials</t>
        </is>
      </c>
      <c r="D27" s="16" t="inlineStr">
        <is>
          <t>Broker</t>
        </is>
      </c>
      <c r="E27" s="17" t="inlineStr">
        <is>
          <t>Broker IT head</t>
        </is>
      </c>
      <c r="F27" s="17" t="inlineStr">
        <is>
          <t>Mailbox in the secret store</t>
        </is>
      </c>
      <c r="G27" s="17" t="inlineStr">
        <is>
          <t>M3</t>
        </is>
      </c>
      <c r="H27" s="18" t="n">
        <v>5</v>
      </c>
      <c r="I27" s="18" t="n">
        <v>1</v>
      </c>
      <c r="J27" s="18" t="n">
        <v>6</v>
      </c>
      <c r="K27" s="19">
        <f>WORKDAY($D$2,I27)</f>
        <v/>
      </c>
      <c r="L27" s="19">
        <f>IF(H27=0,K27,WORKDAY($D$2,J27-1))</f>
        <v/>
      </c>
      <c r="M27" s="18" t="n">
        <v>1</v>
      </c>
      <c r="N27" s="18" t="n">
        <v>2</v>
      </c>
      <c r="O27" s="18" t="n">
        <v>90</v>
      </c>
      <c r="P27" s="18" t="inlineStr"/>
      <c r="Q27" s="18" t="inlineStr">
        <is>
          <t>Go-live</t>
        </is>
      </c>
      <c r="R27" s="25" t="n"/>
      <c r="S27" s="25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2" t="n"/>
      <c r="AM27" s="21" t="n"/>
      <c r="AN27" s="21" t="n"/>
      <c r="AO27" s="21" t="n"/>
      <c r="AP27" s="21" t="n"/>
      <c r="AQ27" s="21" t="n"/>
    </row>
    <row r="28" ht="30" customHeight="1">
      <c r="A28" s="24" t="inlineStr">
        <is>
          <t>I7</t>
        </is>
      </c>
      <c r="B28" s="16" t="inlineStr">
        <is>
          <t>Client inputs</t>
        </is>
      </c>
      <c r="C28" s="17" t="inlineStr">
        <is>
          <t>COC number series from each insurer</t>
        </is>
      </c>
      <c r="D28" s="16" t="inlineStr">
        <is>
          <t>Broker</t>
        </is>
      </c>
      <c r="E28" s="17" t="inlineStr">
        <is>
          <t>Broker Operations</t>
        </is>
      </c>
      <c r="F28" s="17" t="inlineStr">
        <is>
          <t>COC Series sheet</t>
        </is>
      </c>
      <c r="G28" s="17" t="inlineStr">
        <is>
          <t>M3</t>
        </is>
      </c>
      <c r="H28" s="18" t="n">
        <v>10</v>
      </c>
      <c r="I28" s="18" t="n">
        <v>1</v>
      </c>
      <c r="J28" s="18" t="n">
        <v>11</v>
      </c>
      <c r="K28" s="19">
        <f>WORKDAY($D$2,I28)</f>
        <v/>
      </c>
      <c r="L28" s="19">
        <f>IF(H28=0,K28,WORKDAY($D$2,J28-1))</f>
        <v/>
      </c>
      <c r="M28" s="18" t="n">
        <v>1</v>
      </c>
      <c r="N28" s="18" t="n">
        <v>3</v>
      </c>
      <c r="O28" s="18" t="n"/>
      <c r="P28" s="18" t="inlineStr"/>
      <c r="Q28" s="18" t="inlineStr">
        <is>
          <t>Feature only</t>
        </is>
      </c>
      <c r="R28" s="25" t="n"/>
      <c r="S28" s="25" t="n"/>
      <c r="T28" s="25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2" t="n"/>
      <c r="AM28" s="21" t="n"/>
      <c r="AN28" s="21" t="n"/>
      <c r="AO28" s="21" t="n"/>
      <c r="AP28" s="21" t="n"/>
      <c r="AQ28" s="21" t="n"/>
    </row>
    <row r="29" ht="30" customHeight="1">
      <c r="A29" s="24" t="inlineStr">
        <is>
          <t>I3</t>
        </is>
      </c>
      <c r="B29" s="16" t="inlineStr">
        <is>
          <t>Client inputs</t>
        </is>
      </c>
      <c r="C29" s="17" t="inlineStr">
        <is>
          <t>User list with roles, branches and reporting lines (My Team follows the reporting line)</t>
        </is>
      </c>
      <c r="D29" s="16" t="inlineStr">
        <is>
          <t>Broker</t>
        </is>
      </c>
      <c r="E29" s="17" t="inlineStr">
        <is>
          <t>Broker System Administrator</t>
        </is>
      </c>
      <c r="F29" s="17" t="inlineStr">
        <is>
          <t>Users sheet</t>
        </is>
      </c>
      <c r="G29" s="17" t="inlineStr">
        <is>
          <t>M3</t>
        </is>
      </c>
      <c r="H29" s="18" t="n">
        <v>12</v>
      </c>
      <c r="I29" s="18" t="n">
        <v>1</v>
      </c>
      <c r="J29" s="18" t="n">
        <v>13</v>
      </c>
      <c r="K29" s="19">
        <f>WORKDAY($D$2,I29)</f>
        <v/>
      </c>
      <c r="L29" s="19">
        <f>IF(H29=0,K29,WORKDAY($D$2,J29-1))</f>
        <v/>
      </c>
      <c r="M29" s="18" t="n">
        <v>1</v>
      </c>
      <c r="N29" s="18" t="n">
        <v>3</v>
      </c>
      <c r="O29" s="18" t="n">
        <v>3</v>
      </c>
      <c r="P29" s="18" t="inlineStr"/>
      <c r="Q29" s="18" t="inlineStr">
        <is>
          <t>Go-live</t>
        </is>
      </c>
      <c r="R29" s="25" t="n"/>
      <c r="S29" s="25" t="n"/>
      <c r="T29" s="25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2" t="n"/>
      <c r="AM29" s="21" t="n"/>
      <c r="AN29" s="21" t="n"/>
      <c r="AO29" s="21" t="n"/>
      <c r="AP29" s="21" t="n"/>
      <c r="AQ29" s="21" t="n"/>
    </row>
    <row r="30" ht="30" customHeight="1">
      <c r="A30" s="24" t="inlineStr">
        <is>
          <t>I5</t>
        </is>
      </c>
      <c r="B30" s="16" t="inlineStr">
        <is>
          <t>Client inputs</t>
        </is>
      </c>
      <c r="C30" s="17" t="inlineStr">
        <is>
          <t>Bank accounts, one statement export per account, bank contacts for payment files, payee bank accounts</t>
        </is>
      </c>
      <c r="D30" s="16" t="inlineStr">
        <is>
          <t>Broker</t>
        </is>
      </c>
      <c r="E30" s="17" t="inlineStr">
        <is>
          <t>Broker Accounting</t>
        </is>
      </c>
      <c r="F30" s="17" t="inlineStr">
        <is>
          <t>Statement samples; Payee Bank Accounts sheet</t>
        </is>
      </c>
      <c r="G30" s="17" t="inlineStr">
        <is>
          <t>M3</t>
        </is>
      </c>
      <c r="H30" s="18" t="n">
        <v>12</v>
      </c>
      <c r="I30" s="18" t="n">
        <v>1</v>
      </c>
      <c r="J30" s="18" t="n">
        <v>13</v>
      </c>
      <c r="K30" s="19">
        <f>WORKDAY($D$2,I30)</f>
        <v/>
      </c>
      <c r="L30" s="19">
        <f>IF(H30=0,K30,WORKDAY($D$2,J30-1))</f>
        <v/>
      </c>
      <c r="M30" s="18" t="n">
        <v>1</v>
      </c>
      <c r="N30" s="18" t="n">
        <v>3</v>
      </c>
      <c r="O30" s="18" t="n">
        <v>77</v>
      </c>
      <c r="P30" s="18" t="inlineStr"/>
      <c r="Q30" s="18" t="inlineStr">
        <is>
          <t>Feature only</t>
        </is>
      </c>
      <c r="R30" s="25" t="n"/>
      <c r="S30" s="25" t="n"/>
      <c r="T30" s="25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2" t="n"/>
      <c r="AM30" s="21" t="n"/>
      <c r="AN30" s="21" t="n"/>
      <c r="AO30" s="21" t="n"/>
      <c r="AP30" s="21" t="n"/>
      <c r="AQ30" s="21" t="n"/>
    </row>
    <row r="31" ht="30" customHeight="1">
      <c r="A31" s="15" t="inlineStr">
        <is>
          <t>I1</t>
        </is>
      </c>
      <c r="B31" s="16" t="inlineStr">
        <is>
          <t>Client inputs</t>
        </is>
      </c>
      <c r="C31" s="17" t="inlineStr">
        <is>
          <t>Insurer list and agreements, commission and referrer rates, product list</t>
        </is>
      </c>
      <c r="D31" s="16" t="inlineStr">
        <is>
          <t>Broker</t>
        </is>
      </c>
      <c r="E31" s="17" t="inlineStr">
        <is>
          <t>Broker key users</t>
        </is>
      </c>
      <c r="F31" s="17" t="inlineStr">
        <is>
          <t>Filled sheets of the configuration kit</t>
        </is>
      </c>
      <c r="G31" s="17" t="inlineStr">
        <is>
          <t>M3</t>
        </is>
      </c>
      <c r="H31" s="18" t="n">
        <v>15</v>
      </c>
      <c r="I31" s="18" t="n">
        <v>1</v>
      </c>
      <c r="J31" s="18" t="n">
        <v>16</v>
      </c>
      <c r="K31" s="19">
        <f>WORKDAY($D$2,I31)</f>
        <v/>
      </c>
      <c r="L31" s="19">
        <f>IF(H31=0,K31,WORKDAY($D$2,J31-1))</f>
        <v/>
      </c>
      <c r="M31" s="18" t="n">
        <v>1</v>
      </c>
      <c r="N31" s="18" t="n">
        <v>4</v>
      </c>
      <c r="O31" s="18" t="n">
        <v>0</v>
      </c>
      <c r="P31" s="18" t="inlineStr">
        <is>
          <t>Yes</t>
        </is>
      </c>
      <c r="Q31" s="18" t="inlineStr">
        <is>
          <t>Go-live</t>
        </is>
      </c>
      <c r="R31" s="27" t="n"/>
      <c r="S31" s="27" t="n"/>
      <c r="T31" s="27" t="n"/>
      <c r="U31" s="27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2" t="n"/>
      <c r="AM31" s="21" t="n"/>
      <c r="AN31" s="21" t="n"/>
      <c r="AO31" s="21" t="n"/>
      <c r="AP31" s="21" t="n"/>
      <c r="AQ31" s="21" t="n"/>
    </row>
    <row r="32" ht="30" customHeight="1">
      <c r="A32" s="15" t="inlineStr">
        <is>
          <t>I2</t>
        </is>
      </c>
      <c r="B32" s="16" t="inlineStr">
        <is>
          <t>Client inputs</t>
        </is>
      </c>
      <c r="C32" s="17" t="inlineStr">
        <is>
          <t>Chart of accounts and the accountant's mapping decisions</t>
        </is>
      </c>
      <c r="D32" s="16" t="inlineStr">
        <is>
          <t>Broker</t>
        </is>
      </c>
      <c r="E32" s="17" t="inlineStr">
        <is>
          <t>Broker Accounting Manager</t>
        </is>
      </c>
      <c r="F32" s="17" t="inlineStr">
        <is>
          <t>Chart of Accounts sheet; mapping decisions</t>
        </is>
      </c>
      <c r="G32" s="17" t="inlineStr">
        <is>
          <t>M3</t>
        </is>
      </c>
      <c r="H32" s="18" t="n">
        <v>15</v>
      </c>
      <c r="I32" s="18" t="n">
        <v>1</v>
      </c>
      <c r="J32" s="18" t="n">
        <v>16</v>
      </c>
      <c r="K32" s="19">
        <f>WORKDAY($D$2,I32)</f>
        <v/>
      </c>
      <c r="L32" s="19">
        <f>IF(H32=0,K32,WORKDAY($D$2,J32-1))</f>
        <v/>
      </c>
      <c r="M32" s="18" t="n">
        <v>1</v>
      </c>
      <c r="N32" s="18" t="n">
        <v>4</v>
      </c>
      <c r="O32" s="18" t="n">
        <v>0</v>
      </c>
      <c r="P32" s="18" t="inlineStr">
        <is>
          <t>Yes</t>
        </is>
      </c>
      <c r="Q32" s="18" t="inlineStr">
        <is>
          <t>Go-live</t>
        </is>
      </c>
      <c r="R32" s="27" t="n"/>
      <c r="S32" s="27" t="n"/>
      <c r="T32" s="27" t="n"/>
      <c r="U32" s="27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2" t="n"/>
      <c r="AM32" s="21" t="n"/>
      <c r="AN32" s="21" t="n"/>
      <c r="AO32" s="21" t="n"/>
      <c r="AP32" s="21" t="n"/>
      <c r="AQ32" s="21" t="n"/>
    </row>
    <row r="33" ht="30" customHeight="1">
      <c r="A33" s="24" t="inlineStr">
        <is>
          <t>I10</t>
        </is>
      </c>
      <c r="B33" s="16" t="inlineStr">
        <is>
          <t>Client inputs</t>
        </is>
      </c>
      <c r="C33" s="17" t="inlineStr">
        <is>
          <t>UAT testers and sign-off authority named</t>
        </is>
      </c>
      <c r="D33" s="16" t="inlineStr">
        <is>
          <t>Broker</t>
        </is>
      </c>
      <c r="E33" s="17" t="inlineStr">
        <is>
          <t>Broker PM</t>
        </is>
      </c>
      <c r="F33" s="17" t="inlineStr">
        <is>
          <t>UAT roster</t>
        </is>
      </c>
      <c r="G33" s="17" t="inlineStr">
        <is>
          <t>M4</t>
        </is>
      </c>
      <c r="H33" s="18" t="n">
        <v>3</v>
      </c>
      <c r="I33" s="18" t="n">
        <v>3</v>
      </c>
      <c r="J33" s="18" t="n">
        <v>6</v>
      </c>
      <c r="K33" s="19">
        <f>WORKDAY($D$2,I33)</f>
        <v/>
      </c>
      <c r="L33" s="19">
        <f>IF(H33=0,K33,WORKDAY($D$2,J33-1))</f>
        <v/>
      </c>
      <c r="M33" s="18" t="n">
        <v>1</v>
      </c>
      <c r="N33" s="18" t="n">
        <v>2</v>
      </c>
      <c r="O33" s="18" t="n">
        <v>72</v>
      </c>
      <c r="P33" s="18" t="inlineStr"/>
      <c r="Q33" s="18" t="inlineStr">
        <is>
          <t>Go-live</t>
        </is>
      </c>
      <c r="R33" s="25" t="n"/>
      <c r="S33" s="25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2" t="n"/>
      <c r="AM33" s="21" t="n"/>
      <c r="AN33" s="21" t="n"/>
      <c r="AO33" s="21" t="n"/>
      <c r="AP33" s="21" t="n"/>
      <c r="AQ33" s="21" t="n"/>
    </row>
    <row r="34" ht="30" customHeight="1">
      <c r="A34" s="24" t="inlineStr">
        <is>
          <t>I9</t>
        </is>
      </c>
      <c r="B34" s="16" t="inlineStr">
        <is>
          <t>Client inputs</t>
        </is>
      </c>
      <c r="C34" s="17" t="inlineStr">
        <is>
          <t>Training rooms, devices and attendance list</t>
        </is>
      </c>
      <c r="D34" s="16" t="inlineStr">
        <is>
          <t>Broker</t>
        </is>
      </c>
      <c r="E34" s="17" t="inlineStr">
        <is>
          <t>Broker PM</t>
        </is>
      </c>
      <c r="F34" s="17" t="inlineStr">
        <is>
          <t>Training schedule</t>
        </is>
      </c>
      <c r="G34" s="17" t="inlineStr">
        <is>
          <t>M4</t>
        </is>
      </c>
      <c r="H34" s="18" t="n">
        <v>5</v>
      </c>
      <c r="I34" s="18" t="n">
        <v>3</v>
      </c>
      <c r="J34" s="18" t="n">
        <v>8</v>
      </c>
      <c r="K34" s="19">
        <f>WORKDAY($D$2,I34)</f>
        <v/>
      </c>
      <c r="L34" s="19">
        <f>IF(H34=0,K34,WORKDAY($D$2,J34-1))</f>
        <v/>
      </c>
      <c r="M34" s="18" t="n">
        <v>1</v>
      </c>
      <c r="N34" s="18" t="n">
        <v>2</v>
      </c>
      <c r="O34" s="18" t="n">
        <v>75</v>
      </c>
      <c r="P34" s="18" t="inlineStr"/>
      <c r="Q34" s="18" t="inlineStr">
        <is>
          <t>Go-live</t>
        </is>
      </c>
      <c r="R34" s="25" t="n"/>
      <c r="S34" s="25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2" t="n"/>
      <c r="AM34" s="21" t="n"/>
      <c r="AN34" s="21" t="n"/>
      <c r="AO34" s="21" t="n"/>
      <c r="AP34" s="21" t="n"/>
      <c r="AQ34" s="21" t="n"/>
    </row>
    <row r="35" ht="30" customHeight="1">
      <c r="A35" s="24" t="inlineStr">
        <is>
          <t>I8</t>
        </is>
      </c>
      <c r="B35" s="16" t="inlineStr">
        <is>
          <t>Client inputs</t>
        </is>
      </c>
      <c r="C35" s="17" t="inlineStr">
        <is>
          <t>Logo, sign-in picture, signatories with e-signature consent</t>
        </is>
      </c>
      <c r="D35" s="16" t="inlineStr">
        <is>
          <t>Broker</t>
        </is>
      </c>
      <c r="E35" s="17" t="inlineStr">
        <is>
          <t>Broker marketing and signatories</t>
        </is>
      </c>
      <c r="F35" s="17" t="inlineStr">
        <is>
          <t>Images; consents on file</t>
        </is>
      </c>
      <c r="G35" s="17" t="inlineStr">
        <is>
          <t>D4</t>
        </is>
      </c>
      <c r="H35" s="18" t="n">
        <v>8</v>
      </c>
      <c r="I35" s="18" t="n">
        <v>5</v>
      </c>
      <c r="J35" s="18" t="n">
        <v>13</v>
      </c>
      <c r="K35" s="19">
        <f>WORKDAY($D$2,I35)</f>
        <v/>
      </c>
      <c r="L35" s="19">
        <f>IF(H35=0,K35,WORKDAY($D$2,J35-1))</f>
        <v/>
      </c>
      <c r="M35" s="18" t="n">
        <v>2</v>
      </c>
      <c r="N35" s="18" t="n">
        <v>3</v>
      </c>
      <c r="O35" s="18" t="n">
        <v>54</v>
      </c>
      <c r="P35" s="18" t="inlineStr"/>
      <c r="Q35" s="18" t="inlineStr">
        <is>
          <t>Go-live</t>
        </is>
      </c>
      <c r="R35" s="21" t="n"/>
      <c r="S35" s="25" t="n"/>
      <c r="T35" s="25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2" t="n"/>
      <c r="AM35" s="21" t="n"/>
      <c r="AN35" s="21" t="n"/>
      <c r="AO35" s="21" t="n"/>
      <c r="AP35" s="21" t="n"/>
      <c r="AQ35" s="21" t="n"/>
    </row>
    <row r="36" ht="40" customHeight="1">
      <c r="A36" s="24" t="inlineStr">
        <is>
          <t>I6</t>
        </is>
      </c>
      <c r="B36" s="16" t="inlineStr">
        <is>
          <t>Client inputs</t>
        </is>
      </c>
      <c r="C36" s="17" t="inlineStr">
        <is>
          <t>Partner contracts and credentials: SMS provider, CTPL authentication provider, payment gateway, insurer API access</t>
        </is>
      </c>
      <c r="D36" s="16" t="inlineStr">
        <is>
          <t>Broker</t>
        </is>
      </c>
      <c r="E36" s="17" t="inlineStr">
        <is>
          <t>Broker IT head and sponsor</t>
        </is>
      </c>
      <c r="F36" s="17" t="inlineStr">
        <is>
          <t>Signed contracts; credentials in the secret store</t>
        </is>
      </c>
      <c r="G36" s="17" t="inlineStr">
        <is>
          <t>D3</t>
        </is>
      </c>
      <c r="H36" s="18" t="n">
        <v>20</v>
      </c>
      <c r="I36" s="18" t="n">
        <v>6</v>
      </c>
      <c r="J36" s="18" t="n">
        <v>26</v>
      </c>
      <c r="K36" s="19">
        <f>WORKDAY($D$2,I36)</f>
        <v/>
      </c>
      <c r="L36" s="19">
        <f>IF(H36=0,K36,WORKDAY($D$2,J36-1))</f>
        <v/>
      </c>
      <c r="M36" s="18" t="n">
        <v>2</v>
      </c>
      <c r="N36" s="18" t="n">
        <v>6</v>
      </c>
      <c r="O36" s="18" t="n"/>
      <c r="P36" s="18" t="inlineStr"/>
      <c r="Q36" s="18" t="inlineStr">
        <is>
          <t>Feature only</t>
        </is>
      </c>
      <c r="R36" s="21" t="n"/>
      <c r="S36" s="25" t="n"/>
      <c r="T36" s="25" t="n"/>
      <c r="U36" s="25" t="n"/>
      <c r="V36" s="25" t="n"/>
      <c r="W36" s="25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2" t="n"/>
      <c r="AM36" s="21" t="n"/>
      <c r="AN36" s="21" t="n"/>
      <c r="AO36" s="21" t="n"/>
      <c r="AP36" s="21" t="n"/>
      <c r="AQ36" s="21" t="n"/>
    </row>
    <row r="37">
      <c r="A37" s="13" t="inlineStr">
        <is>
          <t>Regulatory registrations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</row>
    <row r="38" ht="30" customHeight="1">
      <c r="A38" s="24" t="inlineStr">
        <is>
          <t>R3</t>
        </is>
      </c>
      <c r="B38" s="16" t="inlineStr">
        <is>
          <t>Regulatory registrations</t>
        </is>
      </c>
      <c r="C38" s="17" t="inlineStr">
        <is>
          <t>AMLC: registration of the broker as covered person, portal access, institution code</t>
        </is>
      </c>
      <c r="D38" s="16" t="inlineStr">
        <is>
          <t>Broker</t>
        </is>
      </c>
      <c r="E38" s="17" t="inlineStr">
        <is>
          <t>Broker compliance officer</t>
        </is>
      </c>
      <c r="F38" s="17" t="inlineStr">
        <is>
          <t>Portal access; aml.amlc_institution_code</t>
        </is>
      </c>
      <c r="G38" s="17" t="inlineStr">
        <is>
          <t>M1</t>
        </is>
      </c>
      <c r="H38" s="18" t="n">
        <v>20</v>
      </c>
      <c r="I38" s="18" t="n">
        <v>0</v>
      </c>
      <c r="J38" s="18" t="n">
        <v>20</v>
      </c>
      <c r="K38" s="19">
        <f>WORKDAY($D$2,I38)</f>
        <v/>
      </c>
      <c r="L38" s="19">
        <f>IF(H38=0,K38,WORKDAY($D$2,J38-1))</f>
        <v/>
      </c>
      <c r="M38" s="18" t="n">
        <v>1</v>
      </c>
      <c r="N38" s="18" t="n">
        <v>4</v>
      </c>
      <c r="O38" s="18" t="n">
        <v>76</v>
      </c>
      <c r="P38" s="18" t="inlineStr"/>
      <c r="Q38" s="18" t="inlineStr">
        <is>
          <t>Go-live</t>
        </is>
      </c>
      <c r="R38" s="25" t="n"/>
      <c r="S38" s="25" t="n"/>
      <c r="T38" s="25" t="n"/>
      <c r="U38" s="25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2" t="n"/>
      <c r="AM38" s="21" t="n"/>
      <c r="AN38" s="21" t="n"/>
      <c r="AO38" s="21" t="n"/>
      <c r="AP38" s="21" t="n"/>
      <c r="AQ38" s="21" t="n"/>
    </row>
    <row r="39" ht="40" customHeight="1">
      <c r="A39" s="24" t="inlineStr">
        <is>
          <t>R1</t>
        </is>
      </c>
      <c r="B39" s="16" t="inlineStr">
        <is>
          <t>Regulatory registrations</t>
        </is>
      </c>
      <c r="C39" s="17" t="inlineStr">
        <is>
          <t>BIR: Authority to Print or CAS registration and the invoice serial range confirmed (new or existing); last numbers used</t>
        </is>
      </c>
      <c r="D39" s="16" t="inlineStr">
        <is>
          <t>Broker</t>
        </is>
      </c>
      <c r="E39" s="17" t="inlineStr">
        <is>
          <t>Broker Accounting Manager with the tax adviser</t>
        </is>
      </c>
      <c r="F39" s="17" t="inlineStr">
        <is>
          <t>ATP or CAS acknowledgement; invoice.* settings</t>
        </is>
      </c>
      <c r="G39" s="17" t="inlineStr">
        <is>
          <t>M1</t>
        </is>
      </c>
      <c r="H39" s="18" t="n">
        <v>30</v>
      </c>
      <c r="I39" s="18" t="n">
        <v>0</v>
      </c>
      <c r="J39" s="18" t="n">
        <v>30</v>
      </c>
      <c r="K39" s="19">
        <f>WORKDAY($D$2,I39)</f>
        <v/>
      </c>
      <c r="L39" s="19">
        <f>IF(H39=0,K39,WORKDAY($D$2,J39-1))</f>
        <v/>
      </c>
      <c r="M39" s="18" t="n">
        <v>1</v>
      </c>
      <c r="N39" s="18" t="n">
        <v>6</v>
      </c>
      <c r="O39" s="18" t="n">
        <v>58</v>
      </c>
      <c r="P39" s="18" t="inlineStr"/>
      <c r="Q39" s="18" t="inlineStr">
        <is>
          <t>Go-live</t>
        </is>
      </c>
      <c r="R39" s="25" t="n"/>
      <c r="S39" s="25" t="n"/>
      <c r="T39" s="25" t="n"/>
      <c r="U39" s="25" t="n"/>
      <c r="V39" s="25" t="n"/>
      <c r="W39" s="25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2" t="n"/>
      <c r="AM39" s="21" t="n"/>
      <c r="AN39" s="21" t="n"/>
      <c r="AO39" s="21" t="n"/>
      <c r="AP39" s="21" t="n"/>
      <c r="AQ39" s="21" t="n"/>
    </row>
    <row r="40" ht="30" customHeight="1">
      <c r="A40" s="24" t="inlineStr">
        <is>
          <t>R2</t>
        </is>
      </c>
      <c r="B40" s="16" t="inlineStr">
        <is>
          <t>Regulatory registrations</t>
        </is>
      </c>
      <c r="C40" s="17" t="inlineStr">
        <is>
          <t>BIR: EIS enrolment and certification (when the broker is covered)</t>
        </is>
      </c>
      <c r="D40" s="16" t="inlineStr">
        <is>
          <t>Broker</t>
        </is>
      </c>
      <c r="E40" s="17" t="inlineStr">
        <is>
          <t>Broker Accounting Manager</t>
        </is>
      </c>
      <c r="F40" s="17" t="inlineStr">
        <is>
          <t>EIS accreditation id and credentials</t>
        </is>
      </c>
      <c r="G40" s="17" t="inlineStr">
        <is>
          <t>M1</t>
        </is>
      </c>
      <c r="H40" s="18" t="n">
        <v>30</v>
      </c>
      <c r="I40" s="18" t="n">
        <v>0</v>
      </c>
      <c r="J40" s="18" t="n">
        <v>30</v>
      </c>
      <c r="K40" s="19">
        <f>WORKDAY($D$2,I40)</f>
        <v/>
      </c>
      <c r="L40" s="19">
        <f>IF(H40=0,K40,WORKDAY($D$2,J40-1))</f>
        <v/>
      </c>
      <c r="M40" s="18" t="n">
        <v>1</v>
      </c>
      <c r="N40" s="18" t="n">
        <v>6</v>
      </c>
      <c r="O40" s="18" t="n"/>
      <c r="P40" s="18" t="inlineStr"/>
      <c r="Q40" s="18" t="inlineStr">
        <is>
          <t>Feature only</t>
        </is>
      </c>
      <c r="R40" s="25" t="n"/>
      <c r="S40" s="25" t="n"/>
      <c r="T40" s="25" t="n"/>
      <c r="U40" s="25" t="n"/>
      <c r="V40" s="25" t="n"/>
      <c r="W40" s="25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2" t="n"/>
      <c r="AM40" s="21" t="n"/>
      <c r="AN40" s="21" t="n"/>
      <c r="AO40" s="21" t="n"/>
      <c r="AP40" s="21" t="n"/>
      <c r="AQ40" s="21" t="n"/>
    </row>
    <row r="41" ht="30" customHeight="1">
      <c r="A41" s="24" t="inlineStr">
        <is>
          <t>R5</t>
        </is>
      </c>
      <c r="B41" s="16" t="inlineStr">
        <is>
          <t>Regulatory registrations</t>
        </is>
      </c>
      <c r="C41" s="17" t="inlineStr">
        <is>
          <t>NPC: registration of the DPO and the data processing systems confirmed; privacy notice version</t>
        </is>
      </c>
      <c r="D41" s="16" t="inlineStr">
        <is>
          <t>Broker</t>
        </is>
      </c>
      <c r="E41" s="17" t="inlineStr">
        <is>
          <t>Broker DPO</t>
        </is>
      </c>
      <c r="F41" s="17" t="inlineStr">
        <is>
          <t>NPC registration; privacy.notice_version</t>
        </is>
      </c>
      <c r="G41" s="17" t="inlineStr">
        <is>
          <t>M1</t>
        </is>
      </c>
      <c r="H41" s="18" t="n">
        <v>30</v>
      </c>
      <c r="I41" s="18" t="n">
        <v>0</v>
      </c>
      <c r="J41" s="18" t="n">
        <v>30</v>
      </c>
      <c r="K41" s="19">
        <f>WORKDAY($D$2,I41)</f>
        <v/>
      </c>
      <c r="L41" s="19">
        <f>IF(H41=0,K41,WORKDAY($D$2,J41-1))</f>
        <v/>
      </c>
      <c r="M41" s="18" t="n">
        <v>1</v>
      </c>
      <c r="N41" s="18" t="n">
        <v>6</v>
      </c>
      <c r="O41" s="18" t="n">
        <v>68</v>
      </c>
      <c r="P41" s="18" t="inlineStr"/>
      <c r="Q41" s="18" t="inlineStr">
        <is>
          <t>Go-live</t>
        </is>
      </c>
      <c r="R41" s="25" t="n"/>
      <c r="S41" s="25" t="n"/>
      <c r="T41" s="25" t="n"/>
      <c r="U41" s="25" t="n"/>
      <c r="V41" s="25" t="n"/>
      <c r="W41" s="25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2" t="n"/>
      <c r="AM41" s="21" t="n"/>
      <c r="AN41" s="21" t="n"/>
      <c r="AO41" s="21" t="n"/>
      <c r="AP41" s="21" t="n"/>
      <c r="AQ41" s="21" t="n"/>
    </row>
    <row r="42" ht="30" customHeight="1">
      <c r="A42" s="24" t="inlineStr">
        <is>
          <t>R4</t>
        </is>
      </c>
      <c r="B42" s="16" t="inlineStr">
        <is>
          <t>Regulatory registrations</t>
        </is>
      </c>
      <c r="C42" s="17" t="inlineStr">
        <is>
          <t>IC: licence data of the firm, officers and agents; certificates of authority of the insurers</t>
        </is>
      </c>
      <c r="D42" s="16" t="inlineStr">
        <is>
          <t>Broker</t>
        </is>
      </c>
      <c r="E42" s="17" t="inlineStr">
        <is>
          <t>Broker compliance officer</t>
        </is>
      </c>
      <c r="F42" s="17" t="inlineStr">
        <is>
          <t>Licence copies; certificate numbers and validity</t>
        </is>
      </c>
      <c r="G42" s="17" t="inlineStr">
        <is>
          <t>M4</t>
        </is>
      </c>
      <c r="H42" s="18" t="n">
        <v>12</v>
      </c>
      <c r="I42" s="18" t="n">
        <v>3</v>
      </c>
      <c r="J42" s="18" t="n">
        <v>15</v>
      </c>
      <c r="K42" s="19">
        <f>WORKDAY($D$2,I42)</f>
        <v/>
      </c>
      <c r="L42" s="19">
        <f>IF(H42=0,K42,WORKDAY($D$2,J42-1))</f>
        <v/>
      </c>
      <c r="M42" s="18" t="n">
        <v>1</v>
      </c>
      <c r="N42" s="18" t="n">
        <v>3</v>
      </c>
      <c r="O42" s="18" t="n">
        <v>48</v>
      </c>
      <c r="P42" s="18" t="inlineStr"/>
      <c r="Q42" s="18" t="inlineStr">
        <is>
          <t>Go-live</t>
        </is>
      </c>
      <c r="R42" s="25" t="n"/>
      <c r="S42" s="25" t="n"/>
      <c r="T42" s="25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2" t="n"/>
      <c r="AM42" s="21" t="n"/>
      <c r="AN42" s="21" t="n"/>
      <c r="AO42" s="21" t="n"/>
      <c r="AP42" s="21" t="n"/>
      <c r="AQ42" s="21" t="n"/>
    </row>
    <row r="43" ht="40" customHeight="1">
      <c r="A43" s="24" t="inlineStr">
        <is>
          <t>R8</t>
        </is>
      </c>
      <c r="B43" s="16" t="inlineStr">
        <is>
          <t>Regulatory registrations</t>
        </is>
      </c>
      <c r="C43" s="17" t="inlineStr">
        <is>
          <t>Contract reference covering the use of the client's marks on the engagement file (client brand pack only)</t>
        </is>
      </c>
      <c r="D43" s="16" t="inlineStr">
        <is>
          <t>Broker</t>
        </is>
      </c>
      <c r="E43" s="17" t="inlineStr">
        <is>
          <t>Broker sponsor</t>
        </is>
      </c>
      <c r="F43" s="17" t="inlineStr">
        <is>
          <t>Contract reference on the engagement file</t>
        </is>
      </c>
      <c r="G43" s="17" t="inlineStr">
        <is>
          <t>D4</t>
        </is>
      </c>
      <c r="H43" s="18" t="n">
        <v>5</v>
      </c>
      <c r="I43" s="18" t="n">
        <v>5</v>
      </c>
      <c r="J43" s="18" t="n">
        <v>10</v>
      </c>
      <c r="K43" s="19">
        <f>WORKDAY($D$2,I43)</f>
        <v/>
      </c>
      <c r="L43" s="19">
        <f>IF(H43=0,K43,WORKDAY($D$2,J43-1))</f>
        <v/>
      </c>
      <c r="M43" s="18" t="n">
        <v>2</v>
      </c>
      <c r="N43" s="18" t="n">
        <v>2</v>
      </c>
      <c r="O43" s="18" t="n"/>
      <c r="P43" s="18" t="inlineStr"/>
      <c r="Q43" s="18" t="inlineStr">
        <is>
          <t>Feature only</t>
        </is>
      </c>
      <c r="R43" s="21" t="n"/>
      <c r="S43" s="25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2" t="n"/>
      <c r="AM43" s="21" t="n"/>
      <c r="AN43" s="21" t="n"/>
      <c r="AO43" s="21" t="n"/>
      <c r="AP43" s="21" t="n"/>
      <c r="AQ43" s="21" t="n"/>
    </row>
    <row r="44" ht="30" customHeight="1">
      <c r="A44" s="24" t="inlineStr">
        <is>
          <t>R7</t>
        </is>
      </c>
      <c r="B44" s="16" t="inlineStr">
        <is>
          <t>Regulatory registrations</t>
        </is>
      </c>
      <c r="C44" s="17" t="inlineStr">
        <is>
          <t>Screening lists: UN and AMLC lists obtained; PEP list licence from a provider (when used)</t>
        </is>
      </c>
      <c r="D44" s="16" t="inlineStr">
        <is>
          <t>Broker</t>
        </is>
      </c>
      <c r="E44" s="17" t="inlineStr">
        <is>
          <t>Broker compliance officer</t>
        </is>
      </c>
      <c r="F44" s="17" t="inlineStr">
        <is>
          <t>List files and licence</t>
        </is>
      </c>
      <c r="G44" s="17" t="inlineStr">
        <is>
          <t>D2</t>
        </is>
      </c>
      <c r="H44" s="18" t="n">
        <v>15</v>
      </c>
      <c r="I44" s="18" t="n">
        <v>6</v>
      </c>
      <c r="J44" s="18" t="n">
        <v>21</v>
      </c>
      <c r="K44" s="19">
        <f>WORKDAY($D$2,I44)</f>
        <v/>
      </c>
      <c r="L44" s="19">
        <f>IF(H44=0,K44,WORKDAY($D$2,J44-1))</f>
        <v/>
      </c>
      <c r="M44" s="18" t="n">
        <v>2</v>
      </c>
      <c r="N44" s="18" t="n">
        <v>5</v>
      </c>
      <c r="O44" s="18" t="n">
        <v>76</v>
      </c>
      <c r="P44" s="18" t="inlineStr"/>
      <c r="Q44" s="18" t="inlineStr">
        <is>
          <t>Go-live</t>
        </is>
      </c>
      <c r="R44" s="21" t="n"/>
      <c r="S44" s="25" t="n"/>
      <c r="T44" s="25" t="n"/>
      <c r="U44" s="25" t="n"/>
      <c r="V44" s="25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2" t="n"/>
      <c r="AM44" s="21" t="n"/>
      <c r="AN44" s="21" t="n"/>
      <c r="AO44" s="21" t="n"/>
      <c r="AP44" s="21" t="n"/>
      <c r="AQ44" s="21" t="n"/>
    </row>
    <row r="45" ht="40" customHeight="1">
      <c r="A45" s="24" t="inlineStr">
        <is>
          <t>R6</t>
        </is>
      </c>
      <c r="B45" s="16" t="inlineStr">
        <is>
          <t>Regulatory registrations</t>
        </is>
      </c>
      <c r="C45" s="17" t="inlineStr">
        <is>
          <t>Tax adviser confirmation: tax codes, ATC, rates, invoice and receipt wording, VAT treatment of commission</t>
        </is>
      </c>
      <c r="D45" s="16" t="inlineStr">
        <is>
          <t>Broker</t>
        </is>
      </c>
      <c r="E45" s="17" t="inlineStr">
        <is>
          <t>Broker tax adviser</t>
        </is>
      </c>
      <c r="F45" s="17" t="inlineStr">
        <is>
          <t>Written confirmation</t>
        </is>
      </c>
      <c r="G45" s="17" t="inlineStr">
        <is>
          <t>C3SS+10d</t>
        </is>
      </c>
      <c r="H45" s="18" t="n">
        <v>10</v>
      </c>
      <c r="I45" s="18" t="n">
        <v>46</v>
      </c>
      <c r="J45" s="18" t="n">
        <v>56</v>
      </c>
      <c r="K45" s="19">
        <f>WORKDAY($D$2,I45)</f>
        <v/>
      </c>
      <c r="L45" s="19">
        <f>IF(H45=0,K45,WORKDAY($D$2,J45-1))</f>
        <v/>
      </c>
      <c r="M45" s="18" t="n">
        <v>10</v>
      </c>
      <c r="N45" s="18" t="n">
        <v>12</v>
      </c>
      <c r="O45" s="18" t="n">
        <v>42</v>
      </c>
      <c r="P45" s="18" t="inlineStr"/>
      <c r="Q45" s="18" t="inlineStr">
        <is>
          <t>Go-live</t>
        </is>
      </c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5" t="n"/>
      <c r="AB45" s="25" t="n"/>
      <c r="AC45" s="25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2" t="n"/>
      <c r="AM45" s="21" t="n"/>
      <c r="AN45" s="21" t="n"/>
      <c r="AO45" s="21" t="n"/>
      <c r="AP45" s="21" t="n"/>
      <c r="AQ45" s="21" t="n"/>
    </row>
    <row r="46">
      <c r="A46" s="13" t="inlineStr">
        <is>
          <t>Configuration (go-live configuration kit)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</row>
    <row r="47" ht="52" customHeight="1">
      <c r="A47" s="15" t="inlineStr">
        <is>
          <t>C1</t>
        </is>
      </c>
      <c r="B47" s="16" t="inlineStr">
        <is>
          <t>Configuration (go-live configuration kit)</t>
        </is>
      </c>
      <c r="C47" s="17" t="inlineStr">
        <is>
          <t>Configuration kit filled: company, settings, PSGC addresses, branches, users, chart of accounts, banks, insurers, products, commission, taxes, authority limits, numbering</t>
        </is>
      </c>
      <c r="D47" s="16" t="inlineStr">
        <is>
          <t>Broker</t>
        </is>
      </c>
      <c r="E47" s="17" t="inlineStr">
        <is>
          <t>Broker key users with iorta TechNXT consultants</t>
        </is>
      </c>
      <c r="F47" s="17" t="inlineStr">
        <is>
          <t>Filled configuration workbook</t>
        </is>
      </c>
      <c r="G47" s="17" t="inlineStr">
        <is>
          <t>D1SS+10d, I1, I2, I3</t>
        </is>
      </c>
      <c r="H47" s="18" t="n">
        <v>15</v>
      </c>
      <c r="I47" s="18" t="n">
        <v>16</v>
      </c>
      <c r="J47" s="18" t="n">
        <v>31</v>
      </c>
      <c r="K47" s="19">
        <f>WORKDAY($D$2,I47)</f>
        <v/>
      </c>
      <c r="L47" s="19">
        <f>IF(H47=0,K47,WORKDAY($D$2,J47-1))</f>
        <v/>
      </c>
      <c r="M47" s="18" t="n">
        <v>4</v>
      </c>
      <c r="N47" s="18" t="n">
        <v>7</v>
      </c>
      <c r="O47" s="18" t="n">
        <v>0</v>
      </c>
      <c r="P47" s="18" t="inlineStr">
        <is>
          <t>Yes</t>
        </is>
      </c>
      <c r="Q47" s="18" t="inlineStr">
        <is>
          <t>Go-live</t>
        </is>
      </c>
      <c r="R47" s="21" t="n"/>
      <c r="S47" s="21" t="n"/>
      <c r="T47" s="21" t="n"/>
      <c r="U47" s="27" t="n"/>
      <c r="V47" s="27" t="n"/>
      <c r="W47" s="27" t="n"/>
      <c r="X47" s="27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2" t="n"/>
      <c r="AM47" s="21" t="n"/>
      <c r="AN47" s="21" t="n"/>
      <c r="AO47" s="21" t="n"/>
      <c r="AP47" s="21" t="n"/>
      <c r="AQ47" s="21" t="n"/>
    </row>
    <row r="48" ht="40" customHeight="1">
      <c r="A48" s="15" t="inlineStr">
        <is>
          <t>C2</t>
        </is>
      </c>
      <c r="B48" s="16" t="inlineStr">
        <is>
          <t>Configuration (go-live configuration kit)</t>
        </is>
      </c>
      <c r="C48" s="17" t="inlineStr">
        <is>
          <t>Configuration kit uploaded, validated, errors workbook corrected and loaded in Dev (small, medium) or SIT (large, enterprise)</t>
        </is>
      </c>
      <c r="D48" s="16" t="inlineStr">
        <is>
          <t>iorta TechNXT</t>
        </is>
      </c>
      <c r="E48" s="17" t="inlineStr">
        <is>
          <t>iorta TechNXT consultant</t>
        </is>
      </c>
      <c r="F48" s="17" t="inlineStr">
        <is>
          <t>Batch Loaded; load history</t>
        </is>
      </c>
      <c r="G48" s="17" t="inlineStr">
        <is>
          <t>C1, E6</t>
        </is>
      </c>
      <c r="H48" s="18" t="n">
        <v>5</v>
      </c>
      <c r="I48" s="18" t="n">
        <v>31</v>
      </c>
      <c r="J48" s="18" t="n">
        <v>36</v>
      </c>
      <c r="K48" s="19">
        <f>WORKDAY($D$2,I48)</f>
        <v/>
      </c>
      <c r="L48" s="19">
        <f>IF(H48=0,K48,WORKDAY($D$2,J48-1))</f>
        <v/>
      </c>
      <c r="M48" s="18" t="n">
        <v>7</v>
      </c>
      <c r="N48" s="18" t="n">
        <v>8</v>
      </c>
      <c r="O48" s="18" t="n">
        <v>0</v>
      </c>
      <c r="P48" s="18" t="inlineStr">
        <is>
          <t>Yes</t>
        </is>
      </c>
      <c r="Q48" s="18" t="inlineStr">
        <is>
          <t>Go-live</t>
        </is>
      </c>
      <c r="R48" s="21" t="n"/>
      <c r="S48" s="21" t="n"/>
      <c r="T48" s="21" t="n"/>
      <c r="U48" s="21" t="n"/>
      <c r="V48" s="21" t="n"/>
      <c r="W48" s="21" t="n"/>
      <c r="X48" s="23" t="n"/>
      <c r="Y48" s="23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2" t="n"/>
      <c r="AM48" s="21" t="n"/>
      <c r="AN48" s="21" t="n"/>
      <c r="AO48" s="21" t="n"/>
      <c r="AP48" s="21" t="n"/>
      <c r="AQ48" s="21" t="n"/>
    </row>
    <row r="49" ht="52" customHeight="1">
      <c r="A49" s="15" t="inlineStr">
        <is>
          <t>C3</t>
        </is>
      </c>
      <c r="B49" s="16" t="inlineStr">
        <is>
          <t>Configuration (go-live configuration kit)</t>
        </is>
      </c>
      <c r="C49" s="17" t="inlineStr">
        <is>
          <t>On-screen configuration: Product Configurator (templates, rating factors, acceptance rules, document templates, market mapping), tax codes, posting rules, approvals, roles, schedules</t>
        </is>
      </c>
      <c r="D49" s="16" t="inlineStr">
        <is>
          <t>iorta TechNXT</t>
        </is>
      </c>
      <c r="E49" s="17" t="inlineStr">
        <is>
          <t>iorta TechNXT consultants</t>
        </is>
      </c>
      <c r="F49" s="17" t="inlineStr">
        <is>
          <t>Configuration workbook updated with the values set</t>
        </is>
      </c>
      <c r="G49" s="17" t="inlineStr">
        <is>
          <t>C2, D5</t>
        </is>
      </c>
      <c r="H49" s="18" t="n">
        <v>25</v>
      </c>
      <c r="I49" s="18" t="n">
        <v>36</v>
      </c>
      <c r="J49" s="18" t="n">
        <v>61</v>
      </c>
      <c r="K49" s="19">
        <f>WORKDAY($D$2,I49)</f>
        <v/>
      </c>
      <c r="L49" s="19">
        <f>IF(H49=0,K49,WORKDAY($D$2,J49-1))</f>
        <v/>
      </c>
      <c r="M49" s="18" t="n">
        <v>8</v>
      </c>
      <c r="N49" s="18" t="n">
        <v>13</v>
      </c>
      <c r="O49" s="18" t="n">
        <v>0</v>
      </c>
      <c r="P49" s="18" t="inlineStr">
        <is>
          <t>Yes</t>
        </is>
      </c>
      <c r="Q49" s="18" t="inlineStr">
        <is>
          <t>Go-live</t>
        </is>
      </c>
      <c r="R49" s="21" t="n"/>
      <c r="S49" s="21" t="n"/>
      <c r="T49" s="21" t="n"/>
      <c r="U49" s="21" t="n"/>
      <c r="V49" s="21" t="n"/>
      <c r="W49" s="21" t="n"/>
      <c r="X49" s="21" t="n"/>
      <c r="Y49" s="23" t="n"/>
      <c r="Z49" s="23" t="n"/>
      <c r="AA49" s="23" t="n"/>
      <c r="AB49" s="23" t="n"/>
      <c r="AC49" s="23" t="n"/>
      <c r="AD49" s="23" t="n"/>
      <c r="AE49" s="21" t="n"/>
      <c r="AF49" s="21" t="n"/>
      <c r="AG49" s="21" t="n"/>
      <c r="AH49" s="21" t="n"/>
      <c r="AI49" s="21" t="n"/>
      <c r="AJ49" s="21" t="n"/>
      <c r="AK49" s="21" t="n"/>
      <c r="AL49" s="22" t="n"/>
      <c r="AM49" s="21" t="n"/>
      <c r="AN49" s="21" t="n"/>
      <c r="AO49" s="21" t="n"/>
      <c r="AP49" s="21" t="n"/>
      <c r="AQ49" s="21" t="n"/>
    </row>
    <row r="50" ht="30" customHeight="1">
      <c r="A50" s="24" t="inlineStr">
        <is>
          <t>C5</t>
        </is>
      </c>
      <c r="B50" s="16" t="inlineStr">
        <is>
          <t>Configuration (go-live configuration kit)</t>
        </is>
      </c>
      <c r="C50" s="17" t="inlineStr">
        <is>
          <t>Configuration complete</t>
        </is>
      </c>
      <c r="D50" s="16" t="inlineStr">
        <is>
          <t>iorta TechNXT</t>
        </is>
      </c>
      <c r="E50" s="17" t="inlineStr">
        <is>
          <t>iorta TechNXT delivery lead</t>
        </is>
      </c>
      <c r="F50" s="17" t="inlineStr">
        <is>
          <t>Checklist of GO_LIVE_DATA_SETUP steps 1 to 12</t>
        </is>
      </c>
      <c r="G50" s="17" t="inlineStr">
        <is>
          <t>C3, K1, B1</t>
        </is>
      </c>
      <c r="H50" s="18" t="n">
        <v>0</v>
      </c>
      <c r="I50" s="18" t="n">
        <v>61</v>
      </c>
      <c r="J50" s="18" t="n">
        <v>61</v>
      </c>
      <c r="K50" s="19">
        <f>WORKDAY($D$2,I50)</f>
        <v/>
      </c>
      <c r="L50" s="19">
        <f>IF(H50=0,K50,WORKDAY($D$2,J50-1))</f>
        <v/>
      </c>
      <c r="M50" s="18" t="n">
        <v>13</v>
      </c>
      <c r="N50" s="18" t="n">
        <v>13</v>
      </c>
      <c r="O50" s="18" t="n">
        <v>12</v>
      </c>
      <c r="P50" s="18" t="inlineStr"/>
      <c r="Q50" s="18" t="inlineStr">
        <is>
          <t>Go-live</t>
        </is>
      </c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0" t="inlineStr">
        <is>
          <t>◆</t>
        </is>
      </c>
      <c r="AE50" s="21" t="n"/>
      <c r="AF50" s="21" t="n"/>
      <c r="AG50" s="21" t="n"/>
      <c r="AH50" s="21" t="n"/>
      <c r="AI50" s="21" t="n"/>
      <c r="AJ50" s="21" t="n"/>
      <c r="AK50" s="21" t="n"/>
      <c r="AL50" s="22" t="n"/>
      <c r="AM50" s="21" t="n"/>
      <c r="AN50" s="21" t="n"/>
      <c r="AO50" s="21" t="n"/>
      <c r="AP50" s="21" t="n"/>
      <c r="AQ50" s="21" t="n"/>
    </row>
    <row r="51">
      <c r="A51" s="13" t="inlineStr">
        <is>
          <t>Compliance set-up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</row>
    <row r="52" ht="52" customHeight="1">
      <c r="A52" s="24" t="inlineStr">
        <is>
          <t>K1</t>
        </is>
      </c>
      <c r="B52" s="16" t="inlineStr">
        <is>
          <t>Compliance set-up</t>
        </is>
      </c>
      <c r="C52" s="17" t="inlineStr">
        <is>
          <t>Compliance set-up: AML settings, risk factors, monitoring rules; licence register, fit and proper, insurer authority; complaints and breach settings; view:pii grants and masking</t>
        </is>
      </c>
      <c r="D52" s="16" t="inlineStr">
        <is>
          <t>iorta TechNXT</t>
        </is>
      </c>
      <c r="E52" s="17" t="inlineStr">
        <is>
          <t>iorta TechNXT consultant with the compliance officer</t>
        </is>
      </c>
      <c r="F52" s="17" t="inlineStr">
        <is>
          <t>AML Settings saved; registers filled</t>
        </is>
      </c>
      <c r="G52" s="17" t="inlineStr">
        <is>
          <t>C2, D2, R4</t>
        </is>
      </c>
      <c r="H52" s="18" t="n">
        <v>10</v>
      </c>
      <c r="I52" s="18" t="n">
        <v>36</v>
      </c>
      <c r="J52" s="18" t="n">
        <v>46</v>
      </c>
      <c r="K52" s="19">
        <f>WORKDAY($D$2,I52)</f>
        <v/>
      </c>
      <c r="L52" s="19">
        <f>IF(H52=0,K52,WORKDAY($D$2,J52-1))</f>
        <v/>
      </c>
      <c r="M52" s="18" t="n">
        <v>8</v>
      </c>
      <c r="N52" s="18" t="n">
        <v>10</v>
      </c>
      <c r="O52" s="18" t="n">
        <v>27</v>
      </c>
      <c r="P52" s="18" t="inlineStr"/>
      <c r="Q52" s="18" t="inlineStr">
        <is>
          <t>Go-live</t>
        </is>
      </c>
      <c r="R52" s="21" t="n"/>
      <c r="S52" s="21" t="n"/>
      <c r="T52" s="21" t="n"/>
      <c r="U52" s="21" t="n"/>
      <c r="V52" s="21" t="n"/>
      <c r="W52" s="21" t="n"/>
      <c r="X52" s="21" t="n"/>
      <c r="Y52" s="26" t="n"/>
      <c r="Z52" s="26" t="n"/>
      <c r="AA52" s="26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2" t="n"/>
      <c r="AM52" s="21" t="n"/>
      <c r="AN52" s="21" t="n"/>
      <c r="AO52" s="21" t="n"/>
      <c r="AP52" s="21" t="n"/>
      <c r="AQ52" s="21" t="n"/>
    </row>
    <row r="53" ht="30" customHeight="1">
      <c r="A53" s="24" t="inlineStr">
        <is>
          <t>K2</t>
        </is>
      </c>
      <c r="B53" s="16" t="inlineStr">
        <is>
          <t>Compliance set-up</t>
        </is>
      </c>
      <c r="C53" s="17" t="inlineStr">
        <is>
          <t>Screening lists loaded (UN, AMLC, PEP, internal); clients rescreened</t>
        </is>
      </c>
      <c r="D53" s="16" t="inlineStr">
        <is>
          <t>Broker</t>
        </is>
      </c>
      <c r="E53" s="17" t="inlineStr">
        <is>
          <t>Broker compliance officer</t>
        </is>
      </c>
      <c r="F53" s="17" t="inlineStr">
        <is>
          <t>Versions on Screening Lists; rescreen result</t>
        </is>
      </c>
      <c r="G53" s="17" t="inlineStr">
        <is>
          <t>K1, R7</t>
        </is>
      </c>
      <c r="H53" s="18" t="n">
        <v>1</v>
      </c>
      <c r="I53" s="18" t="n">
        <v>46</v>
      </c>
      <c r="J53" s="18" t="n">
        <v>47</v>
      </c>
      <c r="K53" s="19">
        <f>WORKDAY($D$2,I53)</f>
        <v/>
      </c>
      <c r="L53" s="19">
        <f>IF(H53=0,K53,WORKDAY($D$2,J53-1))</f>
        <v/>
      </c>
      <c r="M53" s="18" t="n">
        <v>10</v>
      </c>
      <c r="N53" s="18" t="n">
        <v>10</v>
      </c>
      <c r="O53" s="18" t="n">
        <v>51</v>
      </c>
      <c r="P53" s="18" t="inlineStr"/>
      <c r="Q53" s="18" t="inlineStr">
        <is>
          <t>Go-live</t>
        </is>
      </c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5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2" t="n"/>
      <c r="AM53" s="21" t="n"/>
      <c r="AN53" s="21" t="n"/>
      <c r="AO53" s="21" t="n"/>
      <c r="AP53" s="21" t="n"/>
      <c r="AQ53" s="21" t="n"/>
    </row>
    <row r="54" ht="30" customHeight="1">
      <c r="A54" s="24" t="inlineStr">
        <is>
          <t>K3</t>
        </is>
      </c>
      <c r="B54" s="16" t="inlineStr">
        <is>
          <t>Compliance set-up</t>
        </is>
      </c>
      <c r="C54" s="17" t="inlineStr">
        <is>
          <t>AMLC report file test: CTR file generated in UAT and checked against the AMLC portal requirements</t>
        </is>
      </c>
      <c r="D54" s="16" t="inlineStr">
        <is>
          <t>Broker</t>
        </is>
      </c>
      <c r="E54" s="17" t="inlineStr">
        <is>
          <t>Broker compliance officer</t>
        </is>
      </c>
      <c r="F54" s="17" t="inlineStr">
        <is>
          <t>Test file; portal access confirmed</t>
        </is>
      </c>
      <c r="G54" s="17" t="inlineStr">
        <is>
          <t>K1, R3</t>
        </is>
      </c>
      <c r="H54" s="18" t="n">
        <v>2</v>
      </c>
      <c r="I54" s="18" t="n">
        <v>46</v>
      </c>
      <c r="J54" s="18" t="n">
        <v>48</v>
      </c>
      <c r="K54" s="19">
        <f>WORKDAY($D$2,I54)</f>
        <v/>
      </c>
      <c r="L54" s="19">
        <f>IF(H54=0,K54,WORKDAY($D$2,J54-1))</f>
        <v/>
      </c>
      <c r="M54" s="18" t="n">
        <v>10</v>
      </c>
      <c r="N54" s="18" t="n">
        <v>10</v>
      </c>
      <c r="O54" s="18" t="n">
        <v>50</v>
      </c>
      <c r="P54" s="18" t="inlineStr"/>
      <c r="Q54" s="18" t="inlineStr">
        <is>
          <t>Go-live</t>
        </is>
      </c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5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2" t="n"/>
      <c r="AM54" s="21" t="n"/>
      <c r="AN54" s="21" t="n"/>
      <c r="AO54" s="21" t="n"/>
      <c r="AP54" s="21" t="n"/>
      <c r="AQ54" s="21" t="n"/>
    </row>
    <row r="55">
      <c r="A55" s="13" t="inlineStr">
        <is>
          <t>Branding and brand pack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</row>
    <row r="56" ht="40" customHeight="1">
      <c r="A56" s="24" t="inlineStr">
        <is>
          <t>B1</t>
        </is>
      </c>
      <c r="B56" s="16" t="inlineStr">
        <is>
          <t>Branding and brand pack</t>
        </is>
      </c>
      <c r="C56" s="17" t="inlineStr">
        <is>
          <t>Theme and Branding, letterhead, sign-in page, branded documents and e-mails; e-signatures captured and mapped; brand pack exported</t>
        </is>
      </c>
      <c r="D56" s="16" t="inlineStr">
        <is>
          <t>iorta TechNXT</t>
        </is>
      </c>
      <c r="E56" s="17" t="inlineStr">
        <is>
          <t>iorta TechNXT consultant with the broker System Administrator</t>
        </is>
      </c>
      <c r="F56" s="17" t="inlineStr">
        <is>
          <t>Brand pack file; sample documents approved</t>
        </is>
      </c>
      <c r="G56" s="17" t="inlineStr">
        <is>
          <t>C2, I8</t>
        </is>
      </c>
      <c r="H56" s="18" t="n">
        <v>6</v>
      </c>
      <c r="I56" s="18" t="n">
        <v>36</v>
      </c>
      <c r="J56" s="18" t="n">
        <v>42</v>
      </c>
      <c r="K56" s="19">
        <f>WORKDAY($D$2,I56)</f>
        <v/>
      </c>
      <c r="L56" s="19">
        <f>IF(H56=0,K56,WORKDAY($D$2,J56-1))</f>
        <v/>
      </c>
      <c r="M56" s="18" t="n">
        <v>8</v>
      </c>
      <c r="N56" s="18" t="n">
        <v>9</v>
      </c>
      <c r="O56" s="18" t="n">
        <v>31</v>
      </c>
      <c r="P56" s="18" t="inlineStr"/>
      <c r="Q56" s="18" t="inlineStr">
        <is>
          <t>Go-live</t>
        </is>
      </c>
      <c r="R56" s="21" t="n"/>
      <c r="S56" s="21" t="n"/>
      <c r="T56" s="21" t="n"/>
      <c r="U56" s="21" t="n"/>
      <c r="V56" s="21" t="n"/>
      <c r="W56" s="21" t="n"/>
      <c r="X56" s="21" t="n"/>
      <c r="Y56" s="26" t="n"/>
      <c r="Z56" s="26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2" t="n"/>
      <c r="AM56" s="21" t="n"/>
      <c r="AN56" s="21" t="n"/>
      <c r="AO56" s="21" t="n"/>
      <c r="AP56" s="21" t="n"/>
      <c r="AQ56" s="21" t="n"/>
    </row>
    <row r="57" ht="40" customHeight="1">
      <c r="A57" s="24" t="inlineStr">
        <is>
          <t>B2</t>
        </is>
      </c>
      <c r="B57" s="16" t="inlineStr">
        <is>
          <t>Branding and brand pack</t>
        </is>
      </c>
      <c r="C57" s="17" t="inlineStr">
        <is>
          <t>Client brand pack applied only in that client's environments under its contract with iorta TechNXT (for example the Toyota Insurance Services pack)</t>
        </is>
      </c>
      <c r="D57" s="16" t="inlineStr">
        <is>
          <t>iorta TechNXT</t>
        </is>
      </c>
      <c r="E57" s="17" t="inlineStr">
        <is>
          <t>iorta TechNXT consultant</t>
        </is>
      </c>
      <c r="F57" s="17" t="inlineStr">
        <is>
          <t>Pack enabled with the engagement confirmation; contract reference on file</t>
        </is>
      </c>
      <c r="G57" s="17" t="inlineStr">
        <is>
          <t>B1, R8</t>
        </is>
      </c>
      <c r="H57" s="18" t="n">
        <v>1</v>
      </c>
      <c r="I57" s="18" t="n">
        <v>42</v>
      </c>
      <c r="J57" s="18" t="n">
        <v>43</v>
      </c>
      <c r="K57" s="19">
        <f>WORKDAY($D$2,I57)</f>
        <v/>
      </c>
      <c r="L57" s="19">
        <f>IF(H57=0,K57,WORKDAY($D$2,J57-1))</f>
        <v/>
      </c>
      <c r="M57" s="18" t="n">
        <v>9</v>
      </c>
      <c r="N57" s="18" t="n">
        <v>9</v>
      </c>
      <c r="O57" s="18" t="n"/>
      <c r="P57" s="18" t="inlineStr"/>
      <c r="Q57" s="18" t="inlineStr">
        <is>
          <t>Feature only</t>
        </is>
      </c>
      <c r="R57" s="21" t="n"/>
      <c r="S57" s="21" t="n"/>
      <c r="T57" s="21" t="n"/>
      <c r="U57" s="21" t="n"/>
      <c r="V57" s="21" t="n"/>
      <c r="W57" s="21" t="n"/>
      <c r="X57" s="21" t="n"/>
      <c r="Y57" s="21" t="n"/>
      <c r="Z57" s="26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2" t="n"/>
      <c r="AM57" s="21" t="n"/>
      <c r="AN57" s="21" t="n"/>
      <c r="AO57" s="21" t="n"/>
      <c r="AP57" s="21" t="n"/>
      <c r="AQ57" s="21" t="n"/>
    </row>
    <row r="58">
      <c r="A58" s="13" t="inlineStr">
        <is>
          <t>Integrations with partners</t>
        </is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</row>
    <row r="59" ht="30" customHeight="1">
      <c r="A59" s="24" t="inlineStr">
        <is>
          <t>N1</t>
        </is>
      </c>
      <c r="B59" s="16" t="inlineStr">
        <is>
          <t>Integrations with partners</t>
        </is>
      </c>
      <c r="C59" s="17" t="inlineStr">
        <is>
          <t>E-mail: SMTP set, password reset and approval link tested</t>
        </is>
      </c>
      <c r="D59" s="16" t="inlineStr">
        <is>
          <t>iorta TechNXT</t>
        </is>
      </c>
      <c r="E59" s="17" t="inlineStr">
        <is>
          <t>iorta TechNXT DevOps lead</t>
        </is>
      </c>
      <c r="F59" s="17" t="inlineStr">
        <is>
          <t>Test e-mails received</t>
        </is>
      </c>
      <c r="G59" s="17" t="inlineStr">
        <is>
          <t>E6, I4</t>
        </is>
      </c>
      <c r="H59" s="18" t="n">
        <v>2</v>
      </c>
      <c r="I59" s="18" t="n">
        <v>14</v>
      </c>
      <c r="J59" s="18" t="n">
        <v>16</v>
      </c>
      <c r="K59" s="19">
        <f>WORKDAY($D$2,I59)</f>
        <v/>
      </c>
      <c r="L59" s="19">
        <f>IF(H59=0,K59,WORKDAY($D$2,J59-1))</f>
        <v/>
      </c>
      <c r="M59" s="18" t="n">
        <v>3</v>
      </c>
      <c r="N59" s="18" t="n">
        <v>4</v>
      </c>
      <c r="O59" s="18" t="n">
        <v>82</v>
      </c>
      <c r="P59" s="18" t="inlineStr"/>
      <c r="Q59" s="18" t="inlineStr">
        <is>
          <t>Go-live</t>
        </is>
      </c>
      <c r="R59" s="21" t="n"/>
      <c r="S59" s="21" t="n"/>
      <c r="T59" s="26" t="n"/>
      <c r="U59" s="26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2" t="n"/>
      <c r="AM59" s="21" t="n"/>
      <c r="AN59" s="21" t="n"/>
      <c r="AO59" s="21" t="n"/>
      <c r="AP59" s="21" t="n"/>
      <c r="AQ59" s="21" t="n"/>
    </row>
    <row r="60" ht="30" customHeight="1">
      <c r="A60" s="24" t="inlineStr">
        <is>
          <t>N7</t>
        </is>
      </c>
      <c r="B60" s="16" t="inlineStr">
        <is>
          <t>Integrations with partners</t>
        </is>
      </c>
      <c r="C60" s="17" t="inlineStr">
        <is>
          <t>Payment gateway: sandbox payment receipted, then one live test payment</t>
        </is>
      </c>
      <c r="D60" s="16" t="inlineStr">
        <is>
          <t>Partner</t>
        </is>
      </c>
      <c r="E60" s="17" t="inlineStr">
        <is>
          <t>Payment gateway, with Accounting</t>
        </is>
      </c>
      <c r="F60" s="17" t="inlineStr">
        <is>
          <t>Receipt of the sandbox payment</t>
        </is>
      </c>
      <c r="G60" s="17" t="inlineStr">
        <is>
          <t>C2, I6</t>
        </is>
      </c>
      <c r="H60" s="18" t="n">
        <v>5</v>
      </c>
      <c r="I60" s="18" t="n">
        <v>36</v>
      </c>
      <c r="J60" s="18" t="n">
        <v>41</v>
      </c>
      <c r="K60" s="19">
        <f>WORKDAY($D$2,I60)</f>
        <v/>
      </c>
      <c r="L60" s="19">
        <f>IF(H60=0,K60,WORKDAY($D$2,J60-1))</f>
        <v/>
      </c>
      <c r="M60" s="18" t="n">
        <v>8</v>
      </c>
      <c r="N60" s="18" t="n">
        <v>9</v>
      </c>
      <c r="O60" s="18" t="n"/>
      <c r="P60" s="18" t="inlineStr"/>
      <c r="Q60" s="18" t="inlineStr">
        <is>
          <t>Feature only</t>
        </is>
      </c>
      <c r="R60" s="21" t="n"/>
      <c r="S60" s="21" t="n"/>
      <c r="T60" s="21" t="n"/>
      <c r="U60" s="21" t="n"/>
      <c r="V60" s="21" t="n"/>
      <c r="W60" s="21" t="n"/>
      <c r="X60" s="21" t="n"/>
      <c r="Y60" s="28" t="n"/>
      <c r="Z60" s="28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2" t="n"/>
      <c r="AM60" s="21" t="n"/>
      <c r="AN60" s="21" t="n"/>
      <c r="AO60" s="21" t="n"/>
      <c r="AP60" s="21" t="n"/>
      <c r="AQ60" s="21" t="n"/>
    </row>
    <row r="61" ht="30" customHeight="1">
      <c r="A61" s="24" t="inlineStr">
        <is>
          <t>N2</t>
        </is>
      </c>
      <c r="B61" s="16" t="inlineStr">
        <is>
          <t>Integrations with partners</t>
        </is>
      </c>
      <c r="C61" s="17" t="inlineStr">
        <is>
          <t>Bank statement formats: one statement per bank account imported with a balancing preview</t>
        </is>
      </c>
      <c r="D61" s="16" t="inlineStr">
        <is>
          <t>iorta TechNXT</t>
        </is>
      </c>
      <c r="E61" s="17" t="inlineStr">
        <is>
          <t>iorta TechNXT consultant with Accounting</t>
        </is>
      </c>
      <c r="F61" s="17" t="inlineStr">
        <is>
          <t>Import preview per account</t>
        </is>
      </c>
      <c r="G61" s="17" t="inlineStr">
        <is>
          <t>C2, I5</t>
        </is>
      </c>
      <c r="H61" s="18" t="n">
        <v>8</v>
      </c>
      <c r="I61" s="18" t="n">
        <v>36</v>
      </c>
      <c r="J61" s="18" t="n">
        <v>44</v>
      </c>
      <c r="K61" s="19">
        <f>WORKDAY($D$2,I61)</f>
        <v/>
      </c>
      <c r="L61" s="19">
        <f>IF(H61=0,K61,WORKDAY($D$2,J61-1))</f>
        <v/>
      </c>
      <c r="M61" s="18" t="n">
        <v>8</v>
      </c>
      <c r="N61" s="18" t="n">
        <v>9</v>
      </c>
      <c r="O61" s="18" t="n">
        <v>54</v>
      </c>
      <c r="P61" s="18" t="inlineStr"/>
      <c r="Q61" s="18" t="inlineStr">
        <is>
          <t>Go-live</t>
        </is>
      </c>
      <c r="R61" s="21" t="n"/>
      <c r="S61" s="21" t="n"/>
      <c r="T61" s="21" t="n"/>
      <c r="U61" s="21" t="n"/>
      <c r="V61" s="21" t="n"/>
      <c r="W61" s="21" t="n"/>
      <c r="X61" s="21" t="n"/>
      <c r="Y61" s="26" t="n"/>
      <c r="Z61" s="26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2" t="n"/>
      <c r="AM61" s="21" t="n"/>
      <c r="AN61" s="21" t="n"/>
      <c r="AO61" s="21" t="n"/>
      <c r="AP61" s="21" t="n"/>
      <c r="AQ61" s="21" t="n"/>
    </row>
    <row r="62" ht="30" customHeight="1">
      <c r="A62" s="24" t="inlineStr">
        <is>
          <t>N4</t>
        </is>
      </c>
      <c r="B62" s="16" t="inlineStr">
        <is>
          <t>Integrations with partners</t>
        </is>
      </c>
      <c r="C62" s="17" t="inlineStr">
        <is>
          <t>SMS or Viber connector: provider account, sender name, live test message</t>
        </is>
      </c>
      <c r="D62" s="16" t="inlineStr">
        <is>
          <t>Partner</t>
        </is>
      </c>
      <c r="E62" s="17" t="inlineStr">
        <is>
          <t>SMS provider, with the broker IT head</t>
        </is>
      </c>
      <c r="F62" s="17" t="inlineStr">
        <is>
          <t>Connector Live; test message in the outbox</t>
        </is>
      </c>
      <c r="G62" s="17" t="inlineStr">
        <is>
          <t>C2, I6</t>
        </is>
      </c>
      <c r="H62" s="18" t="n">
        <v>10</v>
      </c>
      <c r="I62" s="18" t="n">
        <v>36</v>
      </c>
      <c r="J62" s="18" t="n">
        <v>46</v>
      </c>
      <c r="K62" s="19">
        <f>WORKDAY($D$2,I62)</f>
        <v/>
      </c>
      <c r="L62" s="19">
        <f>IF(H62=0,K62,WORKDAY($D$2,J62-1))</f>
        <v/>
      </c>
      <c r="M62" s="18" t="n">
        <v>8</v>
      </c>
      <c r="N62" s="18" t="n">
        <v>10</v>
      </c>
      <c r="O62" s="18" t="n"/>
      <c r="P62" s="18" t="inlineStr"/>
      <c r="Q62" s="18" t="inlineStr">
        <is>
          <t>Feature only</t>
        </is>
      </c>
      <c r="R62" s="21" t="n"/>
      <c r="S62" s="21" t="n"/>
      <c r="T62" s="21" t="n"/>
      <c r="U62" s="21" t="n"/>
      <c r="V62" s="21" t="n"/>
      <c r="W62" s="21" t="n"/>
      <c r="X62" s="21" t="n"/>
      <c r="Y62" s="28" t="n"/>
      <c r="Z62" s="28" t="n"/>
      <c r="AA62" s="28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2" t="n"/>
      <c r="AM62" s="21" t="n"/>
      <c r="AN62" s="21" t="n"/>
      <c r="AO62" s="21" t="n"/>
      <c r="AP62" s="21" t="n"/>
      <c r="AQ62" s="21" t="n"/>
    </row>
    <row r="63" ht="40" customHeight="1">
      <c r="A63" s="24" t="inlineStr">
        <is>
          <t>N5</t>
        </is>
      </c>
      <c r="B63" s="16" t="inlineStr">
        <is>
          <t>Integrations with partners</t>
        </is>
      </c>
      <c r="C63" s="17" t="inlineStr">
        <is>
          <t>CTPL authentication provider and LTO feed: broker accredited, COC series loaded, live authentication of one COC</t>
        </is>
      </c>
      <c r="D63" s="16" t="inlineStr">
        <is>
          <t>Partner</t>
        </is>
      </c>
      <c r="E63" s="17" t="inlineStr">
        <is>
          <t>IC-accredited authentication provider, with Operations</t>
        </is>
      </c>
      <c r="F63" s="17" t="inlineStr">
        <is>
          <t>Authenticated COC; LTO column result</t>
        </is>
      </c>
      <c r="G63" s="17" t="inlineStr">
        <is>
          <t>C2, I6, I7</t>
        </is>
      </c>
      <c r="H63" s="18" t="n">
        <v>15</v>
      </c>
      <c r="I63" s="18" t="n">
        <v>36</v>
      </c>
      <c r="J63" s="18" t="n">
        <v>51</v>
      </c>
      <c r="K63" s="19">
        <f>WORKDAY($D$2,I63)</f>
        <v/>
      </c>
      <c r="L63" s="19">
        <f>IF(H63=0,K63,WORKDAY($D$2,J63-1))</f>
        <v/>
      </c>
      <c r="M63" s="18" t="n">
        <v>8</v>
      </c>
      <c r="N63" s="18" t="n">
        <v>11</v>
      </c>
      <c r="O63" s="18" t="n"/>
      <c r="P63" s="18" t="inlineStr"/>
      <c r="Q63" s="18" t="inlineStr">
        <is>
          <t>Feature only</t>
        </is>
      </c>
      <c r="R63" s="21" t="n"/>
      <c r="S63" s="21" t="n"/>
      <c r="T63" s="21" t="n"/>
      <c r="U63" s="21" t="n"/>
      <c r="V63" s="21" t="n"/>
      <c r="W63" s="21" t="n"/>
      <c r="X63" s="21" t="n"/>
      <c r="Y63" s="28" t="n"/>
      <c r="Z63" s="28" t="n"/>
      <c r="AA63" s="28" t="n"/>
      <c r="AB63" s="28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2" t="n"/>
      <c r="AM63" s="21" t="n"/>
      <c r="AN63" s="21" t="n"/>
      <c r="AO63" s="21" t="n"/>
      <c r="AP63" s="21" t="n"/>
      <c r="AQ63" s="21" t="n"/>
    </row>
    <row r="64" ht="30" customHeight="1">
      <c r="A64" s="24" t="inlineStr">
        <is>
          <t>N3</t>
        </is>
      </c>
      <c r="B64" s="16" t="inlineStr">
        <is>
          <t>Integrations with partners</t>
        </is>
      </c>
      <c r="C64" s="17" t="inlineStr">
        <is>
          <t>Bank payment files: each layout validated with the bank and a test file accepted by the bank</t>
        </is>
      </c>
      <c r="D64" s="16" t="inlineStr">
        <is>
          <t>Partner</t>
        </is>
      </c>
      <c r="E64" s="17" t="inlineStr">
        <is>
          <t>Bank, with Accounting and iorta TechNXT</t>
        </is>
      </c>
      <c r="F64" s="17" t="inlineStr">
        <is>
          <t>Bank acceptance of the test file</t>
        </is>
      </c>
      <c r="G64" s="17" t="inlineStr">
        <is>
          <t>C2, I5</t>
        </is>
      </c>
      <c r="H64" s="18" t="n">
        <v>25</v>
      </c>
      <c r="I64" s="18" t="n">
        <v>36</v>
      </c>
      <c r="J64" s="18" t="n">
        <v>61</v>
      </c>
      <c r="K64" s="19">
        <f>WORKDAY($D$2,I64)</f>
        <v/>
      </c>
      <c r="L64" s="19">
        <f>IF(H64=0,K64,WORKDAY($D$2,J64-1))</f>
        <v/>
      </c>
      <c r="M64" s="18" t="n">
        <v>8</v>
      </c>
      <c r="N64" s="18" t="n">
        <v>13</v>
      </c>
      <c r="O64" s="18" t="n"/>
      <c r="P64" s="18" t="inlineStr"/>
      <c r="Q64" s="18" t="inlineStr">
        <is>
          <t>Feature only</t>
        </is>
      </c>
      <c r="R64" s="21" t="n"/>
      <c r="S64" s="21" t="n"/>
      <c r="T64" s="21" t="n"/>
      <c r="U64" s="21" t="n"/>
      <c r="V64" s="21" t="n"/>
      <c r="W64" s="21" t="n"/>
      <c r="X64" s="21" t="n"/>
      <c r="Y64" s="28" t="n"/>
      <c r="Z64" s="28" t="n"/>
      <c r="AA64" s="28" t="n"/>
      <c r="AB64" s="28" t="n"/>
      <c r="AC64" s="28" t="n"/>
      <c r="AD64" s="28" t="n"/>
      <c r="AE64" s="21" t="n"/>
      <c r="AF64" s="21" t="n"/>
      <c r="AG64" s="21" t="n"/>
      <c r="AH64" s="21" t="n"/>
      <c r="AI64" s="21" t="n"/>
      <c r="AJ64" s="21" t="n"/>
      <c r="AK64" s="21" t="n"/>
      <c r="AL64" s="22" t="n"/>
      <c r="AM64" s="21" t="n"/>
      <c r="AN64" s="21" t="n"/>
      <c r="AO64" s="21" t="n"/>
      <c r="AP64" s="21" t="n"/>
      <c r="AQ64" s="21" t="n"/>
    </row>
    <row r="65" ht="30" customHeight="1">
      <c r="A65" s="24" t="inlineStr">
        <is>
          <t>N6</t>
        </is>
      </c>
      <c r="B65" s="16" t="inlineStr">
        <is>
          <t>Integrations with partners</t>
        </is>
      </c>
      <c r="C65" s="17" t="inlineStr">
        <is>
          <t>Insurer API connectors: mapping per insurer, preview, test issuance and claim status with the insurer</t>
        </is>
      </c>
      <c r="D65" s="16" t="inlineStr">
        <is>
          <t>Partner</t>
        </is>
      </c>
      <c r="E65" s="17" t="inlineStr">
        <is>
          <t>Insurers, with the Processing Team</t>
        </is>
      </c>
      <c r="F65" s="17" t="inlineStr">
        <is>
          <t>Accepted test request per insurer</t>
        </is>
      </c>
      <c r="G65" s="17" t="inlineStr">
        <is>
          <t>C3SS+2d, I6</t>
        </is>
      </c>
      <c r="H65" s="18" t="n">
        <v>25</v>
      </c>
      <c r="I65" s="18" t="n">
        <v>38</v>
      </c>
      <c r="J65" s="18" t="n">
        <v>63</v>
      </c>
      <c r="K65" s="19">
        <f>WORKDAY($D$2,I65)</f>
        <v/>
      </c>
      <c r="L65" s="19">
        <f>IF(H65=0,K65,WORKDAY($D$2,J65-1))</f>
        <v/>
      </c>
      <c r="M65" s="18" t="n">
        <v>8</v>
      </c>
      <c r="N65" s="18" t="n">
        <v>13</v>
      </c>
      <c r="O65" s="18" t="n"/>
      <c r="P65" s="18" t="inlineStr"/>
      <c r="Q65" s="18" t="inlineStr">
        <is>
          <t>Feature only</t>
        </is>
      </c>
      <c r="R65" s="21" t="n"/>
      <c r="S65" s="21" t="n"/>
      <c r="T65" s="21" t="n"/>
      <c r="U65" s="21" t="n"/>
      <c r="V65" s="21" t="n"/>
      <c r="W65" s="21" t="n"/>
      <c r="X65" s="21" t="n"/>
      <c r="Y65" s="28" t="n"/>
      <c r="Z65" s="28" t="n"/>
      <c r="AA65" s="28" t="n"/>
      <c r="AB65" s="28" t="n"/>
      <c r="AC65" s="28" t="n"/>
      <c r="AD65" s="28" t="n"/>
      <c r="AE65" s="21" t="n"/>
      <c r="AF65" s="21" t="n"/>
      <c r="AG65" s="21" t="n"/>
      <c r="AH65" s="21" t="n"/>
      <c r="AI65" s="21" t="n"/>
      <c r="AJ65" s="21" t="n"/>
      <c r="AK65" s="21" t="n"/>
      <c r="AL65" s="22" t="n"/>
      <c r="AM65" s="21" t="n"/>
      <c r="AN65" s="21" t="n"/>
      <c r="AO65" s="21" t="n"/>
      <c r="AP65" s="21" t="n"/>
      <c r="AQ65" s="21" t="n"/>
    </row>
    <row r="66" ht="30" customHeight="1">
      <c r="A66" s="24" t="inlineStr">
        <is>
          <t>N8</t>
        </is>
      </c>
      <c r="B66" s="16" t="inlineStr">
        <is>
          <t>Integrations with partners</t>
        </is>
      </c>
      <c r="C66" s="17" t="inlineStr">
        <is>
          <t>BIR EIS connector set in test mode; payloads checked</t>
        </is>
      </c>
      <c r="D66" s="16" t="inlineStr">
        <is>
          <t>iorta TechNXT</t>
        </is>
      </c>
      <c r="E66" s="17" t="inlineStr">
        <is>
          <t>iorta TechNXT consultant</t>
        </is>
      </c>
      <c r="F66" s="17" t="inlineStr">
        <is>
          <t>Accepted test submissions</t>
        </is>
      </c>
      <c r="G66" s="17" t="inlineStr">
        <is>
          <t>C3</t>
        </is>
      </c>
      <c r="H66" s="18" t="n">
        <v>2</v>
      </c>
      <c r="I66" s="18" t="n">
        <v>61</v>
      </c>
      <c r="J66" s="18" t="n">
        <v>63</v>
      </c>
      <c r="K66" s="19">
        <f>WORKDAY($D$2,I66)</f>
        <v/>
      </c>
      <c r="L66" s="19">
        <f>IF(H66=0,K66,WORKDAY($D$2,J66-1))</f>
        <v/>
      </c>
      <c r="M66" s="18" t="n">
        <v>13</v>
      </c>
      <c r="N66" s="18" t="n">
        <v>13</v>
      </c>
      <c r="O66" s="18" t="n"/>
      <c r="P66" s="18" t="inlineStr"/>
      <c r="Q66" s="18" t="inlineStr">
        <is>
          <t>Feature only</t>
        </is>
      </c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6" t="n"/>
      <c r="AE66" s="21" t="n"/>
      <c r="AF66" s="21" t="n"/>
      <c r="AG66" s="21" t="n"/>
      <c r="AH66" s="21" t="n"/>
      <c r="AI66" s="21" t="n"/>
      <c r="AJ66" s="21" t="n"/>
      <c r="AK66" s="21" t="n"/>
      <c r="AL66" s="22" t="n"/>
      <c r="AM66" s="21" t="n"/>
      <c r="AN66" s="21" t="n"/>
      <c r="AO66" s="21" t="n"/>
      <c r="AP66" s="21" t="n"/>
      <c r="AQ66" s="21" t="n"/>
    </row>
    <row r="67" ht="30" customHeight="1">
      <c r="A67" s="24" t="inlineStr">
        <is>
          <t>N9</t>
        </is>
      </c>
      <c r="B67" s="16" t="inlineStr">
        <is>
          <t>Integrations with partners</t>
        </is>
      </c>
      <c r="C67" s="17" t="inlineStr">
        <is>
          <t>BIR EIS connector live (after enrolment); earlier invoices queued</t>
        </is>
      </c>
      <c r="D67" s="16" t="inlineStr">
        <is>
          <t>iorta TechNXT</t>
        </is>
      </c>
      <c r="E67" s="17" t="inlineStr">
        <is>
          <t>iorta TechNXT consultant with Accounting</t>
        </is>
      </c>
      <c r="F67" s="17" t="inlineStr">
        <is>
          <t>Accepted live submission</t>
        </is>
      </c>
      <c r="G67" s="17" t="inlineStr">
        <is>
          <t>N8, R2, X6</t>
        </is>
      </c>
      <c r="H67" s="18" t="n">
        <v>2</v>
      </c>
      <c r="I67" s="18" t="n">
        <v>100</v>
      </c>
      <c r="J67" s="18" t="n">
        <v>102</v>
      </c>
      <c r="K67" s="19">
        <f>WORKDAY($D$2,I67)</f>
        <v/>
      </c>
      <c r="L67" s="19">
        <f>IF(H67=0,K67,WORKDAY($D$2,J67-1))</f>
        <v/>
      </c>
      <c r="M67" s="18" t="n">
        <v>21</v>
      </c>
      <c r="N67" s="18" t="n">
        <v>21</v>
      </c>
      <c r="O67" s="18" t="n"/>
      <c r="P67" s="18" t="inlineStr"/>
      <c r="Q67" s="18" t="inlineStr">
        <is>
          <t>Feature only</t>
        </is>
      </c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6" t="n"/>
      <c r="AM67" s="21" t="n"/>
      <c r="AN67" s="21" t="n"/>
      <c r="AO67" s="21" t="n"/>
      <c r="AP67" s="21" t="n"/>
      <c r="AQ67" s="21" t="n"/>
    </row>
    <row r="68">
      <c r="A68" s="13" t="inlineStr">
        <is>
          <t>Data migration (go-live migration kit)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</row>
    <row r="69" ht="30" customHeight="1">
      <c r="A69" s="24" t="inlineStr">
        <is>
          <t>G1</t>
        </is>
      </c>
      <c r="B69" s="16" t="inlineStr">
        <is>
          <t>Data migration (go-live migration kit)</t>
        </is>
      </c>
      <c r="C69" s="17" t="inlineStr">
        <is>
          <t>Extraction and cleansing of the old system data for the first mock load</t>
        </is>
      </c>
      <c r="D69" s="16" t="inlineStr">
        <is>
          <t>Broker</t>
        </is>
      </c>
      <c r="E69" s="17" t="inlineStr">
        <is>
          <t>Broker data owners</t>
        </is>
      </c>
      <c r="F69" s="17" t="inlineStr">
        <is>
          <t>Extract files; data quality notes</t>
        </is>
      </c>
      <c r="G69" s="17" t="inlineStr">
        <is>
          <t>M3</t>
        </is>
      </c>
      <c r="H69" s="18" t="n">
        <v>25</v>
      </c>
      <c r="I69" s="18" t="n">
        <v>1</v>
      </c>
      <c r="J69" s="18" t="n">
        <v>26</v>
      </c>
      <c r="K69" s="19">
        <f>WORKDAY($D$2,I69)</f>
        <v/>
      </c>
      <c r="L69" s="19">
        <f>IF(H69=0,K69,WORKDAY($D$2,J69-1))</f>
        <v/>
      </c>
      <c r="M69" s="18" t="n">
        <v>1</v>
      </c>
      <c r="N69" s="18" t="n">
        <v>6</v>
      </c>
      <c r="O69" s="18" t="n">
        <v>47</v>
      </c>
      <c r="P69" s="18" t="inlineStr"/>
      <c r="Q69" s="18" t="inlineStr">
        <is>
          <t>Go-live</t>
        </is>
      </c>
      <c r="R69" s="25" t="n"/>
      <c r="S69" s="25" t="n"/>
      <c r="T69" s="25" t="n"/>
      <c r="U69" s="25" t="n"/>
      <c r="V69" s="25" t="n"/>
      <c r="W69" s="25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2" t="n"/>
      <c r="AM69" s="21" t="n"/>
      <c r="AN69" s="21" t="n"/>
      <c r="AO69" s="21" t="n"/>
      <c r="AP69" s="21" t="n"/>
      <c r="AQ69" s="21" t="n"/>
    </row>
    <row r="70" ht="30" customHeight="1">
      <c r="A70" s="24" t="inlineStr">
        <is>
          <t>G2</t>
        </is>
      </c>
      <c r="B70" s="16" t="inlineStr">
        <is>
          <t>Data migration (go-live migration kit)</t>
        </is>
      </c>
      <c r="C70" s="17" t="inlineStr">
        <is>
          <t>Mapping to the migration kit (clients, policies, open items, open claims, opening balances)</t>
        </is>
      </c>
      <c r="D70" s="16" t="inlineStr">
        <is>
          <t>iorta TechNXT</t>
        </is>
      </c>
      <c r="E70" s="17" t="inlineStr">
        <is>
          <t>iorta TechNXT migration lead</t>
        </is>
      </c>
      <c r="F70" s="17" t="inlineStr">
        <is>
          <t>Mapping sheets</t>
        </is>
      </c>
      <c r="G70" s="17" t="inlineStr">
        <is>
          <t>G1SS+10d</t>
        </is>
      </c>
      <c r="H70" s="18" t="n">
        <v>10</v>
      </c>
      <c r="I70" s="18" t="n">
        <v>11</v>
      </c>
      <c r="J70" s="18" t="n">
        <v>21</v>
      </c>
      <c r="K70" s="19">
        <f>WORKDAY($D$2,I70)</f>
        <v/>
      </c>
      <c r="L70" s="19">
        <f>IF(H70=0,K70,WORKDAY($D$2,J70-1))</f>
        <v/>
      </c>
      <c r="M70" s="18" t="n">
        <v>3</v>
      </c>
      <c r="N70" s="18" t="n">
        <v>5</v>
      </c>
      <c r="O70" s="18" t="n">
        <v>52</v>
      </c>
      <c r="P70" s="18" t="inlineStr"/>
      <c r="Q70" s="18" t="inlineStr">
        <is>
          <t>Go-live</t>
        </is>
      </c>
      <c r="R70" s="21" t="n"/>
      <c r="S70" s="21" t="n"/>
      <c r="T70" s="26" t="n"/>
      <c r="U70" s="26" t="n"/>
      <c r="V70" s="26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2" t="n"/>
      <c r="AM70" s="21" t="n"/>
      <c r="AN70" s="21" t="n"/>
      <c r="AO70" s="21" t="n"/>
      <c r="AP70" s="21" t="n"/>
      <c r="AQ70" s="21" t="n"/>
    </row>
    <row r="71" ht="30" customHeight="1">
      <c r="A71" s="24" t="inlineStr">
        <is>
          <t>G3</t>
        </is>
      </c>
      <c r="B71" s="16" t="inlineStr">
        <is>
          <t>Data migration (go-live migration kit)</t>
        </is>
      </c>
      <c r="C71" s="17" t="inlineStr">
        <is>
          <t>Mock load 1: cutover date set, validate, errors workbook, load, reconciliation</t>
        </is>
      </c>
      <c r="D71" s="16" t="inlineStr">
        <is>
          <t>iorta TechNXT</t>
        </is>
      </c>
      <c r="E71" s="17" t="inlineStr">
        <is>
          <t>iorta TechNXT migration lead</t>
        </is>
      </c>
      <c r="F71" s="17" t="inlineStr">
        <is>
          <t>Reconciliation workbook signed</t>
        </is>
      </c>
      <c r="G71" s="17" t="inlineStr">
        <is>
          <t>G1, G2, C2</t>
        </is>
      </c>
      <c r="H71" s="18" t="n">
        <v>5</v>
      </c>
      <c r="I71" s="18" t="n">
        <v>36</v>
      </c>
      <c r="J71" s="18" t="n">
        <v>41</v>
      </c>
      <c r="K71" s="19">
        <f>WORKDAY($D$2,I71)</f>
        <v/>
      </c>
      <c r="L71" s="19">
        <f>IF(H71=0,K71,WORKDAY($D$2,J71-1))</f>
        <v/>
      </c>
      <c r="M71" s="18" t="n">
        <v>8</v>
      </c>
      <c r="N71" s="18" t="n">
        <v>9</v>
      </c>
      <c r="O71" s="18" t="n">
        <v>37</v>
      </c>
      <c r="P71" s="18" t="inlineStr"/>
      <c r="Q71" s="18" t="inlineStr">
        <is>
          <t>Go-live</t>
        </is>
      </c>
      <c r="R71" s="21" t="n"/>
      <c r="S71" s="21" t="n"/>
      <c r="T71" s="21" t="n"/>
      <c r="U71" s="21" t="n"/>
      <c r="V71" s="21" t="n"/>
      <c r="W71" s="21" t="n"/>
      <c r="X71" s="21" t="n"/>
      <c r="Y71" s="26" t="n"/>
      <c r="Z71" s="26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2" t="n"/>
      <c r="AM71" s="21" t="n"/>
      <c r="AN71" s="21" t="n"/>
      <c r="AO71" s="21" t="n"/>
      <c r="AP71" s="21" t="n"/>
      <c r="AQ71" s="21" t="n"/>
    </row>
    <row r="72" ht="30" customHeight="1">
      <c r="A72" s="24" t="inlineStr">
        <is>
          <t>G4</t>
        </is>
      </c>
      <c r="B72" s="16" t="inlineStr">
        <is>
          <t>Data migration (go-live migration kit)</t>
        </is>
      </c>
      <c r="C72" s="17" t="inlineStr">
        <is>
          <t>Mock load 2 on a fresh extract, with transaction reset before it</t>
        </is>
      </c>
      <c r="D72" s="16" t="inlineStr">
        <is>
          <t>iorta TechNXT</t>
        </is>
      </c>
      <c r="E72" s="17" t="inlineStr">
        <is>
          <t>iorta TechNXT migration lead</t>
        </is>
      </c>
      <c r="F72" s="17" t="inlineStr">
        <is>
          <t>Reconciliation workbook signed</t>
        </is>
      </c>
      <c r="G72" s="17" t="inlineStr">
        <is>
          <t>G3, C5</t>
        </is>
      </c>
      <c r="H72" s="18" t="n">
        <v>5</v>
      </c>
      <c r="I72" s="18" t="n">
        <v>61</v>
      </c>
      <c r="J72" s="18" t="n">
        <v>66</v>
      </c>
      <c r="K72" s="19">
        <f>WORKDAY($D$2,I72)</f>
        <v/>
      </c>
      <c r="L72" s="19">
        <f>IF(H72=0,K72,WORKDAY($D$2,J72-1))</f>
        <v/>
      </c>
      <c r="M72" s="18" t="n">
        <v>13</v>
      </c>
      <c r="N72" s="18" t="n">
        <v>14</v>
      </c>
      <c r="O72" s="18" t="n">
        <v>17</v>
      </c>
      <c r="P72" s="18" t="inlineStr"/>
      <c r="Q72" s="18" t="inlineStr">
        <is>
          <t>Go-live</t>
        </is>
      </c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6" t="n"/>
      <c r="AE72" s="26" t="n"/>
      <c r="AF72" s="21" t="n"/>
      <c r="AG72" s="21" t="n"/>
      <c r="AH72" s="21" t="n"/>
      <c r="AI72" s="21" t="n"/>
      <c r="AJ72" s="21" t="n"/>
      <c r="AK72" s="21" t="n"/>
      <c r="AL72" s="22" t="n"/>
      <c r="AM72" s="21" t="n"/>
      <c r="AN72" s="21" t="n"/>
      <c r="AO72" s="21" t="n"/>
      <c r="AP72" s="21" t="n"/>
      <c r="AQ72" s="21" t="n"/>
    </row>
    <row r="73" ht="30" customHeight="1">
      <c r="A73" s="24" t="inlineStr">
        <is>
          <t>G5</t>
        </is>
      </c>
      <c r="B73" s="16" t="inlineStr">
        <is>
          <t>Data migration (go-live migration kit)</t>
        </is>
      </c>
      <c r="C73" s="17" t="inlineStr">
        <is>
          <t>Mock load 3 in UAT (large, enterprise)</t>
        </is>
      </c>
      <c r="D73" s="16" t="inlineStr">
        <is>
          <t>iorta TechNXT</t>
        </is>
      </c>
      <c r="E73" s="17" t="inlineStr">
        <is>
          <t>iorta TechNXT migration lead</t>
        </is>
      </c>
      <c r="F73" s="17" t="inlineStr">
        <is>
          <t>Reconciliation workbook signed</t>
        </is>
      </c>
      <c r="G73" s="17" t="inlineStr">
        <is>
          <t>G4, T3</t>
        </is>
      </c>
      <c r="H73" s="18" t="n">
        <v>5</v>
      </c>
      <c r="I73" s="18" t="n">
        <v>78</v>
      </c>
      <c r="J73" s="18" t="n">
        <v>83</v>
      </c>
      <c r="K73" s="19">
        <f>WORKDAY($D$2,I73)</f>
        <v/>
      </c>
      <c r="L73" s="19">
        <f>IF(H73=0,K73,WORKDAY($D$2,J73-1))</f>
        <v/>
      </c>
      <c r="M73" s="18" t="n">
        <v>16</v>
      </c>
      <c r="N73" s="18" t="n">
        <v>17</v>
      </c>
      <c r="O73" s="18" t="n">
        <v>5</v>
      </c>
      <c r="P73" s="18" t="inlineStr"/>
      <c r="Q73" s="18" t="inlineStr">
        <is>
          <t>Go-live</t>
        </is>
      </c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6" t="n"/>
      <c r="AH73" s="26" t="n"/>
      <c r="AI73" s="21" t="n"/>
      <c r="AJ73" s="21" t="n"/>
      <c r="AK73" s="21" t="n"/>
      <c r="AL73" s="22" t="n"/>
      <c r="AM73" s="21" t="n"/>
      <c r="AN73" s="21" t="n"/>
      <c r="AO73" s="21" t="n"/>
      <c r="AP73" s="21" t="n"/>
      <c r="AQ73" s="21" t="n"/>
    </row>
    <row r="74" ht="30" customHeight="1">
      <c r="A74" s="24" t="inlineStr">
        <is>
          <t>G6</t>
        </is>
      </c>
      <c r="B74" s="16" t="inlineStr">
        <is>
          <t>Data migration (go-live migration kit)</t>
        </is>
      </c>
      <c r="C74" s="17" t="inlineStr">
        <is>
          <t>Mock load 4 in UAT (enterprise)</t>
        </is>
      </c>
      <c r="D74" s="16" t="inlineStr">
        <is>
          <t>iorta TechNXT</t>
        </is>
      </c>
      <c r="E74" s="17" t="inlineStr">
        <is>
          <t>iorta TechNXT migration lead</t>
        </is>
      </c>
      <c r="F74" s="17" t="inlineStr">
        <is>
          <t>Reconciliation workbook signed</t>
        </is>
      </c>
      <c r="G74" s="17" t="inlineStr">
        <is>
          <t>G5</t>
        </is>
      </c>
      <c r="H74" s="18" t="n">
        <v>5</v>
      </c>
      <c r="I74" s="18" t="n">
        <v>83</v>
      </c>
      <c r="J74" s="18" t="n">
        <v>88</v>
      </c>
      <c r="K74" s="19">
        <f>WORKDAY($D$2,I74)</f>
        <v/>
      </c>
      <c r="L74" s="19">
        <f>IF(H74=0,K74,WORKDAY($D$2,J74-1))</f>
        <v/>
      </c>
      <c r="M74" s="18" t="n">
        <v>17</v>
      </c>
      <c r="N74" s="18" t="n">
        <v>18</v>
      </c>
      <c r="O74" s="18" t="n">
        <v>5</v>
      </c>
      <c r="P74" s="18" t="inlineStr"/>
      <c r="Q74" s="18" t="inlineStr">
        <is>
          <t>Go-live</t>
        </is>
      </c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6" t="n"/>
      <c r="AI74" s="26" t="n"/>
      <c r="AJ74" s="21" t="n"/>
      <c r="AK74" s="21" t="n"/>
      <c r="AL74" s="22" t="n"/>
      <c r="AM74" s="21" t="n"/>
      <c r="AN74" s="21" t="n"/>
      <c r="AO74" s="21" t="n"/>
      <c r="AP74" s="21" t="n"/>
      <c r="AQ74" s="21" t="n"/>
    </row>
    <row r="75">
      <c r="A75" s="13" t="inlineStr">
        <is>
          <t>Training</t>
        </is>
      </c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</row>
    <row r="76" ht="30" customHeight="1">
      <c r="A76" s="24" t="inlineStr">
        <is>
          <t>L2</t>
        </is>
      </c>
      <c r="B76" s="16" t="inlineStr">
        <is>
          <t>Training</t>
        </is>
      </c>
      <c r="C76" s="17" t="inlineStr">
        <is>
          <t>Compliance officer, DPO and System Administrator training on the compliance and privacy screens</t>
        </is>
      </c>
      <c r="D76" s="16" t="inlineStr">
        <is>
          <t>iorta TechNXT</t>
        </is>
      </c>
      <c r="E76" s="17" t="inlineStr">
        <is>
          <t>iorta TechNXT consultant</t>
        </is>
      </c>
      <c r="F76" s="17" t="inlineStr">
        <is>
          <t>Attendance and assessment</t>
        </is>
      </c>
      <c r="G76" s="17" t="inlineStr">
        <is>
          <t>K1</t>
        </is>
      </c>
      <c r="H76" s="18" t="n">
        <v>2</v>
      </c>
      <c r="I76" s="18" t="n">
        <v>46</v>
      </c>
      <c r="J76" s="18" t="n">
        <v>48</v>
      </c>
      <c r="K76" s="19">
        <f>WORKDAY($D$2,I76)</f>
        <v/>
      </c>
      <c r="L76" s="19">
        <f>IF(H76=0,K76,WORKDAY($D$2,J76-1))</f>
        <v/>
      </c>
      <c r="M76" s="18" t="n">
        <v>10</v>
      </c>
      <c r="N76" s="18" t="n">
        <v>10</v>
      </c>
      <c r="O76" s="18" t="n">
        <v>50</v>
      </c>
      <c r="P76" s="18" t="inlineStr"/>
      <c r="Q76" s="18" t="inlineStr">
        <is>
          <t>Go-live</t>
        </is>
      </c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6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2" t="n"/>
      <c r="AM76" s="21" t="n"/>
      <c r="AN76" s="21" t="n"/>
      <c r="AO76" s="21" t="n"/>
      <c r="AP76" s="21" t="n"/>
      <c r="AQ76" s="21" t="n"/>
    </row>
    <row r="77" ht="30" customHeight="1">
      <c r="A77" s="24" t="inlineStr">
        <is>
          <t>L1</t>
        </is>
      </c>
      <c r="B77" s="16" t="inlineStr">
        <is>
          <t>Training</t>
        </is>
      </c>
      <c r="C77" s="17" t="inlineStr">
        <is>
          <t>Train-the-trainer for key users, with trainer skills and teach-back</t>
        </is>
      </c>
      <c r="D77" s="16" t="inlineStr">
        <is>
          <t>iorta TechNXT</t>
        </is>
      </c>
      <c r="E77" s="17" t="inlineStr">
        <is>
          <t>iorta TechNXT consultants</t>
        </is>
      </c>
      <c r="F77" s="17" t="inlineStr">
        <is>
          <t>Key users passed at 90%</t>
        </is>
      </c>
      <c r="G77" s="17" t="inlineStr">
        <is>
          <t>C5</t>
        </is>
      </c>
      <c r="H77" s="18" t="n">
        <v>10</v>
      </c>
      <c r="I77" s="18" t="n">
        <v>61</v>
      </c>
      <c r="J77" s="18" t="n">
        <v>71</v>
      </c>
      <c r="K77" s="19">
        <f>WORKDAY($D$2,I77)</f>
        <v/>
      </c>
      <c r="L77" s="19">
        <f>IF(H77=0,K77,WORKDAY($D$2,J77-1))</f>
        <v/>
      </c>
      <c r="M77" s="18" t="n">
        <v>13</v>
      </c>
      <c r="N77" s="18" t="n">
        <v>15</v>
      </c>
      <c r="O77" s="18" t="n">
        <v>12</v>
      </c>
      <c r="P77" s="18" t="inlineStr"/>
      <c r="Q77" s="18" t="inlineStr">
        <is>
          <t>Go-live</t>
        </is>
      </c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6" t="n"/>
      <c r="AE77" s="26" t="n"/>
      <c r="AF77" s="26" t="n"/>
      <c r="AG77" s="21" t="n"/>
      <c r="AH77" s="21" t="n"/>
      <c r="AI77" s="21" t="n"/>
      <c r="AJ77" s="21" t="n"/>
      <c r="AK77" s="21" t="n"/>
      <c r="AL77" s="22" t="n"/>
      <c r="AM77" s="21" t="n"/>
      <c r="AN77" s="21" t="n"/>
      <c r="AO77" s="21" t="n"/>
      <c r="AP77" s="21" t="n"/>
      <c r="AQ77" s="21" t="n"/>
    </row>
    <row r="78" ht="30" customHeight="1">
      <c r="A78" s="24" t="inlineStr">
        <is>
          <t>L3</t>
        </is>
      </c>
      <c r="B78" s="16" t="inlineStr">
        <is>
          <t>Training</t>
        </is>
      </c>
      <c r="C78" s="17" t="inlineStr">
        <is>
          <t>End-user training per role, run by key users</t>
        </is>
      </c>
      <c r="D78" s="16" t="inlineStr">
        <is>
          <t>Broker</t>
        </is>
      </c>
      <c r="E78" s="17" t="inlineStr">
        <is>
          <t>Broker key users</t>
        </is>
      </c>
      <c r="F78" s="17" t="inlineStr">
        <is>
          <t>Every user trained and assessed</t>
        </is>
      </c>
      <c r="G78" s="17" t="inlineStr">
        <is>
          <t>L1, T3, I9</t>
        </is>
      </c>
      <c r="H78" s="18" t="n">
        <v>15</v>
      </c>
      <c r="I78" s="18" t="n">
        <v>78</v>
      </c>
      <c r="J78" s="18" t="n">
        <v>93</v>
      </c>
      <c r="K78" s="19">
        <f>WORKDAY($D$2,I78)</f>
        <v/>
      </c>
      <c r="L78" s="19">
        <f>IF(H78=0,K78,WORKDAY($D$2,J78-1))</f>
        <v/>
      </c>
      <c r="M78" s="18" t="n">
        <v>16</v>
      </c>
      <c r="N78" s="18" t="n">
        <v>19</v>
      </c>
      <c r="O78" s="18" t="n">
        <v>5</v>
      </c>
      <c r="P78" s="18" t="inlineStr"/>
      <c r="Q78" s="18" t="inlineStr">
        <is>
          <t>Go-live</t>
        </is>
      </c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5" t="n"/>
      <c r="AH78" s="25" t="n"/>
      <c r="AI78" s="25" t="n"/>
      <c r="AJ78" s="25" t="n"/>
      <c r="AK78" s="21" t="n"/>
      <c r="AL78" s="22" t="n"/>
      <c r="AM78" s="21" t="n"/>
      <c r="AN78" s="21" t="n"/>
      <c r="AO78" s="21" t="n"/>
      <c r="AP78" s="21" t="n"/>
      <c r="AQ78" s="21" t="n"/>
    </row>
    <row r="79">
      <c r="A79" s="13" t="inlineStr">
        <is>
          <t>SIT and UAT</t>
        </is>
      </c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</row>
    <row r="80" ht="40" customHeight="1">
      <c r="A80" s="15" t="inlineStr">
        <is>
          <t>T1</t>
        </is>
      </c>
      <c r="B80" s="16" t="inlineStr">
        <is>
          <t>SIT and UAT</t>
        </is>
      </c>
      <c r="C80" s="17" t="inlineStr">
        <is>
          <t>System integration test in Dev (small, medium) or SIT (large, enterprise): end-to-end flows, uat-scenario.js, connectors in test mode</t>
        </is>
      </c>
      <c r="D80" s="16" t="inlineStr">
        <is>
          <t>iorta TechNXT</t>
        </is>
      </c>
      <c r="E80" s="17" t="inlineStr">
        <is>
          <t>iorta TechNXT test lead</t>
        </is>
      </c>
      <c r="F80" s="17" t="inlineStr">
        <is>
          <t>SIT results; defect log</t>
        </is>
      </c>
      <c r="G80" s="17" t="inlineStr">
        <is>
          <t>C3SS+25d, C2</t>
        </is>
      </c>
      <c r="H80" s="18" t="n">
        <v>15</v>
      </c>
      <c r="I80" s="18" t="n">
        <v>61</v>
      </c>
      <c r="J80" s="18" t="n">
        <v>76</v>
      </c>
      <c r="K80" s="19">
        <f>WORKDAY($D$2,I80)</f>
        <v/>
      </c>
      <c r="L80" s="19">
        <f>IF(H80=0,K80,WORKDAY($D$2,J80-1))</f>
        <v/>
      </c>
      <c r="M80" s="18" t="n">
        <v>13</v>
      </c>
      <c r="N80" s="18" t="n">
        <v>16</v>
      </c>
      <c r="O80" s="18" t="n">
        <v>0</v>
      </c>
      <c r="P80" s="18" t="inlineStr">
        <is>
          <t>Yes</t>
        </is>
      </c>
      <c r="Q80" s="18" t="inlineStr">
        <is>
          <t>Go-live</t>
        </is>
      </c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3" t="n"/>
      <c r="AE80" s="23" t="n"/>
      <c r="AF80" s="23" t="n"/>
      <c r="AG80" s="23" t="n"/>
      <c r="AH80" s="21" t="n"/>
      <c r="AI80" s="21" t="n"/>
      <c r="AJ80" s="21" t="n"/>
      <c r="AK80" s="21" t="n"/>
      <c r="AL80" s="22" t="n"/>
      <c r="AM80" s="21" t="n"/>
      <c r="AN80" s="21" t="n"/>
      <c r="AO80" s="21" t="n"/>
      <c r="AP80" s="21" t="n"/>
      <c r="AQ80" s="21" t="n"/>
    </row>
    <row r="81" ht="30" customHeight="1">
      <c r="A81" s="15" t="inlineStr">
        <is>
          <t>T2</t>
        </is>
      </c>
      <c r="B81" s="16" t="inlineStr">
        <is>
          <t>SIT and UAT</t>
        </is>
      </c>
      <c r="C81" s="17" t="inlineStr">
        <is>
          <t>SIT exit</t>
        </is>
      </c>
      <c r="D81" s="16" t="inlineStr">
        <is>
          <t>iorta TechNXT</t>
        </is>
      </c>
      <c r="E81" s="17" t="inlineStr">
        <is>
          <t>iorta TechNXT test lead</t>
        </is>
      </c>
      <c r="F81" s="17" t="inlineStr">
        <is>
          <t>SIT exit report</t>
        </is>
      </c>
      <c r="G81" s="17" t="inlineStr">
        <is>
          <t>T1, C5</t>
        </is>
      </c>
      <c r="H81" s="18" t="n">
        <v>0</v>
      </c>
      <c r="I81" s="18" t="n">
        <v>76</v>
      </c>
      <c r="J81" s="18" t="n">
        <v>76</v>
      </c>
      <c r="K81" s="19">
        <f>WORKDAY($D$2,I81)</f>
        <v/>
      </c>
      <c r="L81" s="19">
        <f>IF(H81=0,K81,WORKDAY($D$2,J81-1))</f>
        <v/>
      </c>
      <c r="M81" s="18" t="n">
        <v>16</v>
      </c>
      <c r="N81" s="18" t="n">
        <v>16</v>
      </c>
      <c r="O81" s="18" t="n">
        <v>0</v>
      </c>
      <c r="P81" s="18" t="inlineStr">
        <is>
          <t>Yes</t>
        </is>
      </c>
      <c r="Q81" s="18" t="inlineStr">
        <is>
          <t>Go-live</t>
        </is>
      </c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0" t="inlineStr">
        <is>
          <t>◆</t>
        </is>
      </c>
      <c r="AH81" s="21" t="n"/>
      <c r="AI81" s="21" t="n"/>
      <c r="AJ81" s="21" t="n"/>
      <c r="AK81" s="21" t="n"/>
      <c r="AL81" s="22" t="n"/>
      <c r="AM81" s="21" t="n"/>
      <c r="AN81" s="21" t="n"/>
      <c r="AO81" s="21" t="n"/>
      <c r="AP81" s="21" t="n"/>
      <c r="AQ81" s="21" t="n"/>
    </row>
    <row r="82" ht="40" customHeight="1">
      <c r="A82" s="15" t="inlineStr">
        <is>
          <t>T3</t>
        </is>
      </c>
      <c r="B82" s="16" t="inlineStr">
        <is>
          <t>SIT and UAT</t>
        </is>
      </c>
      <c r="C82" s="17" t="inlineStr">
        <is>
          <t>Release candidate and frozen configuration promoted to UAT (Current data workbook, brand pack); comparison report clean</t>
        </is>
      </c>
      <c r="D82" s="16" t="inlineStr">
        <is>
          <t>iorta TechNXT</t>
        </is>
      </c>
      <c r="E82" s="17" t="inlineStr">
        <is>
          <t>iorta TechNXT delivery lead</t>
        </is>
      </c>
      <c r="F82" s="17" t="inlineStr">
        <is>
          <t>Deploy run; comparison workbook</t>
        </is>
      </c>
      <c r="G82" s="17" t="inlineStr">
        <is>
          <t>T2, E3</t>
        </is>
      </c>
      <c r="H82" s="18" t="n">
        <v>2</v>
      </c>
      <c r="I82" s="18" t="n">
        <v>76</v>
      </c>
      <c r="J82" s="18" t="n">
        <v>78</v>
      </c>
      <c r="K82" s="19">
        <f>WORKDAY($D$2,I82)</f>
        <v/>
      </c>
      <c r="L82" s="19">
        <f>IF(H82=0,K82,WORKDAY($D$2,J82-1))</f>
        <v/>
      </c>
      <c r="M82" s="18" t="n">
        <v>16</v>
      </c>
      <c r="N82" s="18" t="n">
        <v>16</v>
      </c>
      <c r="O82" s="18" t="n">
        <v>0</v>
      </c>
      <c r="P82" s="18" t="inlineStr">
        <is>
          <t>Yes</t>
        </is>
      </c>
      <c r="Q82" s="18" t="inlineStr">
        <is>
          <t>Go-live</t>
        </is>
      </c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3" t="n"/>
      <c r="AH82" s="21" t="n"/>
      <c r="AI82" s="21" t="n"/>
      <c r="AJ82" s="21" t="n"/>
      <c r="AK82" s="21" t="n"/>
      <c r="AL82" s="22" t="n"/>
      <c r="AM82" s="21" t="n"/>
      <c r="AN82" s="21" t="n"/>
      <c r="AO82" s="21" t="n"/>
      <c r="AP82" s="21" t="n"/>
      <c r="AQ82" s="21" t="n"/>
    </row>
    <row r="83" ht="30" customHeight="1">
      <c r="A83" s="15" t="inlineStr">
        <is>
          <t>T4</t>
        </is>
      </c>
      <c r="B83" s="16" t="inlineStr">
        <is>
          <t>SIT and UAT</t>
        </is>
      </c>
      <c r="C83" s="17" t="inlineStr">
        <is>
          <t>UAT cycles with the UAT scripts and broker scenarios, including compliance, BIR and integration scripts</t>
        </is>
      </c>
      <c r="D83" s="16" t="inlineStr">
        <is>
          <t>Broker</t>
        </is>
      </c>
      <c r="E83" s="17" t="inlineStr">
        <is>
          <t>Broker key users</t>
        </is>
      </c>
      <c r="F83" s="17" t="inlineStr">
        <is>
          <t>UAT results per script</t>
        </is>
      </c>
      <c r="G83" s="17" t="inlineStr">
        <is>
          <t>T3, I10</t>
        </is>
      </c>
      <c r="H83" s="18" t="n">
        <v>20</v>
      </c>
      <c r="I83" s="18" t="n">
        <v>78</v>
      </c>
      <c r="J83" s="18" t="n">
        <v>98</v>
      </c>
      <c r="K83" s="19">
        <f>WORKDAY($D$2,I83)</f>
        <v/>
      </c>
      <c r="L83" s="19">
        <f>IF(H83=0,K83,WORKDAY($D$2,J83-1))</f>
        <v/>
      </c>
      <c r="M83" s="18" t="n">
        <v>16</v>
      </c>
      <c r="N83" s="18" t="n">
        <v>20</v>
      </c>
      <c r="O83" s="18" t="n">
        <v>0</v>
      </c>
      <c r="P83" s="18" t="inlineStr">
        <is>
          <t>Yes</t>
        </is>
      </c>
      <c r="Q83" s="18" t="inlineStr">
        <is>
          <t>Go-live</t>
        </is>
      </c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7" t="n"/>
      <c r="AH83" s="27" t="n"/>
      <c r="AI83" s="27" t="n"/>
      <c r="AJ83" s="27" t="n"/>
      <c r="AK83" s="27" t="n"/>
      <c r="AL83" s="22" t="n"/>
      <c r="AM83" s="21" t="n"/>
      <c r="AN83" s="21" t="n"/>
      <c r="AO83" s="21" t="n"/>
      <c r="AP83" s="21" t="n"/>
      <c r="AQ83" s="21" t="n"/>
    </row>
    <row r="84" ht="30" customHeight="1">
      <c r="A84" s="15" t="inlineStr">
        <is>
          <t>T5</t>
        </is>
      </c>
      <c r="B84" s="16" t="inlineStr">
        <is>
          <t>SIT and UAT</t>
        </is>
      </c>
      <c r="C84" s="17" t="inlineStr">
        <is>
          <t>UAT sign-off</t>
        </is>
      </c>
      <c r="D84" s="16" t="inlineStr">
        <is>
          <t>Broker</t>
        </is>
      </c>
      <c r="E84" s="17" t="inlineStr">
        <is>
          <t>Broker sponsor and process owners</t>
        </is>
      </c>
      <c r="F84" s="17" t="inlineStr">
        <is>
          <t>UAT Sign-off Certificate (Form 1)</t>
        </is>
      </c>
      <c r="G84" s="17" t="inlineStr">
        <is>
          <t>T4, R6</t>
        </is>
      </c>
      <c r="H84" s="18" t="n">
        <v>0</v>
      </c>
      <c r="I84" s="18" t="n">
        <v>98</v>
      </c>
      <c r="J84" s="18" t="n">
        <v>98</v>
      </c>
      <c r="K84" s="19">
        <f>WORKDAY($D$2,I84)</f>
        <v/>
      </c>
      <c r="L84" s="19">
        <f>IF(H84=0,K84,WORKDAY($D$2,J84-1))</f>
        <v/>
      </c>
      <c r="M84" s="18" t="n">
        <v>20</v>
      </c>
      <c r="N84" s="18" t="n">
        <v>20</v>
      </c>
      <c r="O84" s="18" t="n">
        <v>0</v>
      </c>
      <c r="P84" s="18" t="inlineStr">
        <is>
          <t>Yes</t>
        </is>
      </c>
      <c r="Q84" s="18" t="inlineStr">
        <is>
          <t>Go-live</t>
        </is>
      </c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0" t="inlineStr">
        <is>
          <t>◆</t>
        </is>
      </c>
      <c r="AL84" s="22" t="n"/>
      <c r="AM84" s="21" t="n"/>
      <c r="AN84" s="21" t="n"/>
      <c r="AO84" s="21" t="n"/>
      <c r="AP84" s="21" t="n"/>
      <c r="AQ84" s="21" t="n"/>
    </row>
    <row r="85">
      <c r="A85" s="13" t="inlineStr">
        <is>
          <t>Rehearsal and cutover</t>
        </is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</row>
    <row r="86" ht="30" customHeight="1">
      <c r="A86" s="24" t="inlineStr">
        <is>
          <t>X1</t>
        </is>
      </c>
      <c r="B86" s="16" t="inlineStr">
        <is>
          <t>Rehearsal and cutover</t>
        </is>
      </c>
      <c r="C86" s="17" t="inlineStr">
        <is>
          <t>Release tag and frozen configuration deployed to Production; production smoke test; transaction reset</t>
        </is>
      </c>
      <c r="D86" s="16" t="inlineStr">
        <is>
          <t>iorta TechNXT</t>
        </is>
      </c>
      <c r="E86" s="17" t="inlineStr">
        <is>
          <t>iorta TechNXT DevOps lead</t>
        </is>
      </c>
      <c r="F86" s="17" t="inlineStr">
        <is>
          <t>Deploy run; smoke test record; reset audit entry</t>
        </is>
      </c>
      <c r="G86" s="17" t="inlineStr">
        <is>
          <t>T3, E7, R1</t>
        </is>
      </c>
      <c r="H86" s="18" t="n">
        <v>3</v>
      </c>
      <c r="I86" s="18" t="n">
        <v>78</v>
      </c>
      <c r="J86" s="18" t="n">
        <v>81</v>
      </c>
      <c r="K86" s="19">
        <f>WORKDAY($D$2,I86)</f>
        <v/>
      </c>
      <c r="L86" s="19">
        <f>IF(H86=0,K86,WORKDAY($D$2,J86-1))</f>
        <v/>
      </c>
      <c r="M86" s="18" t="n">
        <v>16</v>
      </c>
      <c r="N86" s="18" t="n">
        <v>17</v>
      </c>
      <c r="O86" s="18" t="n">
        <v>10</v>
      </c>
      <c r="P86" s="18" t="inlineStr"/>
      <c r="Q86" s="18" t="inlineStr">
        <is>
          <t>Go-live</t>
        </is>
      </c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6" t="n"/>
      <c r="AH86" s="26" t="n"/>
      <c r="AI86" s="21" t="n"/>
      <c r="AJ86" s="21" t="n"/>
      <c r="AK86" s="21" t="n"/>
      <c r="AL86" s="22" t="n"/>
      <c r="AM86" s="21" t="n"/>
      <c r="AN86" s="21" t="n"/>
      <c r="AO86" s="21" t="n"/>
      <c r="AP86" s="21" t="n"/>
      <c r="AQ86" s="21" t="n"/>
    </row>
    <row r="87" ht="30" customHeight="1">
      <c r="A87" s="24" t="inlineStr">
        <is>
          <t>X2</t>
        </is>
      </c>
      <c r="B87" s="16" t="inlineStr">
        <is>
          <t>Rehearsal and cutover</t>
        </is>
      </c>
      <c r="C87" s="17" t="inlineStr">
        <is>
          <t>Pre-Prod created from a production backup (masked when people without production access take part)</t>
        </is>
      </c>
      <c r="D87" s="16" t="inlineStr">
        <is>
          <t>iorta TechNXT</t>
        </is>
      </c>
      <c r="E87" s="17" t="inlineStr">
        <is>
          <t>iorta TechNXT DevOps lead</t>
        </is>
      </c>
      <c r="F87" s="17" t="inlineStr">
        <is>
          <t>Restore record (counts as a restore test)</t>
        </is>
      </c>
      <c r="G87" s="17" t="inlineStr">
        <is>
          <t>X1</t>
        </is>
      </c>
      <c r="H87" s="18" t="n">
        <v>2</v>
      </c>
      <c r="I87" s="18" t="n">
        <v>81</v>
      </c>
      <c r="J87" s="18" t="n">
        <v>83</v>
      </c>
      <c r="K87" s="19">
        <f>WORKDAY($D$2,I87)</f>
        <v/>
      </c>
      <c r="L87" s="19">
        <f>IF(H87=0,K87,WORKDAY($D$2,J87-1))</f>
        <v/>
      </c>
      <c r="M87" s="18" t="n">
        <v>17</v>
      </c>
      <c r="N87" s="18" t="n">
        <v>17</v>
      </c>
      <c r="O87" s="18" t="n">
        <v>10</v>
      </c>
      <c r="P87" s="18" t="inlineStr"/>
      <c r="Q87" s="18" t="inlineStr">
        <is>
          <t>Go-live</t>
        </is>
      </c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6" t="n"/>
      <c r="AI87" s="21" t="n"/>
      <c r="AJ87" s="21" t="n"/>
      <c r="AK87" s="21" t="n"/>
      <c r="AL87" s="22" t="n"/>
      <c r="AM87" s="21" t="n"/>
      <c r="AN87" s="21" t="n"/>
      <c r="AO87" s="21" t="n"/>
      <c r="AP87" s="21" t="n"/>
      <c r="AQ87" s="21" t="n"/>
    </row>
    <row r="88" ht="40" customHeight="1">
      <c r="A88" s="15" t="inlineStr">
        <is>
          <t>X3</t>
        </is>
      </c>
      <c r="B88" s="16" t="inlineStr">
        <is>
          <t>Rehearsal and cutover</t>
        </is>
      </c>
      <c r="C88" s="17" t="inlineStr">
        <is>
          <t>Cutover rehearsal in Pre-Prod: reset, migration load of a fresh extract, reconciliation, go-live lock, comparison against Production, timings</t>
        </is>
      </c>
      <c r="D88" s="16" t="inlineStr">
        <is>
          <t>iorta TechNXT</t>
        </is>
      </c>
      <c r="E88" s="17" t="inlineStr">
        <is>
          <t>iorta TechNXT migration lead</t>
        </is>
      </c>
      <c r="F88" s="17" t="inlineStr">
        <is>
          <t>Rehearsal log; reconciliation signed</t>
        </is>
      </c>
      <c r="G88" s="17" t="inlineStr">
        <is>
          <t>X2, G4, G5, G6, T4SS+15d</t>
        </is>
      </c>
      <c r="H88" s="18" t="n">
        <v>5</v>
      </c>
      <c r="I88" s="18" t="n">
        <v>93</v>
      </c>
      <c r="J88" s="18" t="n">
        <v>98</v>
      </c>
      <c r="K88" s="19">
        <f>WORKDAY($D$2,I88)</f>
        <v/>
      </c>
      <c r="L88" s="19">
        <f>IF(H88=0,K88,WORKDAY($D$2,J88-1))</f>
        <v/>
      </c>
      <c r="M88" s="18" t="n">
        <v>19</v>
      </c>
      <c r="N88" s="18" t="n">
        <v>20</v>
      </c>
      <c r="O88" s="18" t="n">
        <v>0</v>
      </c>
      <c r="P88" s="18" t="inlineStr">
        <is>
          <t>Yes</t>
        </is>
      </c>
      <c r="Q88" s="18" t="inlineStr">
        <is>
          <t>Go-live</t>
        </is>
      </c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3" t="n"/>
      <c r="AK88" s="23" t="n"/>
      <c r="AL88" s="22" t="n"/>
      <c r="AM88" s="21" t="n"/>
      <c r="AN88" s="21" t="n"/>
      <c r="AO88" s="21" t="n"/>
      <c r="AP88" s="21" t="n"/>
      <c r="AQ88" s="21" t="n"/>
    </row>
    <row r="89" ht="30" customHeight="1">
      <c r="A89" s="15" t="inlineStr">
        <is>
          <t>X4</t>
        </is>
      </c>
      <c r="B89" s="16" t="inlineStr">
        <is>
          <t>Rehearsal and cutover</t>
        </is>
      </c>
      <c r="C89" s="17" t="inlineStr">
        <is>
          <t>Go/no-go 1: UAT signed, rehearsal reconciled, users trained, registrations and partner states confirmed</t>
        </is>
      </c>
      <c r="D89" s="16" t="inlineStr">
        <is>
          <t>Broker</t>
        </is>
      </c>
      <c r="E89" s="17" t="inlineStr">
        <is>
          <t>Steering committee</t>
        </is>
      </c>
      <c r="F89" s="17" t="inlineStr">
        <is>
          <t>Minutes</t>
        </is>
      </c>
      <c r="G89" s="17" t="inlineStr">
        <is>
          <t>X3, T5, L3, L2, K2, K3, N1, N2, R5, B1</t>
        </is>
      </c>
      <c r="H89" s="18" t="n">
        <v>0</v>
      </c>
      <c r="I89" s="18" t="n">
        <v>98</v>
      </c>
      <c r="J89" s="18" t="n">
        <v>98</v>
      </c>
      <c r="K89" s="19">
        <f>WORKDAY($D$2,I89)</f>
        <v/>
      </c>
      <c r="L89" s="19">
        <f>IF(H89=0,K89,WORKDAY($D$2,J89-1))</f>
        <v/>
      </c>
      <c r="M89" s="18" t="n">
        <v>20</v>
      </c>
      <c r="N89" s="18" t="n">
        <v>20</v>
      </c>
      <c r="O89" s="18" t="n">
        <v>0</v>
      </c>
      <c r="P89" s="18" t="inlineStr">
        <is>
          <t>Yes</t>
        </is>
      </c>
      <c r="Q89" s="18" t="inlineStr">
        <is>
          <t>Go-live</t>
        </is>
      </c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0" t="inlineStr">
        <is>
          <t>◆</t>
        </is>
      </c>
      <c r="AL89" s="22" t="n"/>
      <c r="AM89" s="21" t="n"/>
      <c r="AN89" s="21" t="n"/>
      <c r="AO89" s="21" t="n"/>
      <c r="AP89" s="21" t="n"/>
      <c r="AQ89" s="21" t="n"/>
    </row>
    <row r="90" ht="40" customHeight="1">
      <c r="A90" s="15" t="inlineStr">
        <is>
          <t>X5</t>
        </is>
      </c>
      <c r="B90" s="16" t="inlineStr">
        <is>
          <t>Rehearsal and cutover</t>
        </is>
      </c>
      <c r="C90" s="17" t="inlineStr">
        <is>
          <t>Cutover: freeze, final extract, final load, reconciliation, go/no-go 2, golive.locked, mask:data --register-production</t>
        </is>
      </c>
      <c r="D90" s="16" t="inlineStr">
        <is>
          <t>Broker</t>
        </is>
      </c>
      <c r="E90" s="17" t="inlineStr">
        <is>
          <t>Broker PM with the iorta TechNXT migration lead</t>
        </is>
      </c>
      <c r="F90" s="17" t="inlineStr">
        <is>
          <t>Signed reconciliation; go decision; audit entries</t>
        </is>
      </c>
      <c r="G90" s="17" t="inlineStr">
        <is>
          <t>X4</t>
        </is>
      </c>
      <c r="H90" s="18" t="n">
        <v>2</v>
      </c>
      <c r="I90" s="18" t="n">
        <v>98</v>
      </c>
      <c r="J90" s="18" t="n">
        <v>100</v>
      </c>
      <c r="K90" s="19">
        <f>WORKDAY($D$2,I90)</f>
        <v/>
      </c>
      <c r="L90" s="19">
        <f>IF(H90=0,K90,WORKDAY($D$2,J90-1))</f>
        <v/>
      </c>
      <c r="M90" s="18" t="n">
        <v>20</v>
      </c>
      <c r="N90" s="18" t="n">
        <v>20</v>
      </c>
      <c r="O90" s="18" t="n">
        <v>0</v>
      </c>
      <c r="P90" s="18" t="inlineStr">
        <is>
          <t>Yes</t>
        </is>
      </c>
      <c r="Q90" s="18" t="inlineStr">
        <is>
          <t>Go-live</t>
        </is>
      </c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7" t="n"/>
      <c r="AL90" s="22" t="n"/>
      <c r="AM90" s="21" t="n"/>
      <c r="AN90" s="21" t="n"/>
      <c r="AO90" s="21" t="n"/>
      <c r="AP90" s="21" t="n"/>
      <c r="AQ90" s="21" t="n"/>
    </row>
    <row r="91" ht="30" customHeight="1">
      <c r="A91" s="15" t="inlineStr">
        <is>
          <t>X6</t>
        </is>
      </c>
      <c r="B91" s="16" t="inlineStr">
        <is>
          <t>Rehearsal and cutover</t>
        </is>
      </c>
      <c r="C91" s="17" t="inlineStr">
        <is>
          <t>Go-live</t>
        </is>
      </c>
      <c r="D91" s="16" t="inlineStr">
        <is>
          <t>Broker</t>
        </is>
      </c>
      <c r="E91" s="17" t="inlineStr">
        <is>
          <t>Broker sponsor</t>
        </is>
      </c>
      <c r="F91" s="17" t="inlineStr">
        <is>
          <t>First day of transactions in BrokerVerse</t>
        </is>
      </c>
      <c r="G91" s="17" t="inlineStr">
        <is>
          <t>X5</t>
        </is>
      </c>
      <c r="H91" s="18" t="n">
        <v>0</v>
      </c>
      <c r="I91" s="18" t="n">
        <v>100</v>
      </c>
      <c r="J91" s="18" t="n">
        <v>100</v>
      </c>
      <c r="K91" s="19">
        <f>WORKDAY($D$2,I91)</f>
        <v/>
      </c>
      <c r="L91" s="19">
        <f>IF(H91=0,K91,WORKDAY($D$2,J91-1))</f>
        <v/>
      </c>
      <c r="M91" s="18" t="n">
        <v>21</v>
      </c>
      <c r="N91" s="18" t="n">
        <v>21</v>
      </c>
      <c r="O91" s="18" t="n">
        <v>0</v>
      </c>
      <c r="P91" s="18" t="inlineStr">
        <is>
          <t>Yes</t>
        </is>
      </c>
      <c r="Q91" s="18" t="inlineStr">
        <is>
          <t>Go-live</t>
        </is>
      </c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9" t="inlineStr">
        <is>
          <t>GO</t>
        </is>
      </c>
      <c r="AM91" s="21" t="n"/>
      <c r="AN91" s="21" t="n"/>
      <c r="AO91" s="21" t="n"/>
      <c r="AP91" s="21" t="n"/>
      <c r="AQ91" s="21" t="n"/>
    </row>
    <row r="92">
      <c r="A92" s="13" t="inlineStr">
        <is>
          <t>Hypercare</t>
        </is>
      </c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</row>
    <row r="93" ht="40" customHeight="1">
      <c r="A93" s="24" t="inlineStr">
        <is>
          <t>H1</t>
        </is>
      </c>
      <c r="B93" s="16" t="inlineStr">
        <is>
          <t>Hypercare</t>
        </is>
      </c>
      <c r="C93" s="17" t="inlineStr">
        <is>
          <t>Hypercare: daily check-ins in week 1, then weekly; first receipts, remittances, bank imports and payment files watched</t>
        </is>
      </c>
      <c r="D93" s="16" t="inlineStr">
        <is>
          <t>iorta TechNXT</t>
        </is>
      </c>
      <c r="E93" s="17" t="inlineStr">
        <is>
          <t>iorta TechNXT PM</t>
        </is>
      </c>
      <c r="F93" s="17" t="inlineStr">
        <is>
          <t>Hypercare log</t>
        </is>
      </c>
      <c r="G93" s="17" t="inlineStr">
        <is>
          <t>X6</t>
        </is>
      </c>
      <c r="H93" s="18" t="n">
        <v>30</v>
      </c>
      <c r="I93" s="18" t="n">
        <v>100</v>
      </c>
      <c r="J93" s="18" t="n">
        <v>130</v>
      </c>
      <c r="K93" s="19">
        <f>WORKDAY($D$2,I93)</f>
        <v/>
      </c>
      <c r="L93" s="19">
        <f>IF(H93=0,K93,WORKDAY($D$2,J93-1))</f>
        <v/>
      </c>
      <c r="M93" s="18" t="n">
        <v>21</v>
      </c>
      <c r="N93" s="18" t="n">
        <v>26</v>
      </c>
      <c r="O93" s="18" t="n"/>
      <c r="P93" s="18" t="inlineStr"/>
      <c r="Q93" s="18" t="inlineStr">
        <is>
          <t>Hypercare exit</t>
        </is>
      </c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6" t="n"/>
      <c r="AM93" s="26" t="n"/>
      <c r="AN93" s="26" t="n"/>
      <c r="AO93" s="26" t="n"/>
      <c r="AP93" s="26" t="n"/>
      <c r="AQ93" s="26" t="n"/>
    </row>
    <row r="94" ht="30" customHeight="1">
      <c r="A94" s="24" t="inlineStr">
        <is>
          <t>H2</t>
        </is>
      </c>
      <c r="B94" s="16" t="inlineStr">
        <is>
          <t>Hypercare</t>
        </is>
      </c>
      <c r="C94" s="17" t="inlineStr">
        <is>
          <t>First month-end close and BIR working papers of the first month supported</t>
        </is>
      </c>
      <c r="D94" s="16" t="inlineStr">
        <is>
          <t>Broker</t>
        </is>
      </c>
      <c r="E94" s="17" t="inlineStr">
        <is>
          <t>Broker Accounting Manager</t>
        </is>
      </c>
      <c r="F94" s="17" t="inlineStr">
        <is>
          <t>Approved Month-End Close run</t>
        </is>
      </c>
      <c r="G94" s="17" t="inlineStr">
        <is>
          <t>X6+15d</t>
        </is>
      </c>
      <c r="H94" s="18" t="n">
        <v>10</v>
      </c>
      <c r="I94" s="18" t="n">
        <v>115</v>
      </c>
      <c r="J94" s="18" t="n">
        <v>125</v>
      </c>
      <c r="K94" s="19">
        <f>WORKDAY($D$2,I94)</f>
        <v/>
      </c>
      <c r="L94" s="19">
        <f>IF(H94=0,K94,WORKDAY($D$2,J94-1))</f>
        <v/>
      </c>
      <c r="M94" s="18" t="n">
        <v>24</v>
      </c>
      <c r="N94" s="18" t="n">
        <v>25</v>
      </c>
      <c r="O94" s="18" t="n"/>
      <c r="P94" s="18" t="inlineStr"/>
      <c r="Q94" s="18" t="inlineStr">
        <is>
          <t>Hypercare exit</t>
        </is>
      </c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2" t="n"/>
      <c r="AM94" s="21" t="n"/>
      <c r="AN94" s="21" t="n"/>
      <c r="AO94" s="25" t="n"/>
      <c r="AP94" s="25" t="n"/>
      <c r="AQ94" s="21" t="n"/>
    </row>
    <row r="95" ht="40" customHeight="1">
      <c r="A95" s="24" t="inlineStr">
        <is>
          <t>H3</t>
        </is>
      </c>
      <c r="B95" s="16" t="inlineStr">
        <is>
          <t>Hypercare</t>
        </is>
      </c>
      <c r="C95" s="17" t="inlineStr">
        <is>
          <t>Knowledge transfer, configuration baseline (Current data workbook of Production), handover; Pre-Prod removed</t>
        </is>
      </c>
      <c r="D95" s="16" t="inlineStr">
        <is>
          <t>iorta TechNXT</t>
        </is>
      </c>
      <c r="E95" s="17" t="inlineStr">
        <is>
          <t>iorta TechNXT PM and support manager</t>
        </is>
      </c>
      <c r="F95" s="17" t="inlineStr">
        <is>
          <t>Hypercare Exit and Handover Certificate</t>
        </is>
      </c>
      <c r="G95" s="17" t="inlineStr">
        <is>
          <t>H1, H2</t>
        </is>
      </c>
      <c r="H95" s="18" t="n">
        <v>0</v>
      </c>
      <c r="I95" s="18" t="n">
        <v>130</v>
      </c>
      <c r="J95" s="18" t="n">
        <v>130</v>
      </c>
      <c r="K95" s="19">
        <f>WORKDAY($D$2,I95)</f>
        <v/>
      </c>
      <c r="L95" s="19">
        <f>IF(H95=0,K95,WORKDAY($D$2,J95-1))</f>
        <v/>
      </c>
      <c r="M95" s="18" t="n">
        <v>26</v>
      </c>
      <c r="N95" s="18" t="n">
        <v>26</v>
      </c>
      <c r="O95" s="18" t="n"/>
      <c r="P95" s="18" t="inlineStr"/>
      <c r="Q95" s="18" t="inlineStr">
        <is>
          <t>Hypercare exit</t>
        </is>
      </c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2" t="n"/>
      <c r="AM95" s="21" t="n"/>
      <c r="AN95" s="21" t="n"/>
      <c r="AO95" s="21" t="n"/>
      <c r="AP95" s="21" t="n"/>
      <c r="AQ95" s="20" t="inlineStr">
        <is>
          <t>◆</t>
        </is>
      </c>
    </row>
  </sheetData>
  <autoFilter ref="A5:Q9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4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Milestones and their evidence</t>
        </is>
      </c>
    </row>
    <row r="3">
      <c r="A3" s="6" t="inlineStr">
        <is>
          <t>ID</t>
        </is>
      </c>
      <c r="B3" s="6" t="inlineStr">
        <is>
          <t>Milestone</t>
        </is>
      </c>
      <c r="C3" s="6" t="inlineStr">
        <is>
          <t>Evidence</t>
        </is>
      </c>
      <c r="D3" s="6" t="inlineStr">
        <is>
          <t>Accountable</t>
        </is>
      </c>
      <c r="E3" s="6" t="inlineStr">
        <is>
          <t>Small week</t>
        </is>
      </c>
      <c r="F3" s="6" t="inlineStr">
        <is>
          <t>Medium week</t>
        </is>
      </c>
      <c r="G3" s="6" t="inlineStr">
        <is>
          <t>Large week</t>
        </is>
      </c>
      <c r="H3" s="6" t="inlineStr">
        <is>
          <t>Enterprise week</t>
        </is>
      </c>
    </row>
    <row r="4">
      <c r="A4" s="10" t="inlineStr">
        <is>
          <t>M1</t>
        </is>
      </c>
      <c r="B4" s="10" t="inlineStr">
        <is>
          <t>Kick-off</t>
        </is>
      </c>
      <c r="C4" s="10" t="inlineStr">
        <is>
          <t>Kick-off held; plan and go-live date confirmed</t>
        </is>
      </c>
      <c r="D4" s="10" t="inlineStr">
        <is>
          <t>iorta TechNXT PM</t>
        </is>
      </c>
      <c r="E4" s="10" t="inlineStr">
        <is>
          <t>W1</t>
        </is>
      </c>
      <c r="F4" s="10" t="inlineStr">
        <is>
          <t>W1</t>
        </is>
      </c>
      <c r="G4" s="10" t="inlineStr">
        <is>
          <t>W1</t>
        </is>
      </c>
      <c r="H4" s="10" t="inlineStr">
        <is>
          <t>W1</t>
        </is>
      </c>
    </row>
    <row r="5">
      <c r="A5" s="10" t="inlineStr">
        <is>
          <t>D5</t>
        </is>
      </c>
      <c r="B5" s="10" t="inlineStr">
        <is>
          <t>Configuration decisions and fit-gap register signed</t>
        </is>
      </c>
      <c r="C5" s="10" t="inlineStr">
        <is>
          <t>Signed fit-gap register</t>
        </is>
      </c>
      <c r="D5" s="10" t="inlineStr">
        <is>
          <t>Broker process owners</t>
        </is>
      </c>
      <c r="E5" s="10" t="inlineStr">
        <is>
          <t>W2</t>
        </is>
      </c>
      <c r="F5" s="10" t="inlineStr">
        <is>
          <t>W3</t>
        </is>
      </c>
      <c r="G5" s="10" t="inlineStr">
        <is>
          <t>W4</t>
        </is>
      </c>
      <c r="H5" s="10" t="inlineStr">
        <is>
          <t>W6</t>
        </is>
      </c>
    </row>
    <row r="6">
      <c r="A6" s="10" t="inlineStr">
        <is>
          <t>C5</t>
        </is>
      </c>
      <c r="B6" s="10" t="inlineStr">
        <is>
          <t>Configuration complete</t>
        </is>
      </c>
      <c r="C6" s="10" t="inlineStr">
        <is>
          <t>Checklist of GO_LIVE_DATA_SETUP steps 1 to 12</t>
        </is>
      </c>
      <c r="D6" s="10" t="inlineStr">
        <is>
          <t>iorta TechNXT delivery lead</t>
        </is>
      </c>
      <c r="E6" s="10" t="inlineStr">
        <is>
          <t>W4</t>
        </is>
      </c>
      <c r="F6" s="10" t="inlineStr">
        <is>
          <t>W6</t>
        </is>
      </c>
      <c r="G6" s="10" t="inlineStr">
        <is>
          <t>W10</t>
        </is>
      </c>
      <c r="H6" s="10" t="inlineStr">
        <is>
          <t>W13</t>
        </is>
      </c>
    </row>
    <row r="7">
      <c r="A7" s="10" t="inlineStr">
        <is>
          <t>T2</t>
        </is>
      </c>
      <c r="B7" s="10" t="inlineStr">
        <is>
          <t>SIT exit</t>
        </is>
      </c>
      <c r="C7" s="10" t="inlineStr">
        <is>
          <t>SIT exit report</t>
        </is>
      </c>
      <c r="D7" s="10" t="inlineStr">
        <is>
          <t>iorta TechNXT test lead</t>
        </is>
      </c>
      <c r="E7" s="10" t="inlineStr">
        <is>
          <t>W4</t>
        </is>
      </c>
      <c r="F7" s="10" t="inlineStr">
        <is>
          <t>W7</t>
        </is>
      </c>
      <c r="G7" s="10" t="inlineStr">
        <is>
          <t>W12</t>
        </is>
      </c>
      <c r="H7" s="10" t="inlineStr">
        <is>
          <t>W16</t>
        </is>
      </c>
    </row>
    <row r="8">
      <c r="A8" s="10" t="inlineStr">
        <is>
          <t>T5</t>
        </is>
      </c>
      <c r="B8" s="10" t="inlineStr">
        <is>
          <t>UAT sign-off</t>
        </is>
      </c>
      <c r="C8" s="10" t="inlineStr">
        <is>
          <t>UAT Sign-off Certificate (Form 1)</t>
        </is>
      </c>
      <c r="D8" s="10" t="inlineStr">
        <is>
          <t>Broker sponsor and process owners</t>
        </is>
      </c>
      <c r="E8" s="10" t="inlineStr">
        <is>
          <t>W6</t>
        </is>
      </c>
      <c r="F8" s="10" t="inlineStr">
        <is>
          <t>W9</t>
        </is>
      </c>
      <c r="G8" s="10" t="inlineStr">
        <is>
          <t>W14</t>
        </is>
      </c>
      <c r="H8" s="10" t="inlineStr">
        <is>
          <t>W20</t>
        </is>
      </c>
    </row>
    <row r="9">
      <c r="A9" s="10" t="inlineStr">
        <is>
          <t>X4</t>
        </is>
      </c>
      <c r="B9" s="10" t="inlineStr">
        <is>
          <t>Go/no-go 1: UAT signed, rehearsal reconciled, users trained, registrations and partner states confirmed</t>
        </is>
      </c>
      <c r="C9" s="10" t="inlineStr">
        <is>
          <t>Minutes</t>
        </is>
      </c>
      <c r="D9" s="10" t="inlineStr">
        <is>
          <t>Steering committee</t>
        </is>
      </c>
      <c r="E9" s="10" t="inlineStr">
        <is>
          <t>W6</t>
        </is>
      </c>
      <c r="F9" s="10" t="inlineStr">
        <is>
          <t>W9</t>
        </is>
      </c>
      <c r="G9" s="10" t="inlineStr">
        <is>
          <t>W14</t>
        </is>
      </c>
      <c r="H9" s="10" t="inlineStr">
        <is>
          <t>W20</t>
        </is>
      </c>
    </row>
    <row r="10">
      <c r="A10" s="10" t="inlineStr">
        <is>
          <t>X6</t>
        </is>
      </c>
      <c r="B10" s="10" t="inlineStr">
        <is>
          <t>Go-live</t>
        </is>
      </c>
      <c r="C10" s="10" t="inlineStr">
        <is>
          <t>First day of transactions in BrokerVerse</t>
        </is>
      </c>
      <c r="D10" s="10" t="inlineStr">
        <is>
          <t>Broker sponsor</t>
        </is>
      </c>
      <c r="E10" s="10" t="inlineStr">
        <is>
          <t>W7</t>
        </is>
      </c>
      <c r="F10" s="10" t="inlineStr">
        <is>
          <t>W10</t>
        </is>
      </c>
      <c r="G10" s="10" t="inlineStr">
        <is>
          <t>W15</t>
        </is>
      </c>
      <c r="H10" s="10" t="inlineStr">
        <is>
          <t>W21</t>
        </is>
      </c>
    </row>
    <row r="11">
      <c r="A11" s="10" t="inlineStr">
        <is>
          <t>H3</t>
        </is>
      </c>
      <c r="B11" s="10" t="inlineStr">
        <is>
          <t>Knowledge transfer, configuration baseline (Current data workbook of Production), handover; Pre-Prod removed</t>
        </is>
      </c>
      <c r="C11" s="10" t="inlineStr">
        <is>
          <t>Hypercare Exit and Handover Certificate</t>
        </is>
      </c>
      <c r="D11" s="10" t="inlineStr">
        <is>
          <t>iorta TechNXT PM and support manager</t>
        </is>
      </c>
      <c r="E11" s="10" t="inlineStr">
        <is>
          <t>W8</t>
        </is>
      </c>
      <c r="F11" s="10" t="inlineStr">
        <is>
          <t>W12</t>
        </is>
      </c>
      <c r="G11" s="10" t="inlineStr">
        <is>
          <t>W20</t>
        </is>
      </c>
      <c r="H11" s="10" t="inlineStr">
        <is>
          <t>W26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50" customWidth="1" min="4" max="4"/>
    <col width="7" customWidth="1" min="5" max="5"/>
    <col width="16" customWidth="1" min="6" max="6"/>
    <col width="13" customWidth="1" min="7" max="7"/>
  </cols>
  <sheetData>
    <row r="1">
      <c r="A1" s="4" t="inlineStr">
        <is>
          <t>Dependencies: every link of the plan</t>
        </is>
      </c>
    </row>
    <row r="2">
      <c r="A2" s="5" t="inlineStr">
        <is>
          <t>FS = the task starts when the predecessor finishes; SS = the task starts when the predecessor has started (plus the lag). Lags in working days, by size.</t>
        </is>
      </c>
    </row>
    <row r="4">
      <c r="A4" s="6" t="inlineStr">
        <is>
          <t>Predecessor</t>
        </is>
      </c>
      <c r="B4" s="6" t="inlineStr">
        <is>
          <t>Predecessor task</t>
        </is>
      </c>
      <c r="C4" s="6" t="inlineStr">
        <is>
          <t>Successor</t>
        </is>
      </c>
      <c r="D4" s="6" t="inlineStr">
        <is>
          <t>Successor task</t>
        </is>
      </c>
      <c r="E4" s="6" t="inlineStr">
        <is>
          <t>Type</t>
        </is>
      </c>
      <c r="F4" s="6" t="inlineStr">
        <is>
          <t>Lag S / M / L / E (days)</t>
        </is>
      </c>
      <c r="G4" s="6" t="inlineStr">
        <is>
          <t>Holds back</t>
        </is>
      </c>
    </row>
    <row r="5">
      <c r="A5" s="10" t="inlineStr">
        <is>
          <t>M1</t>
        </is>
      </c>
      <c r="B5" s="10" t="inlineStr">
        <is>
          <t>Kick-off</t>
        </is>
      </c>
      <c r="C5" s="10" t="inlineStr">
        <is>
          <t>M2</t>
        </is>
      </c>
      <c r="D5" s="10" t="inlineStr">
        <is>
          <t>Project charter, baselined plan, governance calendar, RAID log</t>
        </is>
      </c>
      <c r="E5" s="10" t="inlineStr">
        <is>
          <t>FS</t>
        </is>
      </c>
      <c r="F5" s="10" t="inlineStr">
        <is>
          <t>0 / 0 / 0 / 0</t>
        </is>
      </c>
      <c r="G5" s="10" t="inlineStr">
        <is>
          <t>Go-live</t>
        </is>
      </c>
    </row>
    <row r="6">
      <c r="A6" s="10" t="inlineStr">
        <is>
          <t>M1</t>
        </is>
      </c>
      <c r="B6" s="10" t="inlineStr">
        <is>
          <t>Kick-off</t>
        </is>
      </c>
      <c r="C6" s="10" t="inlineStr">
        <is>
          <t>M3</t>
        </is>
      </c>
      <c r="D6" s="10" t="inlineStr">
        <is>
          <t>Data request list and the go-live kits issued (configuration and migration workbooks, upload templates)</t>
        </is>
      </c>
      <c r="E6" s="10" t="inlineStr">
        <is>
          <t>FS</t>
        </is>
      </c>
      <c r="F6" s="10" t="inlineStr">
        <is>
          <t>0 / 0 / 0 / 0</t>
        </is>
      </c>
      <c r="G6" s="10" t="inlineStr">
        <is>
          <t>Go-live</t>
        </is>
      </c>
    </row>
    <row r="7">
      <c r="A7" s="10" t="inlineStr">
        <is>
          <t>M1</t>
        </is>
      </c>
      <c r="B7" s="10" t="inlineStr">
        <is>
          <t>Kick-off</t>
        </is>
      </c>
      <c r="C7" s="10" t="inlineStr">
        <is>
          <t>M4</t>
        </is>
      </c>
      <c r="D7" s="10" t="inlineStr">
        <is>
          <t>Broker team named: PM, key users, Accounting Manager, System Administrator, compliance officer, DPO</t>
        </is>
      </c>
      <c r="E7" s="10" t="inlineStr">
        <is>
          <t>FS</t>
        </is>
      </c>
      <c r="F7" s="10" t="inlineStr">
        <is>
          <t>0 / 0 / 0 / 0</t>
        </is>
      </c>
      <c r="G7" s="10" t="inlineStr">
        <is>
          <t>Go-live</t>
        </is>
      </c>
    </row>
    <row r="8">
      <c r="A8" s="10" t="inlineStr">
        <is>
          <t>M1</t>
        </is>
      </c>
      <c r="B8" s="10" t="inlineStr">
        <is>
          <t>Kick-off</t>
        </is>
      </c>
      <c r="C8" s="10" t="inlineStr">
        <is>
          <t>M5</t>
        </is>
      </c>
      <c r="D8" s="10" t="inlineStr">
        <is>
          <t>Hosting option, environment set and data location confirmed; environments ordered</t>
        </is>
      </c>
      <c r="E8" s="10" t="inlineStr">
        <is>
          <t>FS</t>
        </is>
      </c>
      <c r="F8" s="10" t="inlineStr">
        <is>
          <t>0 / 0 / 0 / 0</t>
        </is>
      </c>
      <c r="G8" s="10" t="inlineStr">
        <is>
          <t>Go-live</t>
        </is>
      </c>
    </row>
    <row r="9">
      <c r="A9" s="10" t="inlineStr">
        <is>
          <t>M5</t>
        </is>
      </c>
      <c r="B9" s="10" t="inlineStr">
        <is>
          <t>Hosting option, environment set and data location confirmed; environments ordered</t>
        </is>
      </c>
      <c r="C9" s="10" t="inlineStr">
        <is>
          <t>E1</t>
        </is>
      </c>
      <c r="D9" s="10" t="inlineStr">
        <is>
          <t>Dev provisioned</t>
        </is>
      </c>
      <c r="E9" s="10" t="inlineStr">
        <is>
          <t>FS</t>
        </is>
      </c>
      <c r="F9" s="10" t="inlineStr">
        <is>
          <t>0 / 0 / 0 / 0</t>
        </is>
      </c>
      <c r="G9" s="10" t="inlineStr">
        <is>
          <t>Go-live</t>
        </is>
      </c>
    </row>
    <row r="10">
      <c r="A10" s="10" t="inlineStr">
        <is>
          <t>E1</t>
        </is>
      </c>
      <c r="B10" s="10" t="inlineStr">
        <is>
          <t>Dev provisioned</t>
        </is>
      </c>
      <c r="C10" s="10" t="inlineStr">
        <is>
          <t>E2</t>
        </is>
      </c>
      <c r="D10" s="10" t="inlineStr">
        <is>
          <t>SIT provisioned (large and enterprise brokers)</t>
        </is>
      </c>
      <c r="E10" s="10" t="inlineStr">
        <is>
          <t>FS</t>
        </is>
      </c>
      <c r="F10" s="10" t="inlineStr">
        <is>
          <t>0 / 0 / 0 / 0</t>
        </is>
      </c>
      <c r="G10" s="10" t="inlineStr">
        <is>
          <t>Go-live</t>
        </is>
      </c>
    </row>
    <row r="11">
      <c r="A11" s="10" t="inlineStr">
        <is>
          <t>M5</t>
        </is>
      </c>
      <c r="B11" s="10" t="inlineStr">
        <is>
          <t>Hosting option, environment set and data location confirmed; environments ordered</t>
        </is>
      </c>
      <c r="C11" s="10" t="inlineStr">
        <is>
          <t>E3</t>
        </is>
      </c>
      <c r="D11" s="10" t="inlineStr">
        <is>
          <t>UAT provisioned</t>
        </is>
      </c>
      <c r="E11" s="10" t="inlineStr">
        <is>
          <t>FS</t>
        </is>
      </c>
      <c r="F11" s="10" t="inlineStr">
        <is>
          <t>0 / 0 / 0 / 0</t>
        </is>
      </c>
      <c r="G11" s="10" t="inlineStr">
        <is>
          <t>Go-live</t>
        </is>
      </c>
    </row>
    <row r="12">
      <c r="A12" s="10" t="inlineStr">
        <is>
          <t>E1</t>
        </is>
      </c>
      <c r="B12" s="10" t="inlineStr">
        <is>
          <t>Dev provisioned</t>
        </is>
      </c>
      <c r="C12" s="10" t="inlineStr">
        <is>
          <t>E4</t>
        </is>
      </c>
      <c r="D12" s="10" t="inlineStr">
        <is>
          <t>GitHub Environments (dev, sit, uat, preprod, production): protection rules, reviewers, variables, environment secrets</t>
        </is>
      </c>
      <c r="E12" s="10" t="inlineStr">
        <is>
          <t>FS</t>
        </is>
      </c>
      <c r="F12" s="10" t="inlineStr">
        <is>
          <t>0 / 0 / 0 / 0</t>
        </is>
      </c>
      <c r="G12" s="10" t="inlineStr">
        <is>
          <t>Go-live</t>
        </is>
      </c>
    </row>
    <row r="13">
      <c r="A13" s="10" t="inlineStr">
        <is>
          <t>E1</t>
        </is>
      </c>
      <c r="B13" s="10" t="inlineStr">
        <is>
          <t>Dev provisioned</t>
        </is>
      </c>
      <c r="C13" s="10" t="inlineStr">
        <is>
          <t>E5</t>
        </is>
      </c>
      <c r="D13" s="10" t="inlineStr">
        <is>
          <t>Application secrets per environment in the secret store: JWT_SECRET, DATA_ENCRYPTION_KEY, PII_ENCRYPTION_KEY generated; key custody and escrow copy agreed</t>
        </is>
      </c>
      <c r="E13" s="10" t="inlineStr">
        <is>
          <t>FS</t>
        </is>
      </c>
      <c r="F13" s="10" t="inlineStr">
        <is>
          <t>0 / 0 / 0 / 0</t>
        </is>
      </c>
      <c r="G13" s="10" t="inlineStr">
        <is>
          <t>Go-live</t>
        </is>
      </c>
    </row>
    <row r="14">
      <c r="A14" s="10" t="inlineStr">
        <is>
          <t>E4</t>
        </is>
      </c>
      <c r="B14" s="10" t="inlineStr">
        <is>
          <t>GitHub Environments (dev, sit, uat, preprod, production): protection rules, reviewers, variables, environment secrets</t>
        </is>
      </c>
      <c r="C14" s="10" t="inlineStr">
        <is>
          <t>E6</t>
        </is>
      </c>
      <c r="D14" s="10" t="inlineStr">
        <is>
          <t>First deployment through the pipeline (CI, deploy, smoke test) to Dev and UAT (and SIT)</t>
        </is>
      </c>
      <c r="E14" s="10" t="inlineStr">
        <is>
          <t>FS</t>
        </is>
      </c>
      <c r="F14" s="10" t="inlineStr">
        <is>
          <t>0 / 0 / 0 / 0</t>
        </is>
      </c>
      <c r="G14" s="10" t="inlineStr">
        <is>
          <t>Go-live</t>
        </is>
      </c>
    </row>
    <row r="15">
      <c r="A15" s="10" t="inlineStr">
        <is>
          <t>E5</t>
        </is>
      </c>
      <c r="B15" s="10" t="inlineStr">
        <is>
          <t>Application secrets per environment in the secret store: JWT_SECRET, DATA_ENCRYPTION_KEY, PII_ENCRYPTION_KEY generated; key custody and escrow copy agreed</t>
        </is>
      </c>
      <c r="C15" s="10" t="inlineStr">
        <is>
          <t>E6</t>
        </is>
      </c>
      <c r="D15" s="10" t="inlineStr">
        <is>
          <t>First deployment through the pipeline (CI, deploy, smoke test) to Dev and UAT (and SIT)</t>
        </is>
      </c>
      <c r="E15" s="10" t="inlineStr">
        <is>
          <t>FS</t>
        </is>
      </c>
      <c r="F15" s="10" t="inlineStr">
        <is>
          <t>0 / 0 / 0 / 0</t>
        </is>
      </c>
      <c r="G15" s="10" t="inlineStr">
        <is>
          <t>Go-live</t>
        </is>
      </c>
    </row>
    <row r="16">
      <c r="A16" s="10" t="inlineStr">
        <is>
          <t>E3</t>
        </is>
      </c>
      <c r="B16" s="10" t="inlineStr">
        <is>
          <t>UAT provisioned</t>
        </is>
      </c>
      <c r="C16" s="10" t="inlineStr">
        <is>
          <t>E6</t>
        </is>
      </c>
      <c r="D16" s="10" t="inlineStr">
        <is>
          <t>First deployment through the pipeline (CI, deploy, smoke test) to Dev and UAT (and SIT)</t>
        </is>
      </c>
      <c r="E16" s="10" t="inlineStr">
        <is>
          <t>FS</t>
        </is>
      </c>
      <c r="F16" s="10" t="inlineStr">
        <is>
          <t>0 / 0 / 0 / 0</t>
        </is>
      </c>
      <c r="G16" s="10" t="inlineStr">
        <is>
          <t>Go-live</t>
        </is>
      </c>
    </row>
    <row r="17">
      <c r="A17" s="10" t="inlineStr">
        <is>
          <t>E2</t>
        </is>
      </c>
      <c r="B17" s="10" t="inlineStr">
        <is>
          <t>SIT provisioned (large and enterprise brokers)</t>
        </is>
      </c>
      <c r="C17" s="10" t="inlineStr">
        <is>
          <t>E6</t>
        </is>
      </c>
      <c r="D17" s="10" t="inlineStr">
        <is>
          <t>First deployment through the pipeline (CI, deploy, smoke test) to Dev and UAT (and SIT)</t>
        </is>
      </c>
      <c r="E17" s="10" t="inlineStr">
        <is>
          <t>FS</t>
        </is>
      </c>
      <c r="F17" s="10" t="inlineStr">
        <is>
          <t>0 / 0 / 0 / 0</t>
        </is>
      </c>
      <c r="G17" s="10" t="inlineStr">
        <is>
          <t>Go-live</t>
        </is>
      </c>
    </row>
    <row r="18">
      <c r="A18" s="10" t="inlineStr">
        <is>
          <t>E5</t>
        </is>
      </c>
      <c r="B18" s="10" t="inlineStr">
        <is>
          <t>Application secrets per environment in the secret store: JWT_SECRET, DATA_ENCRYPTION_KEY, PII_ENCRYPTION_KEY generated; key custody and escrow copy agreed</t>
        </is>
      </c>
      <c r="C18" s="10" t="inlineStr">
        <is>
          <t>E7</t>
        </is>
      </c>
      <c r="D18" s="10" t="inlineStr">
        <is>
          <t>Production provisioned at production topology; backups, monitoring, restore test</t>
        </is>
      </c>
      <c r="E18" s="10" t="inlineStr">
        <is>
          <t>FS</t>
        </is>
      </c>
      <c r="F18" s="10" t="inlineStr">
        <is>
          <t>0 / 0 / 0 / 0</t>
        </is>
      </c>
      <c r="G18" s="10" t="inlineStr">
        <is>
          <t>Go-live</t>
        </is>
      </c>
    </row>
    <row r="19">
      <c r="A19" s="10" t="inlineStr">
        <is>
          <t>M1</t>
        </is>
      </c>
      <c r="B19" s="10" t="inlineStr">
        <is>
          <t>Kick-off</t>
        </is>
      </c>
      <c r="C19" s="10" t="inlineStr">
        <is>
          <t>D1</t>
        </is>
      </c>
      <c r="D19" s="10" t="inlineStr">
        <is>
          <t>Process workshops on the delivered system: organisation, sales, placement, servicing, claims, billing, remittance, commission, ledger, tax, distribution</t>
        </is>
      </c>
      <c r="E19" s="10" t="inlineStr">
        <is>
          <t>FS</t>
        </is>
      </c>
      <c r="F19" s="10" t="inlineStr">
        <is>
          <t>0 / 0 / 0 / 0</t>
        </is>
      </c>
      <c r="G19" s="10" t="inlineStr">
        <is>
          <t>Go-live</t>
        </is>
      </c>
    </row>
    <row r="20">
      <c r="A20" s="10" t="inlineStr">
        <is>
          <t>M4</t>
        </is>
      </c>
      <c r="B20" s="10" t="inlineStr">
        <is>
          <t>Broker team named: PM, key users, Accounting Manager, System Administrator, compliance officer, DPO</t>
        </is>
      </c>
      <c r="C20" s="10" t="inlineStr">
        <is>
          <t>D2</t>
        </is>
      </c>
      <c r="D20" s="10" t="inlineStr">
        <is>
          <t>Compliance workshop: AML/CFT programme, IC registers, complaints, breach procedure, masking by role</t>
        </is>
      </c>
      <c r="E20" s="10" t="inlineStr">
        <is>
          <t>FS</t>
        </is>
      </c>
      <c r="F20" s="10" t="inlineStr">
        <is>
          <t>0 / 0 / 0 / 0</t>
        </is>
      </c>
      <c r="G20" s="10" t="inlineStr">
        <is>
          <t>Go-live</t>
        </is>
      </c>
    </row>
    <row r="21">
      <c r="A21" s="10" t="inlineStr">
        <is>
          <t>M4</t>
        </is>
      </c>
      <c r="B21" s="10" t="inlineStr">
        <is>
          <t>Broker team named: PM, key users, Accounting Manager, System Administrator, compliance officer, DPO</t>
        </is>
      </c>
      <c r="C21" s="10" t="inlineStr">
        <is>
          <t>D3</t>
        </is>
      </c>
      <c r="D21" s="10" t="inlineStr">
        <is>
          <t>Integration workshop: banks, SMS or Viber, CTPL authentication and LTO, insurers, payment gateway, BIR EIS, AMLC reporting</t>
        </is>
      </c>
      <c r="E21" s="10" t="inlineStr">
        <is>
          <t>FS</t>
        </is>
      </c>
      <c r="F21" s="10" t="inlineStr">
        <is>
          <t>0 / 0 / 0 / 0</t>
        </is>
      </c>
      <c r="G21" s="10" t="inlineStr">
        <is>
          <t>Go-live</t>
        </is>
      </c>
    </row>
    <row r="22">
      <c r="A22" s="10" t="inlineStr">
        <is>
          <t>M4</t>
        </is>
      </c>
      <c r="B22" s="10" t="inlineStr">
        <is>
          <t>Broker team named: PM, key users, Accounting Manager, System Administrator, compliance officer, DPO</t>
        </is>
      </c>
      <c r="C22" s="10" t="inlineStr">
        <is>
          <t>D4</t>
        </is>
      </c>
      <c r="D22" s="10" t="inlineStr">
        <is>
          <t>Branding workshop: theme, logo, sign-in picture, documents, e-signatures, brand pack choice</t>
        </is>
      </c>
      <c r="E22" s="10" t="inlineStr">
        <is>
          <t>FS</t>
        </is>
      </c>
      <c r="F22" s="10" t="inlineStr">
        <is>
          <t>0 / 0 / 0 / 0</t>
        </is>
      </c>
      <c r="G22" s="10" t="inlineStr">
        <is>
          <t>Go-live</t>
        </is>
      </c>
    </row>
    <row r="23">
      <c r="A23" s="10" t="inlineStr">
        <is>
          <t>D1</t>
        </is>
      </c>
      <c r="B23" s="10" t="inlineStr">
        <is>
          <t>Process workshops on the delivered system: organisation, sales, placement, servicing, claims, billing, remittance, commission, ledger, tax, distribution</t>
        </is>
      </c>
      <c r="C23" s="10" t="inlineStr">
        <is>
          <t>D5</t>
        </is>
      </c>
      <c r="D23" s="10" t="inlineStr">
        <is>
          <t>Configuration decisions and fit-gap register signed</t>
        </is>
      </c>
      <c r="E23" s="10" t="inlineStr">
        <is>
          <t>FS</t>
        </is>
      </c>
      <c r="F23" s="10" t="inlineStr">
        <is>
          <t>0 / 0 / 0 / 0</t>
        </is>
      </c>
      <c r="G23" s="10" t="inlineStr">
        <is>
          <t>Go-live</t>
        </is>
      </c>
    </row>
    <row r="24">
      <c r="A24" s="10" t="inlineStr">
        <is>
          <t>D2</t>
        </is>
      </c>
      <c r="B24" s="10" t="inlineStr">
        <is>
          <t>Compliance workshop: AML/CFT programme, IC registers, complaints, breach procedure, masking by role</t>
        </is>
      </c>
      <c r="C24" s="10" t="inlineStr">
        <is>
          <t>D5</t>
        </is>
      </c>
      <c r="D24" s="10" t="inlineStr">
        <is>
          <t>Configuration decisions and fit-gap register signed</t>
        </is>
      </c>
      <c r="E24" s="10" t="inlineStr">
        <is>
          <t>FS</t>
        </is>
      </c>
      <c r="F24" s="10" t="inlineStr">
        <is>
          <t>0 / 0 / 0 / 0</t>
        </is>
      </c>
      <c r="G24" s="10" t="inlineStr">
        <is>
          <t>Go-live</t>
        </is>
      </c>
    </row>
    <row r="25">
      <c r="A25" s="10" t="inlineStr">
        <is>
          <t>D3</t>
        </is>
      </c>
      <c r="B25" s="10" t="inlineStr">
        <is>
          <t>Integration workshop: banks, SMS or Viber, CTPL authentication and LTO, insurers, payment gateway, BIR EIS, AMLC reporting</t>
        </is>
      </c>
      <c r="C25" s="10" t="inlineStr">
        <is>
          <t>D5</t>
        </is>
      </c>
      <c r="D25" s="10" t="inlineStr">
        <is>
          <t>Configuration decisions and fit-gap register signed</t>
        </is>
      </c>
      <c r="E25" s="10" t="inlineStr">
        <is>
          <t>FS</t>
        </is>
      </c>
      <c r="F25" s="10" t="inlineStr">
        <is>
          <t>0 / 0 / 0 / 0</t>
        </is>
      </c>
      <c r="G25" s="10" t="inlineStr">
        <is>
          <t>Go-live</t>
        </is>
      </c>
    </row>
    <row r="26">
      <c r="A26" s="10" t="inlineStr">
        <is>
          <t>D4</t>
        </is>
      </c>
      <c r="B26" s="10" t="inlineStr">
        <is>
          <t>Branding workshop: theme, logo, sign-in picture, documents, e-signatures, brand pack choice</t>
        </is>
      </c>
      <c r="C26" s="10" t="inlineStr">
        <is>
          <t>D5</t>
        </is>
      </c>
      <c r="D26" s="10" t="inlineStr">
        <is>
          <t>Configuration decisions and fit-gap register signed</t>
        </is>
      </c>
      <c r="E26" s="10" t="inlineStr">
        <is>
          <t>FS</t>
        </is>
      </c>
      <c r="F26" s="10" t="inlineStr">
        <is>
          <t>0 / 0 / 0 / 0</t>
        </is>
      </c>
      <c r="G26" s="10" t="inlineStr">
        <is>
          <t>Go-live</t>
        </is>
      </c>
    </row>
    <row r="27">
      <c r="A27" s="10" t="inlineStr">
        <is>
          <t>M2</t>
        </is>
      </c>
      <c r="B27" s="10" t="inlineStr">
        <is>
          <t>Project charter, baselined plan, governance calendar, RAID log</t>
        </is>
      </c>
      <c r="C27" s="10" t="inlineStr">
        <is>
          <t>D5</t>
        </is>
      </c>
      <c r="D27" s="10" t="inlineStr">
        <is>
          <t>Configuration decisions and fit-gap register signed</t>
        </is>
      </c>
      <c r="E27" s="10" t="inlineStr">
        <is>
          <t>FS</t>
        </is>
      </c>
      <c r="F27" s="10" t="inlineStr">
        <is>
          <t>0 / 0 / 0 / 0</t>
        </is>
      </c>
      <c r="G27" s="10" t="inlineStr">
        <is>
          <t>Go-live</t>
        </is>
      </c>
    </row>
    <row r="28">
      <c r="A28" s="10" t="inlineStr">
        <is>
          <t>M3</t>
        </is>
      </c>
      <c r="B28" s="10" t="inlineStr">
        <is>
          <t>Data request list and the go-live kits issued (configuration and migration workbooks, upload templates)</t>
        </is>
      </c>
      <c r="C28" s="10" t="inlineStr">
        <is>
          <t>I1</t>
        </is>
      </c>
      <c r="D28" s="10" t="inlineStr">
        <is>
          <t>Insurer list and agreements, commission and referrer rates, product list</t>
        </is>
      </c>
      <c r="E28" s="10" t="inlineStr">
        <is>
          <t>FS</t>
        </is>
      </c>
      <c r="F28" s="10" t="inlineStr">
        <is>
          <t>0 / 0 / 0 / 0</t>
        </is>
      </c>
      <c r="G28" s="10" t="inlineStr">
        <is>
          <t>Go-live</t>
        </is>
      </c>
    </row>
    <row r="29">
      <c r="A29" s="10" t="inlineStr">
        <is>
          <t>M3</t>
        </is>
      </c>
      <c r="B29" s="10" t="inlineStr">
        <is>
          <t>Data request list and the go-live kits issued (configuration and migration workbooks, upload templates)</t>
        </is>
      </c>
      <c r="C29" s="10" t="inlineStr">
        <is>
          <t>I2</t>
        </is>
      </c>
      <c r="D29" s="10" t="inlineStr">
        <is>
          <t>Chart of accounts and the accountant's mapping decisions</t>
        </is>
      </c>
      <c r="E29" s="10" t="inlineStr">
        <is>
          <t>FS</t>
        </is>
      </c>
      <c r="F29" s="10" t="inlineStr">
        <is>
          <t>0 / 0 / 0 / 0</t>
        </is>
      </c>
      <c r="G29" s="10" t="inlineStr">
        <is>
          <t>Go-live</t>
        </is>
      </c>
    </row>
    <row r="30">
      <c r="A30" s="10" t="inlineStr">
        <is>
          <t>M3</t>
        </is>
      </c>
      <c r="B30" s="10" t="inlineStr">
        <is>
          <t>Data request list and the go-live kits issued (configuration and migration workbooks, upload templates)</t>
        </is>
      </c>
      <c r="C30" s="10" t="inlineStr">
        <is>
          <t>I3</t>
        </is>
      </c>
      <c r="D30" s="10" t="inlineStr">
        <is>
          <t>User list with roles, branches and reporting lines (My Team follows the reporting line)</t>
        </is>
      </c>
      <c r="E30" s="10" t="inlineStr">
        <is>
          <t>FS</t>
        </is>
      </c>
      <c r="F30" s="10" t="inlineStr">
        <is>
          <t>0 / 0 / 0 / 0</t>
        </is>
      </c>
      <c r="G30" s="10" t="inlineStr">
        <is>
          <t>Go-live</t>
        </is>
      </c>
    </row>
    <row r="31">
      <c r="A31" s="10" t="inlineStr">
        <is>
          <t>M3</t>
        </is>
      </c>
      <c r="B31" s="10" t="inlineStr">
        <is>
          <t>Data request list and the go-live kits issued (configuration and migration workbooks, upload templates)</t>
        </is>
      </c>
      <c r="C31" s="10" t="inlineStr">
        <is>
          <t>I4</t>
        </is>
      </c>
      <c r="D31" s="10" t="inlineStr">
        <is>
          <t>SMTP mailbox and credentials</t>
        </is>
      </c>
      <c r="E31" s="10" t="inlineStr">
        <is>
          <t>FS</t>
        </is>
      </c>
      <c r="F31" s="10" t="inlineStr">
        <is>
          <t>0 / 0 / 0 / 0</t>
        </is>
      </c>
      <c r="G31" s="10" t="inlineStr">
        <is>
          <t>Go-live</t>
        </is>
      </c>
    </row>
    <row r="32">
      <c r="A32" s="10" t="inlineStr">
        <is>
          <t>M3</t>
        </is>
      </c>
      <c r="B32" s="10" t="inlineStr">
        <is>
          <t>Data request list and the go-live kits issued (configuration and migration workbooks, upload templates)</t>
        </is>
      </c>
      <c r="C32" s="10" t="inlineStr">
        <is>
          <t>I5</t>
        </is>
      </c>
      <c r="D32" s="10" t="inlineStr">
        <is>
          <t>Bank accounts, one statement export per account, bank contacts for payment files, payee bank accounts</t>
        </is>
      </c>
      <c r="E32" s="10" t="inlineStr">
        <is>
          <t>FS</t>
        </is>
      </c>
      <c r="F32" s="10" t="inlineStr">
        <is>
          <t>0 / 0 / 0 / 0</t>
        </is>
      </c>
      <c r="G32" s="10" t="inlineStr">
        <is>
          <t>Feature only</t>
        </is>
      </c>
    </row>
    <row r="33">
      <c r="A33" s="10" t="inlineStr">
        <is>
          <t>D3</t>
        </is>
      </c>
      <c r="B33" s="10" t="inlineStr">
        <is>
          <t>Integration workshop: banks, SMS or Viber, CTPL authentication and LTO, insurers, payment gateway, BIR EIS, AMLC reporting</t>
        </is>
      </c>
      <c r="C33" s="10" t="inlineStr">
        <is>
          <t>I6</t>
        </is>
      </c>
      <c r="D33" s="10" t="inlineStr">
        <is>
          <t>Partner contracts and credentials: SMS provider, CTPL authentication provider, payment gateway, insurer API access</t>
        </is>
      </c>
      <c r="E33" s="10" t="inlineStr">
        <is>
          <t>FS</t>
        </is>
      </c>
      <c r="F33" s="10" t="inlineStr">
        <is>
          <t>0 / 0 / 0 / 0</t>
        </is>
      </c>
      <c r="G33" s="10" t="inlineStr">
        <is>
          <t>Feature only</t>
        </is>
      </c>
    </row>
    <row r="34">
      <c r="A34" s="10" t="inlineStr">
        <is>
          <t>M3</t>
        </is>
      </c>
      <c r="B34" s="10" t="inlineStr">
        <is>
          <t>Data request list and the go-live kits issued (configuration and migration workbooks, upload templates)</t>
        </is>
      </c>
      <c r="C34" s="10" t="inlineStr">
        <is>
          <t>I7</t>
        </is>
      </c>
      <c r="D34" s="10" t="inlineStr">
        <is>
          <t>COC number series from each insurer</t>
        </is>
      </c>
      <c r="E34" s="10" t="inlineStr">
        <is>
          <t>FS</t>
        </is>
      </c>
      <c r="F34" s="10" t="inlineStr">
        <is>
          <t>0 / 0 / 0 / 0</t>
        </is>
      </c>
      <c r="G34" s="10" t="inlineStr">
        <is>
          <t>Feature only</t>
        </is>
      </c>
    </row>
    <row r="35">
      <c r="A35" s="10" t="inlineStr">
        <is>
          <t>D4</t>
        </is>
      </c>
      <c r="B35" s="10" t="inlineStr">
        <is>
          <t>Branding workshop: theme, logo, sign-in picture, documents, e-signatures, brand pack choice</t>
        </is>
      </c>
      <c r="C35" s="10" t="inlineStr">
        <is>
          <t>I8</t>
        </is>
      </c>
      <c r="D35" s="10" t="inlineStr">
        <is>
          <t>Logo, sign-in picture, signatories with e-signature consent</t>
        </is>
      </c>
      <c r="E35" s="10" t="inlineStr">
        <is>
          <t>FS</t>
        </is>
      </c>
      <c r="F35" s="10" t="inlineStr">
        <is>
          <t>0 / 0 / 0 / 0</t>
        </is>
      </c>
      <c r="G35" s="10" t="inlineStr">
        <is>
          <t>Go-live</t>
        </is>
      </c>
    </row>
    <row r="36">
      <c r="A36" s="10" t="inlineStr">
        <is>
          <t>M4</t>
        </is>
      </c>
      <c r="B36" s="10" t="inlineStr">
        <is>
          <t>Broker team named: PM, key users, Accounting Manager, System Administrator, compliance officer, DPO</t>
        </is>
      </c>
      <c r="C36" s="10" t="inlineStr">
        <is>
          <t>I9</t>
        </is>
      </c>
      <c r="D36" s="10" t="inlineStr">
        <is>
          <t>Training rooms, devices and attendance list</t>
        </is>
      </c>
      <c r="E36" s="10" t="inlineStr">
        <is>
          <t>FS</t>
        </is>
      </c>
      <c r="F36" s="10" t="inlineStr">
        <is>
          <t>0 / 0 / 0 / 0</t>
        </is>
      </c>
      <c r="G36" s="10" t="inlineStr">
        <is>
          <t>Go-live</t>
        </is>
      </c>
    </row>
    <row r="37">
      <c r="A37" s="10" t="inlineStr">
        <is>
          <t>M4</t>
        </is>
      </c>
      <c r="B37" s="10" t="inlineStr">
        <is>
          <t>Broker team named: PM, key users, Accounting Manager, System Administrator, compliance officer, DPO</t>
        </is>
      </c>
      <c r="C37" s="10" t="inlineStr">
        <is>
          <t>I10</t>
        </is>
      </c>
      <c r="D37" s="10" t="inlineStr">
        <is>
          <t>UAT testers and sign-off authority named</t>
        </is>
      </c>
      <c r="E37" s="10" t="inlineStr">
        <is>
          <t>FS</t>
        </is>
      </c>
      <c r="F37" s="10" t="inlineStr">
        <is>
          <t>0 / 0 / 0 / 0</t>
        </is>
      </c>
      <c r="G37" s="10" t="inlineStr">
        <is>
          <t>Go-live</t>
        </is>
      </c>
    </row>
    <row r="38">
      <c r="A38" s="10" t="inlineStr">
        <is>
          <t>M1</t>
        </is>
      </c>
      <c r="B38" s="10" t="inlineStr">
        <is>
          <t>Kick-off</t>
        </is>
      </c>
      <c r="C38" s="10" t="inlineStr">
        <is>
          <t>R1</t>
        </is>
      </c>
      <c r="D38" s="10" t="inlineStr">
        <is>
          <t>BIR: Authority to Print or CAS registration and the invoice serial range confirmed (new or existing); last numbers used</t>
        </is>
      </c>
      <c r="E38" s="10" t="inlineStr">
        <is>
          <t>FS</t>
        </is>
      </c>
      <c r="F38" s="10" t="inlineStr">
        <is>
          <t>0 / 0 / 0 / 0</t>
        </is>
      </c>
      <c r="G38" s="10" t="inlineStr">
        <is>
          <t>Go-live</t>
        </is>
      </c>
    </row>
    <row r="39">
      <c r="A39" s="10" t="inlineStr">
        <is>
          <t>M1</t>
        </is>
      </c>
      <c r="B39" s="10" t="inlineStr">
        <is>
          <t>Kick-off</t>
        </is>
      </c>
      <c r="C39" s="10" t="inlineStr">
        <is>
          <t>R2</t>
        </is>
      </c>
      <c r="D39" s="10" t="inlineStr">
        <is>
          <t>BIR: EIS enrolment and certification (when the broker is covered)</t>
        </is>
      </c>
      <c r="E39" s="10" t="inlineStr">
        <is>
          <t>FS</t>
        </is>
      </c>
      <c r="F39" s="10" t="inlineStr">
        <is>
          <t>0 / 0 / 0 / 0</t>
        </is>
      </c>
      <c r="G39" s="10" t="inlineStr">
        <is>
          <t>Feature only</t>
        </is>
      </c>
    </row>
    <row r="40">
      <c r="A40" s="10" t="inlineStr">
        <is>
          <t>M1</t>
        </is>
      </c>
      <c r="B40" s="10" t="inlineStr">
        <is>
          <t>Kick-off</t>
        </is>
      </c>
      <c r="C40" s="10" t="inlineStr">
        <is>
          <t>R3</t>
        </is>
      </c>
      <c r="D40" s="10" t="inlineStr">
        <is>
          <t>AMLC: registration of the broker as covered person, portal access, institution code</t>
        </is>
      </c>
      <c r="E40" s="10" t="inlineStr">
        <is>
          <t>FS</t>
        </is>
      </c>
      <c r="F40" s="10" t="inlineStr">
        <is>
          <t>0 / 0 / 0 / 0</t>
        </is>
      </c>
      <c r="G40" s="10" t="inlineStr">
        <is>
          <t>Go-live</t>
        </is>
      </c>
    </row>
    <row r="41">
      <c r="A41" s="10" t="inlineStr">
        <is>
          <t>M4</t>
        </is>
      </c>
      <c r="B41" s="10" t="inlineStr">
        <is>
          <t>Broker team named: PM, key users, Accounting Manager, System Administrator, compliance officer, DPO</t>
        </is>
      </c>
      <c r="C41" s="10" t="inlineStr">
        <is>
          <t>R4</t>
        </is>
      </c>
      <c r="D41" s="10" t="inlineStr">
        <is>
          <t>IC: licence data of the firm, officers and agents; certificates of authority of the insurers</t>
        </is>
      </c>
      <c r="E41" s="10" t="inlineStr">
        <is>
          <t>FS</t>
        </is>
      </c>
      <c r="F41" s="10" t="inlineStr">
        <is>
          <t>0 / 0 / 0 / 0</t>
        </is>
      </c>
      <c r="G41" s="10" t="inlineStr">
        <is>
          <t>Go-live</t>
        </is>
      </c>
    </row>
    <row r="42">
      <c r="A42" s="10" t="inlineStr">
        <is>
          <t>M1</t>
        </is>
      </c>
      <c r="B42" s="10" t="inlineStr">
        <is>
          <t>Kick-off</t>
        </is>
      </c>
      <c r="C42" s="10" t="inlineStr">
        <is>
          <t>R5</t>
        </is>
      </c>
      <c r="D42" s="10" t="inlineStr">
        <is>
          <t>NPC: registration of the DPO and the data processing systems confirmed; privacy notice version</t>
        </is>
      </c>
      <c r="E42" s="10" t="inlineStr">
        <is>
          <t>FS</t>
        </is>
      </c>
      <c r="F42" s="10" t="inlineStr">
        <is>
          <t>0 / 0 / 0 / 0</t>
        </is>
      </c>
      <c r="G42" s="10" t="inlineStr">
        <is>
          <t>Go-live</t>
        </is>
      </c>
    </row>
    <row r="43">
      <c r="A43" s="10" t="inlineStr">
        <is>
          <t>C3</t>
        </is>
      </c>
      <c r="B43" s="10" t="inlineStr">
        <is>
          <t>On-screen configuration: Product Configurator (templates, rating factors, acceptance rules, document templates, market mapping), tax codes, posting rules, approvals, roles, schedules</t>
        </is>
      </c>
      <c r="C43" s="10" t="inlineStr">
        <is>
          <t>R6</t>
        </is>
      </c>
      <c r="D43" s="10" t="inlineStr">
        <is>
          <t>Tax adviser confirmation: tax codes, ATC, rates, invoice and receipt wording, VAT treatment of commission</t>
        </is>
      </c>
      <c r="E43" s="10" t="inlineStr">
        <is>
          <t>SS</t>
        </is>
      </c>
      <c r="F43" s="10" t="inlineStr">
        <is>
          <t>3 / 5 / 8 / 10</t>
        </is>
      </c>
      <c r="G43" s="10" t="inlineStr">
        <is>
          <t>Go-live</t>
        </is>
      </c>
    </row>
    <row r="44">
      <c r="A44" s="10" t="inlineStr">
        <is>
          <t>D2</t>
        </is>
      </c>
      <c r="B44" s="10" t="inlineStr">
        <is>
          <t>Compliance workshop: AML/CFT programme, IC registers, complaints, breach procedure, masking by role</t>
        </is>
      </c>
      <c r="C44" s="10" t="inlineStr">
        <is>
          <t>R7</t>
        </is>
      </c>
      <c r="D44" s="10" t="inlineStr">
        <is>
          <t>Screening lists: UN and AMLC lists obtained; PEP list licence from a provider (when used)</t>
        </is>
      </c>
      <c r="E44" s="10" t="inlineStr">
        <is>
          <t>FS</t>
        </is>
      </c>
      <c r="F44" s="10" t="inlineStr">
        <is>
          <t>0 / 0 / 0 / 0</t>
        </is>
      </c>
      <c r="G44" s="10" t="inlineStr">
        <is>
          <t>Go-live</t>
        </is>
      </c>
    </row>
    <row r="45">
      <c r="A45" s="10" t="inlineStr">
        <is>
          <t>D4</t>
        </is>
      </c>
      <c r="B45" s="10" t="inlineStr">
        <is>
          <t>Branding workshop: theme, logo, sign-in picture, documents, e-signatures, brand pack choice</t>
        </is>
      </c>
      <c r="C45" s="10" t="inlineStr">
        <is>
          <t>R8</t>
        </is>
      </c>
      <c r="D45" s="10" t="inlineStr">
        <is>
          <t>Contract reference covering the use of the client's marks on the engagement file (client brand pack only)</t>
        </is>
      </c>
      <c r="E45" s="10" t="inlineStr">
        <is>
          <t>FS</t>
        </is>
      </c>
      <c r="F45" s="10" t="inlineStr">
        <is>
          <t>0 / 0 / 0 / 0</t>
        </is>
      </c>
      <c r="G45" s="10" t="inlineStr">
        <is>
          <t>Feature only</t>
        </is>
      </c>
    </row>
    <row r="46">
      <c r="A46" s="10" t="inlineStr">
        <is>
          <t>D1</t>
        </is>
      </c>
      <c r="B46" s="10" t="inlineStr">
        <is>
          <t>Process workshops on the delivered system: organisation, sales, placement, servicing, claims, billing, remittance, commission, ledger, tax, distribution</t>
        </is>
      </c>
      <c r="C46" s="10" t="inlineStr">
        <is>
          <t>C1</t>
        </is>
      </c>
      <c r="D46" s="10" t="inlineStr">
        <is>
          <t>Configuration kit filled: company, settings, PSGC addresses, branches, users, chart of accounts, banks, insurers, products, commission, taxes, authority limits, numbering</t>
        </is>
      </c>
      <c r="E46" s="10" t="inlineStr">
        <is>
          <t>SS</t>
        </is>
      </c>
      <c r="F46" s="10" t="inlineStr">
        <is>
          <t>3 / 5 / 6 / 10</t>
        </is>
      </c>
      <c r="G46" s="10" t="inlineStr">
        <is>
          <t>Go-live</t>
        </is>
      </c>
    </row>
    <row r="47">
      <c r="A47" s="10" t="inlineStr">
        <is>
          <t>I1</t>
        </is>
      </c>
      <c r="B47" s="10" t="inlineStr">
        <is>
          <t>Insurer list and agreements, commission and referrer rates, product list</t>
        </is>
      </c>
      <c r="C47" s="10" t="inlineStr">
        <is>
          <t>C1</t>
        </is>
      </c>
      <c r="D47" s="10" t="inlineStr">
        <is>
          <t>Configuration kit filled: company, settings, PSGC addresses, branches, users, chart of accounts, banks, insurers, products, commission, taxes, authority limits, numbering</t>
        </is>
      </c>
      <c r="E47" s="10" t="inlineStr">
        <is>
          <t>FS</t>
        </is>
      </c>
      <c r="F47" s="10" t="inlineStr">
        <is>
          <t>0 / 0 / 0 / 0</t>
        </is>
      </c>
      <c r="G47" s="10" t="inlineStr">
        <is>
          <t>Go-live</t>
        </is>
      </c>
    </row>
    <row r="48">
      <c r="A48" s="10" t="inlineStr">
        <is>
          <t>I2</t>
        </is>
      </c>
      <c r="B48" s="10" t="inlineStr">
        <is>
          <t>Chart of accounts and the accountant's mapping decisions</t>
        </is>
      </c>
      <c r="C48" s="10" t="inlineStr">
        <is>
          <t>C1</t>
        </is>
      </c>
      <c r="D48" s="10" t="inlineStr">
        <is>
          <t>Configuration kit filled: company, settings, PSGC addresses, branches, users, chart of accounts, banks, insurers, products, commission, taxes, authority limits, numbering</t>
        </is>
      </c>
      <c r="E48" s="10" t="inlineStr">
        <is>
          <t>FS</t>
        </is>
      </c>
      <c r="F48" s="10" t="inlineStr">
        <is>
          <t>0 / 0 / 0 / 0</t>
        </is>
      </c>
      <c r="G48" s="10" t="inlineStr">
        <is>
          <t>Go-live</t>
        </is>
      </c>
    </row>
    <row r="49">
      <c r="A49" s="10" t="inlineStr">
        <is>
          <t>I3</t>
        </is>
      </c>
      <c r="B49" s="10" t="inlineStr">
        <is>
          <t>User list with roles, branches and reporting lines (My Team follows the reporting line)</t>
        </is>
      </c>
      <c r="C49" s="10" t="inlineStr">
        <is>
          <t>C1</t>
        </is>
      </c>
      <c r="D49" s="10" t="inlineStr">
        <is>
          <t>Configuration kit filled: company, settings, PSGC addresses, branches, users, chart of accounts, banks, insurers, products, commission, taxes, authority limits, numbering</t>
        </is>
      </c>
      <c r="E49" s="10" t="inlineStr">
        <is>
          <t>FS</t>
        </is>
      </c>
      <c r="F49" s="10" t="inlineStr">
        <is>
          <t>0 / 0 / 0 / 0</t>
        </is>
      </c>
      <c r="G49" s="10" t="inlineStr">
        <is>
          <t>Go-live</t>
        </is>
      </c>
    </row>
    <row r="50">
      <c r="A50" s="10" t="inlineStr">
        <is>
          <t>C1</t>
        </is>
      </c>
      <c r="B50" s="10" t="inlineStr">
        <is>
          <t>Configuration kit filled: company, settings, PSGC addresses, branches, users, chart of accounts, banks, insurers, products, commission, taxes, authority limits, numbering</t>
        </is>
      </c>
      <c r="C50" s="10" t="inlineStr">
        <is>
          <t>C2</t>
        </is>
      </c>
      <c r="D50" s="10" t="inlineStr">
        <is>
          <t>Configuration kit uploaded, validated, errors workbook corrected and loaded in Dev (small, medium) or SIT (large, enterprise)</t>
        </is>
      </c>
      <c r="E50" s="10" t="inlineStr">
        <is>
          <t>FS</t>
        </is>
      </c>
      <c r="F50" s="10" t="inlineStr">
        <is>
          <t>0 / 0 / 0 / 0</t>
        </is>
      </c>
      <c r="G50" s="10" t="inlineStr">
        <is>
          <t>Go-live</t>
        </is>
      </c>
    </row>
    <row r="51">
      <c r="A51" s="10" t="inlineStr">
        <is>
          <t>E6</t>
        </is>
      </c>
      <c r="B51" s="10" t="inlineStr">
        <is>
          <t>First deployment through the pipeline (CI, deploy, smoke test) to Dev and UAT (and SIT)</t>
        </is>
      </c>
      <c r="C51" s="10" t="inlineStr">
        <is>
          <t>C2</t>
        </is>
      </c>
      <c r="D51" s="10" t="inlineStr">
        <is>
          <t>Configuration kit uploaded, validated, errors workbook corrected and loaded in Dev (small, medium) or SIT (large, enterprise)</t>
        </is>
      </c>
      <c r="E51" s="10" t="inlineStr">
        <is>
          <t>FS</t>
        </is>
      </c>
      <c r="F51" s="10" t="inlineStr">
        <is>
          <t>0 / 0 / 0 / 0</t>
        </is>
      </c>
      <c r="G51" s="10" t="inlineStr">
        <is>
          <t>Go-live</t>
        </is>
      </c>
    </row>
    <row r="52">
      <c r="A52" s="10" t="inlineStr">
        <is>
          <t>C2</t>
        </is>
      </c>
      <c r="B52" s="10" t="inlineStr">
        <is>
          <t>Configuration kit uploaded, validated, errors workbook corrected and loaded in Dev (small, medium) or SIT (large, enterprise)</t>
        </is>
      </c>
      <c r="C52" s="10" t="inlineStr">
        <is>
          <t>C3</t>
        </is>
      </c>
      <c r="D52" s="10" t="inlineStr">
        <is>
          <t>On-screen configuration: Product Configurator (templates, rating factors, acceptance rules, document templates, market mapping), tax codes, posting rules, approvals, roles, schedules</t>
        </is>
      </c>
      <c r="E52" s="10" t="inlineStr">
        <is>
          <t>FS</t>
        </is>
      </c>
      <c r="F52" s="10" t="inlineStr">
        <is>
          <t>0 / 0 / 0 / 0</t>
        </is>
      </c>
      <c r="G52" s="10" t="inlineStr">
        <is>
          <t>Go-live</t>
        </is>
      </c>
    </row>
    <row r="53">
      <c r="A53" s="10" t="inlineStr">
        <is>
          <t>D5</t>
        </is>
      </c>
      <c r="B53" s="10" t="inlineStr">
        <is>
          <t>Configuration decisions and fit-gap register signed</t>
        </is>
      </c>
      <c r="C53" s="10" t="inlineStr">
        <is>
          <t>C3</t>
        </is>
      </c>
      <c r="D53" s="10" t="inlineStr">
        <is>
          <t>On-screen configuration: Product Configurator (templates, rating factors, acceptance rules, document templates, market mapping), tax codes, posting rules, approvals, roles, schedules</t>
        </is>
      </c>
      <c r="E53" s="10" t="inlineStr">
        <is>
          <t>FS</t>
        </is>
      </c>
      <c r="F53" s="10" t="inlineStr">
        <is>
          <t>0 / 0 / 0 / 0</t>
        </is>
      </c>
      <c r="G53" s="10" t="inlineStr">
        <is>
          <t>Go-live</t>
        </is>
      </c>
    </row>
    <row r="54">
      <c r="A54" s="10" t="inlineStr">
        <is>
          <t>C2</t>
        </is>
      </c>
      <c r="B54" s="10" t="inlineStr">
        <is>
          <t>Configuration kit uploaded, validated, errors workbook corrected and loaded in Dev (small, medium) or SIT (large, enterprise)</t>
        </is>
      </c>
      <c r="C54" s="10" t="inlineStr">
        <is>
          <t>C4</t>
        </is>
      </c>
      <c r="D54" s="10" t="inlineStr">
        <is>
          <t>Configuration promoted to UAT for the first mock load (Current data workbook)</t>
        </is>
      </c>
      <c r="E54" s="10" t="inlineStr">
        <is>
          <t>FS</t>
        </is>
      </c>
      <c r="F54" s="10" t="inlineStr">
        <is>
          <t>0 / 0 / 0 / 0</t>
        </is>
      </c>
      <c r="G54" s="10" t="inlineStr">
        <is>
          <t>Go-live</t>
        </is>
      </c>
    </row>
    <row r="55">
      <c r="A55" s="10" t="inlineStr">
        <is>
          <t>C3</t>
        </is>
      </c>
      <c r="B55" s="10" t="inlineStr">
        <is>
          <t>On-screen configuration: Product Configurator (templates, rating factors, acceptance rules, document templates, market mapping), tax codes, posting rules, approvals, roles, schedules</t>
        </is>
      </c>
      <c r="C55" s="10" t="inlineStr">
        <is>
          <t>C5</t>
        </is>
      </c>
      <c r="D55" s="10" t="inlineStr">
        <is>
          <t>Configuration complete</t>
        </is>
      </c>
      <c r="E55" s="10" t="inlineStr">
        <is>
          <t>FS</t>
        </is>
      </c>
      <c r="F55" s="10" t="inlineStr">
        <is>
          <t>0 / 0 / 0 / 0</t>
        </is>
      </c>
      <c r="G55" s="10" t="inlineStr">
        <is>
          <t>Go-live</t>
        </is>
      </c>
    </row>
    <row r="56">
      <c r="A56" s="10" t="inlineStr">
        <is>
          <t>K1</t>
        </is>
      </c>
      <c r="B56" s="10" t="inlineStr">
        <is>
          <t>Compliance set-up: AML settings, risk factors, monitoring rules; licence register, fit and proper, insurer authority; complaints and breach settings; view:pii grants and masking</t>
        </is>
      </c>
      <c r="C56" s="10" t="inlineStr">
        <is>
          <t>C5</t>
        </is>
      </c>
      <c r="D56" s="10" t="inlineStr">
        <is>
          <t>Configuration complete</t>
        </is>
      </c>
      <c r="E56" s="10" t="inlineStr">
        <is>
          <t>FS</t>
        </is>
      </c>
      <c r="F56" s="10" t="inlineStr">
        <is>
          <t>0 / 0 / 0 / 0</t>
        </is>
      </c>
      <c r="G56" s="10" t="inlineStr">
        <is>
          <t>Go-live</t>
        </is>
      </c>
    </row>
    <row r="57">
      <c r="A57" s="10" t="inlineStr">
        <is>
          <t>B1</t>
        </is>
      </c>
      <c r="B57" s="10" t="inlineStr">
        <is>
          <t>Theme and Branding, letterhead, sign-in page, branded documents and e-mails; e-signatures captured and mapped; brand pack exported</t>
        </is>
      </c>
      <c r="C57" s="10" t="inlineStr">
        <is>
          <t>C5</t>
        </is>
      </c>
      <c r="D57" s="10" t="inlineStr">
        <is>
          <t>Configuration complete</t>
        </is>
      </c>
      <c r="E57" s="10" t="inlineStr">
        <is>
          <t>FS</t>
        </is>
      </c>
      <c r="F57" s="10" t="inlineStr">
        <is>
          <t>0 / 0 / 0 / 0</t>
        </is>
      </c>
      <c r="G57" s="10" t="inlineStr">
        <is>
          <t>Go-live</t>
        </is>
      </c>
    </row>
    <row r="58">
      <c r="A58" s="10" t="inlineStr">
        <is>
          <t>C2</t>
        </is>
      </c>
      <c r="B58" s="10" t="inlineStr">
        <is>
          <t>Configuration kit uploaded, validated, errors workbook corrected and loaded in Dev (small, medium) or SIT (large, enterprise)</t>
        </is>
      </c>
      <c r="C58" s="10" t="inlineStr">
        <is>
          <t>K1</t>
        </is>
      </c>
      <c r="D58" s="10" t="inlineStr">
        <is>
          <t>Compliance set-up: AML settings, risk factors, monitoring rules; licence register, fit and proper, insurer authority; complaints and breach settings; view:pii grants and masking</t>
        </is>
      </c>
      <c r="E58" s="10" t="inlineStr">
        <is>
          <t>FS</t>
        </is>
      </c>
      <c r="F58" s="10" t="inlineStr">
        <is>
          <t>0 / 0 / 0 / 0</t>
        </is>
      </c>
      <c r="G58" s="10" t="inlineStr">
        <is>
          <t>Go-live</t>
        </is>
      </c>
    </row>
    <row r="59">
      <c r="A59" s="10" t="inlineStr">
        <is>
          <t>D2</t>
        </is>
      </c>
      <c r="B59" s="10" t="inlineStr">
        <is>
          <t>Compliance workshop: AML/CFT programme, IC registers, complaints, breach procedure, masking by role</t>
        </is>
      </c>
      <c r="C59" s="10" t="inlineStr">
        <is>
          <t>K1</t>
        </is>
      </c>
      <c r="D59" s="10" t="inlineStr">
        <is>
          <t>Compliance set-up: AML settings, risk factors, monitoring rules; licence register, fit and proper, insurer authority; complaints and breach settings; view:pii grants and masking</t>
        </is>
      </c>
      <c r="E59" s="10" t="inlineStr">
        <is>
          <t>FS</t>
        </is>
      </c>
      <c r="F59" s="10" t="inlineStr">
        <is>
          <t>0 / 0 / 0 / 0</t>
        </is>
      </c>
      <c r="G59" s="10" t="inlineStr">
        <is>
          <t>Go-live</t>
        </is>
      </c>
    </row>
    <row r="60">
      <c r="A60" s="10" t="inlineStr">
        <is>
          <t>R4</t>
        </is>
      </c>
      <c r="B60" s="10" t="inlineStr">
        <is>
          <t>IC: licence data of the firm, officers and agents; certificates of authority of the insurers</t>
        </is>
      </c>
      <c r="C60" s="10" t="inlineStr">
        <is>
          <t>K1</t>
        </is>
      </c>
      <c r="D60" s="10" t="inlineStr">
        <is>
          <t>Compliance set-up: AML settings, risk factors, monitoring rules; licence register, fit and proper, insurer authority; complaints and breach settings; view:pii grants and masking</t>
        </is>
      </c>
      <c r="E60" s="10" t="inlineStr">
        <is>
          <t>FS</t>
        </is>
      </c>
      <c r="F60" s="10" t="inlineStr">
        <is>
          <t>0 / 0 / 0 / 0</t>
        </is>
      </c>
      <c r="G60" s="10" t="inlineStr">
        <is>
          <t>Go-live</t>
        </is>
      </c>
    </row>
    <row r="61">
      <c r="A61" s="10" t="inlineStr">
        <is>
          <t>K1</t>
        </is>
      </c>
      <c r="B61" s="10" t="inlineStr">
        <is>
          <t>Compliance set-up: AML settings, risk factors, monitoring rules; licence register, fit and proper, insurer authority; complaints and breach settings; view:pii grants and masking</t>
        </is>
      </c>
      <c r="C61" s="10" t="inlineStr">
        <is>
          <t>K2</t>
        </is>
      </c>
      <c r="D61" s="10" t="inlineStr">
        <is>
          <t>Screening lists loaded (UN, AMLC, PEP, internal); clients rescreened</t>
        </is>
      </c>
      <c r="E61" s="10" t="inlineStr">
        <is>
          <t>FS</t>
        </is>
      </c>
      <c r="F61" s="10" t="inlineStr">
        <is>
          <t>0 / 0 / 0 / 0</t>
        </is>
      </c>
      <c r="G61" s="10" t="inlineStr">
        <is>
          <t>Go-live</t>
        </is>
      </c>
    </row>
    <row r="62">
      <c r="A62" s="10" t="inlineStr">
        <is>
          <t>R7</t>
        </is>
      </c>
      <c r="B62" s="10" t="inlineStr">
        <is>
          <t>Screening lists: UN and AMLC lists obtained; PEP list licence from a provider (when used)</t>
        </is>
      </c>
      <c r="C62" s="10" t="inlineStr">
        <is>
          <t>K2</t>
        </is>
      </c>
      <c r="D62" s="10" t="inlineStr">
        <is>
          <t>Screening lists loaded (UN, AMLC, PEP, internal); clients rescreened</t>
        </is>
      </c>
      <c r="E62" s="10" t="inlineStr">
        <is>
          <t>FS</t>
        </is>
      </c>
      <c r="F62" s="10" t="inlineStr">
        <is>
          <t>0 / 0 / 0 / 0</t>
        </is>
      </c>
      <c r="G62" s="10" t="inlineStr">
        <is>
          <t>Go-live</t>
        </is>
      </c>
    </row>
    <row r="63">
      <c r="A63" s="10" t="inlineStr">
        <is>
          <t>K1</t>
        </is>
      </c>
      <c r="B63" s="10" t="inlineStr">
        <is>
          <t>Compliance set-up: AML settings, risk factors, monitoring rules; licence register, fit and proper, insurer authority; complaints and breach settings; view:pii grants and masking</t>
        </is>
      </c>
      <c r="C63" s="10" t="inlineStr">
        <is>
          <t>K3</t>
        </is>
      </c>
      <c r="D63" s="10" t="inlineStr">
        <is>
          <t>AMLC report file test: CTR file generated in UAT and checked against the AMLC portal requirements</t>
        </is>
      </c>
      <c r="E63" s="10" t="inlineStr">
        <is>
          <t>FS</t>
        </is>
      </c>
      <c r="F63" s="10" t="inlineStr">
        <is>
          <t>0 / 0 / 0 / 0</t>
        </is>
      </c>
      <c r="G63" s="10" t="inlineStr">
        <is>
          <t>Go-live</t>
        </is>
      </c>
    </row>
    <row r="64">
      <c r="A64" s="10" t="inlineStr">
        <is>
          <t>R3</t>
        </is>
      </c>
      <c r="B64" s="10" t="inlineStr">
        <is>
          <t>AMLC: registration of the broker as covered person, portal access, institution code</t>
        </is>
      </c>
      <c r="C64" s="10" t="inlineStr">
        <is>
          <t>K3</t>
        </is>
      </c>
      <c r="D64" s="10" t="inlineStr">
        <is>
          <t>AMLC report file test: CTR file generated in UAT and checked against the AMLC portal requirements</t>
        </is>
      </c>
      <c r="E64" s="10" t="inlineStr">
        <is>
          <t>FS</t>
        </is>
      </c>
      <c r="F64" s="10" t="inlineStr">
        <is>
          <t>0 / 0 / 0 / 0</t>
        </is>
      </c>
      <c r="G64" s="10" t="inlineStr">
        <is>
          <t>Go-live</t>
        </is>
      </c>
    </row>
    <row r="65">
      <c r="A65" s="10" t="inlineStr">
        <is>
          <t>C2</t>
        </is>
      </c>
      <c r="B65" s="10" t="inlineStr">
        <is>
          <t>Configuration kit uploaded, validated, errors workbook corrected and loaded in Dev (small, medium) or SIT (large, enterprise)</t>
        </is>
      </c>
      <c r="C65" s="10" t="inlineStr">
        <is>
          <t>B1</t>
        </is>
      </c>
      <c r="D65" s="10" t="inlineStr">
        <is>
          <t>Theme and Branding, letterhead, sign-in page, branded documents and e-mails; e-signatures captured and mapped; brand pack exported</t>
        </is>
      </c>
      <c r="E65" s="10" t="inlineStr">
        <is>
          <t>FS</t>
        </is>
      </c>
      <c r="F65" s="10" t="inlineStr">
        <is>
          <t>0 / 0 / 0 / 0</t>
        </is>
      </c>
      <c r="G65" s="10" t="inlineStr">
        <is>
          <t>Go-live</t>
        </is>
      </c>
    </row>
    <row r="66">
      <c r="A66" s="10" t="inlineStr">
        <is>
          <t>I8</t>
        </is>
      </c>
      <c r="B66" s="10" t="inlineStr">
        <is>
          <t>Logo, sign-in picture, signatories with e-signature consent</t>
        </is>
      </c>
      <c r="C66" s="10" t="inlineStr">
        <is>
          <t>B1</t>
        </is>
      </c>
      <c r="D66" s="10" t="inlineStr">
        <is>
          <t>Theme and Branding, letterhead, sign-in page, branded documents and e-mails; e-signatures captured and mapped; brand pack exported</t>
        </is>
      </c>
      <c r="E66" s="10" t="inlineStr">
        <is>
          <t>FS</t>
        </is>
      </c>
      <c r="F66" s="10" t="inlineStr">
        <is>
          <t>0 / 0 / 0 / 0</t>
        </is>
      </c>
      <c r="G66" s="10" t="inlineStr">
        <is>
          <t>Go-live</t>
        </is>
      </c>
    </row>
    <row r="67">
      <c r="A67" s="10" t="inlineStr">
        <is>
          <t>B1</t>
        </is>
      </c>
      <c r="B67" s="10" t="inlineStr">
        <is>
          <t>Theme and Branding, letterhead, sign-in page, branded documents and e-mails; e-signatures captured and mapped; brand pack exported</t>
        </is>
      </c>
      <c r="C67" s="10" t="inlineStr">
        <is>
          <t>B2</t>
        </is>
      </c>
      <c r="D67" s="10" t="inlineStr">
        <is>
          <t>Client brand pack applied only in that client's environments under its contract with iorta TechNXT (for example the Toyota Insurance Services pack)</t>
        </is>
      </c>
      <c r="E67" s="10" t="inlineStr">
        <is>
          <t>FS</t>
        </is>
      </c>
      <c r="F67" s="10" t="inlineStr">
        <is>
          <t>0 / 0 / 0 / 0</t>
        </is>
      </c>
      <c r="G67" s="10" t="inlineStr">
        <is>
          <t>Feature only</t>
        </is>
      </c>
    </row>
    <row r="68">
      <c r="A68" s="10" t="inlineStr">
        <is>
          <t>R8</t>
        </is>
      </c>
      <c r="B68" s="10" t="inlineStr">
        <is>
          <t>Contract reference covering the use of the client's marks on the engagement file (client brand pack only)</t>
        </is>
      </c>
      <c r="C68" s="10" t="inlineStr">
        <is>
          <t>B2</t>
        </is>
      </c>
      <c r="D68" s="10" t="inlineStr">
        <is>
          <t>Client brand pack applied only in that client's environments under its contract with iorta TechNXT (for example the Toyota Insurance Services pack)</t>
        </is>
      </c>
      <c r="E68" s="10" t="inlineStr">
        <is>
          <t>FS</t>
        </is>
      </c>
      <c r="F68" s="10" t="inlineStr">
        <is>
          <t>0 / 0 / 0 / 0</t>
        </is>
      </c>
      <c r="G68" s="10" t="inlineStr">
        <is>
          <t>Feature only</t>
        </is>
      </c>
    </row>
    <row r="69">
      <c r="A69" s="10" t="inlineStr">
        <is>
          <t>E6</t>
        </is>
      </c>
      <c r="B69" s="10" t="inlineStr">
        <is>
          <t>First deployment through the pipeline (CI, deploy, smoke test) to Dev and UAT (and SIT)</t>
        </is>
      </c>
      <c r="C69" s="10" t="inlineStr">
        <is>
          <t>N1</t>
        </is>
      </c>
      <c r="D69" s="10" t="inlineStr">
        <is>
          <t>E-mail: SMTP set, password reset and approval link tested</t>
        </is>
      </c>
      <c r="E69" s="10" t="inlineStr">
        <is>
          <t>FS</t>
        </is>
      </c>
      <c r="F69" s="10" t="inlineStr">
        <is>
          <t>0 / 0 / 0 / 0</t>
        </is>
      </c>
      <c r="G69" s="10" t="inlineStr">
        <is>
          <t>Go-live</t>
        </is>
      </c>
    </row>
    <row r="70">
      <c r="A70" s="10" t="inlineStr">
        <is>
          <t>I4</t>
        </is>
      </c>
      <c r="B70" s="10" t="inlineStr">
        <is>
          <t>SMTP mailbox and credentials</t>
        </is>
      </c>
      <c r="C70" s="10" t="inlineStr">
        <is>
          <t>N1</t>
        </is>
      </c>
      <c r="D70" s="10" t="inlineStr">
        <is>
          <t>E-mail: SMTP set, password reset and approval link tested</t>
        </is>
      </c>
      <c r="E70" s="10" t="inlineStr">
        <is>
          <t>FS</t>
        </is>
      </c>
      <c r="F70" s="10" t="inlineStr">
        <is>
          <t>0 / 0 / 0 / 0</t>
        </is>
      </c>
      <c r="G70" s="10" t="inlineStr">
        <is>
          <t>Go-live</t>
        </is>
      </c>
    </row>
    <row r="71">
      <c r="A71" s="10" t="inlineStr">
        <is>
          <t>C2</t>
        </is>
      </c>
      <c r="B71" s="10" t="inlineStr">
        <is>
          <t>Configuration kit uploaded, validated, errors workbook corrected and loaded in Dev (small, medium) or SIT (large, enterprise)</t>
        </is>
      </c>
      <c r="C71" s="10" t="inlineStr">
        <is>
          <t>N2</t>
        </is>
      </c>
      <c r="D71" s="10" t="inlineStr">
        <is>
          <t>Bank statement formats: one statement per bank account imported with a balancing preview</t>
        </is>
      </c>
      <c r="E71" s="10" t="inlineStr">
        <is>
          <t>FS</t>
        </is>
      </c>
      <c r="F71" s="10" t="inlineStr">
        <is>
          <t>0 / 0 / 0 / 0</t>
        </is>
      </c>
      <c r="G71" s="10" t="inlineStr">
        <is>
          <t>Go-live</t>
        </is>
      </c>
    </row>
    <row r="72">
      <c r="A72" s="10" t="inlineStr">
        <is>
          <t>I5</t>
        </is>
      </c>
      <c r="B72" s="10" t="inlineStr">
        <is>
          <t>Bank accounts, one statement export per account, bank contacts for payment files, payee bank accounts</t>
        </is>
      </c>
      <c r="C72" s="10" t="inlineStr">
        <is>
          <t>N2</t>
        </is>
      </c>
      <c r="D72" s="10" t="inlineStr">
        <is>
          <t>Bank statement formats: one statement per bank account imported with a balancing preview</t>
        </is>
      </c>
      <c r="E72" s="10" t="inlineStr">
        <is>
          <t>FS</t>
        </is>
      </c>
      <c r="F72" s="10" t="inlineStr">
        <is>
          <t>0 / 0 / 0 / 0</t>
        </is>
      </c>
      <c r="G72" s="10" t="inlineStr">
        <is>
          <t>Go-live</t>
        </is>
      </c>
    </row>
    <row r="73">
      <c r="A73" s="10" t="inlineStr">
        <is>
          <t>C2</t>
        </is>
      </c>
      <c r="B73" s="10" t="inlineStr">
        <is>
          <t>Configuration kit uploaded, validated, errors workbook corrected and loaded in Dev (small, medium) or SIT (large, enterprise)</t>
        </is>
      </c>
      <c r="C73" s="10" t="inlineStr">
        <is>
          <t>N3</t>
        </is>
      </c>
      <c r="D73" s="10" t="inlineStr">
        <is>
          <t>Bank payment files: each layout validated with the bank and a test file accepted by the bank</t>
        </is>
      </c>
      <c r="E73" s="10" t="inlineStr">
        <is>
          <t>FS</t>
        </is>
      </c>
      <c r="F73" s="10" t="inlineStr">
        <is>
          <t>0 / 0 / 0 / 0</t>
        </is>
      </c>
      <c r="G73" s="10" t="inlineStr">
        <is>
          <t>Feature only</t>
        </is>
      </c>
    </row>
    <row r="74">
      <c r="A74" s="10" t="inlineStr">
        <is>
          <t>I5</t>
        </is>
      </c>
      <c r="B74" s="10" t="inlineStr">
        <is>
          <t>Bank accounts, one statement export per account, bank contacts for payment files, payee bank accounts</t>
        </is>
      </c>
      <c r="C74" s="10" t="inlineStr">
        <is>
          <t>N3</t>
        </is>
      </c>
      <c r="D74" s="10" t="inlineStr">
        <is>
          <t>Bank payment files: each layout validated with the bank and a test file accepted by the bank</t>
        </is>
      </c>
      <c r="E74" s="10" t="inlineStr">
        <is>
          <t>FS</t>
        </is>
      </c>
      <c r="F74" s="10" t="inlineStr">
        <is>
          <t>0 / 0 / 0 / 0</t>
        </is>
      </c>
      <c r="G74" s="10" t="inlineStr">
        <is>
          <t>Feature only</t>
        </is>
      </c>
    </row>
    <row r="75">
      <c r="A75" s="10" t="inlineStr">
        <is>
          <t>C2</t>
        </is>
      </c>
      <c r="B75" s="10" t="inlineStr">
        <is>
          <t>Configuration kit uploaded, validated, errors workbook corrected and loaded in Dev (small, medium) or SIT (large, enterprise)</t>
        </is>
      </c>
      <c r="C75" s="10" t="inlineStr">
        <is>
          <t>N4</t>
        </is>
      </c>
      <c r="D75" s="10" t="inlineStr">
        <is>
          <t>SMS or Viber connector: provider account, sender name, live test message</t>
        </is>
      </c>
      <c r="E75" s="10" t="inlineStr">
        <is>
          <t>FS</t>
        </is>
      </c>
      <c r="F75" s="10" t="inlineStr">
        <is>
          <t>0 / 0 / 0 / 0</t>
        </is>
      </c>
      <c r="G75" s="10" t="inlineStr">
        <is>
          <t>Feature only</t>
        </is>
      </c>
    </row>
    <row r="76">
      <c r="A76" s="10" t="inlineStr">
        <is>
          <t>I6</t>
        </is>
      </c>
      <c r="B76" s="10" t="inlineStr">
        <is>
          <t>Partner contracts and credentials: SMS provider, CTPL authentication provider, payment gateway, insurer API access</t>
        </is>
      </c>
      <c r="C76" s="10" t="inlineStr">
        <is>
          <t>N4</t>
        </is>
      </c>
      <c r="D76" s="10" t="inlineStr">
        <is>
          <t>SMS or Viber connector: provider account, sender name, live test message</t>
        </is>
      </c>
      <c r="E76" s="10" t="inlineStr">
        <is>
          <t>FS</t>
        </is>
      </c>
      <c r="F76" s="10" t="inlineStr">
        <is>
          <t>0 / 0 / 0 / 0</t>
        </is>
      </c>
      <c r="G76" s="10" t="inlineStr">
        <is>
          <t>Feature only</t>
        </is>
      </c>
    </row>
    <row r="77">
      <c r="A77" s="10" t="inlineStr">
        <is>
          <t>C2</t>
        </is>
      </c>
      <c r="B77" s="10" t="inlineStr">
        <is>
          <t>Configuration kit uploaded, validated, errors workbook corrected and loaded in Dev (small, medium) or SIT (large, enterprise)</t>
        </is>
      </c>
      <c r="C77" s="10" t="inlineStr">
        <is>
          <t>N5</t>
        </is>
      </c>
      <c r="D77" s="10" t="inlineStr">
        <is>
          <t>CTPL authentication provider and LTO feed: broker accredited, COC series loaded, live authentication of one COC</t>
        </is>
      </c>
      <c r="E77" s="10" t="inlineStr">
        <is>
          <t>FS</t>
        </is>
      </c>
      <c r="F77" s="10" t="inlineStr">
        <is>
          <t>0 / 0 / 0 / 0</t>
        </is>
      </c>
      <c r="G77" s="10" t="inlineStr">
        <is>
          <t>Feature only</t>
        </is>
      </c>
    </row>
    <row r="78">
      <c r="A78" s="10" t="inlineStr">
        <is>
          <t>I6</t>
        </is>
      </c>
      <c r="B78" s="10" t="inlineStr">
        <is>
          <t>Partner contracts and credentials: SMS provider, CTPL authentication provider, payment gateway, insurer API access</t>
        </is>
      </c>
      <c r="C78" s="10" t="inlineStr">
        <is>
          <t>N5</t>
        </is>
      </c>
      <c r="D78" s="10" t="inlineStr">
        <is>
          <t>CTPL authentication provider and LTO feed: broker accredited, COC series loaded, live authentication of one COC</t>
        </is>
      </c>
      <c r="E78" s="10" t="inlineStr">
        <is>
          <t>FS</t>
        </is>
      </c>
      <c r="F78" s="10" t="inlineStr">
        <is>
          <t>0 / 0 / 0 / 0</t>
        </is>
      </c>
      <c r="G78" s="10" t="inlineStr">
        <is>
          <t>Feature only</t>
        </is>
      </c>
    </row>
    <row r="79">
      <c r="A79" s="10" t="inlineStr">
        <is>
          <t>I7</t>
        </is>
      </c>
      <c r="B79" s="10" t="inlineStr">
        <is>
          <t>COC number series from each insurer</t>
        </is>
      </c>
      <c r="C79" s="10" t="inlineStr">
        <is>
          <t>N5</t>
        </is>
      </c>
      <c r="D79" s="10" t="inlineStr">
        <is>
          <t>CTPL authentication provider and LTO feed: broker accredited, COC series loaded, live authentication of one COC</t>
        </is>
      </c>
      <c r="E79" s="10" t="inlineStr">
        <is>
          <t>FS</t>
        </is>
      </c>
      <c r="F79" s="10" t="inlineStr">
        <is>
          <t>0 / 0 / 0 / 0</t>
        </is>
      </c>
      <c r="G79" s="10" t="inlineStr">
        <is>
          <t>Feature only</t>
        </is>
      </c>
    </row>
    <row r="80">
      <c r="A80" s="10" t="inlineStr">
        <is>
          <t>C3</t>
        </is>
      </c>
      <c r="B80" s="10" t="inlineStr">
        <is>
          <t>On-screen configuration: Product Configurator (templates, rating factors, acceptance rules, document templates, market mapping), tax codes, posting rules, approvals, roles, schedules</t>
        </is>
      </c>
      <c r="C80" s="10" t="inlineStr">
        <is>
          <t>N6</t>
        </is>
      </c>
      <c r="D80" s="10" t="inlineStr">
        <is>
          <t>Insurer API connectors: mapping per insurer, preview, test issuance and claim status with the insurer</t>
        </is>
      </c>
      <c r="E80" s="10" t="inlineStr">
        <is>
          <t>SS</t>
        </is>
      </c>
      <c r="F80" s="10" t="inlineStr">
        <is>
          <t>2 / 2 / 2 / 2</t>
        </is>
      </c>
      <c r="G80" s="10" t="inlineStr">
        <is>
          <t>Feature only</t>
        </is>
      </c>
    </row>
    <row r="81">
      <c r="A81" s="10" t="inlineStr">
        <is>
          <t>I6</t>
        </is>
      </c>
      <c r="B81" s="10" t="inlineStr">
        <is>
          <t>Partner contracts and credentials: SMS provider, CTPL authentication provider, payment gateway, insurer API access</t>
        </is>
      </c>
      <c r="C81" s="10" t="inlineStr">
        <is>
          <t>N6</t>
        </is>
      </c>
      <c r="D81" s="10" t="inlineStr">
        <is>
          <t>Insurer API connectors: mapping per insurer, preview, test issuance and claim status with the insurer</t>
        </is>
      </c>
      <c r="E81" s="10" t="inlineStr">
        <is>
          <t>FS</t>
        </is>
      </c>
      <c r="F81" s="10" t="inlineStr">
        <is>
          <t>0 / 0 / 0 / 0</t>
        </is>
      </c>
      <c r="G81" s="10" t="inlineStr">
        <is>
          <t>Feature only</t>
        </is>
      </c>
    </row>
    <row r="82">
      <c r="A82" s="10" t="inlineStr">
        <is>
          <t>C2</t>
        </is>
      </c>
      <c r="B82" s="10" t="inlineStr">
        <is>
          <t>Configuration kit uploaded, validated, errors workbook corrected and loaded in Dev (small, medium) or SIT (large, enterprise)</t>
        </is>
      </c>
      <c r="C82" s="10" t="inlineStr">
        <is>
          <t>N7</t>
        </is>
      </c>
      <c r="D82" s="10" t="inlineStr">
        <is>
          <t>Payment gateway: sandbox payment receipted, then one live test payment</t>
        </is>
      </c>
      <c r="E82" s="10" t="inlineStr">
        <is>
          <t>FS</t>
        </is>
      </c>
      <c r="F82" s="10" t="inlineStr">
        <is>
          <t>0 / 0 / 0 / 0</t>
        </is>
      </c>
      <c r="G82" s="10" t="inlineStr">
        <is>
          <t>Feature only</t>
        </is>
      </c>
    </row>
    <row r="83">
      <c r="A83" s="10" t="inlineStr">
        <is>
          <t>I6</t>
        </is>
      </c>
      <c r="B83" s="10" t="inlineStr">
        <is>
          <t>Partner contracts and credentials: SMS provider, CTPL authentication provider, payment gateway, insurer API access</t>
        </is>
      </c>
      <c r="C83" s="10" t="inlineStr">
        <is>
          <t>N7</t>
        </is>
      </c>
      <c r="D83" s="10" t="inlineStr">
        <is>
          <t>Payment gateway: sandbox payment receipted, then one live test payment</t>
        </is>
      </c>
      <c r="E83" s="10" t="inlineStr">
        <is>
          <t>FS</t>
        </is>
      </c>
      <c r="F83" s="10" t="inlineStr">
        <is>
          <t>0 / 0 / 0 / 0</t>
        </is>
      </c>
      <c r="G83" s="10" t="inlineStr">
        <is>
          <t>Feature only</t>
        </is>
      </c>
    </row>
    <row r="84">
      <c r="A84" s="10" t="inlineStr">
        <is>
          <t>C3</t>
        </is>
      </c>
      <c r="B84" s="10" t="inlineStr">
        <is>
          <t>On-screen configuration: Product Configurator (templates, rating factors, acceptance rules, document templates, market mapping), tax codes, posting rules, approvals, roles, schedules</t>
        </is>
      </c>
      <c r="C84" s="10" t="inlineStr">
        <is>
          <t>N8</t>
        </is>
      </c>
      <c r="D84" s="10" t="inlineStr">
        <is>
          <t>BIR EIS connector set in test mode; payloads checked</t>
        </is>
      </c>
      <c r="E84" s="10" t="inlineStr">
        <is>
          <t>FS</t>
        </is>
      </c>
      <c r="F84" s="10" t="inlineStr">
        <is>
          <t>0 / 0 / 0 / 0</t>
        </is>
      </c>
      <c r="G84" s="10" t="inlineStr">
        <is>
          <t>Feature only</t>
        </is>
      </c>
    </row>
    <row r="85">
      <c r="A85" s="10" t="inlineStr">
        <is>
          <t>N8</t>
        </is>
      </c>
      <c r="B85" s="10" t="inlineStr">
        <is>
          <t>BIR EIS connector set in test mode; payloads checked</t>
        </is>
      </c>
      <c r="C85" s="10" t="inlineStr">
        <is>
          <t>N9</t>
        </is>
      </c>
      <c r="D85" s="10" t="inlineStr">
        <is>
          <t>BIR EIS connector live (after enrolment); earlier invoices queued</t>
        </is>
      </c>
      <c r="E85" s="10" t="inlineStr">
        <is>
          <t>FS</t>
        </is>
      </c>
      <c r="F85" s="10" t="inlineStr">
        <is>
          <t>0 / 0 / 0 / 0</t>
        </is>
      </c>
      <c r="G85" s="10" t="inlineStr">
        <is>
          <t>Feature only</t>
        </is>
      </c>
    </row>
    <row r="86">
      <c r="A86" s="10" t="inlineStr">
        <is>
          <t>R2</t>
        </is>
      </c>
      <c r="B86" s="10" t="inlineStr">
        <is>
          <t>BIR: EIS enrolment and certification (when the broker is covered)</t>
        </is>
      </c>
      <c r="C86" s="10" t="inlineStr">
        <is>
          <t>N9</t>
        </is>
      </c>
      <c r="D86" s="10" t="inlineStr">
        <is>
          <t>BIR EIS connector live (after enrolment); earlier invoices queued</t>
        </is>
      </c>
      <c r="E86" s="10" t="inlineStr">
        <is>
          <t>FS</t>
        </is>
      </c>
      <c r="F86" s="10" t="inlineStr">
        <is>
          <t>0 / 0 / 0 / 0</t>
        </is>
      </c>
      <c r="G86" s="10" t="inlineStr">
        <is>
          <t>Feature only</t>
        </is>
      </c>
    </row>
    <row r="87">
      <c r="A87" s="10" t="inlineStr">
        <is>
          <t>X6</t>
        </is>
      </c>
      <c r="B87" s="10" t="inlineStr">
        <is>
          <t>Go-live</t>
        </is>
      </c>
      <c r="C87" s="10" t="inlineStr">
        <is>
          <t>N9</t>
        </is>
      </c>
      <c r="D87" s="10" t="inlineStr">
        <is>
          <t>BIR EIS connector live (after enrolment); earlier invoices queued</t>
        </is>
      </c>
      <c r="E87" s="10" t="inlineStr">
        <is>
          <t>FS</t>
        </is>
      </c>
      <c r="F87" s="10" t="inlineStr">
        <is>
          <t>0 / 0 / 0 / 0</t>
        </is>
      </c>
      <c r="G87" s="10" t="inlineStr">
        <is>
          <t>Feature only</t>
        </is>
      </c>
    </row>
    <row r="88">
      <c r="A88" s="10" t="inlineStr">
        <is>
          <t>M3</t>
        </is>
      </c>
      <c r="B88" s="10" t="inlineStr">
        <is>
          <t>Data request list and the go-live kits issued (configuration and migration workbooks, upload templates)</t>
        </is>
      </c>
      <c r="C88" s="10" t="inlineStr">
        <is>
          <t>G1</t>
        </is>
      </c>
      <c r="D88" s="10" t="inlineStr">
        <is>
          <t>Extraction and cleansing of the old system data for the first mock load</t>
        </is>
      </c>
      <c r="E88" s="10" t="inlineStr">
        <is>
          <t>FS</t>
        </is>
      </c>
      <c r="F88" s="10" t="inlineStr">
        <is>
          <t>0 / 0 / 0 / 0</t>
        </is>
      </c>
      <c r="G88" s="10" t="inlineStr">
        <is>
          <t>Go-live</t>
        </is>
      </c>
    </row>
    <row r="89">
      <c r="A89" s="10" t="inlineStr">
        <is>
          <t>G1</t>
        </is>
      </c>
      <c r="B89" s="10" t="inlineStr">
        <is>
          <t>Extraction and cleansing of the old system data for the first mock load</t>
        </is>
      </c>
      <c r="C89" s="10" t="inlineStr">
        <is>
          <t>G2</t>
        </is>
      </c>
      <c r="D89" s="10" t="inlineStr">
        <is>
          <t>Mapping to the migration kit (clients, policies, open items, open claims, opening balances)</t>
        </is>
      </c>
      <c r="E89" s="10" t="inlineStr">
        <is>
          <t>SS</t>
        </is>
      </c>
      <c r="F89" s="10" t="inlineStr">
        <is>
          <t>3 / 5 / 8 / 10</t>
        </is>
      </c>
      <c r="G89" s="10" t="inlineStr">
        <is>
          <t>Go-live</t>
        </is>
      </c>
    </row>
    <row r="90">
      <c r="A90" s="10" t="inlineStr">
        <is>
          <t>G1</t>
        </is>
      </c>
      <c r="B90" s="10" t="inlineStr">
        <is>
          <t>Extraction and cleansing of the old system data for the first mock load</t>
        </is>
      </c>
      <c r="C90" s="10" t="inlineStr">
        <is>
          <t>G3</t>
        </is>
      </c>
      <c r="D90" s="10" t="inlineStr">
        <is>
          <t>Mock load 1: cutover date set, validate, errors workbook, load, reconciliation</t>
        </is>
      </c>
      <c r="E90" s="10" t="inlineStr">
        <is>
          <t>FS</t>
        </is>
      </c>
      <c r="F90" s="10" t="inlineStr">
        <is>
          <t>0 / 0 / 0 / 0</t>
        </is>
      </c>
      <c r="G90" s="10" t="inlineStr">
        <is>
          <t>Go-live</t>
        </is>
      </c>
    </row>
    <row r="91">
      <c r="A91" s="10" t="inlineStr">
        <is>
          <t>G2</t>
        </is>
      </c>
      <c r="B91" s="10" t="inlineStr">
        <is>
          <t>Mapping to the migration kit (clients, policies, open items, open claims, opening balances)</t>
        </is>
      </c>
      <c r="C91" s="10" t="inlineStr">
        <is>
          <t>G3</t>
        </is>
      </c>
      <c r="D91" s="10" t="inlineStr">
        <is>
          <t>Mock load 1: cutover date set, validate, errors workbook, load, reconciliation</t>
        </is>
      </c>
      <c r="E91" s="10" t="inlineStr">
        <is>
          <t>FS</t>
        </is>
      </c>
      <c r="F91" s="10" t="inlineStr">
        <is>
          <t>0 / 0 / 0 / 0</t>
        </is>
      </c>
      <c r="G91" s="10" t="inlineStr">
        <is>
          <t>Go-live</t>
        </is>
      </c>
    </row>
    <row r="92">
      <c r="A92" s="10" t="inlineStr">
        <is>
          <t>C4</t>
        </is>
      </c>
      <c r="B92" s="10" t="inlineStr">
        <is>
          <t>Configuration promoted to UAT for the first mock load (Current data workbook)</t>
        </is>
      </c>
      <c r="C92" s="10" t="inlineStr">
        <is>
          <t>G3</t>
        </is>
      </c>
      <c r="D92" s="10" t="inlineStr">
        <is>
          <t>Mock load 1: cutover date set, validate, errors workbook, load, reconciliation</t>
        </is>
      </c>
      <c r="E92" s="10" t="inlineStr">
        <is>
          <t>FS</t>
        </is>
      </c>
      <c r="F92" s="10" t="inlineStr">
        <is>
          <t>0 / 0 / 0 / 0</t>
        </is>
      </c>
      <c r="G92" s="10" t="inlineStr">
        <is>
          <t>Go-live</t>
        </is>
      </c>
    </row>
    <row r="93">
      <c r="A93" s="10" t="inlineStr">
        <is>
          <t>C2</t>
        </is>
      </c>
      <c r="B93" s="10" t="inlineStr">
        <is>
          <t>Configuration kit uploaded, validated, errors workbook corrected and loaded in Dev (small, medium) or SIT (large, enterprise)</t>
        </is>
      </c>
      <c r="C93" s="10" t="inlineStr">
        <is>
          <t>G3</t>
        </is>
      </c>
      <c r="D93" s="10" t="inlineStr">
        <is>
          <t>Mock load 1: cutover date set, validate, errors workbook, load, reconciliation</t>
        </is>
      </c>
      <c r="E93" s="10" t="inlineStr">
        <is>
          <t>FS</t>
        </is>
      </c>
      <c r="F93" s="10" t="inlineStr">
        <is>
          <t>0 / 0 / 0 / 0</t>
        </is>
      </c>
      <c r="G93" s="10" t="inlineStr">
        <is>
          <t>Go-live</t>
        </is>
      </c>
    </row>
    <row r="94">
      <c r="A94" s="10" t="inlineStr">
        <is>
          <t>G3</t>
        </is>
      </c>
      <c r="B94" s="10" t="inlineStr">
        <is>
          <t>Mock load 1: cutover date set, validate, errors workbook, load, reconciliation</t>
        </is>
      </c>
      <c r="C94" s="10" t="inlineStr">
        <is>
          <t>G4</t>
        </is>
      </c>
      <c r="D94" s="10" t="inlineStr">
        <is>
          <t>Mock load 2 on a fresh extract, with transaction reset before it</t>
        </is>
      </c>
      <c r="E94" s="10" t="inlineStr">
        <is>
          <t>FS</t>
        </is>
      </c>
      <c r="F94" s="10" t="inlineStr">
        <is>
          <t>0 / 0 / 0 / 0</t>
        </is>
      </c>
      <c r="G94" s="10" t="inlineStr">
        <is>
          <t>Go-live</t>
        </is>
      </c>
    </row>
    <row r="95">
      <c r="A95" s="10" t="inlineStr">
        <is>
          <t>C5</t>
        </is>
      </c>
      <c r="B95" s="10" t="inlineStr">
        <is>
          <t>Configuration complete</t>
        </is>
      </c>
      <c r="C95" s="10" t="inlineStr">
        <is>
          <t>G4</t>
        </is>
      </c>
      <c r="D95" s="10" t="inlineStr">
        <is>
          <t>Mock load 2 on a fresh extract, with transaction reset before it</t>
        </is>
      </c>
      <c r="E95" s="10" t="inlineStr">
        <is>
          <t>FS</t>
        </is>
      </c>
      <c r="F95" s="10" t="inlineStr">
        <is>
          <t>0 / 0 / 0 / 0</t>
        </is>
      </c>
      <c r="G95" s="10" t="inlineStr">
        <is>
          <t>Go-live</t>
        </is>
      </c>
    </row>
    <row r="96">
      <c r="A96" s="10" t="inlineStr">
        <is>
          <t>G4</t>
        </is>
      </c>
      <c r="B96" s="10" t="inlineStr">
        <is>
          <t>Mock load 2 on a fresh extract, with transaction reset before it</t>
        </is>
      </c>
      <c r="C96" s="10" t="inlineStr">
        <is>
          <t>G5</t>
        </is>
      </c>
      <c r="D96" s="10" t="inlineStr">
        <is>
          <t>Mock load 3 in UAT (large, enterprise)</t>
        </is>
      </c>
      <c r="E96" s="10" t="inlineStr">
        <is>
          <t>FS</t>
        </is>
      </c>
      <c r="F96" s="10" t="inlineStr">
        <is>
          <t>0 / 0 / 0 / 0</t>
        </is>
      </c>
      <c r="G96" s="10" t="inlineStr">
        <is>
          <t>Go-live</t>
        </is>
      </c>
    </row>
    <row r="97">
      <c r="A97" s="10" t="inlineStr">
        <is>
          <t>T3</t>
        </is>
      </c>
      <c r="B97" s="10" t="inlineStr">
        <is>
          <t>Release candidate and frozen configuration promoted to UAT (Current data workbook, brand pack); comparison report clean</t>
        </is>
      </c>
      <c r="C97" s="10" t="inlineStr">
        <is>
          <t>G5</t>
        </is>
      </c>
      <c r="D97" s="10" t="inlineStr">
        <is>
          <t>Mock load 3 in UAT (large, enterprise)</t>
        </is>
      </c>
      <c r="E97" s="10" t="inlineStr">
        <is>
          <t>FS</t>
        </is>
      </c>
      <c r="F97" s="10" t="inlineStr">
        <is>
          <t>0 / 0 / 0 / 0</t>
        </is>
      </c>
      <c r="G97" s="10" t="inlineStr">
        <is>
          <t>Go-live</t>
        </is>
      </c>
    </row>
    <row r="98">
      <c r="A98" s="10" t="inlineStr">
        <is>
          <t>G5</t>
        </is>
      </c>
      <c r="B98" s="10" t="inlineStr">
        <is>
          <t>Mock load 3 in UAT (large, enterprise)</t>
        </is>
      </c>
      <c r="C98" s="10" t="inlineStr">
        <is>
          <t>G6</t>
        </is>
      </c>
      <c r="D98" s="10" t="inlineStr">
        <is>
          <t>Mock load 4 in UAT (enterprise)</t>
        </is>
      </c>
      <c r="E98" s="10" t="inlineStr">
        <is>
          <t>FS</t>
        </is>
      </c>
      <c r="F98" s="10" t="inlineStr">
        <is>
          <t>0 / 0 / 0 / 0</t>
        </is>
      </c>
      <c r="G98" s="10" t="inlineStr">
        <is>
          <t>Go-live</t>
        </is>
      </c>
    </row>
    <row r="99">
      <c r="A99" s="10" t="inlineStr">
        <is>
          <t>C5</t>
        </is>
      </c>
      <c r="B99" s="10" t="inlineStr">
        <is>
          <t>Configuration complete</t>
        </is>
      </c>
      <c r="C99" s="10" t="inlineStr">
        <is>
          <t>L1</t>
        </is>
      </c>
      <c r="D99" s="10" t="inlineStr">
        <is>
          <t>Train-the-trainer for key users, with trainer skills and teach-back</t>
        </is>
      </c>
      <c r="E99" s="10" t="inlineStr">
        <is>
          <t>FS</t>
        </is>
      </c>
      <c r="F99" s="10" t="inlineStr">
        <is>
          <t>0 / 0 / 0 / 0</t>
        </is>
      </c>
      <c r="G99" s="10" t="inlineStr">
        <is>
          <t>Go-live</t>
        </is>
      </c>
    </row>
    <row r="100">
      <c r="A100" s="10" t="inlineStr">
        <is>
          <t>K1</t>
        </is>
      </c>
      <c r="B100" s="10" t="inlineStr">
        <is>
          <t>Compliance set-up: AML settings, risk factors, monitoring rules; licence register, fit and proper, insurer authority; complaints and breach settings; view:pii grants and masking</t>
        </is>
      </c>
      <c r="C100" s="10" t="inlineStr">
        <is>
          <t>L2</t>
        </is>
      </c>
      <c r="D100" s="10" t="inlineStr">
        <is>
          <t>Compliance officer, DPO and System Administrator training on the compliance and privacy screens</t>
        </is>
      </c>
      <c r="E100" s="10" t="inlineStr">
        <is>
          <t>FS</t>
        </is>
      </c>
      <c r="F100" s="10" t="inlineStr">
        <is>
          <t>0 / 0 / 0 / 0</t>
        </is>
      </c>
      <c r="G100" s="10" t="inlineStr">
        <is>
          <t>Go-live</t>
        </is>
      </c>
    </row>
    <row r="101">
      <c r="A101" s="10" t="inlineStr">
        <is>
          <t>L1</t>
        </is>
      </c>
      <c r="B101" s="10" t="inlineStr">
        <is>
          <t>Train-the-trainer for key users, with trainer skills and teach-back</t>
        </is>
      </c>
      <c r="C101" s="10" t="inlineStr">
        <is>
          <t>L3</t>
        </is>
      </c>
      <c r="D101" s="10" t="inlineStr">
        <is>
          <t>End-user training per role, run by key users</t>
        </is>
      </c>
      <c r="E101" s="10" t="inlineStr">
        <is>
          <t>FS</t>
        </is>
      </c>
      <c r="F101" s="10" t="inlineStr">
        <is>
          <t>0 / 0 / 0 / 0</t>
        </is>
      </c>
      <c r="G101" s="10" t="inlineStr">
        <is>
          <t>Go-live</t>
        </is>
      </c>
    </row>
    <row r="102">
      <c r="A102" s="10" t="inlineStr">
        <is>
          <t>T3</t>
        </is>
      </c>
      <c r="B102" s="10" t="inlineStr">
        <is>
          <t>Release candidate and frozen configuration promoted to UAT (Current data workbook, brand pack); comparison report clean</t>
        </is>
      </c>
      <c r="C102" s="10" t="inlineStr">
        <is>
          <t>L3</t>
        </is>
      </c>
      <c r="D102" s="10" t="inlineStr">
        <is>
          <t>End-user training per role, run by key users</t>
        </is>
      </c>
      <c r="E102" s="10" t="inlineStr">
        <is>
          <t>FS</t>
        </is>
      </c>
      <c r="F102" s="10" t="inlineStr">
        <is>
          <t>0 / 0 / 0 / 0</t>
        </is>
      </c>
      <c r="G102" s="10" t="inlineStr">
        <is>
          <t>Go-live</t>
        </is>
      </c>
    </row>
    <row r="103">
      <c r="A103" s="10" t="inlineStr">
        <is>
          <t>I9</t>
        </is>
      </c>
      <c r="B103" s="10" t="inlineStr">
        <is>
          <t>Training rooms, devices and attendance list</t>
        </is>
      </c>
      <c r="C103" s="10" t="inlineStr">
        <is>
          <t>L3</t>
        </is>
      </c>
      <c r="D103" s="10" t="inlineStr">
        <is>
          <t>End-user training per role, run by key users</t>
        </is>
      </c>
      <c r="E103" s="10" t="inlineStr">
        <is>
          <t>FS</t>
        </is>
      </c>
      <c r="F103" s="10" t="inlineStr">
        <is>
          <t>0 / 0 / 0 / 0</t>
        </is>
      </c>
      <c r="G103" s="10" t="inlineStr">
        <is>
          <t>Go-live</t>
        </is>
      </c>
    </row>
    <row r="104">
      <c r="A104" s="10" t="inlineStr">
        <is>
          <t>C3</t>
        </is>
      </c>
      <c r="B104" s="10" t="inlineStr">
        <is>
          <t>On-screen configuration: Product Configurator (templates, rating factors, acceptance rules, document templates, market mapping), tax codes, posting rules, approvals, roles, schedules</t>
        </is>
      </c>
      <c r="C104" s="10" t="inlineStr">
        <is>
          <t>T1</t>
        </is>
      </c>
      <c r="D104" s="10" t="inlineStr">
        <is>
          <t>System integration test in Dev (small, medium) or SIT (large, enterprise): end-to-end flows, uat-scenario.js, connectors in test mode</t>
        </is>
      </c>
      <c r="E104" s="10" t="inlineStr">
        <is>
          <t>SS</t>
        </is>
      </c>
      <c r="F104" s="10" t="inlineStr">
        <is>
          <t>4 / 6 / 18 / 25</t>
        </is>
      </c>
      <c r="G104" s="10" t="inlineStr">
        <is>
          <t>Go-live</t>
        </is>
      </c>
    </row>
    <row r="105">
      <c r="A105" s="10" t="inlineStr">
        <is>
          <t>C2</t>
        </is>
      </c>
      <c r="B105" s="10" t="inlineStr">
        <is>
          <t>Configuration kit uploaded, validated, errors workbook corrected and loaded in Dev (small, medium) or SIT (large, enterprise)</t>
        </is>
      </c>
      <c r="C105" s="10" t="inlineStr">
        <is>
          <t>T1</t>
        </is>
      </c>
      <c r="D105" s="10" t="inlineStr">
        <is>
          <t>System integration test in Dev (small, medium) or SIT (large, enterprise): end-to-end flows, uat-scenario.js, connectors in test mode</t>
        </is>
      </c>
      <c r="E105" s="10" t="inlineStr">
        <is>
          <t>FS</t>
        </is>
      </c>
      <c r="F105" s="10" t="inlineStr">
        <is>
          <t>0 / 0 / 0 / 0</t>
        </is>
      </c>
      <c r="G105" s="10" t="inlineStr">
        <is>
          <t>Go-live</t>
        </is>
      </c>
    </row>
    <row r="106">
      <c r="A106" s="10" t="inlineStr">
        <is>
          <t>T1</t>
        </is>
      </c>
      <c r="B106" s="10" t="inlineStr">
        <is>
          <t>System integration test in Dev (small, medium) or SIT (large, enterprise): end-to-end flows, uat-scenario.js, connectors in test mode</t>
        </is>
      </c>
      <c r="C106" s="10" t="inlineStr">
        <is>
          <t>T2</t>
        </is>
      </c>
      <c r="D106" s="10" t="inlineStr">
        <is>
          <t>SIT exit</t>
        </is>
      </c>
      <c r="E106" s="10" t="inlineStr">
        <is>
          <t>FS</t>
        </is>
      </c>
      <c r="F106" s="10" t="inlineStr">
        <is>
          <t>0 / 0 / 0 / 0</t>
        </is>
      </c>
      <c r="G106" s="10" t="inlineStr">
        <is>
          <t>Go-live</t>
        </is>
      </c>
    </row>
    <row r="107">
      <c r="A107" s="10" t="inlineStr">
        <is>
          <t>C5</t>
        </is>
      </c>
      <c r="B107" s="10" t="inlineStr">
        <is>
          <t>Configuration complete</t>
        </is>
      </c>
      <c r="C107" s="10" t="inlineStr">
        <is>
          <t>T2</t>
        </is>
      </c>
      <c r="D107" s="10" t="inlineStr">
        <is>
          <t>SIT exit</t>
        </is>
      </c>
      <c r="E107" s="10" t="inlineStr">
        <is>
          <t>FS</t>
        </is>
      </c>
      <c r="F107" s="10" t="inlineStr">
        <is>
          <t>0 / 0 / 0 / 0</t>
        </is>
      </c>
      <c r="G107" s="10" t="inlineStr">
        <is>
          <t>Go-live</t>
        </is>
      </c>
    </row>
    <row r="108">
      <c r="A108" s="10" t="inlineStr">
        <is>
          <t>T2</t>
        </is>
      </c>
      <c r="B108" s="10" t="inlineStr">
        <is>
          <t>SIT exit</t>
        </is>
      </c>
      <c r="C108" s="10" t="inlineStr">
        <is>
          <t>T3</t>
        </is>
      </c>
      <c r="D108" s="10" t="inlineStr">
        <is>
          <t>Release candidate and frozen configuration promoted to UAT (Current data workbook, brand pack); comparison report clean</t>
        </is>
      </c>
      <c r="E108" s="10" t="inlineStr">
        <is>
          <t>FS</t>
        </is>
      </c>
      <c r="F108" s="10" t="inlineStr">
        <is>
          <t>0 / 0 / 0 / 0</t>
        </is>
      </c>
      <c r="G108" s="10" t="inlineStr">
        <is>
          <t>Go-live</t>
        </is>
      </c>
    </row>
    <row r="109">
      <c r="A109" s="10" t="inlineStr">
        <is>
          <t>E3</t>
        </is>
      </c>
      <c r="B109" s="10" t="inlineStr">
        <is>
          <t>UAT provisioned</t>
        </is>
      </c>
      <c r="C109" s="10" t="inlineStr">
        <is>
          <t>T3</t>
        </is>
      </c>
      <c r="D109" s="10" t="inlineStr">
        <is>
          <t>Release candidate and frozen configuration promoted to UAT (Current data workbook, brand pack); comparison report clean</t>
        </is>
      </c>
      <c r="E109" s="10" t="inlineStr">
        <is>
          <t>FS</t>
        </is>
      </c>
      <c r="F109" s="10" t="inlineStr">
        <is>
          <t>0 / 0 / 0 / 0</t>
        </is>
      </c>
      <c r="G109" s="10" t="inlineStr">
        <is>
          <t>Go-live</t>
        </is>
      </c>
    </row>
    <row r="110">
      <c r="A110" s="10" t="inlineStr">
        <is>
          <t>T3</t>
        </is>
      </c>
      <c r="B110" s="10" t="inlineStr">
        <is>
          <t>Release candidate and frozen configuration promoted to UAT (Current data workbook, brand pack); comparison report clean</t>
        </is>
      </c>
      <c r="C110" s="10" t="inlineStr">
        <is>
          <t>T4</t>
        </is>
      </c>
      <c r="D110" s="10" t="inlineStr">
        <is>
          <t>UAT cycles with the UAT scripts and broker scenarios, including compliance, BIR and integration scripts</t>
        </is>
      </c>
      <c r="E110" s="10" t="inlineStr">
        <is>
          <t>FS</t>
        </is>
      </c>
      <c r="F110" s="10" t="inlineStr">
        <is>
          <t>0 / 0 / 0 / 0</t>
        </is>
      </c>
      <c r="G110" s="10" t="inlineStr">
        <is>
          <t>Go-live</t>
        </is>
      </c>
    </row>
    <row r="111">
      <c r="A111" s="10" t="inlineStr">
        <is>
          <t>I10</t>
        </is>
      </c>
      <c r="B111" s="10" t="inlineStr">
        <is>
          <t>UAT testers and sign-off authority named</t>
        </is>
      </c>
      <c r="C111" s="10" t="inlineStr">
        <is>
          <t>T4</t>
        </is>
      </c>
      <c r="D111" s="10" t="inlineStr">
        <is>
          <t>UAT cycles with the UAT scripts and broker scenarios, including compliance, BIR and integration scripts</t>
        </is>
      </c>
      <c r="E111" s="10" t="inlineStr">
        <is>
          <t>FS</t>
        </is>
      </c>
      <c r="F111" s="10" t="inlineStr">
        <is>
          <t>0 / 0 / 0 / 0</t>
        </is>
      </c>
      <c r="G111" s="10" t="inlineStr">
        <is>
          <t>Go-live</t>
        </is>
      </c>
    </row>
    <row r="112">
      <c r="A112" s="10" t="inlineStr">
        <is>
          <t>T4</t>
        </is>
      </c>
      <c r="B112" s="10" t="inlineStr">
        <is>
          <t>UAT cycles with the UAT scripts and broker scenarios, including compliance, BIR and integration scripts</t>
        </is>
      </c>
      <c r="C112" s="10" t="inlineStr">
        <is>
          <t>T5</t>
        </is>
      </c>
      <c r="D112" s="10" t="inlineStr">
        <is>
          <t>UAT sign-off</t>
        </is>
      </c>
      <c r="E112" s="10" t="inlineStr">
        <is>
          <t>FS</t>
        </is>
      </c>
      <c r="F112" s="10" t="inlineStr">
        <is>
          <t>0 / 0 / 0 / 0</t>
        </is>
      </c>
      <c r="G112" s="10" t="inlineStr">
        <is>
          <t>Go-live</t>
        </is>
      </c>
    </row>
    <row r="113">
      <c r="A113" s="10" t="inlineStr">
        <is>
          <t>R6</t>
        </is>
      </c>
      <c r="B113" s="10" t="inlineStr">
        <is>
          <t>Tax adviser confirmation: tax codes, ATC, rates, invoice and receipt wording, VAT treatment of commission</t>
        </is>
      </c>
      <c r="C113" s="10" t="inlineStr">
        <is>
          <t>T5</t>
        </is>
      </c>
      <c r="D113" s="10" t="inlineStr">
        <is>
          <t>UAT sign-off</t>
        </is>
      </c>
      <c r="E113" s="10" t="inlineStr">
        <is>
          <t>FS</t>
        </is>
      </c>
      <c r="F113" s="10" t="inlineStr">
        <is>
          <t>0 / 0 / 0 / 0</t>
        </is>
      </c>
      <c r="G113" s="10" t="inlineStr">
        <is>
          <t>Go-live</t>
        </is>
      </c>
    </row>
    <row r="114">
      <c r="A114" s="10" t="inlineStr">
        <is>
          <t>T3</t>
        </is>
      </c>
      <c r="B114" s="10" t="inlineStr">
        <is>
          <t>Release candidate and frozen configuration promoted to UAT (Current data workbook, brand pack); comparison report clean</t>
        </is>
      </c>
      <c r="C114" s="10" t="inlineStr">
        <is>
          <t>X1</t>
        </is>
      </c>
      <c r="D114" s="10" t="inlineStr">
        <is>
          <t>Release tag and frozen configuration deployed to Production; production smoke test; transaction reset</t>
        </is>
      </c>
      <c r="E114" s="10" t="inlineStr">
        <is>
          <t>FS</t>
        </is>
      </c>
      <c r="F114" s="10" t="inlineStr">
        <is>
          <t>0 / 0 / 0 / 0</t>
        </is>
      </c>
      <c r="G114" s="10" t="inlineStr">
        <is>
          <t>Go-live</t>
        </is>
      </c>
    </row>
    <row r="115">
      <c r="A115" s="10" t="inlineStr">
        <is>
          <t>E7</t>
        </is>
      </c>
      <c r="B115" s="10" t="inlineStr">
        <is>
          <t>Production provisioned at production topology; backups, monitoring, restore test</t>
        </is>
      </c>
      <c r="C115" s="10" t="inlineStr">
        <is>
          <t>X1</t>
        </is>
      </c>
      <c r="D115" s="10" t="inlineStr">
        <is>
          <t>Release tag and frozen configuration deployed to Production; production smoke test; transaction reset</t>
        </is>
      </c>
      <c r="E115" s="10" t="inlineStr">
        <is>
          <t>FS</t>
        </is>
      </c>
      <c r="F115" s="10" t="inlineStr">
        <is>
          <t>0 / 0 / 0 / 0</t>
        </is>
      </c>
      <c r="G115" s="10" t="inlineStr">
        <is>
          <t>Go-live</t>
        </is>
      </c>
    </row>
    <row r="116">
      <c r="A116" s="10" t="inlineStr">
        <is>
          <t>R1</t>
        </is>
      </c>
      <c r="B116" s="10" t="inlineStr">
        <is>
          <t>BIR: Authority to Print or CAS registration and the invoice serial range confirmed (new or existing); last numbers used</t>
        </is>
      </c>
      <c r="C116" s="10" t="inlineStr">
        <is>
          <t>X1</t>
        </is>
      </c>
      <c r="D116" s="10" t="inlineStr">
        <is>
          <t>Release tag and frozen configuration deployed to Production; production smoke test; transaction reset</t>
        </is>
      </c>
      <c r="E116" s="10" t="inlineStr">
        <is>
          <t>FS</t>
        </is>
      </c>
      <c r="F116" s="10" t="inlineStr">
        <is>
          <t>0 / 0 / 0 / 0</t>
        </is>
      </c>
      <c r="G116" s="10" t="inlineStr">
        <is>
          <t>Go-live</t>
        </is>
      </c>
    </row>
    <row r="117">
      <c r="A117" s="10" t="inlineStr">
        <is>
          <t>X1</t>
        </is>
      </c>
      <c r="B117" s="10" t="inlineStr">
        <is>
          <t>Release tag and frozen configuration deployed to Production; production smoke test; transaction reset</t>
        </is>
      </c>
      <c r="C117" s="10" t="inlineStr">
        <is>
          <t>X2</t>
        </is>
      </c>
      <c r="D117" s="10" t="inlineStr">
        <is>
          <t>Pre-Prod created from a production backup (masked when people without production access take part)</t>
        </is>
      </c>
      <c r="E117" s="10" t="inlineStr">
        <is>
          <t>FS</t>
        </is>
      </c>
      <c r="F117" s="10" t="inlineStr">
        <is>
          <t>0 / 0 / 0 / 0</t>
        </is>
      </c>
      <c r="G117" s="10" t="inlineStr">
        <is>
          <t>Go-live</t>
        </is>
      </c>
    </row>
    <row r="118">
      <c r="A118" s="10" t="inlineStr">
        <is>
          <t>X2</t>
        </is>
      </c>
      <c r="B118" s="10" t="inlineStr">
        <is>
          <t>Pre-Prod created from a production backup (masked when people without production access take part)</t>
        </is>
      </c>
      <c r="C118" s="10" t="inlineStr">
        <is>
          <t>X3</t>
        </is>
      </c>
      <c r="D118" s="10" t="inlineStr">
        <is>
          <t>Cutover rehearsal in Pre-Prod: reset, migration load of a fresh extract, reconciliation, go-live lock, comparison against Production, timings</t>
        </is>
      </c>
      <c r="E118" s="10" t="inlineStr">
        <is>
          <t>FS</t>
        </is>
      </c>
      <c r="F118" s="10" t="inlineStr">
        <is>
          <t>0 / 0 / 0 / 0</t>
        </is>
      </c>
      <c r="G118" s="10" t="inlineStr">
        <is>
          <t>Go-live</t>
        </is>
      </c>
    </row>
    <row r="119">
      <c r="A119" s="10" t="inlineStr">
        <is>
          <t>G4</t>
        </is>
      </c>
      <c r="B119" s="10" t="inlineStr">
        <is>
          <t>Mock load 2 on a fresh extract, with transaction reset before it</t>
        </is>
      </c>
      <c r="C119" s="10" t="inlineStr">
        <is>
          <t>X3</t>
        </is>
      </c>
      <c r="D119" s="10" t="inlineStr">
        <is>
          <t>Cutover rehearsal in Pre-Prod: reset, migration load of a fresh extract, reconciliation, go-live lock, comparison against Production, timings</t>
        </is>
      </c>
      <c r="E119" s="10" t="inlineStr">
        <is>
          <t>FS</t>
        </is>
      </c>
      <c r="F119" s="10" t="inlineStr">
        <is>
          <t>0 / 0 / 0 / 0</t>
        </is>
      </c>
      <c r="G119" s="10" t="inlineStr">
        <is>
          <t>Go-live</t>
        </is>
      </c>
    </row>
    <row r="120">
      <c r="A120" s="10" t="inlineStr">
        <is>
          <t>G5</t>
        </is>
      </c>
      <c r="B120" s="10" t="inlineStr">
        <is>
          <t>Mock load 3 in UAT (large, enterprise)</t>
        </is>
      </c>
      <c r="C120" s="10" t="inlineStr">
        <is>
          <t>X3</t>
        </is>
      </c>
      <c r="D120" s="10" t="inlineStr">
        <is>
          <t>Cutover rehearsal in Pre-Prod: reset, migration load of a fresh extract, reconciliation, go-live lock, comparison against Production, timings</t>
        </is>
      </c>
      <c r="E120" s="10" t="inlineStr">
        <is>
          <t>FS</t>
        </is>
      </c>
      <c r="F120" s="10" t="inlineStr">
        <is>
          <t>0 / 0 / 0 / 0</t>
        </is>
      </c>
      <c r="G120" s="10" t="inlineStr">
        <is>
          <t>Go-live</t>
        </is>
      </c>
    </row>
    <row r="121">
      <c r="A121" s="10" t="inlineStr">
        <is>
          <t>G6</t>
        </is>
      </c>
      <c r="B121" s="10" t="inlineStr">
        <is>
          <t>Mock load 4 in UAT (enterprise)</t>
        </is>
      </c>
      <c r="C121" s="10" t="inlineStr">
        <is>
          <t>X3</t>
        </is>
      </c>
      <c r="D121" s="10" t="inlineStr">
        <is>
          <t>Cutover rehearsal in Pre-Prod: reset, migration load of a fresh extract, reconciliation, go-live lock, comparison against Production, timings</t>
        </is>
      </c>
      <c r="E121" s="10" t="inlineStr">
        <is>
          <t>FS</t>
        </is>
      </c>
      <c r="F121" s="10" t="inlineStr">
        <is>
          <t>0 / 0 / 0 / 0</t>
        </is>
      </c>
      <c r="G121" s="10" t="inlineStr">
        <is>
          <t>Go-live</t>
        </is>
      </c>
    </row>
    <row r="122">
      <c r="A122" s="10" t="inlineStr">
        <is>
          <t>T4</t>
        </is>
      </c>
      <c r="B122" s="10" t="inlineStr">
        <is>
          <t>UAT cycles with the UAT scripts and broker scenarios, including compliance, BIR and integration scripts</t>
        </is>
      </c>
      <c r="C122" s="10" t="inlineStr">
        <is>
          <t>X3</t>
        </is>
      </c>
      <c r="D122" s="10" t="inlineStr">
        <is>
          <t>Cutover rehearsal in Pre-Prod: reset, migration load of a fresh extract, reconciliation, go-live lock, comparison against Production, timings</t>
        </is>
      </c>
      <c r="E122" s="10" t="inlineStr">
        <is>
          <t>SS</t>
        </is>
      </c>
      <c r="F122" s="10" t="inlineStr">
        <is>
          <t>4 / 5 / 6 / 15</t>
        </is>
      </c>
      <c r="G122" s="10" t="inlineStr">
        <is>
          <t>Go-live</t>
        </is>
      </c>
    </row>
    <row r="123">
      <c r="A123" s="10" t="inlineStr">
        <is>
          <t>X3</t>
        </is>
      </c>
      <c r="B123" s="10" t="inlineStr">
        <is>
          <t>Cutover rehearsal in Pre-Prod: reset, migration load of a fresh extract, reconciliation, go-live lock, comparison against Production, timings</t>
        </is>
      </c>
      <c r="C123" s="10" t="inlineStr">
        <is>
          <t>X4</t>
        </is>
      </c>
      <c r="D123" s="10" t="inlineStr">
        <is>
          <t>Go/no-go 1: UAT signed, rehearsal reconciled, users trained, registrations and partner states confirmed</t>
        </is>
      </c>
      <c r="E123" s="10" t="inlineStr">
        <is>
          <t>FS</t>
        </is>
      </c>
      <c r="F123" s="10" t="inlineStr">
        <is>
          <t>0 / 0 / 0 / 0</t>
        </is>
      </c>
      <c r="G123" s="10" t="inlineStr">
        <is>
          <t>Go-live</t>
        </is>
      </c>
    </row>
    <row r="124">
      <c r="A124" s="10" t="inlineStr">
        <is>
          <t>T5</t>
        </is>
      </c>
      <c r="B124" s="10" t="inlineStr">
        <is>
          <t>UAT sign-off</t>
        </is>
      </c>
      <c r="C124" s="10" t="inlineStr">
        <is>
          <t>X4</t>
        </is>
      </c>
      <c r="D124" s="10" t="inlineStr">
        <is>
          <t>Go/no-go 1: UAT signed, rehearsal reconciled, users trained, registrations and partner states confirmed</t>
        </is>
      </c>
      <c r="E124" s="10" t="inlineStr">
        <is>
          <t>FS</t>
        </is>
      </c>
      <c r="F124" s="10" t="inlineStr">
        <is>
          <t>0 / 0 / 0 / 0</t>
        </is>
      </c>
      <c r="G124" s="10" t="inlineStr">
        <is>
          <t>Go-live</t>
        </is>
      </c>
    </row>
    <row r="125">
      <c r="A125" s="10" t="inlineStr">
        <is>
          <t>L3</t>
        </is>
      </c>
      <c r="B125" s="10" t="inlineStr">
        <is>
          <t>End-user training per role, run by key users</t>
        </is>
      </c>
      <c r="C125" s="10" t="inlineStr">
        <is>
          <t>X4</t>
        </is>
      </c>
      <c r="D125" s="10" t="inlineStr">
        <is>
          <t>Go/no-go 1: UAT signed, rehearsal reconciled, users trained, registrations and partner states confirmed</t>
        </is>
      </c>
      <c r="E125" s="10" t="inlineStr">
        <is>
          <t>FS</t>
        </is>
      </c>
      <c r="F125" s="10" t="inlineStr">
        <is>
          <t>0 / 0 / 0 / 0</t>
        </is>
      </c>
      <c r="G125" s="10" t="inlineStr">
        <is>
          <t>Go-live</t>
        </is>
      </c>
    </row>
    <row r="126">
      <c r="A126" s="10" t="inlineStr">
        <is>
          <t>L2</t>
        </is>
      </c>
      <c r="B126" s="10" t="inlineStr">
        <is>
          <t>Compliance officer, DPO and System Administrator training on the compliance and privacy screens</t>
        </is>
      </c>
      <c r="C126" s="10" t="inlineStr">
        <is>
          <t>X4</t>
        </is>
      </c>
      <c r="D126" s="10" t="inlineStr">
        <is>
          <t>Go/no-go 1: UAT signed, rehearsal reconciled, users trained, registrations and partner states confirmed</t>
        </is>
      </c>
      <c r="E126" s="10" t="inlineStr">
        <is>
          <t>FS</t>
        </is>
      </c>
      <c r="F126" s="10" t="inlineStr">
        <is>
          <t>0 / 0 / 0 / 0</t>
        </is>
      </c>
      <c r="G126" s="10" t="inlineStr">
        <is>
          <t>Go-live</t>
        </is>
      </c>
    </row>
    <row r="127">
      <c r="A127" s="10" t="inlineStr">
        <is>
          <t>K2</t>
        </is>
      </c>
      <c r="B127" s="10" t="inlineStr">
        <is>
          <t>Screening lists loaded (UN, AMLC, PEP, internal); clients rescreened</t>
        </is>
      </c>
      <c r="C127" s="10" t="inlineStr">
        <is>
          <t>X4</t>
        </is>
      </c>
      <c r="D127" s="10" t="inlineStr">
        <is>
          <t>Go/no-go 1: UAT signed, rehearsal reconciled, users trained, registrations and partner states confirmed</t>
        </is>
      </c>
      <c r="E127" s="10" t="inlineStr">
        <is>
          <t>FS</t>
        </is>
      </c>
      <c r="F127" s="10" t="inlineStr">
        <is>
          <t>0 / 0 / 0 / 0</t>
        </is>
      </c>
      <c r="G127" s="10" t="inlineStr">
        <is>
          <t>Go-live</t>
        </is>
      </c>
    </row>
    <row r="128">
      <c r="A128" s="10" t="inlineStr">
        <is>
          <t>K3</t>
        </is>
      </c>
      <c r="B128" s="10" t="inlineStr">
        <is>
          <t>AMLC report file test: CTR file generated in UAT and checked against the AMLC portal requirements</t>
        </is>
      </c>
      <c r="C128" s="10" t="inlineStr">
        <is>
          <t>X4</t>
        </is>
      </c>
      <c r="D128" s="10" t="inlineStr">
        <is>
          <t>Go/no-go 1: UAT signed, rehearsal reconciled, users trained, registrations and partner states confirmed</t>
        </is>
      </c>
      <c r="E128" s="10" t="inlineStr">
        <is>
          <t>FS</t>
        </is>
      </c>
      <c r="F128" s="10" t="inlineStr">
        <is>
          <t>0 / 0 / 0 / 0</t>
        </is>
      </c>
      <c r="G128" s="10" t="inlineStr">
        <is>
          <t>Go-live</t>
        </is>
      </c>
    </row>
    <row r="129">
      <c r="A129" s="10" t="inlineStr">
        <is>
          <t>N1</t>
        </is>
      </c>
      <c r="B129" s="10" t="inlineStr">
        <is>
          <t>E-mail: SMTP set, password reset and approval link tested</t>
        </is>
      </c>
      <c r="C129" s="10" t="inlineStr">
        <is>
          <t>X4</t>
        </is>
      </c>
      <c r="D129" s="10" t="inlineStr">
        <is>
          <t>Go/no-go 1: UAT signed, rehearsal reconciled, users trained, registrations and partner states confirmed</t>
        </is>
      </c>
      <c r="E129" s="10" t="inlineStr">
        <is>
          <t>FS</t>
        </is>
      </c>
      <c r="F129" s="10" t="inlineStr">
        <is>
          <t>0 / 0 / 0 / 0</t>
        </is>
      </c>
      <c r="G129" s="10" t="inlineStr">
        <is>
          <t>Go-live</t>
        </is>
      </c>
    </row>
    <row r="130">
      <c r="A130" s="10" t="inlineStr">
        <is>
          <t>N2</t>
        </is>
      </c>
      <c r="B130" s="10" t="inlineStr">
        <is>
          <t>Bank statement formats: one statement per bank account imported with a balancing preview</t>
        </is>
      </c>
      <c r="C130" s="10" t="inlineStr">
        <is>
          <t>X4</t>
        </is>
      </c>
      <c r="D130" s="10" t="inlineStr">
        <is>
          <t>Go/no-go 1: UAT signed, rehearsal reconciled, users trained, registrations and partner states confirmed</t>
        </is>
      </c>
      <c r="E130" s="10" t="inlineStr">
        <is>
          <t>FS</t>
        </is>
      </c>
      <c r="F130" s="10" t="inlineStr">
        <is>
          <t>0 / 0 / 0 / 0</t>
        </is>
      </c>
      <c r="G130" s="10" t="inlineStr">
        <is>
          <t>Go-live</t>
        </is>
      </c>
    </row>
    <row r="131">
      <c r="A131" s="10" t="inlineStr">
        <is>
          <t>R5</t>
        </is>
      </c>
      <c r="B131" s="10" t="inlineStr">
        <is>
          <t>NPC: registration of the DPO and the data processing systems confirmed; privacy notice version</t>
        </is>
      </c>
      <c r="C131" s="10" t="inlineStr">
        <is>
          <t>X4</t>
        </is>
      </c>
      <c r="D131" s="10" t="inlineStr">
        <is>
          <t>Go/no-go 1: UAT signed, rehearsal reconciled, users trained, registrations and partner states confirmed</t>
        </is>
      </c>
      <c r="E131" s="10" t="inlineStr">
        <is>
          <t>FS</t>
        </is>
      </c>
      <c r="F131" s="10" t="inlineStr">
        <is>
          <t>0 / 0 / 0 / 0</t>
        </is>
      </c>
      <c r="G131" s="10" t="inlineStr">
        <is>
          <t>Go-live</t>
        </is>
      </c>
    </row>
    <row r="132">
      <c r="A132" s="10" t="inlineStr">
        <is>
          <t>B1</t>
        </is>
      </c>
      <c r="B132" s="10" t="inlineStr">
        <is>
          <t>Theme and Branding, letterhead, sign-in page, branded documents and e-mails; e-signatures captured and mapped; brand pack exported</t>
        </is>
      </c>
      <c r="C132" s="10" t="inlineStr">
        <is>
          <t>X4</t>
        </is>
      </c>
      <c r="D132" s="10" t="inlineStr">
        <is>
          <t>Go/no-go 1: UAT signed, rehearsal reconciled, users trained, registrations and partner states confirmed</t>
        </is>
      </c>
      <c r="E132" s="10" t="inlineStr">
        <is>
          <t>FS</t>
        </is>
      </c>
      <c r="F132" s="10" t="inlineStr">
        <is>
          <t>0 / 0 / 0 / 0</t>
        </is>
      </c>
      <c r="G132" s="10" t="inlineStr">
        <is>
          <t>Go-live</t>
        </is>
      </c>
    </row>
    <row r="133">
      <c r="A133" s="10" t="inlineStr">
        <is>
          <t>X4</t>
        </is>
      </c>
      <c r="B133" s="10" t="inlineStr">
        <is>
          <t>Go/no-go 1: UAT signed, rehearsal reconciled, users trained, registrations and partner states confirmed</t>
        </is>
      </c>
      <c r="C133" s="10" t="inlineStr">
        <is>
          <t>X5</t>
        </is>
      </c>
      <c r="D133" s="10" t="inlineStr">
        <is>
          <t>Cutover: freeze, final extract, final load, reconciliation, go/no-go 2, golive.locked, mask:data --register-production</t>
        </is>
      </c>
      <c r="E133" s="10" t="inlineStr">
        <is>
          <t>FS</t>
        </is>
      </c>
      <c r="F133" s="10" t="inlineStr">
        <is>
          <t>0 / 0 / 0 / 0</t>
        </is>
      </c>
      <c r="G133" s="10" t="inlineStr">
        <is>
          <t>Go-live</t>
        </is>
      </c>
    </row>
    <row r="134">
      <c r="A134" s="10" t="inlineStr">
        <is>
          <t>X5</t>
        </is>
      </c>
      <c r="B134" s="10" t="inlineStr">
        <is>
          <t>Cutover: freeze, final extract, final load, reconciliation, go/no-go 2, golive.locked, mask:data --register-production</t>
        </is>
      </c>
      <c r="C134" s="10" t="inlineStr">
        <is>
          <t>X6</t>
        </is>
      </c>
      <c r="D134" s="10" t="inlineStr">
        <is>
          <t>Go-live</t>
        </is>
      </c>
      <c r="E134" s="10" t="inlineStr">
        <is>
          <t>FS</t>
        </is>
      </c>
      <c r="F134" s="10" t="inlineStr">
        <is>
          <t>0 / 0 / 0 / 0</t>
        </is>
      </c>
      <c r="G134" s="10" t="inlineStr">
        <is>
          <t>Go-live</t>
        </is>
      </c>
    </row>
    <row r="135">
      <c r="A135" s="10" t="inlineStr">
        <is>
          <t>X6</t>
        </is>
      </c>
      <c r="B135" s="10" t="inlineStr">
        <is>
          <t>Go-live</t>
        </is>
      </c>
      <c r="C135" s="10" t="inlineStr">
        <is>
          <t>H1</t>
        </is>
      </c>
      <c r="D135" s="10" t="inlineStr">
        <is>
          <t>Hypercare: daily check-ins in week 1, then weekly; first receipts, remittances, bank imports and payment files watched</t>
        </is>
      </c>
      <c r="E135" s="10" t="inlineStr">
        <is>
          <t>FS</t>
        </is>
      </c>
      <c r="F135" s="10" t="inlineStr">
        <is>
          <t>0 / 0 / 0 / 0</t>
        </is>
      </c>
      <c r="G135" s="10" t="inlineStr">
        <is>
          <t>Hypercare exit</t>
        </is>
      </c>
    </row>
    <row r="136">
      <c r="A136" s="10" t="inlineStr">
        <is>
          <t>X6</t>
        </is>
      </c>
      <c r="B136" s="10" t="inlineStr">
        <is>
          <t>Go-live</t>
        </is>
      </c>
      <c r="C136" s="10" t="inlineStr">
        <is>
          <t>H2</t>
        </is>
      </c>
      <c r="D136" s="10" t="inlineStr">
        <is>
          <t>First month-end close and BIR working papers of the first month supported</t>
        </is>
      </c>
      <c r="E136" s="10" t="inlineStr">
        <is>
          <t>FS</t>
        </is>
      </c>
      <c r="F136" s="10" t="inlineStr">
        <is>
          <t>5 / 10 / 15 / 15</t>
        </is>
      </c>
      <c r="G136" s="10" t="inlineStr">
        <is>
          <t>Hypercare exit</t>
        </is>
      </c>
    </row>
    <row r="137">
      <c r="A137" s="10" t="inlineStr">
        <is>
          <t>H1</t>
        </is>
      </c>
      <c r="B137" s="10" t="inlineStr">
        <is>
          <t>Hypercare: daily check-ins in week 1, then weekly; first receipts, remittances, bank imports and payment files watched</t>
        </is>
      </c>
      <c r="C137" s="10" t="inlineStr">
        <is>
          <t>H3</t>
        </is>
      </c>
      <c r="D137" s="10" t="inlineStr">
        <is>
          <t>Knowledge transfer, configuration baseline (Current data workbook of Production), handover; Pre-Prod removed</t>
        </is>
      </c>
      <c r="E137" s="10" t="inlineStr">
        <is>
          <t>FS</t>
        </is>
      </c>
      <c r="F137" s="10" t="inlineStr">
        <is>
          <t>0 / 0 / 0 / 0</t>
        </is>
      </c>
      <c r="G137" s="10" t="inlineStr">
        <is>
          <t>Hypercare exit</t>
        </is>
      </c>
    </row>
    <row r="138">
      <c r="A138" s="10" t="inlineStr">
        <is>
          <t>H2</t>
        </is>
      </c>
      <c r="B138" s="10" t="inlineStr">
        <is>
          <t>First month-end close and BIR working papers of the first month supported</t>
        </is>
      </c>
      <c r="C138" s="10" t="inlineStr">
        <is>
          <t>H3</t>
        </is>
      </c>
      <c r="D138" s="10" t="inlineStr">
        <is>
          <t>Knowledge transfer, configuration baseline (Current data workbook of Production), handover; Pre-Prod removed</t>
        </is>
      </c>
      <c r="E138" s="10" t="inlineStr">
        <is>
          <t>FS</t>
        </is>
      </c>
      <c r="F138" s="10" t="inlineStr">
        <is>
          <t>0 / 0 / 0 / 0</t>
        </is>
      </c>
      <c r="G138" s="10" t="inlineStr">
        <is>
          <t>Hypercare exit</t>
        </is>
      </c>
    </row>
  </sheetData>
  <autoFilter ref="A4:G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RACI: iorta TechNXT, the broker and the partners</t>
        </is>
      </c>
    </row>
    <row r="2">
      <c r="A2" s="5" t="inlineStr">
        <is>
          <t>R = Responsible, A = Accountable (one per activity), C = Consulted, I = Informed.</t>
        </is>
      </c>
    </row>
    <row r="4" ht="58" customHeight="1">
      <c r="A4" s="6" t="inlineStr">
        <is>
          <t>Phase</t>
        </is>
      </c>
      <c r="B4" s="6" t="inlineStr">
        <is>
          <t>Activity</t>
        </is>
      </c>
      <c r="C4" s="6" t="inlineStr">
        <is>
          <t>iorta TechNXT PM</t>
        </is>
      </c>
      <c r="D4" s="6" t="inlineStr">
        <is>
          <t>iorta TechNXT consultants</t>
        </is>
      </c>
      <c r="E4" s="6" t="inlineStr">
        <is>
          <t>iorta TechNXT technical / DevOps</t>
        </is>
      </c>
      <c r="F4" s="6" t="inlineStr">
        <is>
          <t>Broker sponsor</t>
        </is>
      </c>
      <c r="G4" s="6" t="inlineStr">
        <is>
          <t>Broker PM</t>
        </is>
      </c>
      <c r="H4" s="6" t="inlineStr">
        <is>
          <t>Broker key users / process owners</t>
        </is>
      </c>
      <c r="I4" s="6" t="inlineStr">
        <is>
          <t>Broker IT / System Administrator</t>
        </is>
      </c>
      <c r="J4" s="6" t="inlineStr">
        <is>
          <t>Broker Accounting Manager</t>
        </is>
      </c>
      <c r="K4" s="6" t="inlineStr">
        <is>
          <t>Broker compliance officer / DPO</t>
        </is>
      </c>
      <c r="L4" s="6" t="inlineStr">
        <is>
          <t>Partners (banks, SMS, CTPL provider, insurers, gateway)</t>
        </is>
      </c>
    </row>
    <row r="5">
      <c r="A5" s="30" t="inlineStr">
        <is>
          <t>Mobilisation</t>
        </is>
      </c>
      <c r="B5" s="31" t="inlineStr">
        <is>
          <t>Project charter and baselined plan</t>
        </is>
      </c>
      <c r="C5" s="32" t="inlineStr">
        <is>
          <t>R</t>
        </is>
      </c>
      <c r="D5" s="33" t="inlineStr">
        <is>
          <t>C</t>
        </is>
      </c>
      <c r="E5" s="33" t="inlineStr">
        <is>
          <t>C</t>
        </is>
      </c>
      <c r="F5" s="34" t="inlineStr">
        <is>
          <t>A</t>
        </is>
      </c>
      <c r="G5" s="32" t="inlineStr">
        <is>
          <t>R</t>
        </is>
      </c>
      <c r="H5" s="35" t="inlineStr">
        <is>
          <t>I</t>
        </is>
      </c>
      <c r="I5" s="35" t="inlineStr">
        <is>
          <t>I</t>
        </is>
      </c>
      <c r="J5" s="35" t="inlineStr">
        <is>
          <t>I</t>
        </is>
      </c>
      <c r="K5" s="35" t="inlineStr">
        <is>
          <t>I</t>
        </is>
      </c>
      <c r="L5" s="35" t="inlineStr">
        <is>
          <t>I</t>
        </is>
      </c>
    </row>
    <row r="6">
      <c r="A6" s="30" t="inlineStr">
        <is>
          <t>Mobilisation</t>
        </is>
      </c>
      <c r="B6" s="31" t="inlineStr">
        <is>
          <t>Governance set-up (steering committee, status, RAID log)</t>
        </is>
      </c>
      <c r="C6" s="32" t="inlineStr">
        <is>
          <t>R</t>
        </is>
      </c>
      <c r="D6" s="35" t="inlineStr">
        <is>
          <t>I</t>
        </is>
      </c>
      <c r="E6" s="35" t="inlineStr">
        <is>
          <t>I</t>
        </is>
      </c>
      <c r="F6" s="34" t="inlineStr">
        <is>
          <t>A</t>
        </is>
      </c>
      <c r="G6" s="32" t="inlineStr">
        <is>
          <t>R</t>
        </is>
      </c>
      <c r="H6" s="35" t="inlineStr">
        <is>
          <t>I</t>
        </is>
      </c>
      <c r="I6" s="35" t="inlineStr">
        <is>
          <t>I</t>
        </is>
      </c>
      <c r="J6" s="35" t="inlineStr">
        <is>
          <t>I</t>
        </is>
      </c>
      <c r="K6" s="35" t="inlineStr">
        <is>
          <t>I</t>
        </is>
      </c>
      <c r="L6" s="35" t="inlineStr">
        <is>
          <t>I</t>
        </is>
      </c>
    </row>
    <row r="7">
      <c r="A7" s="30" t="inlineStr">
        <is>
          <t>Mobilisation</t>
        </is>
      </c>
      <c r="B7" s="31" t="inlineStr">
        <is>
          <t>Data request list and go-live kits issued and tracked</t>
        </is>
      </c>
      <c r="C7" s="32" t="inlineStr">
        <is>
          <t>R</t>
        </is>
      </c>
      <c r="D7" s="33" t="inlineStr">
        <is>
          <t>C</t>
        </is>
      </c>
      <c r="E7" s="33" t="inlineStr">
        <is>
          <t>C</t>
        </is>
      </c>
      <c r="F7" s="35" t="inlineStr">
        <is>
          <t>I</t>
        </is>
      </c>
      <c r="G7" s="34" t="inlineStr">
        <is>
          <t>A</t>
        </is>
      </c>
      <c r="H7" s="33" t="inlineStr">
        <is>
          <t>C</t>
        </is>
      </c>
      <c r="I7" s="33" t="inlineStr">
        <is>
          <t>C</t>
        </is>
      </c>
      <c r="J7" s="33" t="inlineStr">
        <is>
          <t>C</t>
        </is>
      </c>
      <c r="K7" s="33" t="inlineStr">
        <is>
          <t>C</t>
        </is>
      </c>
      <c r="L7" s="35" t="inlineStr">
        <is>
          <t>I</t>
        </is>
      </c>
    </row>
    <row r="8">
      <c r="A8" s="30" t="inlineStr">
        <is>
          <t>Mobilisation</t>
        </is>
      </c>
      <c r="B8" s="31" t="inlineStr">
        <is>
          <t>Hosting option, environment set and data location decision</t>
        </is>
      </c>
      <c r="C8" s="33" t="inlineStr">
        <is>
          <t>C</t>
        </is>
      </c>
      <c r="D8" s="35" t="inlineStr">
        <is>
          <t>I</t>
        </is>
      </c>
      <c r="E8" s="33" t="inlineStr">
        <is>
          <t>C</t>
        </is>
      </c>
      <c r="F8" s="34" t="inlineStr">
        <is>
          <t>A</t>
        </is>
      </c>
      <c r="G8" s="32" t="inlineStr">
        <is>
          <t>R</t>
        </is>
      </c>
      <c r="H8" s="35" t="inlineStr">
        <is>
          <t>I</t>
        </is>
      </c>
      <c r="I8" s="32" t="inlineStr">
        <is>
          <t>R</t>
        </is>
      </c>
      <c r="J8" s="35" t="inlineStr">
        <is>
          <t>I</t>
        </is>
      </c>
      <c r="K8" s="33" t="inlineStr">
        <is>
          <t>C</t>
        </is>
      </c>
      <c r="L8" s="35" t="inlineStr">
        <is>
          <t>I</t>
        </is>
      </c>
    </row>
    <row r="9">
      <c r="A9" s="30" t="inlineStr">
        <is>
          <t>Environments and pipeline</t>
        </is>
      </c>
      <c r="B9" s="31" t="inlineStr">
        <is>
          <t>Dev, SIT, UAT and Production provisioned; Pre-Prod when needed</t>
        </is>
      </c>
      <c r="C9" s="34" t="inlineStr">
        <is>
          <t>A</t>
        </is>
      </c>
      <c r="D9" s="35" t="inlineStr">
        <is>
          <t>I</t>
        </is>
      </c>
      <c r="E9" s="32" t="inlineStr">
        <is>
          <t>R</t>
        </is>
      </c>
      <c r="F9" s="35" t="inlineStr">
        <is>
          <t>I</t>
        </is>
      </c>
      <c r="G9" s="35" t="inlineStr">
        <is>
          <t>I</t>
        </is>
      </c>
      <c r="H9" s="35" t="inlineStr">
        <is>
          <t>I</t>
        </is>
      </c>
      <c r="I9" s="33" t="inlineStr">
        <is>
          <t>C</t>
        </is>
      </c>
      <c r="J9" s="35" t="inlineStr">
        <is>
          <t>I</t>
        </is>
      </c>
      <c r="K9" s="35" t="inlineStr">
        <is>
          <t>I</t>
        </is>
      </c>
      <c r="L9" s="35" t="inlineStr">
        <is>
          <t>I</t>
        </is>
      </c>
    </row>
    <row r="10">
      <c r="A10" s="30" t="inlineStr">
        <is>
          <t>Environments and pipeline</t>
        </is>
      </c>
      <c r="B10" s="31" t="inlineStr">
        <is>
          <t>GitHub Environments, protection rules, reviewers, variables and secrets</t>
        </is>
      </c>
      <c r="C10" s="33" t="inlineStr">
        <is>
          <t>C</t>
        </is>
      </c>
      <c r="D10" s="35" t="inlineStr">
        <is>
          <t>I</t>
        </is>
      </c>
      <c r="E10" s="34" t="inlineStr">
        <is>
          <t>A</t>
        </is>
      </c>
      <c r="F10" s="35" t="inlineStr">
        <is>
          <t>I</t>
        </is>
      </c>
      <c r="G10" s="35" t="inlineStr">
        <is>
          <t>I</t>
        </is>
      </c>
      <c r="H10" s="35" t="inlineStr">
        <is>
          <t>I</t>
        </is>
      </c>
      <c r="I10" s="33" t="inlineStr">
        <is>
          <t>C</t>
        </is>
      </c>
      <c r="J10" s="35" t="inlineStr">
        <is>
          <t>I</t>
        </is>
      </c>
      <c r="K10" s="35" t="inlineStr">
        <is>
          <t>I</t>
        </is>
      </c>
      <c r="L10" s="35" t="inlineStr">
        <is>
          <t>I</t>
        </is>
      </c>
    </row>
    <row r="11">
      <c r="A11" s="30" t="inlineStr">
        <is>
          <t>Environments and pipeline</t>
        </is>
      </c>
      <c r="B11" s="31" t="inlineStr">
        <is>
          <t>Encryption keys (DATA_ENCRYPTION_KEY, PII_ENCRYPTION_KEY): generation, custody, escrow copy, rotation</t>
        </is>
      </c>
      <c r="C11" s="35" t="inlineStr">
        <is>
          <t>I</t>
        </is>
      </c>
      <c r="D11" s="35" t="inlineStr">
        <is>
          <t>I</t>
        </is>
      </c>
      <c r="E11" s="32" t="inlineStr">
        <is>
          <t>R</t>
        </is>
      </c>
      <c r="F11" s="35" t="inlineStr">
        <is>
          <t>I</t>
        </is>
      </c>
      <c r="G11" s="35" t="inlineStr">
        <is>
          <t>I</t>
        </is>
      </c>
      <c r="H11" s="35" t="inlineStr">
        <is>
          <t>I</t>
        </is>
      </c>
      <c r="I11" s="34" t="inlineStr">
        <is>
          <t>A</t>
        </is>
      </c>
      <c r="J11" s="35" t="inlineStr">
        <is>
          <t>I</t>
        </is>
      </c>
      <c r="K11" s="33" t="inlineStr">
        <is>
          <t>C</t>
        </is>
      </c>
      <c r="L11" s="35" t="inlineStr">
        <is>
          <t>I</t>
        </is>
      </c>
    </row>
    <row r="12">
      <c r="A12" s="30" t="inlineStr">
        <is>
          <t>Environments and pipeline</t>
        </is>
      </c>
      <c r="B12" s="31" t="inlineStr">
        <is>
          <t>Backups, restore test, monitoring</t>
        </is>
      </c>
      <c r="C12" s="34" t="inlineStr">
        <is>
          <t>A</t>
        </is>
      </c>
      <c r="D12" s="35" t="inlineStr">
        <is>
          <t>I</t>
        </is>
      </c>
      <c r="E12" s="32" t="inlineStr">
        <is>
          <t>R</t>
        </is>
      </c>
      <c r="F12" s="35" t="inlineStr">
        <is>
          <t>I</t>
        </is>
      </c>
      <c r="G12" s="35" t="inlineStr">
        <is>
          <t>I</t>
        </is>
      </c>
      <c r="H12" s="35" t="inlineStr">
        <is>
          <t>I</t>
        </is>
      </c>
      <c r="I12" s="33" t="inlineStr">
        <is>
          <t>C</t>
        </is>
      </c>
      <c r="J12" s="35" t="inlineStr">
        <is>
          <t>I</t>
        </is>
      </c>
      <c r="K12" s="35" t="inlineStr">
        <is>
          <t>I</t>
        </is>
      </c>
      <c r="L12" s="35" t="inlineStr">
        <is>
          <t>I</t>
        </is>
      </c>
    </row>
    <row r="13">
      <c r="A13" s="30" t="inlineStr">
        <is>
          <t>Discovery and fit-gap</t>
        </is>
      </c>
      <c r="B13" s="31" t="inlineStr">
        <is>
          <t>Discovery workshops</t>
        </is>
      </c>
      <c r="C13" s="34" t="inlineStr">
        <is>
          <t>A</t>
        </is>
      </c>
      <c r="D13" s="32" t="inlineStr">
        <is>
          <t>R</t>
        </is>
      </c>
      <c r="E13" s="35" t="inlineStr">
        <is>
          <t>I</t>
        </is>
      </c>
      <c r="F13" s="35" t="inlineStr">
        <is>
          <t>I</t>
        </is>
      </c>
      <c r="G13" s="32" t="inlineStr">
        <is>
          <t>R</t>
        </is>
      </c>
      <c r="H13" s="32" t="inlineStr">
        <is>
          <t>R</t>
        </is>
      </c>
      <c r="I13" s="33" t="inlineStr">
        <is>
          <t>C</t>
        </is>
      </c>
      <c r="J13" s="32" t="inlineStr">
        <is>
          <t>R</t>
        </is>
      </c>
      <c r="K13" s="33" t="inlineStr">
        <is>
          <t>C</t>
        </is>
      </c>
      <c r="L13" s="35" t="inlineStr">
        <is>
          <t>I</t>
        </is>
      </c>
    </row>
    <row r="14">
      <c r="A14" s="30" t="inlineStr">
        <is>
          <t>Discovery and fit-gap</t>
        </is>
      </c>
      <c r="B14" s="31" t="inlineStr">
        <is>
          <t>Configuration decisions and fit-gap register sign-off</t>
        </is>
      </c>
      <c r="C14" s="33" t="inlineStr">
        <is>
          <t>C</t>
        </is>
      </c>
      <c r="D14" s="32" t="inlineStr">
        <is>
          <t>R</t>
        </is>
      </c>
      <c r="E14" s="35" t="inlineStr">
        <is>
          <t>I</t>
        </is>
      </c>
      <c r="F14" s="35" t="inlineStr">
        <is>
          <t>I</t>
        </is>
      </c>
      <c r="G14" s="34" t="inlineStr">
        <is>
          <t>A</t>
        </is>
      </c>
      <c r="H14" s="32" t="inlineStr">
        <is>
          <t>R</t>
        </is>
      </c>
      <c r="I14" s="33" t="inlineStr">
        <is>
          <t>C</t>
        </is>
      </c>
      <c r="J14" s="32" t="inlineStr">
        <is>
          <t>R</t>
        </is>
      </c>
      <c r="K14" s="33" t="inlineStr">
        <is>
          <t>C</t>
        </is>
      </c>
      <c r="L14" s="35" t="inlineStr">
        <is>
          <t>I</t>
        </is>
      </c>
    </row>
    <row r="15">
      <c r="A15" s="30" t="inlineStr">
        <is>
          <t>Configuration</t>
        </is>
      </c>
      <c r="B15" s="31" t="inlineStr">
        <is>
          <t>Configuration kit filled (masters, users, chart of accounts, insurers, products, taxes, numbering)</t>
        </is>
      </c>
      <c r="C15" s="33" t="inlineStr">
        <is>
          <t>C</t>
        </is>
      </c>
      <c r="D15" s="32" t="inlineStr">
        <is>
          <t>R</t>
        </is>
      </c>
      <c r="E15" s="35" t="inlineStr">
        <is>
          <t>I</t>
        </is>
      </c>
      <c r="F15" s="35" t="inlineStr">
        <is>
          <t>I</t>
        </is>
      </c>
      <c r="G15" s="34" t="inlineStr">
        <is>
          <t>A</t>
        </is>
      </c>
      <c r="H15" s="32" t="inlineStr">
        <is>
          <t>R</t>
        </is>
      </c>
      <c r="I15" s="32" t="inlineStr">
        <is>
          <t>R</t>
        </is>
      </c>
      <c r="J15" s="32" t="inlineStr">
        <is>
          <t>R</t>
        </is>
      </c>
      <c r="K15" s="35" t="inlineStr">
        <is>
          <t>I</t>
        </is>
      </c>
      <c r="L15" s="35" t="inlineStr">
        <is>
          <t>I</t>
        </is>
      </c>
    </row>
    <row r="16">
      <c r="A16" s="30" t="inlineStr">
        <is>
          <t>Configuration</t>
        </is>
      </c>
      <c r="B16" s="31" t="inlineStr">
        <is>
          <t>Configuration kit validated and loaded; errors workbook</t>
        </is>
      </c>
      <c r="C16" s="34" t="inlineStr">
        <is>
          <t>A</t>
        </is>
      </c>
      <c r="D16" s="32" t="inlineStr">
        <is>
          <t>R</t>
        </is>
      </c>
      <c r="E16" s="33" t="inlineStr">
        <is>
          <t>C</t>
        </is>
      </c>
      <c r="F16" s="35" t="inlineStr">
        <is>
          <t>I</t>
        </is>
      </c>
      <c r="G16" s="35" t="inlineStr">
        <is>
          <t>I</t>
        </is>
      </c>
      <c r="H16" s="33" t="inlineStr">
        <is>
          <t>C</t>
        </is>
      </c>
      <c r="I16" s="32" t="inlineStr">
        <is>
          <t>R</t>
        </is>
      </c>
      <c r="J16" s="35" t="inlineStr">
        <is>
          <t>I</t>
        </is>
      </c>
      <c r="K16" s="35" t="inlineStr">
        <is>
          <t>I</t>
        </is>
      </c>
      <c r="L16" s="35" t="inlineStr">
        <is>
          <t>I</t>
        </is>
      </c>
    </row>
    <row r="17">
      <c r="A17" s="30" t="inlineStr">
        <is>
          <t>Configuration</t>
        </is>
      </c>
      <c r="B17" s="31" t="inlineStr">
        <is>
          <t>Product Configurator: templates, rating factors, acceptance rules, document templates, market mapping</t>
        </is>
      </c>
      <c r="C17" s="34" t="inlineStr">
        <is>
          <t>A</t>
        </is>
      </c>
      <c r="D17" s="32" t="inlineStr">
        <is>
          <t>R</t>
        </is>
      </c>
      <c r="E17" s="35" t="inlineStr">
        <is>
          <t>I</t>
        </is>
      </c>
      <c r="F17" s="35" t="inlineStr">
        <is>
          <t>I</t>
        </is>
      </c>
      <c r="G17" s="33" t="inlineStr">
        <is>
          <t>C</t>
        </is>
      </c>
      <c r="H17" s="32" t="inlineStr">
        <is>
          <t>R</t>
        </is>
      </c>
      <c r="I17" s="33" t="inlineStr">
        <is>
          <t>C</t>
        </is>
      </c>
      <c r="J17" s="35" t="inlineStr">
        <is>
          <t>I</t>
        </is>
      </c>
      <c r="K17" s="35" t="inlineStr">
        <is>
          <t>I</t>
        </is>
      </c>
      <c r="L17" s="35" t="inlineStr">
        <is>
          <t>I</t>
        </is>
      </c>
    </row>
    <row r="18">
      <c r="A18" s="30" t="inlineStr">
        <is>
          <t>Configuration</t>
        </is>
      </c>
      <c r="B18" s="31" t="inlineStr">
        <is>
          <t>Tax codes, premium taxes, LGU rates, posting rules, account determination</t>
        </is>
      </c>
      <c r="C18" s="34" t="inlineStr">
        <is>
          <t>A</t>
        </is>
      </c>
      <c r="D18" s="32" t="inlineStr">
        <is>
          <t>R</t>
        </is>
      </c>
      <c r="E18" s="35" t="inlineStr">
        <is>
          <t>I</t>
        </is>
      </c>
      <c r="F18" s="35" t="inlineStr">
        <is>
          <t>I</t>
        </is>
      </c>
      <c r="G18" s="33" t="inlineStr">
        <is>
          <t>C</t>
        </is>
      </c>
      <c r="H18" s="33" t="inlineStr">
        <is>
          <t>C</t>
        </is>
      </c>
      <c r="I18" s="35" t="inlineStr">
        <is>
          <t>I</t>
        </is>
      </c>
      <c r="J18" s="32" t="inlineStr">
        <is>
          <t>R</t>
        </is>
      </c>
      <c r="K18" s="35" t="inlineStr">
        <is>
          <t>I</t>
        </is>
      </c>
      <c r="L18" s="35" t="inlineStr">
        <is>
          <t>I</t>
        </is>
      </c>
    </row>
    <row r="19">
      <c r="A19" s="30" t="inlineStr">
        <is>
          <t>Configuration</t>
        </is>
      </c>
      <c r="B19" s="31" t="inlineStr">
        <is>
          <t>Document numbering and invoice serial range (ATP or CAS)</t>
        </is>
      </c>
      <c r="C19" s="34" t="inlineStr">
        <is>
          <t>A</t>
        </is>
      </c>
      <c r="D19" s="32" t="inlineStr">
        <is>
          <t>R</t>
        </is>
      </c>
      <c r="E19" s="35" t="inlineStr">
        <is>
          <t>I</t>
        </is>
      </c>
      <c r="F19" s="35" t="inlineStr">
        <is>
          <t>I</t>
        </is>
      </c>
      <c r="G19" s="33" t="inlineStr">
        <is>
          <t>C</t>
        </is>
      </c>
      <c r="H19" s="33" t="inlineStr">
        <is>
          <t>C</t>
        </is>
      </c>
      <c r="I19" s="33" t="inlineStr">
        <is>
          <t>C</t>
        </is>
      </c>
      <c r="J19" s="32" t="inlineStr">
        <is>
          <t>R</t>
        </is>
      </c>
      <c r="K19" s="35" t="inlineStr">
        <is>
          <t>I</t>
        </is>
      </c>
      <c r="L19" s="35" t="inlineStr">
        <is>
          <t>I</t>
        </is>
      </c>
    </row>
    <row r="20">
      <c r="A20" s="30" t="inlineStr">
        <is>
          <t>Configuration</t>
        </is>
      </c>
      <c r="B20" s="31" t="inlineStr">
        <is>
          <t>Approvals, maker-checker, authority matrix, roles and view:pii grants</t>
        </is>
      </c>
      <c r="C20" s="34" t="inlineStr">
        <is>
          <t>A</t>
        </is>
      </c>
      <c r="D20" s="32" t="inlineStr">
        <is>
          <t>R</t>
        </is>
      </c>
      <c r="E20" s="33" t="inlineStr">
        <is>
          <t>C</t>
        </is>
      </c>
      <c r="F20" s="35" t="inlineStr">
        <is>
          <t>I</t>
        </is>
      </c>
      <c r="G20" s="33" t="inlineStr">
        <is>
          <t>C</t>
        </is>
      </c>
      <c r="H20" s="32" t="inlineStr">
        <is>
          <t>R</t>
        </is>
      </c>
      <c r="I20" s="32" t="inlineStr">
        <is>
          <t>R</t>
        </is>
      </c>
      <c r="J20" s="32" t="inlineStr">
        <is>
          <t>R</t>
        </is>
      </c>
      <c r="K20" s="33" t="inlineStr">
        <is>
          <t>C</t>
        </is>
      </c>
      <c r="L20" s="35" t="inlineStr">
        <is>
          <t>I</t>
        </is>
      </c>
    </row>
    <row r="21">
      <c r="A21" s="30" t="inlineStr">
        <is>
          <t>Compliance set-up</t>
        </is>
      </c>
      <c r="B21" s="31" t="inlineStr">
        <is>
          <t>AML settings, risk factors, monitoring rules</t>
        </is>
      </c>
      <c r="C21" s="33" t="inlineStr">
        <is>
          <t>C</t>
        </is>
      </c>
      <c r="D21" s="32" t="inlineStr">
        <is>
          <t>R</t>
        </is>
      </c>
      <c r="E21" s="35" t="inlineStr">
        <is>
          <t>I</t>
        </is>
      </c>
      <c r="F21" s="35" t="inlineStr">
        <is>
          <t>I</t>
        </is>
      </c>
      <c r="G21" s="35" t="inlineStr">
        <is>
          <t>I</t>
        </is>
      </c>
      <c r="H21" s="35" t="inlineStr">
        <is>
          <t>I</t>
        </is>
      </c>
      <c r="I21" s="33" t="inlineStr">
        <is>
          <t>C</t>
        </is>
      </c>
      <c r="J21" s="35" t="inlineStr">
        <is>
          <t>I</t>
        </is>
      </c>
      <c r="K21" s="34" t="inlineStr">
        <is>
          <t>A</t>
        </is>
      </c>
      <c r="L21" s="35" t="inlineStr">
        <is>
          <t>I</t>
        </is>
      </c>
    </row>
    <row r="22">
      <c r="A22" s="30" t="inlineStr">
        <is>
          <t>Compliance set-up</t>
        </is>
      </c>
      <c r="B22" s="31" t="inlineStr">
        <is>
          <t>Screening lists obtained, licensed and loaded</t>
        </is>
      </c>
      <c r="C22" s="35" t="inlineStr">
        <is>
          <t>I</t>
        </is>
      </c>
      <c r="D22" s="33" t="inlineStr">
        <is>
          <t>C</t>
        </is>
      </c>
      <c r="E22" s="35" t="inlineStr">
        <is>
          <t>I</t>
        </is>
      </c>
      <c r="F22" s="35" t="inlineStr">
        <is>
          <t>I</t>
        </is>
      </c>
      <c r="G22" s="33" t="inlineStr">
        <is>
          <t>C</t>
        </is>
      </c>
      <c r="H22" s="35" t="inlineStr">
        <is>
          <t>I</t>
        </is>
      </c>
      <c r="I22" s="33" t="inlineStr">
        <is>
          <t>C</t>
        </is>
      </c>
      <c r="J22" s="35" t="inlineStr">
        <is>
          <t>I</t>
        </is>
      </c>
      <c r="K22" s="34" t="inlineStr">
        <is>
          <t>A</t>
        </is>
      </c>
      <c r="L22" s="32" t="inlineStr">
        <is>
          <t>R</t>
        </is>
      </c>
    </row>
    <row r="23">
      <c r="A23" s="30" t="inlineStr">
        <is>
          <t>Compliance set-up</t>
        </is>
      </c>
      <c r="B23" s="31" t="inlineStr">
        <is>
          <t>IC licence register, fit and proper records, insurer certificates of authority</t>
        </is>
      </c>
      <c r="C23" s="35" t="inlineStr">
        <is>
          <t>I</t>
        </is>
      </c>
      <c r="D23" s="32" t="inlineStr">
        <is>
          <t>R</t>
        </is>
      </c>
      <c r="E23" s="35" t="inlineStr">
        <is>
          <t>I</t>
        </is>
      </c>
      <c r="F23" s="35" t="inlineStr">
        <is>
          <t>I</t>
        </is>
      </c>
      <c r="G23" s="33" t="inlineStr">
        <is>
          <t>C</t>
        </is>
      </c>
      <c r="H23" s="33" t="inlineStr">
        <is>
          <t>C</t>
        </is>
      </c>
      <c r="I23" s="33" t="inlineStr">
        <is>
          <t>C</t>
        </is>
      </c>
      <c r="J23" s="35" t="inlineStr">
        <is>
          <t>I</t>
        </is>
      </c>
      <c r="K23" s="34" t="inlineStr">
        <is>
          <t>A</t>
        </is>
      </c>
      <c r="L23" s="35" t="inlineStr">
        <is>
          <t>I</t>
        </is>
      </c>
    </row>
    <row r="24">
      <c r="A24" s="30" t="inlineStr">
        <is>
          <t>Compliance set-up</t>
        </is>
      </c>
      <c r="B24" s="31" t="inlineStr">
        <is>
          <t>Complaints and breach register settings; DPO and NPC registration confirmed</t>
        </is>
      </c>
      <c r="C24" s="35" t="inlineStr">
        <is>
          <t>I</t>
        </is>
      </c>
      <c r="D24" s="32" t="inlineStr">
        <is>
          <t>R</t>
        </is>
      </c>
      <c r="E24" s="35" t="inlineStr">
        <is>
          <t>I</t>
        </is>
      </c>
      <c r="F24" s="33" t="inlineStr">
        <is>
          <t>C</t>
        </is>
      </c>
      <c r="G24" s="33" t="inlineStr">
        <is>
          <t>C</t>
        </is>
      </c>
      <c r="H24" s="33" t="inlineStr">
        <is>
          <t>C</t>
        </is>
      </c>
      <c r="I24" s="33" t="inlineStr">
        <is>
          <t>C</t>
        </is>
      </c>
      <c r="J24" s="35" t="inlineStr">
        <is>
          <t>I</t>
        </is>
      </c>
      <c r="K24" s="34" t="inlineStr">
        <is>
          <t>A</t>
        </is>
      </c>
      <c r="L24" s="35" t="inlineStr">
        <is>
          <t>I</t>
        </is>
      </c>
    </row>
    <row r="25">
      <c r="A25" s="30" t="inlineStr">
        <is>
          <t>Branding and brand pack</t>
        </is>
      </c>
      <c r="B25" s="31" t="inlineStr">
        <is>
          <t>Theme, letterhead, branded documents and e-mails, e-signatures mapped, brand pack</t>
        </is>
      </c>
      <c r="C25" s="34" t="inlineStr">
        <is>
          <t>A</t>
        </is>
      </c>
      <c r="D25" s="32" t="inlineStr">
        <is>
          <t>R</t>
        </is>
      </c>
      <c r="E25" s="33" t="inlineStr">
        <is>
          <t>C</t>
        </is>
      </c>
      <c r="F25" s="33" t="inlineStr">
        <is>
          <t>C</t>
        </is>
      </c>
      <c r="G25" s="33" t="inlineStr">
        <is>
          <t>C</t>
        </is>
      </c>
      <c r="H25" s="33" t="inlineStr">
        <is>
          <t>C</t>
        </is>
      </c>
      <c r="I25" s="32" t="inlineStr">
        <is>
          <t>R</t>
        </is>
      </c>
      <c r="J25" s="35" t="inlineStr">
        <is>
          <t>I</t>
        </is>
      </c>
      <c r="K25" s="35" t="inlineStr">
        <is>
          <t>I</t>
        </is>
      </c>
      <c r="L25" s="35" t="inlineStr">
        <is>
          <t>I</t>
        </is>
      </c>
    </row>
    <row r="26">
      <c r="A26" s="30" t="inlineStr">
        <is>
          <t>Branding and brand pack</t>
        </is>
      </c>
      <c r="B26" s="31" t="inlineStr">
        <is>
          <t>Contract reference covering the use of client marks (client brand pack)</t>
        </is>
      </c>
      <c r="C26" s="33" t="inlineStr">
        <is>
          <t>C</t>
        </is>
      </c>
      <c r="D26" s="35" t="inlineStr">
        <is>
          <t>I</t>
        </is>
      </c>
      <c r="E26" s="35" t="inlineStr">
        <is>
          <t>I</t>
        </is>
      </c>
      <c r="F26" s="34" t="inlineStr">
        <is>
          <t>A</t>
        </is>
      </c>
      <c r="G26" s="32" t="inlineStr">
        <is>
          <t>R</t>
        </is>
      </c>
      <c r="H26" s="35" t="inlineStr">
        <is>
          <t>I</t>
        </is>
      </c>
      <c r="I26" s="35" t="inlineStr">
        <is>
          <t>I</t>
        </is>
      </c>
      <c r="J26" s="35" t="inlineStr">
        <is>
          <t>I</t>
        </is>
      </c>
      <c r="K26" s="35" t="inlineStr">
        <is>
          <t>I</t>
        </is>
      </c>
      <c r="L26" s="33" t="inlineStr">
        <is>
          <t>C</t>
        </is>
      </c>
    </row>
    <row r="27">
      <c r="A27" s="30" t="inlineStr">
        <is>
          <t>Data migration</t>
        </is>
      </c>
      <c r="B27" s="31" t="inlineStr">
        <is>
          <t>Extraction and cleansing of the old system data</t>
        </is>
      </c>
      <c r="C27" s="35" t="inlineStr">
        <is>
          <t>I</t>
        </is>
      </c>
      <c r="D27" s="33" t="inlineStr">
        <is>
          <t>C</t>
        </is>
      </c>
      <c r="E27" s="35" t="inlineStr">
        <is>
          <t>I</t>
        </is>
      </c>
      <c r="F27" s="35" t="inlineStr">
        <is>
          <t>I</t>
        </is>
      </c>
      <c r="G27" s="34" t="inlineStr">
        <is>
          <t>A</t>
        </is>
      </c>
      <c r="H27" s="32" t="inlineStr">
        <is>
          <t>R</t>
        </is>
      </c>
      <c r="I27" s="32" t="inlineStr">
        <is>
          <t>R</t>
        </is>
      </c>
      <c r="J27" s="32" t="inlineStr">
        <is>
          <t>R</t>
        </is>
      </c>
      <c r="K27" s="35" t="inlineStr">
        <is>
          <t>I</t>
        </is>
      </c>
      <c r="L27" s="35" t="inlineStr">
        <is>
          <t>I</t>
        </is>
      </c>
    </row>
    <row r="28">
      <c r="A28" s="30" t="inlineStr">
        <is>
          <t>Data migration</t>
        </is>
      </c>
      <c r="B28" s="31" t="inlineStr">
        <is>
          <t>Mapping to the migration kit</t>
        </is>
      </c>
      <c r="C28" s="34" t="inlineStr">
        <is>
          <t>A</t>
        </is>
      </c>
      <c r="D28" s="32" t="inlineStr">
        <is>
          <t>R</t>
        </is>
      </c>
      <c r="E28" s="33" t="inlineStr">
        <is>
          <t>C</t>
        </is>
      </c>
      <c r="F28" s="35" t="inlineStr">
        <is>
          <t>I</t>
        </is>
      </c>
      <c r="G28" s="33" t="inlineStr">
        <is>
          <t>C</t>
        </is>
      </c>
      <c r="H28" s="32" t="inlineStr">
        <is>
          <t>R</t>
        </is>
      </c>
      <c r="I28" s="33" t="inlineStr">
        <is>
          <t>C</t>
        </is>
      </c>
      <c r="J28" s="33" t="inlineStr">
        <is>
          <t>C</t>
        </is>
      </c>
      <c r="K28" s="35" t="inlineStr">
        <is>
          <t>I</t>
        </is>
      </c>
      <c r="L28" s="35" t="inlineStr">
        <is>
          <t>I</t>
        </is>
      </c>
    </row>
    <row r="29">
      <c r="A29" s="30" t="inlineStr">
        <is>
          <t>Data migration</t>
        </is>
      </c>
      <c r="B29" s="31" t="inlineStr">
        <is>
          <t>Mock loads and reconciliation</t>
        </is>
      </c>
      <c r="C29" s="34" t="inlineStr">
        <is>
          <t>A</t>
        </is>
      </c>
      <c r="D29" s="32" t="inlineStr">
        <is>
          <t>R</t>
        </is>
      </c>
      <c r="E29" s="32" t="inlineStr">
        <is>
          <t>R</t>
        </is>
      </c>
      <c r="F29" s="35" t="inlineStr">
        <is>
          <t>I</t>
        </is>
      </c>
      <c r="G29" s="33" t="inlineStr">
        <is>
          <t>C</t>
        </is>
      </c>
      <c r="H29" s="32" t="inlineStr">
        <is>
          <t>R</t>
        </is>
      </c>
      <c r="I29" s="33" t="inlineStr">
        <is>
          <t>C</t>
        </is>
      </c>
      <c r="J29" s="32" t="inlineStr">
        <is>
          <t>R</t>
        </is>
      </c>
      <c r="K29" s="35" t="inlineStr">
        <is>
          <t>I</t>
        </is>
      </c>
      <c r="L29" s="35" t="inlineStr">
        <is>
          <t>I</t>
        </is>
      </c>
    </row>
    <row r="30">
      <c r="A30" s="30" t="inlineStr">
        <is>
          <t>Data migration</t>
        </is>
      </c>
      <c r="B30" s="31" t="inlineStr">
        <is>
          <t>Sign-off of opening balances and open items</t>
        </is>
      </c>
      <c r="C30" s="33" t="inlineStr">
        <is>
          <t>C</t>
        </is>
      </c>
      <c r="D30" s="33" t="inlineStr">
        <is>
          <t>C</t>
        </is>
      </c>
      <c r="E30" s="35" t="inlineStr">
        <is>
          <t>I</t>
        </is>
      </c>
      <c r="F30" s="35" t="inlineStr">
        <is>
          <t>I</t>
        </is>
      </c>
      <c r="G30" s="33" t="inlineStr">
        <is>
          <t>C</t>
        </is>
      </c>
      <c r="H30" s="33" t="inlineStr">
        <is>
          <t>C</t>
        </is>
      </c>
      <c r="I30" s="35" t="inlineStr">
        <is>
          <t>I</t>
        </is>
      </c>
      <c r="J30" s="34" t="inlineStr">
        <is>
          <t>A</t>
        </is>
      </c>
      <c r="K30" s="35" t="inlineStr">
        <is>
          <t>I</t>
        </is>
      </c>
      <c r="L30" s="35" t="inlineStr">
        <is>
          <t>I</t>
        </is>
      </c>
    </row>
    <row r="31">
      <c r="A31" s="30" t="inlineStr">
        <is>
          <t>Integrations</t>
        </is>
      </c>
      <c r="B31" s="31" t="inlineStr">
        <is>
          <t>SMTP mailbox and credentials</t>
        </is>
      </c>
      <c r="C31" s="35" t="inlineStr">
        <is>
          <t>I</t>
        </is>
      </c>
      <c r="D31" s="35" t="inlineStr">
        <is>
          <t>I</t>
        </is>
      </c>
      <c r="E31" s="32" t="inlineStr">
        <is>
          <t>R</t>
        </is>
      </c>
      <c r="F31" s="35" t="inlineStr">
        <is>
          <t>I</t>
        </is>
      </c>
      <c r="G31" s="33" t="inlineStr">
        <is>
          <t>C</t>
        </is>
      </c>
      <c r="H31" s="35" t="inlineStr">
        <is>
          <t>I</t>
        </is>
      </c>
      <c r="I31" s="34" t="inlineStr">
        <is>
          <t>A</t>
        </is>
      </c>
      <c r="J31" s="35" t="inlineStr">
        <is>
          <t>I</t>
        </is>
      </c>
      <c r="K31" s="35" t="inlineStr">
        <is>
          <t>I</t>
        </is>
      </c>
      <c r="L31" s="35" t="inlineStr">
        <is>
          <t>I</t>
        </is>
      </c>
    </row>
    <row r="32">
      <c r="A32" s="30" t="inlineStr">
        <is>
          <t>Integrations</t>
        </is>
      </c>
      <c r="B32" s="31" t="inlineStr">
        <is>
          <t>Bank statement formats and bank payment file layouts</t>
        </is>
      </c>
      <c r="C32" s="34" t="inlineStr">
        <is>
          <t>A</t>
        </is>
      </c>
      <c r="D32" s="32" t="inlineStr">
        <is>
          <t>R</t>
        </is>
      </c>
      <c r="E32" s="33" t="inlineStr">
        <is>
          <t>C</t>
        </is>
      </c>
      <c r="F32" s="35" t="inlineStr">
        <is>
          <t>I</t>
        </is>
      </c>
      <c r="G32" s="35" t="inlineStr">
        <is>
          <t>I</t>
        </is>
      </c>
      <c r="H32" s="32" t="inlineStr">
        <is>
          <t>R</t>
        </is>
      </c>
      <c r="I32" s="33" t="inlineStr">
        <is>
          <t>C</t>
        </is>
      </c>
      <c r="J32" s="33" t="inlineStr">
        <is>
          <t>C</t>
        </is>
      </c>
      <c r="K32" s="35" t="inlineStr">
        <is>
          <t>I</t>
        </is>
      </c>
      <c r="L32" s="32" t="inlineStr">
        <is>
          <t>R</t>
        </is>
      </c>
    </row>
    <row r="33">
      <c r="A33" s="30" t="inlineStr">
        <is>
          <t>Integrations</t>
        </is>
      </c>
      <c r="B33" s="31" t="inlineStr">
        <is>
          <t>SMS or Viber, CTPL authentication and LTO, insurer API connectors, payment gateway</t>
        </is>
      </c>
      <c r="C33" s="33" t="inlineStr">
        <is>
          <t>C</t>
        </is>
      </c>
      <c r="D33" s="32" t="inlineStr">
        <is>
          <t>R</t>
        </is>
      </c>
      <c r="E33" s="32" t="inlineStr">
        <is>
          <t>R</t>
        </is>
      </c>
      <c r="F33" s="35" t="inlineStr">
        <is>
          <t>I</t>
        </is>
      </c>
      <c r="G33" s="34" t="inlineStr">
        <is>
          <t>A</t>
        </is>
      </c>
      <c r="H33" s="33" t="inlineStr">
        <is>
          <t>C</t>
        </is>
      </c>
      <c r="I33" s="32" t="inlineStr">
        <is>
          <t>R</t>
        </is>
      </c>
      <c r="J33" s="35" t="inlineStr">
        <is>
          <t>I</t>
        </is>
      </c>
      <c r="K33" s="35" t="inlineStr">
        <is>
          <t>I</t>
        </is>
      </c>
      <c r="L33" s="32" t="inlineStr">
        <is>
          <t>R</t>
        </is>
      </c>
    </row>
    <row r="34">
      <c r="A34" s="30" t="inlineStr">
        <is>
          <t>Integrations</t>
        </is>
      </c>
      <c r="B34" s="31" t="inlineStr">
        <is>
          <t>BIR EIS connector and enrolment</t>
        </is>
      </c>
      <c r="C34" s="35" t="inlineStr">
        <is>
          <t>I</t>
        </is>
      </c>
      <c r="D34" s="32" t="inlineStr">
        <is>
          <t>R</t>
        </is>
      </c>
      <c r="E34" s="33" t="inlineStr">
        <is>
          <t>C</t>
        </is>
      </c>
      <c r="F34" s="35" t="inlineStr">
        <is>
          <t>I</t>
        </is>
      </c>
      <c r="G34" s="33" t="inlineStr">
        <is>
          <t>C</t>
        </is>
      </c>
      <c r="H34" s="35" t="inlineStr">
        <is>
          <t>I</t>
        </is>
      </c>
      <c r="I34" s="33" t="inlineStr">
        <is>
          <t>C</t>
        </is>
      </c>
      <c r="J34" s="34" t="inlineStr">
        <is>
          <t>A</t>
        </is>
      </c>
      <c r="K34" s="35" t="inlineStr">
        <is>
          <t>I</t>
        </is>
      </c>
      <c r="L34" s="35" t="inlineStr">
        <is>
          <t>I</t>
        </is>
      </c>
    </row>
    <row r="35">
      <c r="A35" s="30" t="inlineStr">
        <is>
          <t>Regulatory registrations</t>
        </is>
      </c>
      <c r="B35" s="31" t="inlineStr">
        <is>
          <t>BIR ATP or CAS, EIS enrolment; AMLC registration; NPC registration; IC licences</t>
        </is>
      </c>
      <c r="C35" s="35" t="inlineStr">
        <is>
          <t>I</t>
        </is>
      </c>
      <c r="D35" s="33" t="inlineStr">
        <is>
          <t>C</t>
        </is>
      </c>
      <c r="E35" s="35" t="inlineStr">
        <is>
          <t>I</t>
        </is>
      </c>
      <c r="F35" s="34" t="inlineStr">
        <is>
          <t>A</t>
        </is>
      </c>
      <c r="G35" s="32" t="inlineStr">
        <is>
          <t>R</t>
        </is>
      </c>
      <c r="H35" s="35" t="inlineStr">
        <is>
          <t>I</t>
        </is>
      </c>
      <c r="I35" s="35" t="inlineStr">
        <is>
          <t>I</t>
        </is>
      </c>
      <c r="J35" s="32" t="inlineStr">
        <is>
          <t>R</t>
        </is>
      </c>
      <c r="K35" s="32" t="inlineStr">
        <is>
          <t>R</t>
        </is>
      </c>
      <c r="L35" s="35" t="inlineStr">
        <is>
          <t>I</t>
        </is>
      </c>
    </row>
    <row r="36">
      <c r="A36" s="30" t="inlineStr">
        <is>
          <t>Training</t>
        </is>
      </c>
      <c r="B36" s="31" t="inlineStr">
        <is>
          <t>Train-the-trainer</t>
        </is>
      </c>
      <c r="C36" s="34" t="inlineStr">
        <is>
          <t>A</t>
        </is>
      </c>
      <c r="D36" s="32" t="inlineStr">
        <is>
          <t>R</t>
        </is>
      </c>
      <c r="E36" s="35" t="inlineStr">
        <is>
          <t>I</t>
        </is>
      </c>
      <c r="F36" s="35" t="inlineStr">
        <is>
          <t>I</t>
        </is>
      </c>
      <c r="G36" s="33" t="inlineStr">
        <is>
          <t>C</t>
        </is>
      </c>
      <c r="H36" s="32" t="inlineStr">
        <is>
          <t>R</t>
        </is>
      </c>
      <c r="I36" s="33" t="inlineStr">
        <is>
          <t>C</t>
        </is>
      </c>
      <c r="J36" s="33" t="inlineStr">
        <is>
          <t>C</t>
        </is>
      </c>
      <c r="K36" s="33" t="inlineStr">
        <is>
          <t>C</t>
        </is>
      </c>
      <c r="L36" s="35" t="inlineStr">
        <is>
          <t>I</t>
        </is>
      </c>
    </row>
    <row r="37">
      <c r="A37" s="30" t="inlineStr">
        <is>
          <t>Training</t>
        </is>
      </c>
      <c r="B37" s="31" t="inlineStr">
        <is>
          <t>End-user training and assessment</t>
        </is>
      </c>
      <c r="C37" s="33" t="inlineStr">
        <is>
          <t>C</t>
        </is>
      </c>
      <c r="D37" s="33" t="inlineStr">
        <is>
          <t>C</t>
        </is>
      </c>
      <c r="E37" s="35" t="inlineStr">
        <is>
          <t>I</t>
        </is>
      </c>
      <c r="F37" s="35" t="inlineStr">
        <is>
          <t>I</t>
        </is>
      </c>
      <c r="G37" s="34" t="inlineStr">
        <is>
          <t>A</t>
        </is>
      </c>
      <c r="H37" s="32" t="inlineStr">
        <is>
          <t>R</t>
        </is>
      </c>
      <c r="I37" s="33" t="inlineStr">
        <is>
          <t>C</t>
        </is>
      </c>
      <c r="J37" s="33" t="inlineStr">
        <is>
          <t>C</t>
        </is>
      </c>
      <c r="K37" s="33" t="inlineStr">
        <is>
          <t>C</t>
        </is>
      </c>
      <c r="L37" s="35" t="inlineStr">
        <is>
          <t>I</t>
        </is>
      </c>
    </row>
    <row r="38">
      <c r="A38" s="30" t="inlineStr">
        <is>
          <t>Training</t>
        </is>
      </c>
      <c r="B38" s="31" t="inlineStr">
        <is>
          <t>Compliance officer and DPO training</t>
        </is>
      </c>
      <c r="C38" s="33" t="inlineStr">
        <is>
          <t>C</t>
        </is>
      </c>
      <c r="D38" s="32" t="inlineStr">
        <is>
          <t>R</t>
        </is>
      </c>
      <c r="E38" s="35" t="inlineStr">
        <is>
          <t>I</t>
        </is>
      </c>
      <c r="F38" s="35" t="inlineStr">
        <is>
          <t>I</t>
        </is>
      </c>
      <c r="G38" s="33" t="inlineStr">
        <is>
          <t>C</t>
        </is>
      </c>
      <c r="H38" s="35" t="inlineStr">
        <is>
          <t>I</t>
        </is>
      </c>
      <c r="I38" s="33" t="inlineStr">
        <is>
          <t>C</t>
        </is>
      </c>
      <c r="J38" s="35" t="inlineStr">
        <is>
          <t>I</t>
        </is>
      </c>
      <c r="K38" s="34" t="inlineStr">
        <is>
          <t>A</t>
        </is>
      </c>
      <c r="L38" s="35" t="inlineStr">
        <is>
          <t>I</t>
        </is>
      </c>
    </row>
    <row r="39">
      <c r="A39" s="30" t="inlineStr">
        <is>
          <t>SIT and UAT</t>
        </is>
      </c>
      <c r="B39" s="31" t="inlineStr">
        <is>
          <t>SIT execution and defect fixing</t>
        </is>
      </c>
      <c r="C39" s="34" t="inlineStr">
        <is>
          <t>A</t>
        </is>
      </c>
      <c r="D39" s="32" t="inlineStr">
        <is>
          <t>R</t>
        </is>
      </c>
      <c r="E39" s="32" t="inlineStr">
        <is>
          <t>R</t>
        </is>
      </c>
      <c r="F39" s="35" t="inlineStr">
        <is>
          <t>I</t>
        </is>
      </c>
      <c r="G39" s="35" t="inlineStr">
        <is>
          <t>I</t>
        </is>
      </c>
      <c r="H39" s="33" t="inlineStr">
        <is>
          <t>C</t>
        </is>
      </c>
      <c r="I39" s="35" t="inlineStr">
        <is>
          <t>I</t>
        </is>
      </c>
      <c r="J39" s="35" t="inlineStr">
        <is>
          <t>I</t>
        </is>
      </c>
      <c r="K39" s="35" t="inlineStr">
        <is>
          <t>I</t>
        </is>
      </c>
      <c r="L39" s="33" t="inlineStr">
        <is>
          <t>C</t>
        </is>
      </c>
    </row>
    <row r="40">
      <c r="A40" s="30" t="inlineStr">
        <is>
          <t>SIT and UAT</t>
        </is>
      </c>
      <c r="B40" s="31" t="inlineStr">
        <is>
          <t>UAT execution</t>
        </is>
      </c>
      <c r="C40" s="33" t="inlineStr">
        <is>
          <t>C</t>
        </is>
      </c>
      <c r="D40" s="33" t="inlineStr">
        <is>
          <t>C</t>
        </is>
      </c>
      <c r="E40" s="35" t="inlineStr">
        <is>
          <t>I</t>
        </is>
      </c>
      <c r="F40" s="35" t="inlineStr">
        <is>
          <t>I</t>
        </is>
      </c>
      <c r="G40" s="34" t="inlineStr">
        <is>
          <t>A</t>
        </is>
      </c>
      <c r="H40" s="32" t="inlineStr">
        <is>
          <t>R</t>
        </is>
      </c>
      <c r="I40" s="32" t="inlineStr">
        <is>
          <t>R</t>
        </is>
      </c>
      <c r="J40" s="32" t="inlineStr">
        <is>
          <t>R</t>
        </is>
      </c>
      <c r="K40" s="32" t="inlineStr">
        <is>
          <t>R</t>
        </is>
      </c>
      <c r="L40" s="35" t="inlineStr">
        <is>
          <t>I</t>
        </is>
      </c>
    </row>
    <row r="41">
      <c r="A41" s="30" t="inlineStr">
        <is>
          <t>SIT and UAT</t>
        </is>
      </c>
      <c r="B41" s="31" t="inlineStr">
        <is>
          <t>UAT sign-off</t>
        </is>
      </c>
      <c r="C41" s="33" t="inlineStr">
        <is>
          <t>C</t>
        </is>
      </c>
      <c r="D41" s="33" t="inlineStr">
        <is>
          <t>C</t>
        </is>
      </c>
      <c r="E41" s="35" t="inlineStr">
        <is>
          <t>I</t>
        </is>
      </c>
      <c r="F41" s="34" t="inlineStr">
        <is>
          <t>A</t>
        </is>
      </c>
      <c r="G41" s="32" t="inlineStr">
        <is>
          <t>R</t>
        </is>
      </c>
      <c r="H41" s="32" t="inlineStr">
        <is>
          <t>R</t>
        </is>
      </c>
      <c r="I41" s="33" t="inlineStr">
        <is>
          <t>C</t>
        </is>
      </c>
      <c r="J41" s="32" t="inlineStr">
        <is>
          <t>R</t>
        </is>
      </c>
      <c r="K41" s="32" t="inlineStr">
        <is>
          <t>R</t>
        </is>
      </c>
      <c r="L41" s="35" t="inlineStr">
        <is>
          <t>I</t>
        </is>
      </c>
    </row>
    <row r="42">
      <c r="A42" s="30" t="inlineStr">
        <is>
          <t>Rehearsal and cutover</t>
        </is>
      </c>
      <c r="B42" s="31" t="inlineStr">
        <is>
          <t>Release and frozen configuration to Production; comparison report</t>
        </is>
      </c>
      <c r="C42" s="34" t="inlineStr">
        <is>
          <t>A</t>
        </is>
      </c>
      <c r="D42" s="32" t="inlineStr">
        <is>
          <t>R</t>
        </is>
      </c>
      <c r="E42" s="32" t="inlineStr">
        <is>
          <t>R</t>
        </is>
      </c>
      <c r="F42" s="35" t="inlineStr">
        <is>
          <t>I</t>
        </is>
      </c>
      <c r="G42" s="33" t="inlineStr">
        <is>
          <t>C</t>
        </is>
      </c>
      <c r="H42" s="35" t="inlineStr">
        <is>
          <t>I</t>
        </is>
      </c>
      <c r="I42" s="33" t="inlineStr">
        <is>
          <t>C</t>
        </is>
      </c>
      <c r="J42" s="35" t="inlineStr">
        <is>
          <t>I</t>
        </is>
      </c>
      <c r="K42" s="35" t="inlineStr">
        <is>
          <t>I</t>
        </is>
      </c>
      <c r="L42" s="35" t="inlineStr">
        <is>
          <t>I</t>
        </is>
      </c>
    </row>
    <row r="43">
      <c r="A43" s="30" t="inlineStr">
        <is>
          <t>Rehearsal and cutover</t>
        </is>
      </c>
      <c r="B43" s="31" t="inlineStr">
        <is>
          <t>Pre-Prod from a production backup; masking approval</t>
        </is>
      </c>
      <c r="C43" s="33" t="inlineStr">
        <is>
          <t>C</t>
        </is>
      </c>
      <c r="D43" s="35" t="inlineStr">
        <is>
          <t>I</t>
        </is>
      </c>
      <c r="E43" s="32" t="inlineStr">
        <is>
          <t>R</t>
        </is>
      </c>
      <c r="F43" s="35" t="inlineStr">
        <is>
          <t>I</t>
        </is>
      </c>
      <c r="G43" s="33" t="inlineStr">
        <is>
          <t>C</t>
        </is>
      </c>
      <c r="H43" s="35" t="inlineStr">
        <is>
          <t>I</t>
        </is>
      </c>
      <c r="I43" s="33" t="inlineStr">
        <is>
          <t>C</t>
        </is>
      </c>
      <c r="J43" s="35" t="inlineStr">
        <is>
          <t>I</t>
        </is>
      </c>
      <c r="K43" s="34" t="inlineStr">
        <is>
          <t>A</t>
        </is>
      </c>
      <c r="L43" s="35" t="inlineStr">
        <is>
          <t>I</t>
        </is>
      </c>
    </row>
    <row r="44">
      <c r="A44" s="30" t="inlineStr">
        <is>
          <t>Rehearsal and cutover</t>
        </is>
      </c>
      <c r="B44" s="31" t="inlineStr">
        <is>
          <t>Cutover rehearsal, final loads and reconciliation</t>
        </is>
      </c>
      <c r="C44" s="34" t="inlineStr">
        <is>
          <t>A</t>
        </is>
      </c>
      <c r="D44" s="32" t="inlineStr">
        <is>
          <t>R</t>
        </is>
      </c>
      <c r="E44" s="32" t="inlineStr">
        <is>
          <t>R</t>
        </is>
      </c>
      <c r="F44" s="35" t="inlineStr">
        <is>
          <t>I</t>
        </is>
      </c>
      <c r="G44" s="33" t="inlineStr">
        <is>
          <t>C</t>
        </is>
      </c>
      <c r="H44" s="32" t="inlineStr">
        <is>
          <t>R</t>
        </is>
      </c>
      <c r="I44" s="33" t="inlineStr">
        <is>
          <t>C</t>
        </is>
      </c>
      <c r="J44" s="32" t="inlineStr">
        <is>
          <t>R</t>
        </is>
      </c>
      <c r="K44" s="35" t="inlineStr">
        <is>
          <t>I</t>
        </is>
      </c>
      <c r="L44" s="35" t="inlineStr">
        <is>
          <t>I</t>
        </is>
      </c>
    </row>
    <row r="45">
      <c r="A45" s="30" t="inlineStr">
        <is>
          <t>Rehearsal and cutover</t>
        </is>
      </c>
      <c r="B45" s="31" t="inlineStr">
        <is>
          <t>Go/no-go decision</t>
        </is>
      </c>
      <c r="C45" s="33" t="inlineStr">
        <is>
          <t>C</t>
        </is>
      </c>
      <c r="D45" s="33" t="inlineStr">
        <is>
          <t>C</t>
        </is>
      </c>
      <c r="E45" s="33" t="inlineStr">
        <is>
          <t>C</t>
        </is>
      </c>
      <c r="F45" s="34" t="inlineStr">
        <is>
          <t>A</t>
        </is>
      </c>
      <c r="G45" s="32" t="inlineStr">
        <is>
          <t>R</t>
        </is>
      </c>
      <c r="H45" s="33" t="inlineStr">
        <is>
          <t>C</t>
        </is>
      </c>
      <c r="I45" s="33" t="inlineStr">
        <is>
          <t>C</t>
        </is>
      </c>
      <c r="J45" s="33" t="inlineStr">
        <is>
          <t>C</t>
        </is>
      </c>
      <c r="K45" s="33" t="inlineStr">
        <is>
          <t>C</t>
        </is>
      </c>
      <c r="L45" s="35" t="inlineStr">
        <is>
          <t>I</t>
        </is>
      </c>
    </row>
    <row r="46">
      <c r="A46" s="30" t="inlineStr">
        <is>
          <t>Go-live and hypercare</t>
        </is>
      </c>
      <c r="B46" s="31" t="inlineStr">
        <is>
          <t>Go-live communication to users, insurers, banks and partners</t>
        </is>
      </c>
      <c r="C46" s="33" t="inlineStr">
        <is>
          <t>C</t>
        </is>
      </c>
      <c r="D46" s="35" t="inlineStr">
        <is>
          <t>I</t>
        </is>
      </c>
      <c r="E46" s="35" t="inlineStr">
        <is>
          <t>I</t>
        </is>
      </c>
      <c r="F46" s="34" t="inlineStr">
        <is>
          <t>A</t>
        </is>
      </c>
      <c r="G46" s="32" t="inlineStr">
        <is>
          <t>R</t>
        </is>
      </c>
      <c r="H46" s="33" t="inlineStr">
        <is>
          <t>C</t>
        </is>
      </c>
      <c r="I46" s="33" t="inlineStr">
        <is>
          <t>C</t>
        </is>
      </c>
      <c r="J46" s="35" t="inlineStr">
        <is>
          <t>I</t>
        </is>
      </c>
      <c r="K46" s="35" t="inlineStr">
        <is>
          <t>I</t>
        </is>
      </c>
      <c r="L46" s="35" t="inlineStr">
        <is>
          <t>I</t>
        </is>
      </c>
    </row>
    <row r="47">
      <c r="A47" s="30" t="inlineStr">
        <is>
          <t>Go-live and hypercare</t>
        </is>
      </c>
      <c r="B47" s="31" t="inlineStr">
        <is>
          <t>Hypercare issue handling</t>
        </is>
      </c>
      <c r="C47" s="34" t="inlineStr">
        <is>
          <t>A</t>
        </is>
      </c>
      <c r="D47" s="32" t="inlineStr">
        <is>
          <t>R</t>
        </is>
      </c>
      <c r="E47" s="32" t="inlineStr">
        <is>
          <t>R</t>
        </is>
      </c>
      <c r="F47" s="35" t="inlineStr">
        <is>
          <t>I</t>
        </is>
      </c>
      <c r="G47" s="32" t="inlineStr">
        <is>
          <t>R</t>
        </is>
      </c>
      <c r="H47" s="33" t="inlineStr">
        <is>
          <t>C</t>
        </is>
      </c>
      <c r="I47" s="32" t="inlineStr">
        <is>
          <t>R</t>
        </is>
      </c>
      <c r="J47" s="33" t="inlineStr">
        <is>
          <t>C</t>
        </is>
      </c>
      <c r="K47" s="33" t="inlineStr">
        <is>
          <t>C</t>
        </is>
      </c>
      <c r="L47" s="33" t="inlineStr">
        <is>
          <t>C</t>
        </is>
      </c>
    </row>
    <row r="48">
      <c r="A48" s="30" t="inlineStr">
        <is>
          <t>Go-live and hypercare</t>
        </is>
      </c>
      <c r="B48" s="31" t="inlineStr">
        <is>
          <t>First month-end close and first BIR and AMLC filings</t>
        </is>
      </c>
      <c r="C48" s="33" t="inlineStr">
        <is>
          <t>C</t>
        </is>
      </c>
      <c r="D48" s="32" t="inlineStr">
        <is>
          <t>R</t>
        </is>
      </c>
      <c r="E48" s="33" t="inlineStr">
        <is>
          <t>C</t>
        </is>
      </c>
      <c r="F48" s="35" t="inlineStr">
        <is>
          <t>I</t>
        </is>
      </c>
      <c r="G48" s="35" t="inlineStr">
        <is>
          <t>I</t>
        </is>
      </c>
      <c r="H48" s="32" t="inlineStr">
        <is>
          <t>R</t>
        </is>
      </c>
      <c r="I48" s="35" t="inlineStr">
        <is>
          <t>I</t>
        </is>
      </c>
      <c r="J48" s="34" t="inlineStr">
        <is>
          <t>A</t>
        </is>
      </c>
      <c r="K48" s="32" t="inlineStr">
        <is>
          <t>R</t>
        </is>
      </c>
      <c r="L48" s="35" t="inlineStr">
        <is>
          <t>I</t>
        </is>
      </c>
    </row>
    <row r="49">
      <c r="A49" s="30" t="inlineStr">
        <is>
          <t>Go-live and hypercare</t>
        </is>
      </c>
      <c r="B49" s="31" t="inlineStr">
        <is>
          <t>Handover to production support</t>
        </is>
      </c>
      <c r="C49" s="34" t="inlineStr">
        <is>
          <t>A</t>
        </is>
      </c>
      <c r="D49" s="32" t="inlineStr">
        <is>
          <t>R</t>
        </is>
      </c>
      <c r="E49" s="32" t="inlineStr">
        <is>
          <t>R</t>
        </is>
      </c>
      <c r="F49" s="35" t="inlineStr">
        <is>
          <t>I</t>
        </is>
      </c>
      <c r="G49" s="33" t="inlineStr">
        <is>
          <t>C</t>
        </is>
      </c>
      <c r="H49" s="35" t="inlineStr">
        <is>
          <t>I</t>
        </is>
      </c>
      <c r="I49" s="32" t="inlineStr">
        <is>
          <t>R</t>
        </is>
      </c>
      <c r="J49" s="35" t="inlineStr">
        <is>
          <t>I</t>
        </is>
      </c>
      <c r="K49" s="35" t="inlineStr">
        <is>
          <t>I</t>
        </is>
      </c>
      <c r="L49" s="35" t="inlineStr">
        <is>
          <t>I</t>
        </is>
      </c>
    </row>
    <row r="50">
      <c r="A50" s="30" t="inlineStr">
        <is>
          <t>Change control</t>
        </is>
      </c>
      <c r="B50" s="31" t="inlineStr">
        <is>
          <t>Change request impact assessment</t>
        </is>
      </c>
      <c r="C50" s="34" t="inlineStr">
        <is>
          <t>A</t>
        </is>
      </c>
      <c r="D50" s="32" t="inlineStr">
        <is>
          <t>R</t>
        </is>
      </c>
      <c r="E50" s="32" t="inlineStr">
        <is>
          <t>R</t>
        </is>
      </c>
      <c r="F50" s="35" t="inlineStr">
        <is>
          <t>I</t>
        </is>
      </c>
      <c r="G50" s="33" t="inlineStr">
        <is>
          <t>C</t>
        </is>
      </c>
      <c r="H50" s="33" t="inlineStr">
        <is>
          <t>C</t>
        </is>
      </c>
      <c r="I50" s="33" t="inlineStr">
        <is>
          <t>C</t>
        </is>
      </c>
      <c r="J50" s="33" t="inlineStr">
        <is>
          <t>C</t>
        </is>
      </c>
      <c r="K50" s="33" t="inlineStr">
        <is>
          <t>C</t>
        </is>
      </c>
      <c r="L50" s="35" t="inlineStr">
        <is>
          <t>I</t>
        </is>
      </c>
    </row>
    <row r="51">
      <c r="A51" s="30" t="inlineStr">
        <is>
          <t>Change control</t>
        </is>
      </c>
      <c r="B51" s="31" t="inlineStr">
        <is>
          <t>Change request approval</t>
        </is>
      </c>
      <c r="C51" s="33" t="inlineStr">
        <is>
          <t>C</t>
        </is>
      </c>
      <c r="D51" s="35" t="inlineStr">
        <is>
          <t>I</t>
        </is>
      </c>
      <c r="E51" s="35" t="inlineStr">
        <is>
          <t>I</t>
        </is>
      </c>
      <c r="F51" s="34" t="inlineStr">
        <is>
          <t>A</t>
        </is>
      </c>
      <c r="G51" s="32" t="inlineStr">
        <is>
          <t>R</t>
        </is>
      </c>
      <c r="H51" s="33" t="inlineStr">
        <is>
          <t>C</t>
        </is>
      </c>
      <c r="I51" s="33" t="inlineStr">
        <is>
          <t>C</t>
        </is>
      </c>
      <c r="J51" s="33" t="inlineStr">
        <is>
          <t>C</t>
        </is>
      </c>
      <c r="K51" s="33" t="inlineStr">
        <is>
          <t>C</t>
        </is>
      </c>
      <c r="L51" s="35" t="inlineStr">
        <is>
          <t>I</t>
        </is>
      </c>
    </row>
  </sheetData>
  <autoFilter ref="A4:L5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2026-10-04T12:58:41Z</dcterms:created>
  <dcterms:modified xmlns:dcterms="http://purl.org/dc/terms/" xmlns:xsi="http://www.w3.org/2001/XMLSchema-instance" xsi:type="dcterms:W3CDTF">2026-10-04T12:58:41Z</dcterms:modified>
</cp:coreProperties>
</file>