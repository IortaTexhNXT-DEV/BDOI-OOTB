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Traceability" sheetId="3" state="visible" r:id="rId3"/>
    <sheet xmlns:r="http://schemas.openxmlformats.org/officeDocument/2006/relationships" name="Requirements Traceability" sheetId="4" state="visible" r:id="rId4"/>
    <sheet xmlns:r="http://schemas.openxmlformats.org/officeDocument/2006/relationships" name="Defects and Observations" sheetId="5" state="visible" r:id="rId5"/>
  </sheets>
  <definedNames>
    <definedName name="_xlnm._FilterDatabase" localSheetId="1" hidden="1">'Test Cases'!$A$1:$S$630</definedName>
    <definedName name="_xlnm._FilterDatabase" localSheetId="2" hidden="1">'Traceability'!$A$1:$J$630</definedName>
    <definedName name="_xlnm._FilterDatabase" localSheetId="3" hidden="1">'Requirements Traceability'!$A$1:$L$151</definedName>
    <definedName name="_xlnm._FilterDatabase" localSheetId="4" hidden="1">'Defects and Observations'!$A$1:$J$9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10"/>
    </font>
    <font>
      <b val="1"/>
      <color rgb="000F4761"/>
      <sz val="14"/>
    </font>
    <font>
      <b val="1"/>
      <sz val="10"/>
    </font>
    <font>
      <sz val="10"/>
    </font>
    <font>
      <b val="1"/>
    </font>
    <font>
      <i val="1"/>
      <color rgb="00555555"/>
      <sz val="9"/>
    </font>
  </fonts>
  <fills count="8">
    <fill>
      <patternFill/>
    </fill>
    <fill>
      <patternFill patternType="gray125"/>
    </fill>
    <fill>
      <patternFill patternType="solid">
        <fgColor rgb="000F4761"/>
      </patternFill>
    </fill>
    <fill>
      <patternFill patternType="solid">
        <fgColor rgb="00548235"/>
      </patternFill>
    </fill>
    <fill>
      <patternFill patternType="solid">
        <fgColor rgb="00C00000"/>
      </patternFill>
    </fill>
    <fill>
      <patternFill patternType="solid">
        <fgColor rgb="00BF8F00"/>
      </patternFill>
    </fill>
    <fill>
      <patternFill patternType="solid">
        <fgColor rgb="007F7F7F"/>
      </patternFill>
    </fill>
    <fill>
      <patternFill patternType="solid">
        <fgColor rgb="00FCE4D6"/>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24">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1" applyAlignment="1" pivotButton="0" quotePrefix="0" xfId="0">
      <alignment horizontal="center"/>
    </xf>
    <xf numFmtId="0" fontId="1" fillId="3" borderId="1" applyAlignment="1" pivotButton="0" quotePrefix="0" xfId="0">
      <alignment horizontal="center"/>
    </xf>
    <xf numFmtId="0" fontId="1" fillId="4" borderId="1" applyAlignment="1" pivotButton="0" quotePrefix="0" xfId="0">
      <alignment horizontal="center"/>
    </xf>
    <xf numFmtId="0" fontId="1" fillId="5" borderId="1" applyAlignment="1" pivotButton="0" quotePrefix="0" xfId="0">
      <alignment horizontal="center"/>
    </xf>
    <xf numFmtId="0" fontId="1" fillId="6"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9" fontId="4" fillId="0" borderId="1" applyAlignment="1" pivotButton="0" quotePrefix="0" xfId="0">
      <alignment horizontal="center"/>
    </xf>
    <xf numFmtId="0" fontId="1" fillId="2" borderId="1" pivotButton="0" quotePrefix="0" xfId="0"/>
    <xf numFmtId="0" fontId="0" fillId="0" borderId="1" pivotButton="0" quotePrefix="0" xfId="0"/>
    <xf numFmtId="0" fontId="6"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7" borderId="1" applyAlignment="1" pivotButton="0" quotePrefix="0" xfId="0">
      <alignment horizontal="left" vertical="top" wrapText="1"/>
    </xf>
    <xf numFmtId="0" fontId="7" fillId="0" borderId="0" applyAlignment="1" pivotButton="0" quotePrefix="0" xfId="0">
      <alignment vertical="top" wrapText="1"/>
    </xf>
  </cellXfs>
  <cellStyles count="1">
    <cellStyle name="Normal" xfId="0" builtinId="0" hidden="0"/>
  </cellStyles>
  <dxfs count="6">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E7E6E6"/>
          <bgColor rgb="00E7E6E6"/>
        </patternFill>
      </fill>
    </dxf>
    <dxf>
      <fill>
        <patternFill patternType="solid">
          <fgColor rgb="00F8CBAD"/>
          <bgColor rgb="00F8CBAD"/>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BrokerVerse OOTB: Test Execution Summary</t>
        </is>
      </c>
    </row>
    <row r="2"/>
    <row r="3" ht="15" customHeight="1">
      <c r="A3" s="2" t="inlineStr">
        <is>
          <t>Product</t>
        </is>
      </c>
      <c r="B3" s="3" t="inlineStr">
        <is>
          <t>BrokerVerse OOTB (Philippine non-life insurance broking platform)</t>
        </is>
      </c>
    </row>
    <row r="4" ht="15" customHeight="1">
      <c r="A4" s="2" t="inlineStr">
        <is>
          <t>Prepared by</t>
        </is>
      </c>
      <c r="B4" s="3" t="inlineStr">
        <is>
          <t>iorta TechNXT QA</t>
        </is>
      </c>
    </row>
    <row r="5" ht="15" customHeight="1">
      <c r="A5" s="2" t="inlineStr">
        <is>
          <t>Execution dates</t>
        </is>
      </c>
      <c r="B5" s="3" t="inlineStr">
        <is>
          <t>03 to 04 October 2026; new modules 04 October 2026; release verification on the merged release 04 October 2026</t>
        </is>
      </c>
    </row>
    <row r="6" ht="30" customHeight="1">
      <c r="A6" s="2" t="inlineStr">
        <is>
          <t>Environment</t>
        </is>
      </c>
      <c r="B6" s="3" t="inlineStr">
        <is>
          <t>Production build on a fresh PostgreSQL database with the UAT data set (business date 04 October 2026, months May to October 2026)</t>
        </is>
      </c>
    </row>
    <row r="7" ht="30" customHeight="1">
      <c r="A7" s="2" t="inlineStr">
        <is>
          <t>Evidence</t>
        </is>
      </c>
      <c r="B7" s="3" t="inlineStr">
        <is>
          <t>Backend regression run of 04 October 2026 (1035 tests in 97 files, all passed); IC and NPC compliance tests of the package B branch (36 tests, all passed); front-end unit tests (162 tests in 31 suites, all passed); end-to-end UAT cycle (371 steps); go-live rehearsal (51 checks); screen check of every menu screen for the administrator and six role users Release verification of 04 October 2026: UAT cycle of 433 steps, go-live rehearsal of 52 checks, data masking with verification on a copy of the UAT database, environment comparison.</t>
        </is>
      </c>
    </row>
    <row r="8" ht="30" customHeight="1">
      <c r="A8" s="2" t="inlineStr">
        <is>
          <t>Status values</t>
        </is>
      </c>
      <c r="B8" s="3" t="inlineStr">
        <is>
          <t>Pass: result observed as expected. Fail: result differs; defect raised. Blocked: cannot be executed in this environment. Not Run: not executed in this cycle.</t>
        </is>
      </c>
    </row>
    <row r="9"/>
    <row r="10">
      <c r="A10" s="4" t="inlineStr">
        <is>
          <t>Module</t>
        </is>
      </c>
      <c r="B10" s="4" t="inlineStr">
        <is>
          <t>Total</t>
        </is>
      </c>
      <c r="C10" s="5" t="inlineStr">
        <is>
          <t>Pass</t>
        </is>
      </c>
      <c r="D10" s="6" t="inlineStr">
        <is>
          <t>Fail</t>
        </is>
      </c>
      <c r="E10" s="7" t="inlineStr">
        <is>
          <t>Blocked</t>
        </is>
      </c>
      <c r="F10" s="8" t="inlineStr">
        <is>
          <t>Not Run</t>
        </is>
      </c>
      <c r="G10" s="4" t="inlineStr">
        <is>
          <t>Pass %</t>
        </is>
      </c>
    </row>
    <row r="11">
      <c r="A11" s="9" t="inlineStr">
        <is>
          <t>Sign-in and security</t>
        </is>
      </c>
      <c r="B11" s="10">
        <f>COUNTIF('Test Cases'!$B$2:$B$630,A11)</f>
        <v/>
      </c>
      <c r="C11" s="10">
        <f>COUNTIFS('Test Cases'!$B$2:$B$630,$A11,'Test Cases'!$M$2:$M$630,"Pass")</f>
        <v/>
      </c>
      <c r="D11" s="10">
        <f>COUNTIFS('Test Cases'!$B$2:$B$630,$A11,'Test Cases'!$M$2:$M$630,"Fail")</f>
        <v/>
      </c>
      <c r="E11" s="10">
        <f>COUNTIFS('Test Cases'!$B$2:$B$630,$A11,'Test Cases'!$M$2:$M$630,"Blocked")</f>
        <v/>
      </c>
      <c r="F11" s="10">
        <f>COUNTIFS('Test Cases'!$B$2:$B$630,$A11,'Test Cases'!$M$2:$M$630,"Not Run")</f>
        <v/>
      </c>
      <c r="G11" s="11">
        <f>IF(B11=0,0,C11/B11)</f>
        <v/>
      </c>
    </row>
    <row r="12">
      <c r="A12" s="9" t="inlineStr">
        <is>
          <t>User and role administration</t>
        </is>
      </c>
      <c r="B12" s="10">
        <f>COUNTIF('Test Cases'!$B$2:$B$630,A12)</f>
        <v/>
      </c>
      <c r="C12" s="10">
        <f>COUNTIFS('Test Cases'!$B$2:$B$630,$A12,'Test Cases'!$M$2:$M$630,"Pass")</f>
        <v/>
      </c>
      <c r="D12" s="10">
        <f>COUNTIFS('Test Cases'!$B$2:$B$630,$A12,'Test Cases'!$M$2:$M$630,"Fail")</f>
        <v/>
      </c>
      <c r="E12" s="10">
        <f>COUNTIFS('Test Cases'!$B$2:$B$630,$A12,'Test Cases'!$M$2:$M$630,"Blocked")</f>
        <v/>
      </c>
      <c r="F12" s="10">
        <f>COUNTIFS('Test Cases'!$B$2:$B$630,$A12,'Test Cases'!$M$2:$M$630,"Not Run")</f>
        <v/>
      </c>
      <c r="G12" s="11">
        <f>IF(B12=0,0,C12/B12)</f>
        <v/>
      </c>
    </row>
    <row r="13">
      <c r="A13" s="9" t="inlineStr">
        <is>
          <t>Masters</t>
        </is>
      </c>
      <c r="B13" s="10">
        <f>COUNTIF('Test Cases'!$B$2:$B$630,A13)</f>
        <v/>
      </c>
      <c r="C13" s="10">
        <f>COUNTIFS('Test Cases'!$B$2:$B$630,$A13,'Test Cases'!$M$2:$M$630,"Pass")</f>
        <v/>
      </c>
      <c r="D13" s="10">
        <f>COUNTIFS('Test Cases'!$B$2:$B$630,$A13,'Test Cases'!$M$2:$M$630,"Fail")</f>
        <v/>
      </c>
      <c r="E13" s="10">
        <f>COUNTIFS('Test Cases'!$B$2:$B$630,$A13,'Test Cases'!$M$2:$M$630,"Blocked")</f>
        <v/>
      </c>
      <c r="F13" s="10">
        <f>COUNTIFS('Test Cases'!$B$2:$B$630,$A13,'Test Cases'!$M$2:$M$630,"Not Run")</f>
        <v/>
      </c>
      <c r="G13" s="11">
        <f>IF(B13=0,0,C13/B13)</f>
        <v/>
      </c>
    </row>
    <row r="14">
      <c r="A14" s="9" t="inlineStr">
        <is>
          <t>Configuration and numbering</t>
        </is>
      </c>
      <c r="B14" s="10">
        <f>COUNTIF('Test Cases'!$B$2:$B$630,A14)</f>
        <v/>
      </c>
      <c r="C14" s="10">
        <f>COUNTIFS('Test Cases'!$B$2:$B$630,$A14,'Test Cases'!$M$2:$M$630,"Pass")</f>
        <v/>
      </c>
      <c r="D14" s="10">
        <f>COUNTIFS('Test Cases'!$B$2:$B$630,$A14,'Test Cases'!$M$2:$M$630,"Fail")</f>
        <v/>
      </c>
      <c r="E14" s="10">
        <f>COUNTIFS('Test Cases'!$B$2:$B$630,$A14,'Test Cases'!$M$2:$M$630,"Blocked")</f>
        <v/>
      </c>
      <c r="F14" s="10">
        <f>COUNTIFS('Test Cases'!$B$2:$B$630,$A14,'Test Cases'!$M$2:$M$630,"Not Run")</f>
        <v/>
      </c>
      <c r="G14" s="11">
        <f>IF(B14=0,0,C14/B14)</f>
        <v/>
      </c>
    </row>
    <row r="15">
      <c r="A15" s="9" t="inlineStr">
        <is>
          <t>Product configurator</t>
        </is>
      </c>
      <c r="B15" s="10">
        <f>COUNTIF('Test Cases'!$B$2:$B$630,A15)</f>
        <v/>
      </c>
      <c r="C15" s="10">
        <f>COUNTIFS('Test Cases'!$B$2:$B$630,$A15,'Test Cases'!$M$2:$M$630,"Pass")</f>
        <v/>
      </c>
      <c r="D15" s="10">
        <f>COUNTIFS('Test Cases'!$B$2:$B$630,$A15,'Test Cases'!$M$2:$M$630,"Fail")</f>
        <v/>
      </c>
      <c r="E15" s="10">
        <f>COUNTIFS('Test Cases'!$B$2:$B$630,$A15,'Test Cases'!$M$2:$M$630,"Blocked")</f>
        <v/>
      </c>
      <c r="F15" s="10">
        <f>COUNTIFS('Test Cases'!$B$2:$B$630,$A15,'Test Cases'!$M$2:$M$630,"Not Run")</f>
        <v/>
      </c>
      <c r="G15" s="11">
        <f>IF(B15=0,0,C15/B15)</f>
        <v/>
      </c>
    </row>
    <row r="16">
      <c r="A16" s="9" t="inlineStr">
        <is>
          <t>Go-live data load</t>
        </is>
      </c>
      <c r="B16" s="10">
        <f>COUNTIF('Test Cases'!$B$2:$B$630,A16)</f>
        <v/>
      </c>
      <c r="C16" s="10">
        <f>COUNTIFS('Test Cases'!$B$2:$B$630,$A16,'Test Cases'!$M$2:$M$630,"Pass")</f>
        <v/>
      </c>
      <c r="D16" s="10">
        <f>COUNTIFS('Test Cases'!$B$2:$B$630,$A16,'Test Cases'!$M$2:$M$630,"Fail")</f>
        <v/>
      </c>
      <c r="E16" s="10">
        <f>COUNTIFS('Test Cases'!$B$2:$B$630,$A16,'Test Cases'!$M$2:$M$630,"Blocked")</f>
        <v/>
      </c>
      <c r="F16" s="10">
        <f>COUNTIFS('Test Cases'!$B$2:$B$630,$A16,'Test Cases'!$M$2:$M$630,"Not Run")</f>
        <v/>
      </c>
      <c r="G16" s="11">
        <f>IF(B16=0,0,C16/B16)</f>
        <v/>
      </c>
    </row>
    <row r="17">
      <c r="A17" s="9" t="inlineStr">
        <is>
          <t>Prospects and clients</t>
        </is>
      </c>
      <c r="B17" s="10">
        <f>COUNTIF('Test Cases'!$B$2:$B$630,A17)</f>
        <v/>
      </c>
      <c r="C17" s="10">
        <f>COUNTIFS('Test Cases'!$B$2:$B$630,$A17,'Test Cases'!$M$2:$M$630,"Pass")</f>
        <v/>
      </c>
      <c r="D17" s="10">
        <f>COUNTIFS('Test Cases'!$B$2:$B$630,$A17,'Test Cases'!$M$2:$M$630,"Fail")</f>
        <v/>
      </c>
      <c r="E17" s="10">
        <f>COUNTIFS('Test Cases'!$B$2:$B$630,$A17,'Test Cases'!$M$2:$M$630,"Blocked")</f>
        <v/>
      </c>
      <c r="F17" s="10">
        <f>COUNTIFS('Test Cases'!$B$2:$B$630,$A17,'Test Cases'!$M$2:$M$630,"Not Run")</f>
        <v/>
      </c>
      <c r="G17" s="11">
        <f>IF(B17=0,0,C17/B17)</f>
        <v/>
      </c>
    </row>
    <row r="18">
      <c r="A18" s="9" t="inlineStr">
        <is>
          <t>Quick quote and compare insurers</t>
        </is>
      </c>
      <c r="B18" s="10">
        <f>COUNTIF('Test Cases'!$B$2:$B$630,A18)</f>
        <v/>
      </c>
      <c r="C18" s="10">
        <f>COUNTIFS('Test Cases'!$B$2:$B$630,$A18,'Test Cases'!$M$2:$M$630,"Pass")</f>
        <v/>
      </c>
      <c r="D18" s="10">
        <f>COUNTIFS('Test Cases'!$B$2:$B$630,$A18,'Test Cases'!$M$2:$M$630,"Fail")</f>
        <v/>
      </c>
      <c r="E18" s="10">
        <f>COUNTIFS('Test Cases'!$B$2:$B$630,$A18,'Test Cases'!$M$2:$M$630,"Blocked")</f>
        <v/>
      </c>
      <c r="F18" s="10">
        <f>COUNTIFS('Test Cases'!$B$2:$B$630,$A18,'Test Cases'!$M$2:$M$630,"Not Run")</f>
        <v/>
      </c>
      <c r="G18" s="11">
        <f>IF(B18=0,0,C18/B18)</f>
        <v/>
      </c>
    </row>
    <row r="19">
      <c r="A19" s="9" t="inlineStr">
        <is>
          <t>Quotations and customer response</t>
        </is>
      </c>
      <c r="B19" s="10">
        <f>COUNTIF('Test Cases'!$B$2:$B$630,A19)</f>
        <v/>
      </c>
      <c r="C19" s="10">
        <f>COUNTIFS('Test Cases'!$B$2:$B$630,$A19,'Test Cases'!$M$2:$M$630,"Pass")</f>
        <v/>
      </c>
      <c r="D19" s="10">
        <f>COUNTIFS('Test Cases'!$B$2:$B$630,$A19,'Test Cases'!$M$2:$M$630,"Fail")</f>
        <v/>
      </c>
      <c r="E19" s="10">
        <f>COUNTIFS('Test Cases'!$B$2:$B$630,$A19,'Test Cases'!$M$2:$M$630,"Blocked")</f>
        <v/>
      </c>
      <c r="F19" s="10">
        <f>COUNTIFS('Test Cases'!$B$2:$B$630,$A19,'Test Cases'!$M$2:$M$630,"Not Run")</f>
        <v/>
      </c>
      <c r="G19" s="11">
        <f>IF(B19=0,0,C19/B19)</f>
        <v/>
      </c>
    </row>
    <row r="20">
      <c r="A20" s="9" t="inlineStr">
        <is>
          <t>Request for quotation and placement</t>
        </is>
      </c>
      <c r="B20" s="10">
        <f>COUNTIF('Test Cases'!$B$2:$B$630,A20)</f>
        <v/>
      </c>
      <c r="C20" s="10">
        <f>COUNTIFS('Test Cases'!$B$2:$B$630,$A20,'Test Cases'!$M$2:$M$630,"Pass")</f>
        <v/>
      </c>
      <c r="D20" s="10">
        <f>COUNTIFS('Test Cases'!$B$2:$B$630,$A20,'Test Cases'!$M$2:$M$630,"Fail")</f>
        <v/>
      </c>
      <c r="E20" s="10">
        <f>COUNTIFS('Test Cases'!$B$2:$B$630,$A20,'Test Cases'!$M$2:$M$630,"Blocked")</f>
        <v/>
      </c>
      <c r="F20" s="10">
        <f>COUNTIFS('Test Cases'!$B$2:$B$630,$A20,'Test Cases'!$M$2:$M$630,"Not Run")</f>
        <v/>
      </c>
      <c r="G20" s="11">
        <f>IF(B20=0,0,C20/B20)</f>
        <v/>
      </c>
    </row>
    <row r="21">
      <c r="A21" s="9" t="inlineStr">
        <is>
          <t>Policy issuance</t>
        </is>
      </c>
      <c r="B21" s="10">
        <f>COUNTIF('Test Cases'!$B$2:$B$630,A21)</f>
        <v/>
      </c>
      <c r="C21" s="10">
        <f>COUNTIFS('Test Cases'!$B$2:$B$630,$A21,'Test Cases'!$M$2:$M$630,"Pass")</f>
        <v/>
      </c>
      <c r="D21" s="10">
        <f>COUNTIFS('Test Cases'!$B$2:$B$630,$A21,'Test Cases'!$M$2:$M$630,"Fail")</f>
        <v/>
      </c>
      <c r="E21" s="10">
        <f>COUNTIFS('Test Cases'!$B$2:$B$630,$A21,'Test Cases'!$M$2:$M$630,"Blocked")</f>
        <v/>
      </c>
      <c r="F21" s="10">
        <f>COUNTIFS('Test Cases'!$B$2:$B$630,$A21,'Test Cases'!$M$2:$M$630,"Not Run")</f>
        <v/>
      </c>
      <c r="G21" s="11">
        <f>IF(B21=0,0,C21/B21)</f>
        <v/>
      </c>
    </row>
    <row r="22">
      <c r="A22" s="9" t="inlineStr">
        <is>
          <t>Endorsements and cancellations</t>
        </is>
      </c>
      <c r="B22" s="10">
        <f>COUNTIF('Test Cases'!$B$2:$B$630,A22)</f>
        <v/>
      </c>
      <c r="C22" s="10">
        <f>COUNTIFS('Test Cases'!$B$2:$B$630,$A22,'Test Cases'!$M$2:$M$630,"Pass")</f>
        <v/>
      </c>
      <c r="D22" s="10">
        <f>COUNTIFS('Test Cases'!$B$2:$B$630,$A22,'Test Cases'!$M$2:$M$630,"Fail")</f>
        <v/>
      </c>
      <c r="E22" s="10">
        <f>COUNTIFS('Test Cases'!$B$2:$B$630,$A22,'Test Cases'!$M$2:$M$630,"Blocked")</f>
        <v/>
      </c>
      <c r="F22" s="10">
        <f>COUNTIFS('Test Cases'!$B$2:$B$630,$A22,'Test Cases'!$M$2:$M$630,"Not Run")</f>
        <v/>
      </c>
      <c r="G22" s="11">
        <f>IF(B22=0,0,C22/B22)</f>
        <v/>
      </c>
    </row>
    <row r="23">
      <c r="A23" s="9" t="inlineStr">
        <is>
          <t>Claims</t>
        </is>
      </c>
      <c r="B23" s="10">
        <f>COUNTIF('Test Cases'!$B$2:$B$630,A23)</f>
        <v/>
      </c>
      <c r="C23" s="10">
        <f>COUNTIFS('Test Cases'!$B$2:$B$630,$A23,'Test Cases'!$M$2:$M$630,"Pass")</f>
        <v/>
      </c>
      <c r="D23" s="10">
        <f>COUNTIFS('Test Cases'!$B$2:$B$630,$A23,'Test Cases'!$M$2:$M$630,"Fail")</f>
        <v/>
      </c>
      <c r="E23" s="10">
        <f>COUNTIFS('Test Cases'!$B$2:$B$630,$A23,'Test Cases'!$M$2:$M$630,"Blocked")</f>
        <v/>
      </c>
      <c r="F23" s="10">
        <f>COUNTIFS('Test Cases'!$B$2:$B$630,$A23,'Test Cases'!$M$2:$M$630,"Not Run")</f>
        <v/>
      </c>
      <c r="G23" s="11">
        <f>IF(B23=0,0,C23/B23)</f>
        <v/>
      </c>
    </row>
    <row r="24">
      <c r="A24" s="9" t="inlineStr">
        <is>
          <t>Renewals</t>
        </is>
      </c>
      <c r="B24" s="10">
        <f>COUNTIF('Test Cases'!$B$2:$B$630,A24)</f>
        <v/>
      </c>
      <c r="C24" s="10">
        <f>COUNTIFS('Test Cases'!$B$2:$B$630,$A24,'Test Cases'!$M$2:$M$630,"Pass")</f>
        <v/>
      </c>
      <c r="D24" s="10">
        <f>COUNTIFS('Test Cases'!$B$2:$B$630,$A24,'Test Cases'!$M$2:$M$630,"Fail")</f>
        <v/>
      </c>
      <c r="E24" s="10">
        <f>COUNTIFS('Test Cases'!$B$2:$B$630,$A24,'Test Cases'!$M$2:$M$630,"Blocked")</f>
        <v/>
      </c>
      <c r="F24" s="10">
        <f>COUNTIFS('Test Cases'!$B$2:$B$630,$A24,'Test Cases'!$M$2:$M$630,"Not Run")</f>
        <v/>
      </c>
      <c r="G24" s="11">
        <f>IF(B24=0,0,C24/B24)</f>
        <v/>
      </c>
    </row>
    <row r="25">
      <c r="A25" s="9" t="inlineStr">
        <is>
          <t>Open items and payments</t>
        </is>
      </c>
      <c r="B25" s="10">
        <f>COUNTIF('Test Cases'!$B$2:$B$630,A25)</f>
        <v/>
      </c>
      <c r="C25" s="10">
        <f>COUNTIFS('Test Cases'!$B$2:$B$630,$A25,'Test Cases'!$M$2:$M$630,"Pass")</f>
        <v/>
      </c>
      <c r="D25" s="10">
        <f>COUNTIFS('Test Cases'!$B$2:$B$630,$A25,'Test Cases'!$M$2:$M$630,"Fail")</f>
        <v/>
      </c>
      <c r="E25" s="10">
        <f>COUNTIFS('Test Cases'!$B$2:$B$630,$A25,'Test Cases'!$M$2:$M$630,"Blocked")</f>
        <v/>
      </c>
      <c r="F25" s="10">
        <f>COUNTIFS('Test Cases'!$B$2:$B$630,$A25,'Test Cases'!$M$2:$M$630,"Not Run")</f>
        <v/>
      </c>
      <c r="G25" s="11">
        <f>IF(B25=0,0,C25/B25)</f>
        <v/>
      </c>
    </row>
    <row r="26">
      <c r="A26" s="9" t="inlineStr">
        <is>
          <t>Billing and receipts</t>
        </is>
      </c>
      <c r="B26" s="10">
        <f>COUNTIF('Test Cases'!$B$2:$B$630,A26)</f>
        <v/>
      </c>
      <c r="C26" s="10">
        <f>COUNTIFS('Test Cases'!$B$2:$B$630,$A26,'Test Cases'!$M$2:$M$630,"Pass")</f>
        <v/>
      </c>
      <c r="D26" s="10">
        <f>COUNTIFS('Test Cases'!$B$2:$B$630,$A26,'Test Cases'!$M$2:$M$630,"Fail")</f>
        <v/>
      </c>
      <c r="E26" s="10">
        <f>COUNTIFS('Test Cases'!$B$2:$B$630,$A26,'Test Cases'!$M$2:$M$630,"Blocked")</f>
        <v/>
      </c>
      <c r="F26" s="10">
        <f>COUNTIFS('Test Cases'!$B$2:$B$630,$A26,'Test Cases'!$M$2:$M$630,"Not Run")</f>
        <v/>
      </c>
      <c r="G26" s="11">
        <f>IF(B26=0,0,C26/B26)</f>
        <v/>
      </c>
    </row>
    <row r="27">
      <c r="A27" s="9" t="inlineStr">
        <is>
          <t>Collections and credit control</t>
        </is>
      </c>
      <c r="B27" s="10">
        <f>COUNTIF('Test Cases'!$B$2:$B$630,A27)</f>
        <v/>
      </c>
      <c r="C27" s="10">
        <f>COUNTIFS('Test Cases'!$B$2:$B$630,$A27,'Test Cases'!$M$2:$M$630,"Pass")</f>
        <v/>
      </c>
      <c r="D27" s="10">
        <f>COUNTIFS('Test Cases'!$B$2:$B$630,$A27,'Test Cases'!$M$2:$M$630,"Fail")</f>
        <v/>
      </c>
      <c r="E27" s="10">
        <f>COUNTIFS('Test Cases'!$B$2:$B$630,$A27,'Test Cases'!$M$2:$M$630,"Blocked")</f>
        <v/>
      </c>
      <c r="F27" s="10">
        <f>COUNTIFS('Test Cases'!$B$2:$B$630,$A27,'Test Cases'!$M$2:$M$630,"Not Run")</f>
        <v/>
      </c>
      <c r="G27" s="11">
        <f>IF(B27=0,0,C27/B27)</f>
        <v/>
      </c>
    </row>
    <row r="28">
      <c r="A28" s="9" t="inlineStr">
        <is>
          <t>Disbursement and payment vouchers</t>
        </is>
      </c>
      <c r="B28" s="10">
        <f>COUNTIF('Test Cases'!$B$2:$B$630,A28)</f>
        <v/>
      </c>
      <c r="C28" s="10">
        <f>COUNTIFS('Test Cases'!$B$2:$B$630,$A28,'Test Cases'!$M$2:$M$630,"Pass")</f>
        <v/>
      </c>
      <c r="D28" s="10">
        <f>COUNTIFS('Test Cases'!$B$2:$B$630,$A28,'Test Cases'!$M$2:$M$630,"Fail")</f>
        <v/>
      </c>
      <c r="E28" s="10">
        <f>COUNTIFS('Test Cases'!$B$2:$B$630,$A28,'Test Cases'!$M$2:$M$630,"Blocked")</f>
        <v/>
      </c>
      <c r="F28" s="10">
        <f>COUNTIFS('Test Cases'!$B$2:$B$630,$A28,'Test Cases'!$M$2:$M$630,"Not Run")</f>
        <v/>
      </c>
      <c r="G28" s="11">
        <f>IF(B28=0,0,C28/B28)</f>
        <v/>
      </c>
    </row>
    <row r="29">
      <c r="A29" s="9" t="inlineStr">
        <is>
          <t>Remittance to insurers</t>
        </is>
      </c>
      <c r="B29" s="10">
        <f>COUNTIF('Test Cases'!$B$2:$B$630,A29)</f>
        <v/>
      </c>
      <c r="C29" s="10">
        <f>COUNTIFS('Test Cases'!$B$2:$B$630,$A29,'Test Cases'!$M$2:$M$630,"Pass")</f>
        <v/>
      </c>
      <c r="D29" s="10">
        <f>COUNTIFS('Test Cases'!$B$2:$B$630,$A29,'Test Cases'!$M$2:$M$630,"Fail")</f>
        <v/>
      </c>
      <c r="E29" s="10">
        <f>COUNTIFS('Test Cases'!$B$2:$B$630,$A29,'Test Cases'!$M$2:$M$630,"Blocked")</f>
        <v/>
      </c>
      <c r="F29" s="10">
        <f>COUNTIFS('Test Cases'!$B$2:$B$630,$A29,'Test Cases'!$M$2:$M$630,"Not Run")</f>
        <v/>
      </c>
      <c r="G29" s="11">
        <f>IF(B29=0,0,C29/B29)</f>
        <v/>
      </c>
    </row>
    <row r="30">
      <c r="A30" s="9" t="inlineStr">
        <is>
          <t>Direct bill</t>
        </is>
      </c>
      <c r="B30" s="10">
        <f>COUNTIF('Test Cases'!$B$2:$B$630,A30)</f>
        <v/>
      </c>
      <c r="C30" s="10">
        <f>COUNTIFS('Test Cases'!$B$2:$B$630,$A30,'Test Cases'!$M$2:$M$630,"Pass")</f>
        <v/>
      </c>
      <c r="D30" s="10">
        <f>COUNTIFS('Test Cases'!$B$2:$B$630,$A30,'Test Cases'!$M$2:$M$630,"Fail")</f>
        <v/>
      </c>
      <c r="E30" s="10">
        <f>COUNTIFS('Test Cases'!$B$2:$B$630,$A30,'Test Cases'!$M$2:$M$630,"Blocked")</f>
        <v/>
      </c>
      <c r="F30" s="10">
        <f>COUNTIFS('Test Cases'!$B$2:$B$630,$A30,'Test Cases'!$M$2:$M$630,"Not Run")</f>
        <v/>
      </c>
      <c r="G30" s="11">
        <f>IF(B30=0,0,C30/B30)</f>
        <v/>
      </c>
    </row>
    <row r="31">
      <c r="A31" s="9" t="inlineStr">
        <is>
          <t>Commission and referrers</t>
        </is>
      </c>
      <c r="B31" s="10">
        <f>COUNTIF('Test Cases'!$B$2:$B$630,A31)</f>
        <v/>
      </c>
      <c r="C31" s="10">
        <f>COUNTIFS('Test Cases'!$B$2:$B$630,$A31,'Test Cases'!$M$2:$M$630,"Pass")</f>
        <v/>
      </c>
      <c r="D31" s="10">
        <f>COUNTIFS('Test Cases'!$B$2:$B$630,$A31,'Test Cases'!$M$2:$M$630,"Fail")</f>
        <v/>
      </c>
      <c r="E31" s="10">
        <f>COUNTIFS('Test Cases'!$B$2:$B$630,$A31,'Test Cases'!$M$2:$M$630,"Blocked")</f>
        <v/>
      </c>
      <c r="F31" s="10">
        <f>COUNTIFS('Test Cases'!$B$2:$B$630,$A31,'Test Cases'!$M$2:$M$630,"Not Run")</f>
        <v/>
      </c>
      <c r="G31" s="11">
        <f>IF(B31=0,0,C31/B31)</f>
        <v/>
      </c>
    </row>
    <row r="32">
      <c r="A32" s="9" t="inlineStr">
        <is>
          <t>Petty cash</t>
        </is>
      </c>
      <c r="B32" s="10">
        <f>COUNTIF('Test Cases'!$B$2:$B$630,A32)</f>
        <v/>
      </c>
      <c r="C32" s="10">
        <f>COUNTIFS('Test Cases'!$B$2:$B$630,$A32,'Test Cases'!$M$2:$M$630,"Pass")</f>
        <v/>
      </c>
      <c r="D32" s="10">
        <f>COUNTIFS('Test Cases'!$B$2:$B$630,$A32,'Test Cases'!$M$2:$M$630,"Fail")</f>
        <v/>
      </c>
      <c r="E32" s="10">
        <f>COUNTIFS('Test Cases'!$B$2:$B$630,$A32,'Test Cases'!$M$2:$M$630,"Blocked")</f>
        <v/>
      </c>
      <c r="F32" s="10">
        <f>COUNTIFS('Test Cases'!$B$2:$B$630,$A32,'Test Cases'!$M$2:$M$630,"Not Run")</f>
        <v/>
      </c>
      <c r="G32" s="11">
        <f>IF(B32=0,0,C32/B32)</f>
        <v/>
      </c>
    </row>
    <row r="33">
      <c r="A33" s="9" t="inlineStr">
        <is>
          <t>Journal vouchers and ledger</t>
        </is>
      </c>
      <c r="B33" s="10">
        <f>COUNTIF('Test Cases'!$B$2:$B$630,A33)</f>
        <v/>
      </c>
      <c r="C33" s="10">
        <f>COUNTIFS('Test Cases'!$B$2:$B$630,$A33,'Test Cases'!$M$2:$M$630,"Pass")</f>
        <v/>
      </c>
      <c r="D33" s="10">
        <f>COUNTIFS('Test Cases'!$B$2:$B$630,$A33,'Test Cases'!$M$2:$M$630,"Fail")</f>
        <v/>
      </c>
      <c r="E33" s="10">
        <f>COUNTIFS('Test Cases'!$B$2:$B$630,$A33,'Test Cases'!$M$2:$M$630,"Blocked")</f>
        <v/>
      </c>
      <c r="F33" s="10">
        <f>COUNTIFS('Test Cases'!$B$2:$B$630,$A33,'Test Cases'!$M$2:$M$630,"Not Run")</f>
        <v/>
      </c>
      <c r="G33" s="11">
        <f>IF(B33=0,0,C33/B33)</f>
        <v/>
      </c>
    </row>
    <row r="34">
      <c r="A34" s="9" t="inlineStr">
        <is>
          <t>Period end</t>
        </is>
      </c>
      <c r="B34" s="10">
        <f>COUNTIF('Test Cases'!$B$2:$B$630,A34)</f>
        <v/>
      </c>
      <c r="C34" s="10">
        <f>COUNTIFS('Test Cases'!$B$2:$B$630,$A34,'Test Cases'!$M$2:$M$630,"Pass")</f>
        <v/>
      </c>
      <c r="D34" s="10">
        <f>COUNTIFS('Test Cases'!$B$2:$B$630,$A34,'Test Cases'!$M$2:$M$630,"Fail")</f>
        <v/>
      </c>
      <c r="E34" s="10">
        <f>COUNTIFS('Test Cases'!$B$2:$B$630,$A34,'Test Cases'!$M$2:$M$630,"Blocked")</f>
        <v/>
      </c>
      <c r="F34" s="10">
        <f>COUNTIFS('Test Cases'!$B$2:$B$630,$A34,'Test Cases'!$M$2:$M$630,"Not Run")</f>
        <v/>
      </c>
      <c r="G34" s="11">
        <f>IF(B34=0,0,C34/B34)</f>
        <v/>
      </c>
    </row>
    <row r="35">
      <c r="A35" s="9" t="inlineStr">
        <is>
          <t>Bank reconciliation</t>
        </is>
      </c>
      <c r="B35" s="10">
        <f>COUNTIF('Test Cases'!$B$2:$B$630,A35)</f>
        <v/>
      </c>
      <c r="C35" s="10">
        <f>COUNTIFS('Test Cases'!$B$2:$B$630,$A35,'Test Cases'!$M$2:$M$630,"Pass")</f>
        <v/>
      </c>
      <c r="D35" s="10">
        <f>COUNTIFS('Test Cases'!$B$2:$B$630,$A35,'Test Cases'!$M$2:$M$630,"Fail")</f>
        <v/>
      </c>
      <c r="E35" s="10">
        <f>COUNTIFS('Test Cases'!$B$2:$B$630,$A35,'Test Cases'!$M$2:$M$630,"Blocked")</f>
        <v/>
      </c>
      <c r="F35" s="10">
        <f>COUNTIFS('Test Cases'!$B$2:$B$630,$A35,'Test Cases'!$M$2:$M$630,"Not Run")</f>
        <v/>
      </c>
      <c r="G35" s="11">
        <f>IF(B35=0,0,C35/B35)</f>
        <v/>
      </c>
    </row>
    <row r="36">
      <c r="A36" s="9" t="inlineStr">
        <is>
          <t>Insurer reconciliation</t>
        </is>
      </c>
      <c r="B36" s="10">
        <f>COUNTIF('Test Cases'!$B$2:$B$630,A36)</f>
        <v/>
      </c>
      <c r="C36" s="10">
        <f>COUNTIFS('Test Cases'!$B$2:$B$630,$A36,'Test Cases'!$M$2:$M$630,"Pass")</f>
        <v/>
      </c>
      <c r="D36" s="10">
        <f>COUNTIFS('Test Cases'!$B$2:$B$630,$A36,'Test Cases'!$M$2:$M$630,"Fail")</f>
        <v/>
      </c>
      <c r="E36" s="10">
        <f>COUNTIFS('Test Cases'!$B$2:$B$630,$A36,'Test Cases'!$M$2:$M$630,"Blocked")</f>
        <v/>
      </c>
      <c r="F36" s="10">
        <f>COUNTIFS('Test Cases'!$B$2:$B$630,$A36,'Test Cases'!$M$2:$M$630,"Not Run")</f>
        <v/>
      </c>
      <c r="G36" s="11">
        <f>IF(B36=0,0,C36/B36)</f>
        <v/>
      </c>
    </row>
    <row r="37">
      <c r="A37" s="9" t="inlineStr">
        <is>
          <t>Tax (BIR)</t>
        </is>
      </c>
      <c r="B37" s="10">
        <f>COUNTIF('Test Cases'!$B$2:$B$630,A37)</f>
        <v/>
      </c>
      <c r="C37" s="10">
        <f>COUNTIFS('Test Cases'!$B$2:$B$630,$A37,'Test Cases'!$M$2:$M$630,"Pass")</f>
        <v/>
      </c>
      <c r="D37" s="10">
        <f>COUNTIFS('Test Cases'!$B$2:$B$630,$A37,'Test Cases'!$M$2:$M$630,"Fail")</f>
        <v/>
      </c>
      <c r="E37" s="10">
        <f>COUNTIFS('Test Cases'!$B$2:$B$630,$A37,'Test Cases'!$M$2:$M$630,"Blocked")</f>
        <v/>
      </c>
      <c r="F37" s="10">
        <f>COUNTIFS('Test Cases'!$B$2:$B$630,$A37,'Test Cases'!$M$2:$M$630,"Not Run")</f>
        <v/>
      </c>
      <c r="G37" s="11">
        <f>IF(B37=0,0,C37/B37)</f>
        <v/>
      </c>
    </row>
    <row r="38">
      <c r="A38" s="9" t="inlineStr">
        <is>
          <t>Reinsurance</t>
        </is>
      </c>
      <c r="B38" s="10">
        <f>COUNTIF('Test Cases'!$B$2:$B$630,A38)</f>
        <v/>
      </c>
      <c r="C38" s="10">
        <f>COUNTIFS('Test Cases'!$B$2:$B$630,$A38,'Test Cases'!$M$2:$M$630,"Pass")</f>
        <v/>
      </c>
      <c r="D38" s="10">
        <f>COUNTIFS('Test Cases'!$B$2:$B$630,$A38,'Test Cases'!$M$2:$M$630,"Fail")</f>
        <v/>
      </c>
      <c r="E38" s="10">
        <f>COUNTIFS('Test Cases'!$B$2:$B$630,$A38,'Test Cases'!$M$2:$M$630,"Blocked")</f>
        <v/>
      </c>
      <c r="F38" s="10">
        <f>COUNTIFS('Test Cases'!$B$2:$B$630,$A38,'Test Cases'!$M$2:$M$630,"Not Run")</f>
        <v/>
      </c>
      <c r="G38" s="11">
        <f>IF(B38=0,0,C38/B38)</f>
        <v/>
      </c>
    </row>
    <row r="39">
      <c r="A39" s="9" t="inlineStr">
        <is>
          <t>Incentives</t>
        </is>
      </c>
      <c r="B39" s="10">
        <f>COUNTIF('Test Cases'!$B$2:$B$630,A39)</f>
        <v/>
      </c>
      <c r="C39" s="10">
        <f>COUNTIFS('Test Cases'!$B$2:$B$630,$A39,'Test Cases'!$M$2:$M$630,"Pass")</f>
        <v/>
      </c>
      <c r="D39" s="10">
        <f>COUNTIFS('Test Cases'!$B$2:$B$630,$A39,'Test Cases'!$M$2:$M$630,"Fail")</f>
        <v/>
      </c>
      <c r="E39" s="10">
        <f>COUNTIFS('Test Cases'!$B$2:$B$630,$A39,'Test Cases'!$M$2:$M$630,"Blocked")</f>
        <v/>
      </c>
      <c r="F39" s="10">
        <f>COUNTIFS('Test Cases'!$B$2:$B$630,$A39,'Test Cases'!$M$2:$M$630,"Not Run")</f>
        <v/>
      </c>
      <c r="G39" s="11">
        <f>IF(B39=0,0,C39/B39)</f>
        <v/>
      </c>
    </row>
    <row r="40">
      <c r="A40" s="9" t="inlineStr">
        <is>
          <t>Reports</t>
        </is>
      </c>
      <c r="B40" s="10">
        <f>COUNTIF('Test Cases'!$B$2:$B$630,A40)</f>
        <v/>
      </c>
      <c r="C40" s="10">
        <f>COUNTIFS('Test Cases'!$B$2:$B$630,$A40,'Test Cases'!$M$2:$M$630,"Pass")</f>
        <v/>
      </c>
      <c r="D40" s="10">
        <f>COUNTIFS('Test Cases'!$B$2:$B$630,$A40,'Test Cases'!$M$2:$M$630,"Fail")</f>
        <v/>
      </c>
      <c r="E40" s="10">
        <f>COUNTIFS('Test Cases'!$B$2:$B$630,$A40,'Test Cases'!$M$2:$M$630,"Blocked")</f>
        <v/>
      </c>
      <c r="F40" s="10">
        <f>COUNTIFS('Test Cases'!$B$2:$B$630,$A40,'Test Cases'!$M$2:$M$630,"Not Run")</f>
        <v/>
      </c>
      <c r="G40" s="11">
        <f>IF(B40=0,0,C40/B40)</f>
        <v/>
      </c>
    </row>
    <row r="41">
      <c r="A41" s="9" t="inlineStr">
        <is>
          <t>Dashboards</t>
        </is>
      </c>
      <c r="B41" s="10">
        <f>COUNTIF('Test Cases'!$B$2:$B$630,A41)</f>
        <v/>
      </c>
      <c r="C41" s="10">
        <f>COUNTIFS('Test Cases'!$B$2:$B$630,$A41,'Test Cases'!$M$2:$M$630,"Pass")</f>
        <v/>
      </c>
      <c r="D41" s="10">
        <f>COUNTIFS('Test Cases'!$B$2:$B$630,$A41,'Test Cases'!$M$2:$M$630,"Fail")</f>
        <v/>
      </c>
      <c r="E41" s="10">
        <f>COUNTIFS('Test Cases'!$B$2:$B$630,$A41,'Test Cases'!$M$2:$M$630,"Blocked")</f>
        <v/>
      </c>
      <c r="F41" s="10">
        <f>COUNTIFS('Test Cases'!$B$2:$B$630,$A41,'Test Cases'!$M$2:$M$630,"Not Run")</f>
        <v/>
      </c>
      <c r="G41" s="11">
        <f>IF(B41=0,0,C41/B41)</f>
        <v/>
      </c>
    </row>
    <row r="42">
      <c r="A42" s="9" t="inlineStr">
        <is>
          <t>E-mail outbox and notifications</t>
        </is>
      </c>
      <c r="B42" s="10">
        <f>COUNTIF('Test Cases'!$B$2:$B$630,A42)</f>
        <v/>
      </c>
      <c r="C42" s="10">
        <f>COUNTIFS('Test Cases'!$B$2:$B$630,$A42,'Test Cases'!$M$2:$M$630,"Pass")</f>
        <v/>
      </c>
      <c r="D42" s="10">
        <f>COUNTIFS('Test Cases'!$B$2:$B$630,$A42,'Test Cases'!$M$2:$M$630,"Fail")</f>
        <v/>
      </c>
      <c r="E42" s="10">
        <f>COUNTIFS('Test Cases'!$B$2:$B$630,$A42,'Test Cases'!$M$2:$M$630,"Blocked")</f>
        <v/>
      </c>
      <c r="F42" s="10">
        <f>COUNTIFS('Test Cases'!$B$2:$B$630,$A42,'Test Cases'!$M$2:$M$630,"Not Run")</f>
        <v/>
      </c>
      <c r="G42" s="11">
        <f>IF(B42=0,0,C42/B42)</f>
        <v/>
      </c>
    </row>
    <row r="43">
      <c r="A43" s="9" t="inlineStr">
        <is>
          <t>Audit trail</t>
        </is>
      </c>
      <c r="B43" s="10">
        <f>COUNTIF('Test Cases'!$B$2:$B$630,A43)</f>
        <v/>
      </c>
      <c r="C43" s="10">
        <f>COUNTIFS('Test Cases'!$B$2:$B$630,$A43,'Test Cases'!$M$2:$M$630,"Pass")</f>
        <v/>
      </c>
      <c r="D43" s="10">
        <f>COUNTIFS('Test Cases'!$B$2:$B$630,$A43,'Test Cases'!$M$2:$M$630,"Fail")</f>
        <v/>
      </c>
      <c r="E43" s="10">
        <f>COUNTIFS('Test Cases'!$B$2:$B$630,$A43,'Test Cases'!$M$2:$M$630,"Blocked")</f>
        <v/>
      </c>
      <c r="F43" s="10">
        <f>COUNTIFS('Test Cases'!$B$2:$B$630,$A43,'Test Cases'!$M$2:$M$630,"Not Run")</f>
        <v/>
      </c>
      <c r="G43" s="11">
        <f>IF(B43=0,0,C43/B43)</f>
        <v/>
      </c>
    </row>
    <row r="44">
      <c r="A44" s="9" t="inlineStr">
        <is>
          <t>End-to-end life cycle</t>
        </is>
      </c>
      <c r="B44" s="10">
        <f>COUNTIF('Test Cases'!$B$2:$B$630,A44)</f>
        <v/>
      </c>
      <c r="C44" s="10">
        <f>COUNTIFS('Test Cases'!$B$2:$B$630,$A44,'Test Cases'!$M$2:$M$630,"Pass")</f>
        <v/>
      </c>
      <c r="D44" s="10">
        <f>COUNTIFS('Test Cases'!$B$2:$B$630,$A44,'Test Cases'!$M$2:$M$630,"Fail")</f>
        <v/>
      </c>
      <c r="E44" s="10">
        <f>COUNTIFS('Test Cases'!$B$2:$B$630,$A44,'Test Cases'!$M$2:$M$630,"Blocked")</f>
        <v/>
      </c>
      <c r="F44" s="10">
        <f>COUNTIFS('Test Cases'!$B$2:$B$630,$A44,'Test Cases'!$M$2:$M$630,"Not Run")</f>
        <v/>
      </c>
      <c r="G44" s="11">
        <f>IF(B44=0,0,C44/B44)</f>
        <v/>
      </c>
    </row>
    <row r="45">
      <c r="A45" s="9" t="inlineStr">
        <is>
          <t>Screen checks (all menus)</t>
        </is>
      </c>
      <c r="B45" s="10">
        <f>COUNTIF('Test Cases'!$B$2:$B$630,A45)</f>
        <v/>
      </c>
      <c r="C45" s="10">
        <f>COUNTIFS('Test Cases'!$B$2:$B$630,$A45,'Test Cases'!$M$2:$M$630,"Pass")</f>
        <v/>
      </c>
      <c r="D45" s="10">
        <f>COUNTIFS('Test Cases'!$B$2:$B$630,$A45,'Test Cases'!$M$2:$M$630,"Fail")</f>
        <v/>
      </c>
      <c r="E45" s="10">
        <f>COUNTIFS('Test Cases'!$B$2:$B$630,$A45,'Test Cases'!$M$2:$M$630,"Blocked")</f>
        <v/>
      </c>
      <c r="F45" s="10">
        <f>COUNTIFS('Test Cases'!$B$2:$B$630,$A45,'Test Cases'!$M$2:$M$630,"Not Run")</f>
        <v/>
      </c>
      <c r="G45" s="11">
        <f>IF(B45=0,0,C45/B45)</f>
        <v/>
      </c>
    </row>
    <row r="46">
      <c r="A46" s="9" t="inlineStr">
        <is>
          <t>Role-based access</t>
        </is>
      </c>
      <c r="B46" s="10">
        <f>COUNTIF('Test Cases'!$B$2:$B$630,A46)</f>
        <v/>
      </c>
      <c r="C46" s="10">
        <f>COUNTIFS('Test Cases'!$B$2:$B$630,$A46,'Test Cases'!$M$2:$M$630,"Pass")</f>
        <v/>
      </c>
      <c r="D46" s="10">
        <f>COUNTIFS('Test Cases'!$B$2:$B$630,$A46,'Test Cases'!$M$2:$M$630,"Fail")</f>
        <v/>
      </c>
      <c r="E46" s="10">
        <f>COUNTIFS('Test Cases'!$B$2:$B$630,$A46,'Test Cases'!$M$2:$M$630,"Blocked")</f>
        <v/>
      </c>
      <c r="F46" s="10">
        <f>COUNTIFS('Test Cases'!$B$2:$B$630,$A46,'Test Cases'!$M$2:$M$630,"Not Run")</f>
        <v/>
      </c>
      <c r="G46" s="11">
        <f>IF(B46=0,0,C46/B46)</f>
        <v/>
      </c>
    </row>
    <row r="47">
      <c r="A47" s="9" t="inlineStr">
        <is>
          <t>Philippine reference masters</t>
        </is>
      </c>
      <c r="B47" s="10">
        <f>COUNTIF('Test Cases'!$B$2:$B$630,A47)</f>
        <v/>
      </c>
      <c r="C47" s="10">
        <f>COUNTIFS('Test Cases'!$B$2:$B$630,$A47,'Test Cases'!$M$2:$M$630,"Pass")</f>
        <v/>
      </c>
      <c r="D47" s="10">
        <f>COUNTIFS('Test Cases'!$B$2:$B$630,$A47,'Test Cases'!$M$2:$M$630,"Fail")</f>
        <v/>
      </c>
      <c r="E47" s="10">
        <f>COUNTIFS('Test Cases'!$B$2:$B$630,$A47,'Test Cases'!$M$2:$M$630,"Blocked")</f>
        <v/>
      </c>
      <c r="F47" s="10">
        <f>COUNTIFS('Test Cases'!$B$2:$B$630,$A47,'Test Cases'!$M$2:$M$630,"Not Run")</f>
        <v/>
      </c>
      <c r="G47" s="11">
        <f>IF(B47=0,0,C47/B47)</f>
        <v/>
      </c>
    </row>
    <row r="48">
      <c r="A48" s="9" t="inlineStr">
        <is>
          <t>Navigation and help</t>
        </is>
      </c>
      <c r="B48" s="10">
        <f>COUNTIF('Test Cases'!$B$2:$B$630,A48)</f>
        <v/>
      </c>
      <c r="C48" s="10">
        <f>COUNTIFS('Test Cases'!$B$2:$B$630,$A48,'Test Cases'!$M$2:$M$630,"Pass")</f>
        <v/>
      </c>
      <c r="D48" s="10">
        <f>COUNTIFS('Test Cases'!$B$2:$B$630,$A48,'Test Cases'!$M$2:$M$630,"Fail")</f>
        <v/>
      </c>
      <c r="E48" s="10">
        <f>COUNTIFS('Test Cases'!$B$2:$B$630,$A48,'Test Cases'!$M$2:$M$630,"Blocked")</f>
        <v/>
      </c>
      <c r="F48" s="10">
        <f>COUNTIFS('Test Cases'!$B$2:$B$630,$A48,'Test Cases'!$M$2:$M$630,"Not Run")</f>
        <v/>
      </c>
      <c r="G48" s="11">
        <f>IF(B48=0,0,C48/B48)</f>
        <v/>
      </c>
    </row>
    <row r="49">
      <c r="A49" s="9" t="inlineStr">
        <is>
          <t>My Work</t>
        </is>
      </c>
      <c r="B49" s="10">
        <f>COUNTIF('Test Cases'!$B$2:$B$630,A49)</f>
        <v/>
      </c>
      <c r="C49" s="10">
        <f>COUNTIFS('Test Cases'!$B$2:$B$630,$A49,'Test Cases'!$M$2:$M$630,"Pass")</f>
        <v/>
      </c>
      <c r="D49" s="10">
        <f>COUNTIFS('Test Cases'!$B$2:$B$630,$A49,'Test Cases'!$M$2:$M$630,"Fail")</f>
        <v/>
      </c>
      <c r="E49" s="10">
        <f>COUNTIFS('Test Cases'!$B$2:$B$630,$A49,'Test Cases'!$M$2:$M$630,"Blocked")</f>
        <v/>
      </c>
      <c r="F49" s="10">
        <f>COUNTIFS('Test Cases'!$B$2:$B$630,$A49,'Test Cases'!$M$2:$M$630,"Not Run")</f>
        <v/>
      </c>
      <c r="G49" s="11">
        <f>IF(B49=0,0,C49/B49)</f>
        <v/>
      </c>
    </row>
    <row r="50">
      <c r="A50" s="9" t="inlineStr">
        <is>
          <t>Product rules in the flow</t>
        </is>
      </c>
      <c r="B50" s="10">
        <f>COUNTIF('Test Cases'!$B$2:$B$630,A50)</f>
        <v/>
      </c>
      <c r="C50" s="10">
        <f>COUNTIFS('Test Cases'!$B$2:$B$630,$A50,'Test Cases'!$M$2:$M$630,"Pass")</f>
        <v/>
      </c>
      <c r="D50" s="10">
        <f>COUNTIFS('Test Cases'!$B$2:$B$630,$A50,'Test Cases'!$M$2:$M$630,"Fail")</f>
        <v/>
      </c>
      <c r="E50" s="10">
        <f>COUNTIFS('Test Cases'!$B$2:$B$630,$A50,'Test Cases'!$M$2:$M$630,"Blocked")</f>
        <v/>
      </c>
      <c r="F50" s="10">
        <f>COUNTIFS('Test Cases'!$B$2:$B$630,$A50,'Test Cases'!$M$2:$M$630,"Not Run")</f>
        <v/>
      </c>
      <c r="G50" s="11">
        <f>IF(B50=0,0,C50/B50)</f>
        <v/>
      </c>
    </row>
    <row r="51">
      <c r="A51" s="9" t="inlineStr">
        <is>
          <t>Go-live workbench and environments</t>
        </is>
      </c>
      <c r="B51" s="10">
        <f>COUNTIF('Test Cases'!$B$2:$B$630,A51)</f>
        <v/>
      </c>
      <c r="C51" s="10">
        <f>COUNTIFS('Test Cases'!$B$2:$B$630,$A51,'Test Cases'!$M$2:$M$630,"Pass")</f>
        <v/>
      </c>
      <c r="D51" s="10">
        <f>COUNTIFS('Test Cases'!$B$2:$B$630,$A51,'Test Cases'!$M$2:$M$630,"Fail")</f>
        <v/>
      </c>
      <c r="E51" s="10">
        <f>COUNTIFS('Test Cases'!$B$2:$B$630,$A51,'Test Cases'!$M$2:$M$630,"Blocked")</f>
        <v/>
      </c>
      <c r="F51" s="10">
        <f>COUNTIFS('Test Cases'!$B$2:$B$630,$A51,'Test Cases'!$M$2:$M$630,"Not Run")</f>
        <v/>
      </c>
      <c r="G51" s="11">
        <f>IF(B51=0,0,C51/B51)</f>
        <v/>
      </c>
    </row>
    <row r="52">
      <c r="A52" s="9" t="inlineStr">
        <is>
          <t>AML/CFT</t>
        </is>
      </c>
      <c r="B52" s="10">
        <f>COUNTIF('Test Cases'!$B$2:$B$630,A52)</f>
        <v/>
      </c>
      <c r="C52" s="10">
        <f>COUNTIFS('Test Cases'!$B$2:$B$630,$A52,'Test Cases'!$M$2:$M$630,"Pass")</f>
        <v/>
      </c>
      <c r="D52" s="10">
        <f>COUNTIFS('Test Cases'!$B$2:$B$630,$A52,'Test Cases'!$M$2:$M$630,"Fail")</f>
        <v/>
      </c>
      <c r="E52" s="10">
        <f>COUNTIFS('Test Cases'!$B$2:$B$630,$A52,'Test Cases'!$M$2:$M$630,"Blocked")</f>
        <v/>
      </c>
      <c r="F52" s="10">
        <f>COUNTIFS('Test Cases'!$B$2:$B$630,$A52,'Test Cases'!$M$2:$M$630,"Not Run")</f>
        <v/>
      </c>
      <c r="G52" s="11">
        <f>IF(B52=0,0,C52/B52)</f>
        <v/>
      </c>
    </row>
    <row r="53">
      <c r="A53" s="9" t="inlineStr">
        <is>
          <t>IC compliance</t>
        </is>
      </c>
      <c r="B53" s="10">
        <f>COUNTIF('Test Cases'!$B$2:$B$630,A53)</f>
        <v/>
      </c>
      <c r="C53" s="10">
        <f>COUNTIFS('Test Cases'!$B$2:$B$630,$A53,'Test Cases'!$M$2:$M$630,"Pass")</f>
        <v/>
      </c>
      <c r="D53" s="10">
        <f>COUNTIFS('Test Cases'!$B$2:$B$630,$A53,'Test Cases'!$M$2:$M$630,"Fail")</f>
        <v/>
      </c>
      <c r="E53" s="10">
        <f>COUNTIFS('Test Cases'!$B$2:$B$630,$A53,'Test Cases'!$M$2:$M$630,"Blocked")</f>
        <v/>
      </c>
      <c r="F53" s="10">
        <f>COUNTIFS('Test Cases'!$B$2:$B$630,$A53,'Test Cases'!$M$2:$M$630,"Not Run")</f>
        <v/>
      </c>
      <c r="G53" s="11">
        <f>IF(B53=0,0,C53/B53)</f>
        <v/>
      </c>
    </row>
    <row r="54">
      <c r="A54" s="9" t="inlineStr">
        <is>
          <t>Personal data protection</t>
        </is>
      </c>
      <c r="B54" s="10">
        <f>COUNTIF('Test Cases'!$B$2:$B$630,A54)</f>
        <v/>
      </c>
      <c r="C54" s="10">
        <f>COUNTIFS('Test Cases'!$B$2:$B$630,$A54,'Test Cases'!$M$2:$M$630,"Pass")</f>
        <v/>
      </c>
      <c r="D54" s="10">
        <f>COUNTIFS('Test Cases'!$B$2:$B$630,$A54,'Test Cases'!$M$2:$M$630,"Fail")</f>
        <v/>
      </c>
      <c r="E54" s="10">
        <f>COUNTIFS('Test Cases'!$B$2:$B$630,$A54,'Test Cases'!$M$2:$M$630,"Blocked")</f>
        <v/>
      </c>
      <c r="F54" s="10">
        <f>COUNTIFS('Test Cases'!$B$2:$B$630,$A54,'Test Cases'!$M$2:$M$630,"Not Run")</f>
        <v/>
      </c>
      <c r="G54" s="11">
        <f>IF(B54=0,0,C54/B54)</f>
        <v/>
      </c>
    </row>
    <row r="55">
      <c r="A55" s="9" t="inlineStr">
        <is>
          <t>BIR forms and invoicing</t>
        </is>
      </c>
      <c r="B55" s="10">
        <f>COUNTIF('Test Cases'!$B$2:$B$630,A55)</f>
        <v/>
      </c>
      <c r="C55" s="10">
        <f>COUNTIFS('Test Cases'!$B$2:$B$630,$A55,'Test Cases'!$M$2:$M$630,"Pass")</f>
        <v/>
      </c>
      <c r="D55" s="10">
        <f>COUNTIFS('Test Cases'!$B$2:$B$630,$A55,'Test Cases'!$M$2:$M$630,"Fail")</f>
        <v/>
      </c>
      <c r="E55" s="10">
        <f>COUNTIFS('Test Cases'!$B$2:$B$630,$A55,'Test Cases'!$M$2:$M$630,"Blocked")</f>
        <v/>
      </c>
      <c r="F55" s="10">
        <f>COUNTIFS('Test Cases'!$B$2:$B$630,$A55,'Test Cases'!$M$2:$M$630,"Not Run")</f>
        <v/>
      </c>
      <c r="G55" s="11">
        <f>IF(B55=0,0,C55/B55)</f>
        <v/>
      </c>
    </row>
    <row r="56">
      <c r="A56" s="9" t="inlineStr">
        <is>
          <t>Operations extensions</t>
        </is>
      </c>
      <c r="B56" s="10">
        <f>COUNTIF('Test Cases'!$B$2:$B$630,A56)</f>
        <v/>
      </c>
      <c r="C56" s="10">
        <f>COUNTIFS('Test Cases'!$B$2:$B$630,$A56,'Test Cases'!$M$2:$M$630,"Pass")</f>
        <v/>
      </c>
      <c r="D56" s="10">
        <f>COUNTIFS('Test Cases'!$B$2:$B$630,$A56,'Test Cases'!$M$2:$M$630,"Fail")</f>
        <v/>
      </c>
      <c r="E56" s="10">
        <f>COUNTIFS('Test Cases'!$B$2:$B$630,$A56,'Test Cases'!$M$2:$M$630,"Blocked")</f>
        <v/>
      </c>
      <c r="F56" s="10">
        <f>COUNTIFS('Test Cases'!$B$2:$B$630,$A56,'Test Cases'!$M$2:$M$630,"Not Run")</f>
        <v/>
      </c>
      <c r="G56" s="11">
        <f>IF(B56=0,0,C56/B56)</f>
        <v/>
      </c>
    </row>
    <row r="57">
      <c r="A57" s="9" t="inlineStr">
        <is>
          <t>Accounting extensions</t>
        </is>
      </c>
      <c r="B57" s="10">
        <f>COUNTIF('Test Cases'!$B$2:$B$630,A57)</f>
        <v/>
      </c>
      <c r="C57" s="10">
        <f>COUNTIFS('Test Cases'!$B$2:$B$630,$A57,'Test Cases'!$M$2:$M$630,"Pass")</f>
        <v/>
      </c>
      <c r="D57" s="10">
        <f>COUNTIFS('Test Cases'!$B$2:$B$630,$A57,'Test Cases'!$M$2:$M$630,"Fail")</f>
        <v/>
      </c>
      <c r="E57" s="10">
        <f>COUNTIFS('Test Cases'!$B$2:$B$630,$A57,'Test Cases'!$M$2:$M$630,"Blocked")</f>
        <v/>
      </c>
      <c r="F57" s="10">
        <f>COUNTIFS('Test Cases'!$B$2:$B$630,$A57,'Test Cases'!$M$2:$M$630,"Not Run")</f>
        <v/>
      </c>
      <c r="G57" s="11">
        <f>IF(B57=0,0,C57/B57)</f>
        <v/>
      </c>
    </row>
    <row r="58">
      <c r="A58" s="9" t="inlineStr">
        <is>
          <t>Distribution</t>
        </is>
      </c>
      <c r="B58" s="10">
        <f>COUNTIF('Test Cases'!$B$2:$B$630,A58)</f>
        <v/>
      </c>
      <c r="C58" s="10">
        <f>COUNTIFS('Test Cases'!$B$2:$B$630,$A58,'Test Cases'!$M$2:$M$630,"Pass")</f>
        <v/>
      </c>
      <c r="D58" s="10">
        <f>COUNTIFS('Test Cases'!$B$2:$B$630,$A58,'Test Cases'!$M$2:$M$630,"Fail")</f>
        <v/>
      </c>
      <c r="E58" s="10">
        <f>COUNTIFS('Test Cases'!$B$2:$B$630,$A58,'Test Cases'!$M$2:$M$630,"Blocked")</f>
        <v/>
      </c>
      <c r="F58" s="10">
        <f>COUNTIFS('Test Cases'!$B$2:$B$630,$A58,'Test Cases'!$M$2:$M$630,"Not Run")</f>
        <v/>
      </c>
      <c r="G58" s="11">
        <f>IF(B58=0,0,C58/B58)</f>
        <v/>
      </c>
    </row>
    <row r="59">
      <c r="A59" s="9" t="inlineStr">
        <is>
          <t>Integrations</t>
        </is>
      </c>
      <c r="B59" s="10">
        <f>COUNTIF('Test Cases'!$B$2:$B$630,A59)</f>
        <v/>
      </c>
      <c r="C59" s="10">
        <f>COUNTIFS('Test Cases'!$B$2:$B$630,$A59,'Test Cases'!$M$2:$M$630,"Pass")</f>
        <v/>
      </c>
      <c r="D59" s="10">
        <f>COUNTIFS('Test Cases'!$B$2:$B$630,$A59,'Test Cases'!$M$2:$M$630,"Fail")</f>
        <v/>
      </c>
      <c r="E59" s="10">
        <f>COUNTIFS('Test Cases'!$B$2:$B$630,$A59,'Test Cases'!$M$2:$M$630,"Blocked")</f>
        <v/>
      </c>
      <c r="F59" s="10">
        <f>COUNTIFS('Test Cases'!$B$2:$B$630,$A59,'Test Cases'!$M$2:$M$630,"Not Run")</f>
        <v/>
      </c>
      <c r="G59" s="11">
        <f>IF(B59=0,0,C59/B59)</f>
        <v/>
      </c>
    </row>
    <row r="60">
      <c r="A60" s="9" t="inlineStr">
        <is>
          <t>Branding and e-signatures</t>
        </is>
      </c>
      <c r="B60" s="10">
        <f>COUNTIF('Test Cases'!$B$2:$B$630,A60)</f>
        <v/>
      </c>
      <c r="C60" s="10">
        <f>COUNTIFS('Test Cases'!$B$2:$B$630,$A60,'Test Cases'!$M$2:$M$630,"Pass")</f>
        <v/>
      </c>
      <c r="D60" s="10">
        <f>COUNTIFS('Test Cases'!$B$2:$B$630,$A60,'Test Cases'!$M$2:$M$630,"Fail")</f>
        <v/>
      </c>
      <c r="E60" s="10">
        <f>COUNTIFS('Test Cases'!$B$2:$B$630,$A60,'Test Cases'!$M$2:$M$630,"Blocked")</f>
        <v/>
      </c>
      <c r="F60" s="10">
        <f>COUNTIFS('Test Cases'!$B$2:$B$630,$A60,'Test Cases'!$M$2:$M$630,"Not Run")</f>
        <v/>
      </c>
      <c r="G60" s="11">
        <f>IF(B60=0,0,C60/B60)</f>
        <v/>
      </c>
    </row>
    <row r="61">
      <c r="A61" s="9" t="inlineStr">
        <is>
          <t>Package G features</t>
        </is>
      </c>
      <c r="B61" s="10">
        <f>COUNTIF('Test Cases'!$B$2:$B$630,A61)</f>
        <v/>
      </c>
      <c r="C61" s="10">
        <f>COUNTIFS('Test Cases'!$B$2:$B$630,$A61,'Test Cases'!$M$2:$M$630,"Pass")</f>
        <v/>
      </c>
      <c r="D61" s="10">
        <f>COUNTIFS('Test Cases'!$B$2:$B$630,$A61,'Test Cases'!$M$2:$M$630,"Fail")</f>
        <v/>
      </c>
      <c r="E61" s="10">
        <f>COUNTIFS('Test Cases'!$B$2:$B$630,$A61,'Test Cases'!$M$2:$M$630,"Blocked")</f>
        <v/>
      </c>
      <c r="F61" s="10">
        <f>COUNTIFS('Test Cases'!$B$2:$B$630,$A61,'Test Cases'!$M$2:$M$630,"Not Run")</f>
        <v/>
      </c>
      <c r="G61" s="11">
        <f>IF(B61=0,0,C61/B61)</f>
        <v/>
      </c>
    </row>
    <row r="62">
      <c r="A62" s="12" t="inlineStr">
        <is>
          <t>Total</t>
        </is>
      </c>
      <c r="B62" s="13">
        <f>SUM(B11:B61)</f>
        <v/>
      </c>
      <c r="C62" s="13">
        <f>SUM(C11:C61)</f>
        <v/>
      </c>
      <c r="D62" s="13">
        <f>SUM(D11:D61)</f>
        <v/>
      </c>
      <c r="E62" s="13">
        <f>SUM(E11:E61)</f>
        <v/>
      </c>
      <c r="F62" s="13">
        <f>SUM(F11:F61)</f>
        <v/>
      </c>
      <c r="G62" s="14">
        <f>IF(B62=0,0,C62/B62)</f>
        <v/>
      </c>
    </row>
    <row r="63"/>
    <row r="64">
      <c r="A64" s="4" t="inlineStr">
        <is>
          <t>Test Type</t>
        </is>
      </c>
      <c r="B64" s="4" t="inlineStr">
        <is>
          <t>Total</t>
        </is>
      </c>
      <c r="C64" s="5" t="inlineStr">
        <is>
          <t>Pass</t>
        </is>
      </c>
      <c r="D64" s="6" t="inlineStr">
        <is>
          <t>Fail</t>
        </is>
      </c>
      <c r="E64" s="7" t="inlineStr">
        <is>
          <t>Blocked</t>
        </is>
      </c>
      <c r="F64" s="8" t="inlineStr">
        <is>
          <t>Not Run</t>
        </is>
      </c>
      <c r="G64" s="4" t="n"/>
    </row>
    <row r="65">
      <c r="A65" s="9" t="inlineStr">
        <is>
          <t>Functional</t>
        </is>
      </c>
      <c r="B65" s="10">
        <f>COUNTIF('Test Cases'!$F$2:$F$630,A65)</f>
        <v/>
      </c>
      <c r="C65" s="10">
        <f>COUNTIFS('Test Cases'!$F$2:$F$630,$A65,'Test Cases'!$M$2:$M$630,"Pass")</f>
        <v/>
      </c>
      <c r="D65" s="10">
        <f>COUNTIFS('Test Cases'!$F$2:$F$630,$A65,'Test Cases'!$M$2:$M$630,"Fail")</f>
        <v/>
      </c>
      <c r="E65" s="10">
        <f>COUNTIFS('Test Cases'!$F$2:$F$630,$A65,'Test Cases'!$M$2:$M$630,"Blocked")</f>
        <v/>
      </c>
      <c r="F65" s="10">
        <f>COUNTIFS('Test Cases'!$F$2:$F$630,$A65,'Test Cases'!$M$2:$M$630,"Not Run")</f>
        <v/>
      </c>
      <c r="G65" s="11" t="n"/>
    </row>
    <row r="66">
      <c r="A66" s="9" t="inlineStr">
        <is>
          <t>Negative</t>
        </is>
      </c>
      <c r="B66" s="10">
        <f>COUNTIF('Test Cases'!$F$2:$F$630,A66)</f>
        <v/>
      </c>
      <c r="C66" s="10">
        <f>COUNTIFS('Test Cases'!$F$2:$F$630,$A66,'Test Cases'!$M$2:$M$630,"Pass")</f>
        <v/>
      </c>
      <c r="D66" s="10">
        <f>COUNTIFS('Test Cases'!$F$2:$F$630,$A66,'Test Cases'!$M$2:$M$630,"Fail")</f>
        <v/>
      </c>
      <c r="E66" s="10">
        <f>COUNTIFS('Test Cases'!$F$2:$F$630,$A66,'Test Cases'!$M$2:$M$630,"Blocked")</f>
        <v/>
      </c>
      <c r="F66" s="10">
        <f>COUNTIFS('Test Cases'!$F$2:$F$630,$A66,'Test Cases'!$M$2:$M$630,"Not Run")</f>
        <v/>
      </c>
      <c r="G66" s="11" t="n"/>
    </row>
    <row r="67">
      <c r="A67" s="9" t="inlineStr">
        <is>
          <t>Validation</t>
        </is>
      </c>
      <c r="B67" s="10">
        <f>COUNTIF('Test Cases'!$F$2:$F$630,A67)</f>
        <v/>
      </c>
      <c r="C67" s="10">
        <f>COUNTIFS('Test Cases'!$F$2:$F$630,$A67,'Test Cases'!$M$2:$M$630,"Pass")</f>
        <v/>
      </c>
      <c r="D67" s="10">
        <f>COUNTIFS('Test Cases'!$F$2:$F$630,$A67,'Test Cases'!$M$2:$M$630,"Fail")</f>
        <v/>
      </c>
      <c r="E67" s="10">
        <f>COUNTIFS('Test Cases'!$F$2:$F$630,$A67,'Test Cases'!$M$2:$M$630,"Blocked")</f>
        <v/>
      </c>
      <c r="F67" s="10">
        <f>COUNTIFS('Test Cases'!$F$2:$F$630,$A67,'Test Cases'!$M$2:$M$630,"Not Run")</f>
        <v/>
      </c>
      <c r="G67" s="11" t="n"/>
    </row>
    <row r="68">
      <c r="A68" s="9" t="inlineStr">
        <is>
          <t>Integration</t>
        </is>
      </c>
      <c r="B68" s="10">
        <f>COUNTIF('Test Cases'!$F$2:$F$630,A68)</f>
        <v/>
      </c>
      <c r="C68" s="10">
        <f>COUNTIFS('Test Cases'!$F$2:$F$630,$A68,'Test Cases'!$M$2:$M$630,"Pass")</f>
        <v/>
      </c>
      <c r="D68" s="10">
        <f>COUNTIFS('Test Cases'!$F$2:$F$630,$A68,'Test Cases'!$M$2:$M$630,"Fail")</f>
        <v/>
      </c>
      <c r="E68" s="10">
        <f>COUNTIFS('Test Cases'!$F$2:$F$630,$A68,'Test Cases'!$M$2:$M$630,"Blocked")</f>
        <v/>
      </c>
      <c r="F68" s="10">
        <f>COUNTIFS('Test Cases'!$F$2:$F$630,$A68,'Test Cases'!$M$2:$M$630,"Not Run")</f>
        <v/>
      </c>
      <c r="G68" s="11" t="n"/>
    </row>
    <row r="69">
      <c r="A69" s="9" t="inlineStr">
        <is>
          <t>Role access</t>
        </is>
      </c>
      <c r="B69" s="10">
        <f>COUNTIF('Test Cases'!$F$2:$F$630,A69)</f>
        <v/>
      </c>
      <c r="C69" s="10">
        <f>COUNTIFS('Test Cases'!$F$2:$F$630,$A69,'Test Cases'!$M$2:$M$630,"Pass")</f>
        <v/>
      </c>
      <c r="D69" s="10">
        <f>COUNTIFS('Test Cases'!$F$2:$F$630,$A69,'Test Cases'!$M$2:$M$630,"Fail")</f>
        <v/>
      </c>
      <c r="E69" s="10">
        <f>COUNTIFS('Test Cases'!$F$2:$F$630,$A69,'Test Cases'!$M$2:$M$630,"Blocked")</f>
        <v/>
      </c>
      <c r="F69" s="10">
        <f>COUNTIFS('Test Cases'!$F$2:$F$630,$A69,'Test Cases'!$M$2:$M$630,"Not Run")</f>
        <v/>
      </c>
      <c r="G69" s="11" t="n"/>
    </row>
    <row r="70">
      <c r="A70" s="9" t="inlineStr">
        <is>
          <t>Report</t>
        </is>
      </c>
      <c r="B70" s="10">
        <f>COUNTIF('Test Cases'!$F$2:$F$630,A70)</f>
        <v/>
      </c>
      <c r="C70" s="10">
        <f>COUNTIFS('Test Cases'!$F$2:$F$630,$A70,'Test Cases'!$M$2:$M$630,"Pass")</f>
        <v/>
      </c>
      <c r="D70" s="10">
        <f>COUNTIFS('Test Cases'!$F$2:$F$630,$A70,'Test Cases'!$M$2:$M$630,"Fail")</f>
        <v/>
      </c>
      <c r="E70" s="10">
        <f>COUNTIFS('Test Cases'!$F$2:$F$630,$A70,'Test Cases'!$M$2:$M$630,"Blocked")</f>
        <v/>
      </c>
      <c r="F70" s="10">
        <f>COUNTIFS('Test Cases'!$F$2:$F$630,$A70,'Test Cases'!$M$2:$M$630,"Not Run")</f>
        <v/>
      </c>
      <c r="G70" s="11" t="n"/>
    </row>
    <row r="71">
      <c r="A71" s="9" t="inlineStr">
        <is>
          <t>Accounting</t>
        </is>
      </c>
      <c r="B71" s="10">
        <f>COUNTIF('Test Cases'!$F$2:$F$630,A71)</f>
        <v/>
      </c>
      <c r="C71" s="10">
        <f>COUNTIFS('Test Cases'!$F$2:$F$630,$A71,'Test Cases'!$M$2:$M$630,"Pass")</f>
        <v/>
      </c>
      <c r="D71" s="10">
        <f>COUNTIFS('Test Cases'!$F$2:$F$630,$A71,'Test Cases'!$M$2:$M$630,"Fail")</f>
        <v/>
      </c>
      <c r="E71" s="10">
        <f>COUNTIFS('Test Cases'!$F$2:$F$630,$A71,'Test Cases'!$M$2:$M$630,"Blocked")</f>
        <v/>
      </c>
      <c r="F71" s="10">
        <f>COUNTIFS('Test Cases'!$F$2:$F$630,$A71,'Test Cases'!$M$2:$M$630,"Not Run")</f>
        <v/>
      </c>
      <c r="G71" s="11" t="n"/>
    </row>
    <row r="72"/>
    <row r="73">
      <c r="A73" s="4" t="inlineStr">
        <is>
          <t>Priority</t>
        </is>
      </c>
      <c r="B73" s="4" t="inlineStr">
        <is>
          <t>Total</t>
        </is>
      </c>
      <c r="C73" s="5" t="inlineStr">
        <is>
          <t>Pass</t>
        </is>
      </c>
      <c r="D73" s="6" t="inlineStr">
        <is>
          <t>Fail</t>
        </is>
      </c>
      <c r="E73" s="7" t="inlineStr">
        <is>
          <t>Blocked</t>
        </is>
      </c>
      <c r="F73" s="8" t="inlineStr">
        <is>
          <t>Not Run</t>
        </is>
      </c>
      <c r="G73" s="4" t="n"/>
    </row>
    <row r="74">
      <c r="A74" s="9" t="inlineStr">
        <is>
          <t>High</t>
        </is>
      </c>
      <c r="B74" s="10">
        <f>COUNTIF('Test Cases'!$G$2:$G$630,A74)</f>
        <v/>
      </c>
      <c r="C74" s="10">
        <f>COUNTIFS('Test Cases'!$G$2:$G$630,$A74,'Test Cases'!$M$2:$M$630,"Pass")</f>
        <v/>
      </c>
      <c r="D74" s="10">
        <f>COUNTIFS('Test Cases'!$G$2:$G$630,$A74,'Test Cases'!$M$2:$M$630,"Fail")</f>
        <v/>
      </c>
      <c r="E74" s="10">
        <f>COUNTIFS('Test Cases'!$G$2:$G$630,$A74,'Test Cases'!$M$2:$M$630,"Blocked")</f>
        <v/>
      </c>
      <c r="F74" s="10">
        <f>COUNTIFS('Test Cases'!$G$2:$G$630,$A74,'Test Cases'!$M$2:$M$630,"Not Run")</f>
        <v/>
      </c>
      <c r="G74" s="11" t="n"/>
    </row>
    <row r="75">
      <c r="A75" s="9" t="inlineStr">
        <is>
          <t>Medium</t>
        </is>
      </c>
      <c r="B75" s="10">
        <f>COUNTIF('Test Cases'!$G$2:$G$630,A75)</f>
        <v/>
      </c>
      <c r="C75" s="10">
        <f>COUNTIFS('Test Cases'!$G$2:$G$630,$A75,'Test Cases'!$M$2:$M$630,"Pass")</f>
        <v/>
      </c>
      <c r="D75" s="10">
        <f>COUNTIFS('Test Cases'!$G$2:$G$630,$A75,'Test Cases'!$M$2:$M$630,"Fail")</f>
        <v/>
      </c>
      <c r="E75" s="10">
        <f>COUNTIFS('Test Cases'!$G$2:$G$630,$A75,'Test Cases'!$M$2:$M$630,"Blocked")</f>
        <v/>
      </c>
      <c r="F75" s="10">
        <f>COUNTIFS('Test Cases'!$G$2:$G$630,$A75,'Test Cases'!$M$2:$M$630,"Not Run")</f>
        <v/>
      </c>
      <c r="G75" s="11" t="n"/>
    </row>
    <row r="76">
      <c r="A76" s="9" t="inlineStr">
        <is>
          <t>Low</t>
        </is>
      </c>
      <c r="B76" s="10">
        <f>COUNTIF('Test Cases'!$G$2:$G$630,A76)</f>
        <v/>
      </c>
      <c r="C76" s="10">
        <f>COUNTIFS('Test Cases'!$G$2:$G$630,$A76,'Test Cases'!$M$2:$M$630,"Pass")</f>
        <v/>
      </c>
      <c r="D76" s="10">
        <f>COUNTIFS('Test Cases'!$G$2:$G$630,$A76,'Test Cases'!$M$2:$M$630,"Fail")</f>
        <v/>
      </c>
      <c r="E76" s="10">
        <f>COUNTIFS('Test Cases'!$G$2:$G$630,$A76,'Test Cases'!$M$2:$M$630,"Blocked")</f>
        <v/>
      </c>
      <c r="F76" s="10">
        <f>COUNTIFS('Test Cases'!$G$2:$G$630,$A76,'Test Cases'!$M$2:$M$630,"Not Run")</f>
        <v/>
      </c>
      <c r="G76" s="11" t="n"/>
    </row>
    <row r="77"/>
    <row r="78">
      <c r="A78" s="17" t="inlineStr">
        <is>
          <t>Defects and observations open</t>
        </is>
      </c>
      <c r="B78">
        <f>COUNTIF('Defects and Observations'!$E$2:$E$15,"Open")</f>
        <v/>
      </c>
    </row>
  </sheetData>
  <mergeCells count="6">
    <mergeCell ref="B3:G3"/>
    <mergeCell ref="B5:G5"/>
    <mergeCell ref="B8:G8"/>
    <mergeCell ref="B4:G4"/>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30"/>
  <sheetViews>
    <sheetView zoomScale="9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2" customWidth="1" min="2" max="2"/>
    <col width="24" customWidth="1" min="3" max="3"/>
    <col width="26" customWidth="1" min="4" max="4"/>
    <col width="40" customWidth="1" min="5" max="5"/>
    <col width="13" customWidth="1" min="6" max="6"/>
    <col width="9" customWidth="1" min="7" max="7"/>
    <col width="32" customWidth="1" min="8" max="8"/>
    <col width="60" customWidth="1" min="9" max="9"/>
    <col width="34" customWidth="1" min="10" max="10"/>
    <col width="46" customWidth="1" min="11" max="11"/>
    <col width="40" customWidth="1" min="12" max="12"/>
    <col width="10" customWidth="1" min="13" max="13"/>
    <col width="13" customWidth="1" min="14" max="14"/>
    <col width="17" customWidth="1" min="15" max="15"/>
    <col width="16" customWidth="1" min="16" max="16"/>
    <col width="34" customWidth="1" min="17" max="17"/>
    <col hidden="1" width="60" customWidth="1" min="18" max="18"/>
    <col width="34" customWidth="1" min="19" max="19"/>
  </cols>
  <sheetData>
    <row r="1" ht="30" customHeight="1">
      <c r="A1" s="18" t="inlineStr">
        <is>
          <t>TC ID</t>
        </is>
      </c>
      <c r="B1" s="18" t="inlineStr">
        <is>
          <t>Module</t>
        </is>
      </c>
      <c r="C1" s="18" t="inlineStr">
        <is>
          <t>Sub-module / Screen</t>
        </is>
      </c>
      <c r="D1" s="18" t="inlineStr">
        <is>
          <t>Persona (role)</t>
        </is>
      </c>
      <c r="E1" s="18" t="inlineStr">
        <is>
          <t>Test Scenario</t>
        </is>
      </c>
      <c r="F1" s="18" t="inlineStr">
        <is>
          <t>Test Type</t>
        </is>
      </c>
      <c r="G1" s="18" t="inlineStr">
        <is>
          <t>Priority</t>
        </is>
      </c>
      <c r="H1" s="18" t="inlineStr">
        <is>
          <t>Pre-conditions</t>
        </is>
      </c>
      <c r="I1" s="18" t="inlineStr">
        <is>
          <t>Test Steps</t>
        </is>
      </c>
      <c r="J1" s="18" t="inlineStr">
        <is>
          <t>Test Data</t>
        </is>
      </c>
      <c r="K1" s="18" t="inlineStr">
        <is>
          <t>Expected Result</t>
        </is>
      </c>
      <c r="L1" s="18" t="inlineStr">
        <is>
          <t>Actual Result</t>
        </is>
      </c>
      <c r="M1" s="18" t="inlineStr">
        <is>
          <t>Status</t>
        </is>
      </c>
      <c r="N1" s="18" t="inlineStr">
        <is>
          <t>Defect ID</t>
        </is>
      </c>
      <c r="O1" s="18" t="inlineStr">
        <is>
          <t>Executed By</t>
        </is>
      </c>
      <c r="P1" s="18" t="inlineStr">
        <is>
          <t>Executed On</t>
        </is>
      </c>
      <c r="Q1" s="18" t="inlineStr">
        <is>
          <t>Remarks</t>
        </is>
      </c>
      <c r="R1" s="18" t="inlineStr">
        <is>
          <t>Evidence</t>
        </is>
      </c>
      <c r="S1" s="18" t="inlineStr">
        <is>
          <t>Regulatory reference</t>
        </is>
      </c>
    </row>
    <row r="2">
      <c r="A2" s="19" t="inlineStr">
        <is>
          <t>BV-SEC-001</t>
        </is>
      </c>
      <c r="B2" s="19" t="inlineStr">
        <is>
          <t>Sign-in and security</t>
        </is>
      </c>
      <c r="C2" s="19" t="inlineStr">
        <is>
          <t>Login</t>
        </is>
      </c>
      <c r="D2" s="19" t="inlineStr">
        <is>
          <t>System Administrator (BrokerVerse)</t>
        </is>
      </c>
      <c r="E2" s="19" t="inlineStr">
        <is>
          <t>Sign in with a valid user ID and password</t>
        </is>
      </c>
      <c r="F2" s="19" t="inlineStr">
        <is>
          <t>Functional</t>
        </is>
      </c>
      <c r="G2" s="19" t="inlineStr">
        <is>
          <t>High</t>
        </is>
      </c>
      <c r="H2" s="19" t="inlineStr">
        <is>
          <t>Application open at the Login page. User BrokerVerse is active.</t>
        </is>
      </c>
      <c r="I2" s="19" t="inlineStr">
        <is>
          <t>1. Open the BrokerVerse URL in Chrome.
2. Enter the User ID and Password.
3. Click Login.</t>
        </is>
      </c>
      <c r="J2" s="19" t="inlineStr">
        <is>
          <t>User ID: BrokerVerse; Password: administrator password from the environment sheet</t>
        </is>
      </c>
      <c r="K2" s="19" t="inlineStr">
        <is>
          <t>Login succeeds and the Executive Dashboard opens. The user name shows in the header. The menu shows every top-level menu.</t>
        </is>
      </c>
      <c r="L2" s="19" t="inlineStr">
        <is>
          <t>As expected.</t>
        </is>
      </c>
      <c r="M2" s="19" t="inlineStr">
        <is>
          <t>Pass</t>
        </is>
      </c>
      <c r="N2" s="19" t="inlineStr"/>
      <c r="O2" s="19" t="inlineStr">
        <is>
          <t>iorta TechNXT QA</t>
        </is>
      </c>
      <c r="P2" s="19" t="inlineStr">
        <is>
          <t>03 October 2026</t>
        </is>
      </c>
      <c r="Q2" s="19" t="inlineStr"/>
      <c r="R2" s="19" t="inlineStr">
        <is>
          <t>backend/test/core.test.js :: rejects a wrong password and accepts the admin [passed]
Screen check /executive/dashboard: opened clean</t>
        </is>
      </c>
      <c r="S2" s="19" t="n"/>
    </row>
    <row r="3">
      <c r="A3" s="19" t="inlineStr">
        <is>
          <t>BV-SEC-002</t>
        </is>
      </c>
      <c r="B3" s="19" t="inlineStr">
        <is>
          <t>Sign-in and security</t>
        </is>
      </c>
      <c r="C3" s="19" t="inlineStr">
        <is>
          <t>Login</t>
        </is>
      </c>
      <c r="D3" s="19" t="inlineStr">
        <is>
          <t>Any signed-in user</t>
        </is>
      </c>
      <c r="E3" s="19" t="inlineStr">
        <is>
          <t>Wrong password is refused with a generic message</t>
        </is>
      </c>
      <c r="F3" s="19" t="inlineStr">
        <is>
          <t>Negative</t>
        </is>
      </c>
      <c r="G3" s="19" t="inlineStr">
        <is>
          <t>High</t>
        </is>
      </c>
      <c r="H3" s="19" t="inlineStr">
        <is>
          <t>User maria.rivera is active.</t>
        </is>
      </c>
      <c r="I3" s="19" t="inlineStr">
        <is>
          <t>1. Open the Login page.
2. Enter User ID maria.rivera and a wrong password.
3. Click Login.</t>
        </is>
      </c>
      <c r="J3" s="19" t="inlineStr">
        <is>
          <t>User ID: maria.rivera; Password: Wrong#Pass1</t>
        </is>
      </c>
      <c r="K3" s="19" t="inlineStr">
        <is>
          <t>Message "Invalid username or password" is shown. The user stays on the Login page. The attempt is recorded in Sign-in history as "Wrong password".</t>
        </is>
      </c>
      <c r="L3" s="19" t="inlineStr">
        <is>
          <t>As expected.</t>
        </is>
      </c>
      <c r="M3" s="19" t="inlineStr">
        <is>
          <t>Pass</t>
        </is>
      </c>
      <c r="N3" s="19" t="inlineStr"/>
      <c r="O3" s="19" t="inlineStr">
        <is>
          <t>iorta TechNXT QA</t>
        </is>
      </c>
      <c r="P3" s="19" t="inlineStr">
        <is>
          <t>03 October 2026</t>
        </is>
      </c>
      <c r="Q3" s="19" t="inlineStr"/>
      <c r="R3" s="19" t="inlineStr">
        <is>
          <t>backend/test/core.test.js :: rejects a wrong password and accepts the admin [passed]
backend/test/security.test.js :: exposes sign-in history to administrators and to the user [passed]</t>
        </is>
      </c>
      <c r="S3" s="19" t="n"/>
    </row>
    <row r="4">
      <c r="A4" s="19" t="inlineStr">
        <is>
          <t>BV-SEC-003</t>
        </is>
      </c>
      <c r="B4" s="19" t="inlineStr">
        <is>
          <t>Sign-in and security</t>
        </is>
      </c>
      <c r="C4" s="19" t="inlineStr">
        <is>
          <t>Login</t>
        </is>
      </c>
      <c r="D4" s="19" t="inlineStr">
        <is>
          <t>Any signed-in user</t>
        </is>
      </c>
      <c r="E4" s="19" t="inlineStr">
        <is>
          <t>Unknown user ID gets the same message as a wrong password</t>
        </is>
      </c>
      <c r="F4" s="19" t="inlineStr">
        <is>
          <t>Negative</t>
        </is>
      </c>
      <c r="G4" s="19" t="inlineStr">
        <is>
          <t>Medium</t>
        </is>
      </c>
      <c r="H4" s="19" t="inlineStr">
        <is>
          <t>None.</t>
        </is>
      </c>
      <c r="I4" s="19" t="inlineStr">
        <is>
          <t>1. Open the Login page.
2. Enter a user ID that does not exist and any password.
3. Click Login.</t>
        </is>
      </c>
      <c r="J4" s="19" t="inlineStr">
        <is>
          <t>User ID: juan.notauser; Password: Any#Pass123</t>
        </is>
      </c>
      <c r="K4" s="19" t="inlineStr">
        <is>
          <t>Message "Invalid username or password" (same wording as a wrong password, so the screen does not reveal whether the user exists). Sign-in history records "Unknown user ID".</t>
        </is>
      </c>
      <c r="L4" s="19" t="inlineStr">
        <is>
          <t>As expected.</t>
        </is>
      </c>
      <c r="M4" s="19" t="inlineStr">
        <is>
          <t>Pass</t>
        </is>
      </c>
      <c r="N4" s="19" t="inlineStr"/>
      <c r="O4" s="19" t="inlineStr">
        <is>
          <t>iorta TechNXT QA</t>
        </is>
      </c>
      <c r="P4" s="19" t="inlineStr">
        <is>
          <t>03 October 2026</t>
        </is>
      </c>
      <c r="Q4" s="19" t="inlineStr"/>
      <c r="R4" s="19" t="inlineStr">
        <is>
          <t>backend/test/security.test.js :: rate limits sign-in per username and per IP (429 + Retry-After) and logs every attempt [passed]
backend/test/security.test.js :: exposes sign-in history to administrators and to the user [passed]</t>
        </is>
      </c>
      <c r="S4" s="19" t="n"/>
    </row>
    <row r="5">
      <c r="A5" s="19" t="inlineStr">
        <is>
          <t>BV-SEC-004</t>
        </is>
      </c>
      <c r="B5" s="19" t="inlineStr">
        <is>
          <t>Sign-in and security</t>
        </is>
      </c>
      <c r="C5" s="19" t="inlineStr">
        <is>
          <t>Login</t>
        </is>
      </c>
      <c r="D5" s="19" t="inlineStr">
        <is>
          <t>Any signed-in user</t>
        </is>
      </c>
      <c r="E5" s="19" t="inlineStr">
        <is>
          <t>Login with blank User ID and Password</t>
        </is>
      </c>
      <c r="F5" s="19" t="inlineStr">
        <is>
          <t>Validation</t>
        </is>
      </c>
      <c r="G5" s="19" t="inlineStr">
        <is>
          <t>Medium</t>
        </is>
      </c>
      <c r="H5" s="19" t="inlineStr">
        <is>
          <t>Login page open.</t>
        </is>
      </c>
      <c r="I5" s="19" t="inlineStr">
        <is>
          <t>1. Leave User ID and Password empty.
2. Click Login.</t>
        </is>
      </c>
      <c r="J5" s="19" t="inlineStr">
        <is>
          <t>User ID: (blank); Password: (blank)</t>
        </is>
      </c>
      <c r="K5" s="19" t="inlineStr">
        <is>
          <t>Field messages "User ID is required" and "Password is required" are shown under the fields. No request is sent.</t>
        </is>
      </c>
      <c r="L5" s="19" t="inlineStr"/>
      <c r="M5" s="19" t="inlineStr">
        <is>
          <t>Not Run</t>
        </is>
      </c>
      <c r="N5" s="19" t="inlineStr"/>
      <c r="O5" s="19" t="inlineStr">
        <is>
          <t>iorta TechNXT QA</t>
        </is>
      </c>
      <c r="P5" s="19" t="inlineStr"/>
      <c r="Q5" s="19" t="inlineStr">
        <is>
          <t>Sign-in screen render covered by the front-end test; field messages to be checked by hand in the next cycle.</t>
        </is>
      </c>
      <c r="R5" s="19" t="inlineStr">
        <is>
          <t>brokerverse/src/App.test.js :: renders the sign-in screen when signed out [passed]</t>
        </is>
      </c>
      <c r="S5" s="19" t="n"/>
    </row>
    <row r="6">
      <c r="A6" s="19" t="inlineStr">
        <is>
          <t>BV-SEC-005</t>
        </is>
      </c>
      <c r="B6" s="19" t="inlineStr">
        <is>
          <t>Sign-in and security</t>
        </is>
      </c>
      <c r="C6" s="19" t="inlineStr">
        <is>
          <t>Lockout</t>
        </is>
      </c>
      <c r="D6" s="19" t="inlineStr">
        <is>
          <t>System Administrator (BrokerVerse)</t>
        </is>
      </c>
      <c r="E6" s="19" t="inlineStr">
        <is>
          <t>Account locks after the configured number of failed sign-ins</t>
        </is>
      </c>
      <c r="F6" s="19" t="inlineStr">
        <is>
          <t>Negative</t>
        </is>
      </c>
      <c r="G6" s="19" t="inlineStr">
        <is>
          <t>High</t>
        </is>
      </c>
      <c r="H6" s="19" t="inlineStr">
        <is>
          <t>Test user ana.buenaventura active. Master &gt; Configuration &gt; limits.max_login_attempts = 5.</t>
        </is>
      </c>
      <c r="I6" s="19" t="inlineStr">
        <is>
          <t>1. Sign in as ana.buenaventura with a wrong password 5 times.
2. Sign in a 6th time with the correct password.
3. Sign in as BrokerVerse and open Master &gt; Generals &gt; User Management &gt; User.
4. Find ana.buenaventura and check the status.</t>
        </is>
      </c>
      <c r="J6" s="19" t="inlineStr">
        <is>
          <t>User ID: ana.buenaventura; wrong password: Wrong#Pass1 (x5)</t>
        </is>
      </c>
      <c r="K6" s="19" t="inlineStr">
        <is>
          <t>Attempts 1 to 5 show "Invalid username or password". The 6th attempt shows "Account locked. Contact the administrator". The User list shows the user as Locked.</t>
        </is>
      </c>
      <c r="L6" s="19" t="inlineStr">
        <is>
          <t>As expected.</t>
        </is>
      </c>
      <c r="M6" s="19" t="inlineStr">
        <is>
          <t>Pass</t>
        </is>
      </c>
      <c r="N6" s="19" t="inlineStr"/>
      <c r="O6" s="19" t="inlineStr">
        <is>
          <t>iorta TechNXT QA</t>
        </is>
      </c>
      <c r="P6" s="19" t="inlineStr">
        <is>
          <t>03 October 2026</t>
        </is>
      </c>
      <c r="Q6" s="19" t="inlineStr">
        <is>
          <t>Lock threshold read from limits.max_login_attempts (seeded 5).</t>
        </is>
      </c>
      <c r="R6" s="19" t="inlineStr">
        <is>
          <t>backend/test/security.test.js :: rate limits sign-in per username and per IP (429 + Retry-After) and logs every attempt [passed]
backend/test/hardening.test.js :: unlocks a locked account and records it [passed]</t>
        </is>
      </c>
      <c r="S6" s="19" t="n"/>
    </row>
    <row r="7">
      <c r="A7" s="19" t="inlineStr">
        <is>
          <t>BV-SEC-006</t>
        </is>
      </c>
      <c r="B7" s="19" t="inlineStr">
        <is>
          <t>Sign-in and security</t>
        </is>
      </c>
      <c r="C7" s="19" t="inlineStr">
        <is>
          <t>Lockout</t>
        </is>
      </c>
      <c r="D7" s="19" t="inlineStr">
        <is>
          <t>System Administrator (BrokerVerse)</t>
        </is>
      </c>
      <c r="E7" s="19" t="inlineStr">
        <is>
          <t>Administrator unlocks a locked user</t>
        </is>
      </c>
      <c r="F7" s="19" t="inlineStr">
        <is>
          <t>Functional</t>
        </is>
      </c>
      <c r="G7" s="19" t="inlineStr">
        <is>
          <t>High</t>
        </is>
      </c>
      <c r="H7" s="19" t="inlineStr">
        <is>
          <t>User ana.buenaventura is Locked (previous case).</t>
        </is>
      </c>
      <c r="I7" s="19" t="inlineStr">
        <is>
          <t>1. Open Master &gt; Generals &gt; User Management &gt; User.
2. Open the Account actions of ana.buenaventura.
3. Click Unlock and confirm.
4. Sign in as ana.buenaventura with the correct password.</t>
        </is>
      </c>
      <c r="J7" s="19" t="inlineStr">
        <is>
          <t>User: ana.buenaventura</t>
        </is>
      </c>
      <c r="K7" s="19" t="inlineStr">
        <is>
          <t>Confirmation "Unlock the account of ana.buenaventura? Failed sign-in attempts are cleared." Message "ana.buenaventura can sign in again." The user signs in. The unlock is in the Audit Trail.</t>
        </is>
      </c>
      <c r="L7" s="19" t="inlineStr">
        <is>
          <t>As expected.</t>
        </is>
      </c>
      <c r="M7" s="19" t="inlineStr">
        <is>
          <t>Pass</t>
        </is>
      </c>
      <c r="N7" s="19" t="inlineStr"/>
      <c r="O7" s="19" t="inlineStr">
        <is>
          <t>iorta TechNXT QA</t>
        </is>
      </c>
      <c r="P7" s="19" t="inlineStr">
        <is>
          <t>03 October 2026</t>
        </is>
      </c>
      <c r="Q7" s="19" t="inlineStr"/>
      <c r="R7" s="19" t="inlineStr">
        <is>
          <t>backend/test/hardening.test.js :: unlocks a locked account and records it [passed]
Screen check /master/generals/usermanagement/user: opened clean</t>
        </is>
      </c>
      <c r="S7" s="19" t="n"/>
    </row>
    <row r="8">
      <c r="A8" s="19" t="inlineStr">
        <is>
          <t>BV-SEC-007</t>
        </is>
      </c>
      <c r="B8" s="19" t="inlineStr">
        <is>
          <t>Sign-in and security</t>
        </is>
      </c>
      <c r="C8" s="19" t="inlineStr">
        <is>
          <t>Lockout</t>
        </is>
      </c>
      <c r="D8" s="19" t="inlineStr">
        <is>
          <t>Any signed-in user</t>
        </is>
      </c>
      <c r="E8" s="19" t="inlineStr">
        <is>
          <t>Too many sign-in attempts from one address are throttled</t>
        </is>
      </c>
      <c r="F8" s="19" t="inlineStr">
        <is>
          <t>Negative</t>
        </is>
      </c>
      <c r="G8" s="19" t="inlineStr">
        <is>
          <t>Medium</t>
        </is>
      </c>
      <c r="H8" s="19" t="inlineStr">
        <is>
          <t>security.login_rate_limit = {"max":10,"windowSeconds":300}.</t>
        </is>
      </c>
      <c r="I8" s="19" t="inlineStr">
        <is>
          <t>1. Submit 11 sign-in attempts for the same user ID within 5 minutes.
2. Read the message on the 11th attempt.</t>
        </is>
      </c>
      <c r="J8" s="19" t="inlineStr">
        <is>
          <t>User ID: paolo.dizon; Password: Wrong#Pass1</t>
        </is>
      </c>
      <c r="K8" s="19" t="inlineStr">
        <is>
          <t>The 11th attempt is refused with "Too many attempts" (HTTP 429 with Retry-After). Every attempt is in Sign-in history.</t>
        </is>
      </c>
      <c r="L8" s="19" t="inlineStr">
        <is>
          <t>As expected.</t>
        </is>
      </c>
      <c r="M8" s="19" t="inlineStr">
        <is>
          <t>Pass</t>
        </is>
      </c>
      <c r="N8" s="19" t="inlineStr"/>
      <c r="O8" s="19" t="inlineStr">
        <is>
          <t>iorta TechNXT QA</t>
        </is>
      </c>
      <c r="P8" s="19" t="inlineStr">
        <is>
          <t>03 October 2026</t>
        </is>
      </c>
      <c r="Q8" s="19" t="inlineStr"/>
      <c r="R8" s="19" t="inlineStr">
        <is>
          <t>backend/test/security.test.js :: rate limits sign-in per username and per IP (429 + Retry-After) and logs every attempt [passed]</t>
        </is>
      </c>
      <c r="S8" s="19" t="n"/>
    </row>
    <row r="9">
      <c r="A9" s="19" t="inlineStr">
        <is>
          <t>BV-SEC-008</t>
        </is>
      </c>
      <c r="B9" s="19" t="inlineStr">
        <is>
          <t>Sign-in and security</t>
        </is>
      </c>
      <c r="C9" s="19" t="inlineStr">
        <is>
          <t>Password policy</t>
        </is>
      </c>
      <c r="D9" s="19" t="inlineStr">
        <is>
          <t>Any signed-in user</t>
        </is>
      </c>
      <c r="E9" s="19" t="inlineStr">
        <is>
          <t>Change password: rules shown and enforced</t>
        </is>
      </c>
      <c r="F9" s="19" t="inlineStr">
        <is>
          <t>Validation</t>
        </is>
      </c>
      <c r="G9" s="19" t="inlineStr">
        <is>
          <t>High</t>
        </is>
      </c>
      <c r="H9" s="19" t="inlineStr">
        <is>
          <t>Signed in as maria.rivera. Policy: 8 characters, upper, lower, digit, symbol, not one of last 5.</t>
        </is>
      </c>
      <c r="I9" s="19" t="inlineStr">
        <is>
          <t>1. Open the user menu and click Change password.
2. Enter the current password.
3. Enter new password "brokerverse" in both new password fields.
4. Click Save and read the rules list.
5. Enter "Brokerverse#2026" in both fields and save.</t>
        </is>
      </c>
      <c r="J9" s="19" t="inlineStr">
        <is>
          <t>Weak: brokerverse; Strong: Brokerverse#2026</t>
        </is>
      </c>
      <c r="K9" s="19" t="inlineStr">
        <is>
          <t>With the weak value the rules for upper-case, digit and symbol show "(not met yet)" and "The new password does not meet all the rules below." With the strong value: "Password changed. Your other sessions have been signed out."</t>
        </is>
      </c>
      <c r="L9" s="19" t="inlineStr">
        <is>
          <t>As expected.</t>
        </is>
      </c>
      <c r="M9" s="19" t="inlineStr">
        <is>
          <t>Pass</t>
        </is>
      </c>
      <c r="N9" s="19" t="inlineStr"/>
      <c r="O9" s="19" t="inlineStr">
        <is>
          <t>iorta TechNXT QA</t>
        </is>
      </c>
      <c r="P9" s="19" t="inlineStr">
        <is>
          <t>03 October 2026</t>
        </is>
      </c>
      <c r="Q9" s="19" t="inlineStr"/>
      <c r="R9" s="19" t="inlineStr">
        <is>
          <t>backend/test/security.test.js :: enforces length, character classes and history on change-password [passed]</t>
        </is>
      </c>
      <c r="S9" s="19" t="n"/>
    </row>
    <row r="10">
      <c r="A10" s="19" t="inlineStr">
        <is>
          <t>BV-SEC-009</t>
        </is>
      </c>
      <c r="B10" s="19" t="inlineStr">
        <is>
          <t>Sign-in and security</t>
        </is>
      </c>
      <c r="C10" s="19" t="inlineStr">
        <is>
          <t>Password policy</t>
        </is>
      </c>
      <c r="D10" s="19" t="inlineStr">
        <is>
          <t>Any signed-in user</t>
        </is>
      </c>
      <c r="E10" s="19" t="inlineStr">
        <is>
          <t>New password cannot repeat one of the last 5 passwords</t>
        </is>
      </c>
      <c r="F10" s="19" t="inlineStr">
        <is>
          <t>Negative</t>
        </is>
      </c>
      <c r="G10" s="19" t="inlineStr">
        <is>
          <t>Medium</t>
        </is>
      </c>
      <c r="H10" s="19" t="inlineStr">
        <is>
          <t>User has changed the password at least twice.</t>
        </is>
      </c>
      <c r="I10" s="19" t="inlineStr">
        <is>
          <t>1. Open Change password.
2. Enter the current password.
3. Enter a password used two changes ago as the new password.
4. Click Save.</t>
        </is>
      </c>
      <c r="J10" s="19" t="inlineStr">
        <is>
          <t>Previous password: Brokerverse#2025</t>
        </is>
      </c>
      <c r="K10" s="19" t="inlineStr">
        <is>
          <t>Change refused. Rule "Not one of your last 5 passwords" shows "(not met yet)".</t>
        </is>
      </c>
      <c r="L10" s="19" t="inlineStr">
        <is>
          <t>As expected.</t>
        </is>
      </c>
      <c r="M10" s="19" t="inlineStr">
        <is>
          <t>Pass</t>
        </is>
      </c>
      <c r="N10" s="19" t="inlineStr"/>
      <c r="O10" s="19" t="inlineStr">
        <is>
          <t>iorta TechNXT QA</t>
        </is>
      </c>
      <c r="P10" s="19" t="inlineStr">
        <is>
          <t>03 October 2026</t>
        </is>
      </c>
      <c r="Q10" s="19" t="inlineStr"/>
      <c r="R10" s="19" t="inlineStr">
        <is>
          <t>backend/test/security.test.js :: enforces length, character classes and history on change-password [passed]</t>
        </is>
      </c>
      <c r="S10" s="19" t="n"/>
    </row>
    <row r="11">
      <c r="A11" s="19" t="inlineStr">
        <is>
          <t>BV-SEC-010</t>
        </is>
      </c>
      <c r="B11" s="19" t="inlineStr">
        <is>
          <t>Sign-in and security</t>
        </is>
      </c>
      <c r="C11" s="19" t="inlineStr">
        <is>
          <t>Password policy</t>
        </is>
      </c>
      <c r="D11" s="19" t="inlineStr">
        <is>
          <t>Any signed-in user</t>
        </is>
      </c>
      <c r="E11" s="19" t="inlineStr">
        <is>
          <t>New password must differ from the current one and both entries must match</t>
        </is>
      </c>
      <c r="F11" s="19" t="inlineStr">
        <is>
          <t>Validation</t>
        </is>
      </c>
      <c r="G11" s="19" t="inlineStr">
        <is>
          <t>Low</t>
        </is>
      </c>
      <c r="H11" s="19" t="inlineStr">
        <is>
          <t>Signed in.</t>
        </is>
      </c>
      <c r="I11" s="19" t="inlineStr">
        <is>
          <t>1. Open Change password.
2. Enter the current password as the new password and save.
3. Enter two different values in New password and Confirm new password and save.</t>
        </is>
      </c>
      <c r="J11" s="19" t="inlineStr">
        <is>
          <t>New: same as current; Confirm: Brokerverse#2027 vs Brokerverse#2028</t>
        </is>
      </c>
      <c r="K11" s="19" t="inlineStr">
        <is>
          <t>Messages "The new password must differ from the current one." and "The two new passwords do not match."</t>
        </is>
      </c>
      <c r="L11" s="19" t="inlineStr">
        <is>
          <t>As expected.</t>
        </is>
      </c>
      <c r="M11" s="19" t="inlineStr">
        <is>
          <t>Pass</t>
        </is>
      </c>
      <c r="N11" s="19" t="inlineStr"/>
      <c r="O11" s="19" t="inlineStr">
        <is>
          <t>iorta TechNXT QA</t>
        </is>
      </c>
      <c r="P11" s="19" t="inlineStr">
        <is>
          <t>03 October 2026</t>
        </is>
      </c>
      <c r="Q11" s="19" t="inlineStr"/>
      <c r="R11" s="19" t="inlineStr">
        <is>
          <t>backend/test/security.test.js :: enforces length, character classes and history on change-password [passed]</t>
        </is>
      </c>
      <c r="S11" s="19" t="n"/>
    </row>
    <row r="12">
      <c r="A12" s="19" t="inlineStr">
        <is>
          <t>BV-SEC-011</t>
        </is>
      </c>
      <c r="B12" s="19" t="inlineStr">
        <is>
          <t>Sign-in and security</t>
        </is>
      </c>
      <c r="C12" s="19" t="inlineStr">
        <is>
          <t>Password policy</t>
        </is>
      </c>
      <c r="D12" s="19" t="inlineStr">
        <is>
          <t>System Administrator (BrokerVerse)</t>
        </is>
      </c>
      <c r="E12" s="19" t="inlineStr">
        <is>
          <t>New user created without a password gets a temporary password that must be changed</t>
        </is>
      </c>
      <c r="F12" s="19" t="inlineStr">
        <is>
          <t>Functional</t>
        </is>
      </c>
      <c r="G12" s="19" t="inlineStr">
        <is>
          <t>High</t>
        </is>
      </c>
      <c r="H12" s="19" t="inlineStr">
        <is>
          <t>Signed in as BrokerVerse.</t>
        </is>
      </c>
      <c r="I12" s="19" t="inlineStr">
        <is>
          <t>1. Open Master &gt; Generals &gt; User Management &gt; User and click Add User.
2. Fill the user details, role Claims, leave Password empty ("Leave empty for a temporary password").
3. Click Save and copy the temporary password.
4. Sign in as the new user with the temporary password.</t>
        </is>
      </c>
      <c r="J12" s="19" t="inlineStr">
        <is>
          <t>Username: joy.macaraeg; Role: claims; Branch: HO</t>
        </is>
      </c>
      <c r="K12" s="19" t="inlineStr">
        <is>
          <t>The Temporary password dialog shows the password once. At first sign-in the user sees "You must choose a new password before you continue." and cannot open any screen until the password is changed.</t>
        </is>
      </c>
      <c r="L12" s="19" t="inlineStr">
        <is>
          <t>As expected.</t>
        </is>
      </c>
      <c r="M12" s="19" t="inlineStr">
        <is>
          <t>Pass</t>
        </is>
      </c>
      <c r="N12" s="19" t="inlineStr"/>
      <c r="O12" s="19" t="inlineStr">
        <is>
          <t>iorta TechNXT QA</t>
        </is>
      </c>
      <c r="P12" s="19" t="inlineStr">
        <is>
          <t>04 October 2026</t>
        </is>
      </c>
      <c r="Q12" s="19" t="inlineStr"/>
      <c r="R12" s="19" t="inlineStr">
        <is>
          <t>backend/test/hardening.test.js :: generates a policy-compliant temporary password for a user created without one; it must be changed [passed]
backend/test/core.test.js :: admin creates a persona user who can then sign in with that role [passed]
UAT cycle 03-04 October 2026, phase Set-up (46 passed, 0 failed)</t>
        </is>
      </c>
      <c r="S12" s="19" t="n"/>
    </row>
    <row r="13">
      <c r="A13" s="19" t="inlineStr">
        <is>
          <t>BV-SEC-012</t>
        </is>
      </c>
      <c r="B13" s="19" t="inlineStr">
        <is>
          <t>Sign-in and security</t>
        </is>
      </c>
      <c r="C13" s="19" t="inlineStr">
        <is>
          <t>Password policy</t>
        </is>
      </c>
      <c r="D13" s="19" t="inlineStr">
        <is>
          <t>Any signed-in user</t>
        </is>
      </c>
      <c r="E13" s="19" t="inlineStr">
        <is>
          <t>Expired password forces a change at sign-in</t>
        </is>
      </c>
      <c r="F13" s="19" t="inlineStr">
        <is>
          <t>Functional</t>
        </is>
      </c>
      <c r="G13" s="19" t="inlineStr">
        <is>
          <t>Medium</t>
        </is>
      </c>
      <c r="H13" s="19" t="inlineStr">
        <is>
          <t>security.password_max_age_days = 90. Test user whose password is older than 90 days.</t>
        </is>
      </c>
      <c r="I13" s="19" t="inlineStr">
        <is>
          <t>1. Sign in with the user whose password is older than 90 days.</t>
        </is>
      </c>
      <c r="J13" s="19" t="inlineStr">
        <is>
          <t>User with password_changed_at older than 90 days</t>
        </is>
      </c>
      <c r="K13" s="19" t="inlineStr">
        <is>
          <t>Screen shows "Your password has expired. Choose a new one to continue." The user reaches the dashboard only after a compliant change.</t>
        </is>
      </c>
      <c r="L13" s="19" t="inlineStr">
        <is>
          <t>As expected.</t>
        </is>
      </c>
      <c r="M13" s="19" t="inlineStr">
        <is>
          <t>Pass</t>
        </is>
      </c>
      <c r="N13" s="19" t="inlineStr"/>
      <c r="O13" s="19" t="inlineStr">
        <is>
          <t>iorta TechNXT QA</t>
        </is>
      </c>
      <c r="P13" s="19" t="inlineStr">
        <is>
          <t>03 October 2026</t>
        </is>
      </c>
      <c r="Q13" s="19" t="inlineStr"/>
      <c r="R13" s="19" t="inlineStr">
        <is>
          <t>backend/test/security.test.js :: flags mustChangePassword when the password is older than security.password_max_age_days [passed]</t>
        </is>
      </c>
      <c r="S13" s="19" t="n"/>
    </row>
    <row r="14">
      <c r="A14" s="19" t="inlineStr">
        <is>
          <t>BV-SEC-013</t>
        </is>
      </c>
      <c r="B14" s="19" t="inlineStr">
        <is>
          <t>Sign-in and security</t>
        </is>
      </c>
      <c r="C14" s="19" t="inlineStr">
        <is>
          <t>Password reset</t>
        </is>
      </c>
      <c r="D14" s="19" t="inlineStr">
        <is>
          <t>Any signed-in user</t>
        </is>
      </c>
      <c r="E14" s="19" t="inlineStr">
        <is>
          <t>Forgot password with a verification code</t>
        </is>
      </c>
      <c r="F14" s="19" t="inlineStr">
        <is>
          <t>Functional</t>
        </is>
      </c>
      <c r="G14" s="19" t="inlineStr">
        <is>
          <t>Medium</t>
        </is>
      </c>
      <c r="H14" s="19" t="inlineStr">
        <is>
          <t>E-mail sending switched on and SMTP configured.</t>
        </is>
      </c>
      <c r="I14" s="19" t="inlineStr">
        <is>
          <t>1. On the Login page click Forgot password?.
2. Enter the user ID and click Send code.
3. Open the e-mail and enter the verification code with a new password.
4. Click Reset password and sign in.</t>
        </is>
      </c>
      <c r="J14" s="19" t="inlineStr">
        <is>
          <t>User ID: liza.quiambao</t>
        </is>
      </c>
      <c r="K14" s="19" t="inlineStr">
        <is>
          <t>"If the account exists, a verification code has been sent." The code works once within 15 minutes; after the reset: "Your password has been reset. Sign in with the new password."</t>
        </is>
      </c>
      <c r="L14" s="19" t="inlineStr">
        <is>
          <t>Code handling confirmed in the backend run; delivery to a mailbox not possible: SMTP not configured in the test environment.</t>
        </is>
      </c>
      <c r="M14" s="19" t="inlineStr">
        <is>
          <t>Blocked</t>
        </is>
      </c>
      <c r="N14" s="19" t="inlineStr"/>
      <c r="O14" s="19" t="inlineStr">
        <is>
          <t>iorta TechNXT QA</t>
        </is>
      </c>
      <c r="P14" s="19" t="inlineStr">
        <is>
          <t>03 October 2026</t>
        </is>
      </c>
      <c r="Q14" s="19" t="inlineStr">
        <is>
          <t>Re-test once the SMTP server is set.</t>
        </is>
      </c>
      <c r="R14" s="19" t="inlineStr">
        <is>
          <t>backend/test/configuration.test.js :: password reset e-mail and code lifetime follow security.reset_* settings [passed]
backend/test/hardening.test.js :: stores reset codes hashed, keeps only the latest valid, withdraws a code after too many wrong entries [passed]</t>
        </is>
      </c>
      <c r="S14" s="19" t="n"/>
    </row>
    <row r="15">
      <c r="A15" s="19" t="inlineStr">
        <is>
          <t>BV-SEC-014</t>
        </is>
      </c>
      <c r="B15" s="19" t="inlineStr">
        <is>
          <t>Sign-in and security</t>
        </is>
      </c>
      <c r="C15" s="19" t="inlineStr">
        <is>
          <t>Password reset</t>
        </is>
      </c>
      <c r="D15" s="19" t="inlineStr">
        <is>
          <t>Any signed-in user</t>
        </is>
      </c>
      <c r="E15" s="19" t="inlineStr">
        <is>
          <t>Reset code withdrawn after too many wrong entries</t>
        </is>
      </c>
      <c r="F15" s="19" t="inlineStr">
        <is>
          <t>Negative</t>
        </is>
      </c>
      <c r="G15" s="19" t="inlineStr">
        <is>
          <t>Medium</t>
        </is>
      </c>
      <c r="H15" s="19" t="inlineStr">
        <is>
          <t>A reset code has been requested.</t>
        </is>
      </c>
      <c r="I15" s="19" t="inlineStr">
        <is>
          <t>1. Request a reset code.
2. Enter a wrong code 5 times.
3. Enter the correct code.</t>
        </is>
      </c>
      <c r="J15" s="19" t="inlineStr">
        <is>
          <t>security.reset_code_max_attempts = 5</t>
        </is>
      </c>
      <c r="K15" s="19" t="inlineStr">
        <is>
          <t>After 5 wrong entries the code no longer works; a new code must be requested. Only the latest code is valid.</t>
        </is>
      </c>
      <c r="L15" s="19" t="inlineStr">
        <is>
          <t>As expected.</t>
        </is>
      </c>
      <c r="M15" s="19" t="inlineStr">
        <is>
          <t>Pass</t>
        </is>
      </c>
      <c r="N15" s="19" t="inlineStr"/>
      <c r="O15" s="19" t="inlineStr">
        <is>
          <t>iorta TechNXT QA</t>
        </is>
      </c>
      <c r="P15" s="19" t="inlineStr">
        <is>
          <t>03 October 2026</t>
        </is>
      </c>
      <c r="Q15" s="19" t="inlineStr"/>
      <c r="R15" s="19" t="inlineStr">
        <is>
          <t>backend/test/hardening.test.js :: stores reset codes hashed, keeps only the latest valid, withdraws a code after too many wrong entries [passed]</t>
        </is>
      </c>
      <c r="S15" s="19" t="n"/>
    </row>
    <row r="16">
      <c r="A16" s="19" t="inlineStr">
        <is>
          <t>BV-SEC-015</t>
        </is>
      </c>
      <c r="B16" s="19" t="inlineStr">
        <is>
          <t>Sign-in and security</t>
        </is>
      </c>
      <c r="C16" s="19" t="inlineStr">
        <is>
          <t>2FA</t>
        </is>
      </c>
      <c r="D16" s="19" t="inlineStr">
        <is>
          <t>Any signed-in user</t>
        </is>
      </c>
      <c r="E16" s="19" t="inlineStr">
        <is>
          <t>Turn on two-step verification and sign in with the code</t>
        </is>
      </c>
      <c r="F16" s="19" t="inlineStr">
        <is>
          <t>Functional</t>
        </is>
      </c>
      <c r="G16" s="19" t="inlineStr">
        <is>
          <t>High</t>
        </is>
      </c>
      <c r="H16" s="19" t="inlineStr">
        <is>
          <t>Signed in as liza.quiambao. Authenticator app on a phone.</t>
        </is>
      </c>
      <c r="I16" s="19" t="inlineStr">
        <is>
          <t>1. Open the user menu &gt; Two-factor authentication and click Turn on.
2. Type the Setup key in the authenticator app.
3. Enter the 6-digit code and click Verify.
4. Sign out and sign in again with user ID and password.
5. Enter the code from the app.</t>
        </is>
      </c>
      <c r="J16" s="19" t="inlineStr">
        <is>
          <t>User: liza.quiambao; Issuer shown in app: BrokerVerse</t>
        </is>
      </c>
      <c r="K16" s="19" t="inlineStr">
        <is>
          <t>"Two-step verification is on." At the next sign-in the Two-step verification screen asks for the code; the dashboard opens after a valid code.</t>
        </is>
      </c>
      <c r="L16" s="19" t="inlineStr">
        <is>
          <t>As expected.</t>
        </is>
      </c>
      <c r="M16" s="19" t="inlineStr">
        <is>
          <t>Pass</t>
        </is>
      </c>
      <c r="N16" s="19" t="inlineStr"/>
      <c r="O16" s="19" t="inlineStr">
        <is>
          <t>iorta TechNXT QA</t>
        </is>
      </c>
      <c r="P16" s="19" t="inlineStr">
        <is>
          <t>03 October 2026</t>
        </is>
      </c>
      <c r="Q16" s="19" t="inlineStr"/>
      <c r="R16" s="19" t="inlineStr">
        <is>
          <t>backend/test/security.test.js :: enrols, then requires the code at sign-in; disables with a code [passed]
backend/test/security.test.js :: implements RFC 6238 / RFC 4226 correctly [passed]</t>
        </is>
      </c>
      <c r="S16" s="19" t="n"/>
    </row>
    <row r="17">
      <c r="A17" s="19" t="inlineStr">
        <is>
          <t>BV-SEC-016</t>
        </is>
      </c>
      <c r="B17" s="19" t="inlineStr">
        <is>
          <t>Sign-in and security</t>
        </is>
      </c>
      <c r="C17" s="19" t="inlineStr">
        <is>
          <t>2FA</t>
        </is>
      </c>
      <c r="D17" s="19" t="inlineStr">
        <is>
          <t>Any signed-in user</t>
        </is>
      </c>
      <c r="E17" s="19" t="inlineStr">
        <is>
          <t>Wrong two-step code is refused and checks are rate limited</t>
        </is>
      </c>
      <c r="F17" s="19" t="inlineStr">
        <is>
          <t>Negative</t>
        </is>
      </c>
      <c r="G17" s="19" t="inlineStr">
        <is>
          <t>High</t>
        </is>
      </c>
      <c r="H17" s="19" t="inlineStr">
        <is>
          <t>User with two-step verification on.</t>
        </is>
      </c>
      <c r="I17" s="19" t="inlineStr">
        <is>
          <t>1. Sign in with user ID and password.
2. Enter 000000 as the code.
3. Repeat wrong codes several times.</t>
        </is>
      </c>
      <c r="J17" s="19" t="inlineStr">
        <is>
          <t>Code: 000000</t>
        </is>
      </c>
      <c r="K17" s="19" t="inlineStr">
        <is>
          <t>"The code is not valid. Try the current code." Repeated wrong codes are throttled. Sign-in history records "Wrong authentication code".</t>
        </is>
      </c>
      <c r="L17" s="19" t="inlineStr">
        <is>
          <t>As expected.</t>
        </is>
      </c>
      <c r="M17" s="19" t="inlineStr">
        <is>
          <t>Pass</t>
        </is>
      </c>
      <c r="N17" s="19" t="inlineStr"/>
      <c r="O17" s="19" t="inlineStr">
        <is>
          <t>iorta TechNXT QA</t>
        </is>
      </c>
      <c r="P17" s="19" t="inlineStr">
        <is>
          <t>03 October 2026</t>
        </is>
      </c>
      <c r="Q17" s="19" t="inlineStr"/>
      <c r="R17" s="19" t="inlineStr">
        <is>
          <t>backend/test/hardening.test.js :: rate limits two-factor code checks of a signed-in user [passed]
backend/test/security.test.js :: exposes sign-in history to administrators and to the user [passed]</t>
        </is>
      </c>
      <c r="S17" s="19" t="n"/>
    </row>
    <row r="18">
      <c r="A18" s="19" t="inlineStr">
        <is>
          <t>BV-SEC-017</t>
        </is>
      </c>
      <c r="B18" s="19" t="inlineStr">
        <is>
          <t>Sign-in and security</t>
        </is>
      </c>
      <c r="C18" s="19" t="inlineStr">
        <is>
          <t>2FA</t>
        </is>
      </c>
      <c r="D18" s="19" t="inlineStr">
        <is>
          <t>System Administrator (BrokerVerse)</t>
        </is>
      </c>
      <c r="E18" s="19" t="inlineStr">
        <is>
          <t>Role that requires two-step verification must enrol before any screen</t>
        </is>
      </c>
      <c r="F18" s="19" t="inlineStr">
        <is>
          <t>Functional</t>
        </is>
      </c>
      <c r="G18" s="19" t="inlineStr">
        <is>
          <t>High</t>
        </is>
      </c>
      <c r="H18" s="19" t="inlineStr">
        <is>
          <t>Master &gt; Configuration &gt; Security: security.require_2fa_roles = ["accounting-manager"].</t>
        </is>
      </c>
      <c r="I18" s="19" t="inlineStr">
        <is>
          <t>1. Save the setting.
2. Sign in as teresa.villaroman (no two-step yet).</t>
        </is>
      </c>
      <c r="J18" s="19" t="inlineStr">
        <is>
          <t>Setting: security.require_2fa_roles = ["accounting-manager"]</t>
        </is>
      </c>
      <c r="K18" s="19" t="inlineStr">
        <is>
          <t>Screen "Set up two-step verification" with "Your role requires two-step verification. Set it up to continue." No menu screen opens until enrolment is done. "Turn off" is not offered to this user.</t>
        </is>
      </c>
      <c r="L18" s="19" t="inlineStr">
        <is>
          <t>As expected.</t>
        </is>
      </c>
      <c r="M18" s="19" t="inlineStr">
        <is>
          <t>Pass</t>
        </is>
      </c>
      <c r="N18" s="19" t="inlineStr"/>
      <c r="O18" s="19" t="inlineStr">
        <is>
          <t>iorta TechNXT QA</t>
        </is>
      </c>
      <c r="P18" s="19" t="inlineStr">
        <is>
          <t>03 October 2026</t>
        </is>
      </c>
      <c r="Q18" s="19" t="inlineStr"/>
      <c r="R18" s="19" t="inlineStr">
        <is>
          <t>backend/test/security.test.js :: forces enrolment for roles in security.require_2fa_roles; administrators can reset a user's second factor [passed]</t>
        </is>
      </c>
      <c r="S18" s="19" t="n"/>
    </row>
    <row r="19">
      <c r="A19" s="19" t="inlineStr">
        <is>
          <t>BV-SEC-018</t>
        </is>
      </c>
      <c r="B19" s="19" t="inlineStr">
        <is>
          <t>Sign-in and security</t>
        </is>
      </c>
      <c r="C19" s="19" t="inlineStr">
        <is>
          <t>2FA</t>
        </is>
      </c>
      <c r="D19" s="19" t="inlineStr">
        <is>
          <t>System Administrator (BrokerVerse)</t>
        </is>
      </c>
      <c r="E19" s="19" t="inlineStr">
        <is>
          <t>Administrator turns off a user's two-step verification</t>
        </is>
      </c>
      <c r="F19" s="19" t="inlineStr">
        <is>
          <t>Functional</t>
        </is>
      </c>
      <c r="G19" s="19" t="inlineStr">
        <is>
          <t>Medium</t>
        </is>
      </c>
      <c r="H19" s="19" t="inlineStr">
        <is>
          <t>User liza.quiambao lost the phone.</t>
        </is>
      </c>
      <c r="I19" s="19" t="inlineStr">
        <is>
          <t>1. Open Master &gt; Generals &gt; User Management &gt; User.
2. Open Account actions of liza.quiambao.
3. Click Turn off two-step verification and confirm.</t>
        </is>
      </c>
      <c r="J19" s="19" t="inlineStr">
        <is>
          <t>User: liza.quiambao</t>
        </is>
      </c>
      <c r="K19" s="19" t="inlineStr">
        <is>
          <t>Message "Two-step verification turned off for liza.quiambao." The user signs in with password only. Action is in the Audit Trail.</t>
        </is>
      </c>
      <c r="L19" s="19" t="inlineStr">
        <is>
          <t>As expected.</t>
        </is>
      </c>
      <c r="M19" s="19" t="inlineStr">
        <is>
          <t>Pass</t>
        </is>
      </c>
      <c r="N19" s="19" t="inlineStr"/>
      <c r="O19" s="19" t="inlineStr">
        <is>
          <t>iorta TechNXT QA</t>
        </is>
      </c>
      <c r="P19" s="19" t="inlineStr">
        <is>
          <t>03 October 2026</t>
        </is>
      </c>
      <c r="Q19" s="19" t="inlineStr"/>
      <c r="R19" s="19" t="inlineStr">
        <is>
          <t>backend/test/security.test.js :: forces enrolment for roles in security.require_2fa_roles; administrators can reset a user's second factor [passed]</t>
        </is>
      </c>
      <c r="S19" s="19" t="n"/>
    </row>
    <row r="20">
      <c r="A20" s="19" t="inlineStr">
        <is>
          <t>BV-SEC-019</t>
        </is>
      </c>
      <c r="B20" s="19" t="inlineStr">
        <is>
          <t>Sign-in and security</t>
        </is>
      </c>
      <c r="C20" s="19" t="inlineStr">
        <is>
          <t>2FA</t>
        </is>
      </c>
      <c r="D20" s="19" t="inlineStr">
        <is>
          <t>System Administrator (beatriz.lacson)</t>
        </is>
      </c>
      <c r="E20" s="19" t="inlineStr">
        <is>
          <t>A non-administrator user desk cannot reset 2FA or lock a System Administrator</t>
        </is>
      </c>
      <c r="F20" s="19" t="inlineStr">
        <is>
          <t>Negative</t>
        </is>
      </c>
      <c r="G20" s="19" t="inlineStr">
        <is>
          <t>High</t>
        </is>
      </c>
      <c r="H20" s="19" t="inlineStr">
        <is>
          <t>beatriz.lacson holds a user desk grant but is checked against the built-in administrator.</t>
        </is>
      </c>
      <c r="I20" s="19" t="inlineStr">
        <is>
          <t>1. Open the User list.
2. Try to turn off two-step verification of BrokerVerse.
3. Try to lock BrokerVerse.
4. Try to change own roles.</t>
        </is>
      </c>
      <c r="J20" s="19" t="inlineStr">
        <is>
          <t>Target: BrokerVerse</t>
        </is>
      </c>
      <c r="K20" s="19" t="inlineStr">
        <is>
          <t>Each action is refused with a clear message. Nobody changes their own roles or status.</t>
        </is>
      </c>
      <c r="L20" s="19" t="inlineStr">
        <is>
          <t>As expected.</t>
        </is>
      </c>
      <c r="M20" s="19" t="inlineStr">
        <is>
          <t>Pass</t>
        </is>
      </c>
      <c r="N20" s="19" t="inlineStr"/>
      <c r="O20" s="19" t="inlineStr">
        <is>
          <t>iorta TechNXT QA</t>
        </is>
      </c>
      <c r="P20" s="19" t="inlineStr">
        <is>
          <t>03 October 2026</t>
        </is>
      </c>
      <c r="Q20" s="19" t="inlineStr"/>
      <c r="R20" s="19" t="inlineStr">
        <is>
          <t>backend/test/hardening.test.js :: a non-administrator user desk cannot reset, lock or turn off 2FA of a System Administrator, nor change their own access [passed]</t>
        </is>
      </c>
      <c r="S20" s="19" t="n"/>
    </row>
    <row r="21">
      <c r="A21" s="19" t="inlineStr">
        <is>
          <t>BV-SEC-020</t>
        </is>
      </c>
      <c r="B21" s="19" t="inlineStr">
        <is>
          <t>Sign-in and security</t>
        </is>
      </c>
      <c r="C21" s="19" t="inlineStr">
        <is>
          <t>Session</t>
        </is>
      </c>
      <c r="D21" s="19" t="inlineStr">
        <is>
          <t>Any signed-in user</t>
        </is>
      </c>
      <c r="E21" s="19" t="inlineStr">
        <is>
          <t>Idle session signs out after the configured minutes</t>
        </is>
      </c>
      <c r="F21" s="19" t="inlineStr">
        <is>
          <t>Functional</t>
        </is>
      </c>
      <c r="G21" s="19" t="inlineStr">
        <is>
          <t>Medium</t>
        </is>
      </c>
      <c r="H21" s="19" t="inlineStr">
        <is>
          <t>limits.session_idle_minutes = 30.</t>
        </is>
      </c>
      <c r="I21" s="19" t="inlineStr">
        <is>
          <t>1. Sign in as maria.rivera.
2. Leave the browser idle for 29 minutes.
3. Read the warning.
4. Leave it idle 1 more minute.</t>
        </is>
      </c>
      <c r="J21" s="19" t="inlineStr">
        <is>
          <t>Idle time: 30 minutes</t>
        </is>
      </c>
      <c r="K21" s="19" t="inlineStr">
        <is>
          <t>At 29 minutes the banner "You will be signed out in one minute because of inactivity..." shows. At 30 minutes the user is returned to the Login page.</t>
        </is>
      </c>
      <c r="L21" s="19" t="inlineStr"/>
      <c r="M21" s="19" t="inlineStr">
        <is>
          <t>Not Run</t>
        </is>
      </c>
      <c r="N21" s="19" t="inlineStr"/>
      <c r="O21" s="19" t="inlineStr">
        <is>
          <t>iorta TechNXT QA</t>
        </is>
      </c>
      <c r="P21" s="19" t="inlineStr"/>
      <c r="Q21" s="19" t="inlineStr">
        <is>
          <t>Timed test not run in this cycle; access token lifetime (30 minutes) confirmed in the backend run.</t>
        </is>
      </c>
      <c r="R21" s="19" t="inlineStr">
        <is>
          <t>backend/test/hardening.test.js :: defaults: 30-minute access tokens; development keeps its fallbacks [passed]</t>
        </is>
      </c>
      <c r="S21" s="19" t="n"/>
    </row>
    <row r="22">
      <c r="A22" s="19" t="inlineStr">
        <is>
          <t>BV-SEC-021</t>
        </is>
      </c>
      <c r="B22" s="19" t="inlineStr">
        <is>
          <t>Sign-in and security</t>
        </is>
      </c>
      <c r="C22" s="19" t="inlineStr">
        <is>
          <t>Session</t>
        </is>
      </c>
      <c r="D22" s="19" t="inlineStr">
        <is>
          <t>System Administrator (BrokerVerse)</t>
        </is>
      </c>
      <c r="E22" s="19" t="inlineStr">
        <is>
          <t>Deactivating a user or changing the role ends access at once</t>
        </is>
      </c>
      <c r="F22" s="19" t="inlineStr">
        <is>
          <t>Functional</t>
        </is>
      </c>
      <c r="G22" s="19" t="inlineStr">
        <is>
          <t>High</t>
        </is>
      </c>
      <c r="H22" s="19" t="inlineStr">
        <is>
          <t>paolo.dizon signed in on another browser.</t>
        </is>
      </c>
      <c r="I22" s="19" t="inlineStr">
        <is>
          <t>1. As BrokerVerse open the User list and deactivate paolo.dizon.
2. In the other browser click any menu.</t>
        </is>
      </c>
      <c r="J22" s="19" t="inlineStr">
        <is>
          <t>User: paolo.dizon</t>
        </is>
      </c>
      <c r="K22" s="19" t="inlineStr">
        <is>
          <t>The next request of paolo.dizon is refused and the browser returns to the Login page with the session ended.</t>
        </is>
      </c>
      <c r="L22" s="19" t="inlineStr">
        <is>
          <t>As expected.</t>
        </is>
      </c>
      <c r="M22" s="19" t="inlineStr">
        <is>
          <t>Pass</t>
        </is>
      </c>
      <c r="N22" s="19" t="inlineStr"/>
      <c r="O22" s="19" t="inlineStr">
        <is>
          <t>iorta TechNXT QA</t>
        </is>
      </c>
      <c r="P22" s="19" t="inlineStr">
        <is>
          <t>03 October 2026</t>
        </is>
      </c>
      <c r="Q22" s="19" t="inlineStr"/>
      <c r="R22" s="19" t="inlineStr">
        <is>
          <t>backend/test/hardening.test.js :: ends access at once on deactivation and on role change; refresh issues a token with the new roles [passed]</t>
        </is>
      </c>
      <c r="S22" s="19" t="n"/>
    </row>
    <row r="23">
      <c r="A23" s="19" t="inlineStr">
        <is>
          <t>BV-SEC-022</t>
        </is>
      </c>
      <c r="B23" s="19" t="inlineStr">
        <is>
          <t>Sign-in and security</t>
        </is>
      </c>
      <c r="C23" s="19" t="inlineStr">
        <is>
          <t>Session</t>
        </is>
      </c>
      <c r="D23" s="19" t="inlineStr">
        <is>
          <t>System Administrator (BrokerVerse)</t>
        </is>
      </c>
      <c r="E23" s="19" t="inlineStr">
        <is>
          <t>End every session of a user</t>
        </is>
      </c>
      <c r="F23" s="19" t="inlineStr">
        <is>
          <t>Functional</t>
        </is>
      </c>
      <c r="G23" s="19" t="inlineStr">
        <is>
          <t>Medium</t>
        </is>
      </c>
      <c r="H23" s="19" t="inlineStr">
        <is>
          <t>User signed in on two browsers.</t>
        </is>
      </c>
      <c r="I23" s="19" t="inlineStr">
        <is>
          <t>1. Open Master &gt; Generals &gt; User Management &gt; User Access Matrix.
2. Select the user and end all sessions.</t>
        </is>
      </c>
      <c r="J23" s="19" t="inlineStr">
        <is>
          <t>User: jose.bernardo</t>
        </is>
      </c>
      <c r="K23" s="19" t="inlineStr">
        <is>
          <t>Both browsers are signed out at the next request.</t>
        </is>
      </c>
      <c r="L23" s="19" t="inlineStr">
        <is>
          <t>As expected.</t>
        </is>
      </c>
      <c r="M23" s="19" t="inlineStr">
        <is>
          <t>Pass</t>
        </is>
      </c>
      <c r="N23" s="19" t="inlineStr"/>
      <c r="O23" s="19" t="inlineStr">
        <is>
          <t>iorta TechNXT QA</t>
        </is>
      </c>
      <c r="P23" s="19" t="inlineStr">
        <is>
          <t>03 October 2026</t>
        </is>
      </c>
      <c r="Q23" s="19" t="inlineStr"/>
      <c r="R23" s="19" t="inlineStr">
        <is>
          <t>backend/test/access-control.test.js :: ends every session of a user [passed]
Screen check /master/generals/usermanagement/access-matrix: opened clean</t>
        </is>
      </c>
      <c r="S23" s="19" t="n"/>
    </row>
    <row r="24">
      <c r="A24" s="19" t="inlineStr">
        <is>
          <t>BV-SEC-023</t>
        </is>
      </c>
      <c r="B24" s="19" t="inlineStr">
        <is>
          <t>Sign-in and security</t>
        </is>
      </c>
      <c r="C24" s="19" t="inlineStr">
        <is>
          <t>Session</t>
        </is>
      </c>
      <c r="D24" s="19" t="inlineStr">
        <is>
          <t>Any signed-in user</t>
        </is>
      </c>
      <c r="E24" s="19" t="inlineStr">
        <is>
          <t>Reuse of an old refresh token revokes the sign-in</t>
        </is>
      </c>
      <c r="F24" s="19" t="inlineStr">
        <is>
          <t>Negative</t>
        </is>
      </c>
      <c r="G24" s="19" t="inlineStr">
        <is>
          <t>High</t>
        </is>
      </c>
      <c r="H24" s="19" t="inlineStr">
        <is>
          <t>Valid session.</t>
        </is>
      </c>
      <c r="I24" s="19" t="inlineStr">
        <is>
          <t>1. Capture the refresh token after one renewal.
2. Present the old (rotated) refresh token again.</t>
        </is>
      </c>
      <c r="J24" s="19" t="inlineStr">
        <is>
          <t>Old refresh token</t>
        </is>
      </c>
      <c r="K24" s="19" t="inlineStr">
        <is>
          <t>The request is refused and the whole sign-in is revoked; Sign-in history shows "Session ended (token reuse)".</t>
        </is>
      </c>
      <c r="L24" s="19" t="inlineStr">
        <is>
          <t>As expected.</t>
        </is>
      </c>
      <c r="M24" s="19" t="inlineStr">
        <is>
          <t>Pass</t>
        </is>
      </c>
      <c r="N24" s="19" t="inlineStr"/>
      <c r="O24" s="19" t="inlineStr">
        <is>
          <t>iorta TechNXT QA</t>
        </is>
      </c>
      <c r="P24" s="19" t="inlineStr">
        <is>
          <t>03 October 2026</t>
        </is>
      </c>
      <c r="Q24" s="19" t="inlineStr"/>
      <c r="R24" s="19" t="inlineStr">
        <is>
          <t>backend/test/hardening.test.js :: detects reuse of a rotated refresh token and revokes the whole sign-in [passed]</t>
        </is>
      </c>
      <c r="S24" s="19" t="n"/>
    </row>
    <row r="25">
      <c r="A25" s="19" t="inlineStr">
        <is>
          <t>BV-SEC-024</t>
        </is>
      </c>
      <c r="B25" s="19" t="inlineStr">
        <is>
          <t>Sign-in and security</t>
        </is>
      </c>
      <c r="C25" s="19" t="inlineStr">
        <is>
          <t>Sign-in history</t>
        </is>
      </c>
      <c r="D25" s="19" t="inlineStr">
        <is>
          <t>System Administrator (BrokerVerse)</t>
        </is>
      </c>
      <c r="E25" s="19" t="inlineStr">
        <is>
          <t>Sign-in history visible to the administrator and the user</t>
        </is>
      </c>
      <c r="F25" s="19" t="inlineStr">
        <is>
          <t>Functional</t>
        </is>
      </c>
      <c r="G25" s="19" t="inlineStr">
        <is>
          <t>Low</t>
        </is>
      </c>
      <c r="H25" s="19" t="inlineStr">
        <is>
          <t>Some failed and successful sign-ins exist.</t>
        </is>
      </c>
      <c r="I25" s="19" t="inlineStr">
        <is>
          <t>1. Open the User list and click Sign-in history for maria.rivera.
2. Sign in as maria.rivera and open own Sign-in history.</t>
        </is>
      </c>
      <c r="J25" s="19" t="inlineStr">
        <is>
          <t>User: maria.rivera</t>
        </is>
      </c>
      <c r="K25" s="19" t="inlineStr">
        <is>
          <t>Columns Date and time, Result, Detail, Method, IP address, Browser / device. Failed attempts show the reason.</t>
        </is>
      </c>
      <c r="L25" s="19" t="inlineStr">
        <is>
          <t>As expected.</t>
        </is>
      </c>
      <c r="M25" s="19" t="inlineStr">
        <is>
          <t>Pass</t>
        </is>
      </c>
      <c r="N25" s="19" t="inlineStr"/>
      <c r="O25" s="19" t="inlineStr">
        <is>
          <t>iorta TechNXT QA</t>
        </is>
      </c>
      <c r="P25" s="19" t="inlineStr">
        <is>
          <t>03 October 2026</t>
        </is>
      </c>
      <c r="Q25" s="19" t="inlineStr"/>
      <c r="R25" s="19" t="inlineStr">
        <is>
          <t>backend/test/security.test.js :: exposes sign-in history to administrators and to the user [passed]</t>
        </is>
      </c>
      <c r="S25" s="19" t="n"/>
    </row>
    <row r="26">
      <c r="A26" s="19" t="inlineStr">
        <is>
          <t>BV-SEC-025</t>
        </is>
      </c>
      <c r="B26" s="19" t="inlineStr">
        <is>
          <t>Sign-in and security</t>
        </is>
      </c>
      <c r="C26" s="19" t="inlineStr">
        <is>
          <t>API security</t>
        </is>
      </c>
      <c r="D26" s="19" t="inlineStr">
        <is>
          <t>System Administrator (BrokerVerse)</t>
        </is>
      </c>
      <c r="E26" s="19" t="inlineStr">
        <is>
          <t>Every non-public endpoint refuses a call without a token</t>
        </is>
      </c>
      <c r="F26" s="19" t="inlineStr">
        <is>
          <t>Negative</t>
        </is>
      </c>
      <c r="G26" s="19" t="inlineStr">
        <is>
          <t>High</t>
        </is>
      </c>
      <c r="H26" s="19" t="inlineStr">
        <is>
          <t>API reachable.</t>
        </is>
      </c>
      <c r="I26" s="19" t="inlineStr">
        <is>
          <t>1. Call each non-public API route without the Authorization header.
2. Compare the public route list with the intended list.</t>
        </is>
      </c>
      <c r="J26" s="19" t="inlineStr">
        <is>
          <t>All registered routes</t>
        </is>
      </c>
      <c r="K26" s="19" t="inlineStr">
        <is>
          <t>Every non-public route answers 401. Only the intended public routes (sign-in, health, version, public settings, customer approval link, gateway callbacks) answer without a token.</t>
        </is>
      </c>
      <c r="L26" s="19" t="inlineStr">
        <is>
          <t>As expected.</t>
        </is>
      </c>
      <c r="M26" s="19" t="inlineStr">
        <is>
          <t>Pass</t>
        </is>
      </c>
      <c r="N26" s="19" t="inlineStr"/>
      <c r="O26" s="19" t="inlineStr">
        <is>
          <t>iorta TechNXT QA</t>
        </is>
      </c>
      <c r="P26" s="19" t="inlineStr">
        <is>
          <t>03 October 2026</t>
        </is>
      </c>
      <c r="Q26" s="19" t="inlineStr"/>
      <c r="R26" s="19" t="inlineStr">
        <is>
          <t>backend/test/hardening.test.js :: every non-public route answers 401 without a token [passed]
backend/test/hardening.test.js :: declares only the intended public routes [passed]</t>
        </is>
      </c>
      <c r="S26" s="19" t="n"/>
    </row>
    <row r="27">
      <c r="A27" s="19" t="inlineStr">
        <is>
          <t>BV-SEC-026</t>
        </is>
      </c>
      <c r="B27" s="19" t="inlineStr">
        <is>
          <t>Sign-in and security</t>
        </is>
      </c>
      <c r="C27" s="19" t="inlineStr">
        <is>
          <t>API security</t>
        </is>
      </c>
      <c r="D27" s="19" t="inlineStr">
        <is>
          <t>System Administrator (BrokerVerse)</t>
        </is>
      </c>
      <c r="E27" s="19" t="inlineStr">
        <is>
          <t>Tokens other than HS256 and default secrets are refused</t>
        </is>
      </c>
      <c r="F27" s="19" t="inlineStr">
        <is>
          <t>Negative</t>
        </is>
      </c>
      <c r="G27" s="19" t="inlineStr">
        <is>
          <t>High</t>
        </is>
      </c>
      <c r="H27" s="19" t="inlineStr">
        <is>
          <t>Production configuration.</t>
        </is>
      </c>
      <c r="I27" s="19" t="inlineStr">
        <is>
          <t>1. Present a token signed with another algorithm.
2. Start the API in production mode with a default secret, CORS * or a localhost base URL.</t>
        </is>
      </c>
      <c r="J27" s="19" t="inlineStr">
        <is>
          <t>alg=none token; JWT_SECRET=default</t>
        </is>
      </c>
      <c r="K27" s="19" t="inlineStr">
        <is>
          <t>Token refused. The API does not start in production with default secrets, CORS * or a localhost base URL.</t>
        </is>
      </c>
      <c r="L27" s="19" t="inlineStr">
        <is>
          <t>As expected.</t>
        </is>
      </c>
      <c r="M27" s="19" t="inlineStr">
        <is>
          <t>Pass</t>
        </is>
      </c>
      <c r="N27" s="19" t="inlineStr"/>
      <c r="O27" s="19" t="inlineStr">
        <is>
          <t>iorta TechNXT QA</t>
        </is>
      </c>
      <c r="P27" s="19" t="inlineStr">
        <is>
          <t>03 October 2026</t>
        </is>
      </c>
      <c r="Q27" s="19" t="inlineStr"/>
      <c r="R27" s="19" t="inlineStr">
        <is>
          <t>backend/test/hardening.test.js :: accepts only HS256 tokens [passed]
backend/test/hardening.test.js :: refuses missing or default secrets, CORS * and a localhost base URL in production only [passed]</t>
        </is>
      </c>
      <c r="S27" s="19" t="n"/>
    </row>
    <row r="28">
      <c r="A28" s="19" t="inlineStr">
        <is>
          <t>BV-SEC-027</t>
        </is>
      </c>
      <c r="B28" s="19" t="inlineStr">
        <is>
          <t>Sign-in and security</t>
        </is>
      </c>
      <c r="C28" s="19" t="inlineStr">
        <is>
          <t>API security</t>
        </is>
      </c>
      <c r="D28" s="19" t="inlineStr">
        <is>
          <t>System Administrator (BrokerVerse)</t>
        </is>
      </c>
      <c r="E28" s="19" t="inlineStr">
        <is>
          <t>Injection probes in search and file fields</t>
        </is>
      </c>
      <c r="F28" s="19" t="inlineStr">
        <is>
          <t>Negative</t>
        </is>
      </c>
      <c r="G28" s="19" t="inlineStr">
        <is>
          <t>High</t>
        </is>
      </c>
      <c r="H28" s="19" t="inlineStr">
        <is>
          <t>Signed in.</t>
        </is>
      </c>
      <c r="I28" s="19" t="inlineStr">
        <is>
          <t>1. Search a list with ' OR 1=1 -- and &lt;script&gt;alert(1)&lt;/script&gt;.
2. Upload an .html file renamed .pdf as a document.
3. Export a list containing a cell starting with =HYPERLINK(.</t>
        </is>
      </c>
      <c r="J28" s="19" t="inlineStr">
        <is>
          <t>Search: ' OR 1=1 --; File: test.html renamed test.pdf; Cell: =HYPERLINK("x")</t>
        </is>
      </c>
      <c r="K28" s="19" t="inlineStr">
        <is>
          <t>Search returns no extra rows and no error page. The upload is refused (type read from the file signature). Exported CSV cells starting with = + - @ are guarded.</t>
        </is>
      </c>
      <c r="L28" s="19" t="inlineStr">
        <is>
          <t>As expected.</t>
        </is>
      </c>
      <c r="M28" s="19" t="inlineStr">
        <is>
          <t>Pass</t>
        </is>
      </c>
      <c r="N28" s="19" t="inlineStr"/>
      <c r="O28" s="19" t="inlineStr">
        <is>
          <t>iorta TechNXT QA</t>
        </is>
      </c>
      <c r="P28" s="19" t="inlineStr">
        <is>
          <t>03 October 2026</t>
        </is>
      </c>
      <c r="Q28" s="19" t="inlineStr"/>
      <c r="R28" s="19" t="inlineStr">
        <is>
          <t>backend/test/hardening.test.js :: detects file types from their signature, not from the name or the browser [passed]
backend/test/hardening.test.js :: refuses HTML, scripts and unknown binaries; stores the detected type [passed]
backend/test/configuration.test.js :: CSV cells written by any module are guarded against spreadsheet formulas [passed]</t>
        </is>
      </c>
      <c r="S28" s="19" t="n"/>
    </row>
    <row r="29">
      <c r="A29" s="19" t="inlineStr">
        <is>
          <t>BV-SEC-028</t>
        </is>
      </c>
      <c r="B29" s="19" t="inlineStr">
        <is>
          <t>Sign-in and security</t>
        </is>
      </c>
      <c r="C29" s="19" t="inlineStr">
        <is>
          <t>API security</t>
        </is>
      </c>
      <c r="D29" s="19" t="inlineStr">
        <is>
          <t>System Administrator (BrokerVerse)</t>
        </is>
      </c>
      <c r="E29" s="19" t="inlineStr">
        <is>
          <t>Security headers and request id on every response</t>
        </is>
      </c>
      <c r="F29" s="19" t="inlineStr">
        <is>
          <t>Functional</t>
        </is>
      </c>
      <c r="G29" s="19" t="inlineStr">
        <is>
          <t>Medium</t>
        </is>
      </c>
      <c r="H29" s="19" t="inlineStr">
        <is>
          <t>API reachable.</t>
        </is>
      </c>
      <c r="I29" s="19" t="inlineStr">
        <is>
          <t>1. Open browser developer tools &gt; Network.
2. Load any screen and inspect a response header set.</t>
        </is>
      </c>
      <c r="J29" s="19" t="inlineStr">
        <is>
          <t>Any API call</t>
        </is>
      </c>
      <c r="K29" s="19" t="inlineStr">
        <is>
          <t>Responses carry the standard security headers (X-Content-Type-Options, X-Frame-Options, Strict-Transport-Security, Content-Security-Policy) and x-request-id. Errors show a generic message with the request id.</t>
        </is>
      </c>
      <c r="L29" s="19" t="inlineStr">
        <is>
          <t>As expected.</t>
        </is>
      </c>
      <c r="M29" s="19" t="inlineStr">
        <is>
          <t>Pass</t>
        </is>
      </c>
      <c r="N29" s="19" t="inlineStr"/>
      <c r="O29" s="19" t="inlineStr">
        <is>
          <t>iorta TechNXT QA</t>
        </is>
      </c>
      <c r="P29" s="19" t="inlineStr">
        <is>
          <t>03 October 2026</t>
        </is>
      </c>
      <c r="Q29" s="19" t="inlineStr"/>
      <c r="R29" s="19" t="inlineStr">
        <is>
          <t>backend/test/security.test.js :: adds x-request-id to every response, echoes a caller id and returns it in error bodies [passed]
backend/test/hardening.test.js :: answers 500 with a generic message and the request id; client errors keep their message [passed]</t>
        </is>
      </c>
      <c r="S29" s="19" t="n"/>
    </row>
    <row r="30">
      <c r="A30" s="19" t="inlineStr">
        <is>
          <t>BV-SEC-029</t>
        </is>
      </c>
      <c r="B30" s="19" t="inlineStr">
        <is>
          <t>Sign-in and security</t>
        </is>
      </c>
      <c r="C30" s="19" t="inlineStr">
        <is>
          <t>API security</t>
        </is>
      </c>
      <c r="D30" s="19" t="inlineStr">
        <is>
          <t>System Administrator (BrokerVerse)</t>
        </is>
      </c>
      <c r="E30" s="19" t="inlineStr">
        <is>
          <t>Upload size limit and global rate limit</t>
        </is>
      </c>
      <c r="F30" s="19" t="inlineStr">
        <is>
          <t>Negative</t>
        </is>
      </c>
      <c r="G30" s="19" t="inlineStr">
        <is>
          <t>Medium</t>
        </is>
      </c>
      <c r="H30" s="19" t="inlineStr">
        <is>
          <t>UPLOAD_MAX_MB set.</t>
        </is>
      </c>
      <c r="I30" s="19" t="inlineStr">
        <is>
          <t>1. Upload a file larger than UPLOAD_MAX_MB.
2. Send API calls above the per-user rate limit.</t>
        </is>
      </c>
      <c r="J30" s="19" t="inlineStr">
        <is>
          <t>File: 30 MB PDF</t>
        </is>
      </c>
      <c r="K30" s="19" t="inlineStr">
        <is>
          <t>Large file refused with 413. Calls above the limit answer 429.</t>
        </is>
      </c>
      <c r="L30" s="19" t="inlineStr">
        <is>
          <t>As expected.</t>
        </is>
      </c>
      <c r="M30" s="19" t="inlineStr">
        <is>
          <t>Pass</t>
        </is>
      </c>
      <c r="N30" s="19" t="inlineStr"/>
      <c r="O30" s="19" t="inlineStr">
        <is>
          <t>iorta TechNXT QA</t>
        </is>
      </c>
      <c r="P30" s="19" t="inlineStr">
        <is>
          <t>03 October 2026</t>
        </is>
      </c>
      <c r="Q30" s="19" t="inlineStr"/>
      <c r="R30" s="19" t="inlineStr">
        <is>
          <t>backend/test/hardening.test.js :: refuses uploads above UPLOAD_MAX_MB with 413 [passed]
backend/test/hardening.test.js :: applies a configurable global API rate limit per user [passed]</t>
        </is>
      </c>
      <c r="S30" s="19" t="n"/>
    </row>
    <row r="31">
      <c r="A31" s="19" t="inlineStr">
        <is>
          <t>BV-SEC-030</t>
        </is>
      </c>
      <c r="B31" s="19" t="inlineStr">
        <is>
          <t>Sign-in and security</t>
        </is>
      </c>
      <c r="C31" s="19" t="inlineStr">
        <is>
          <t>API security</t>
        </is>
      </c>
      <c r="D31" s="19" t="inlineStr">
        <is>
          <t>System Administrator (BrokerVerse)</t>
        </is>
      </c>
      <c r="E31" s="19" t="inlineStr">
        <is>
          <t>Tokens and cookies never written to the server log</t>
        </is>
      </c>
      <c r="F31" s="19" t="inlineStr">
        <is>
          <t>Functional</t>
        </is>
      </c>
      <c r="G31" s="19" t="inlineStr">
        <is>
          <t>Medium</t>
        </is>
      </c>
      <c r="H31" s="19" t="inlineStr">
        <is>
          <t>Server log available.</t>
        </is>
      </c>
      <c r="I31" s="19" t="inlineStr">
        <is>
          <t>1. Sign in and use several screens.
2. Open the server log and search for "Bearer" and the refresh token value.</t>
        </is>
      </c>
      <c r="J31" s="19" t="inlineStr">
        <is>
          <t>Server log of the test session</t>
        </is>
      </c>
      <c r="K31" s="19" t="inlineStr">
        <is>
          <t>No bearer token, cookie or signed link token appears in the log.</t>
        </is>
      </c>
      <c r="L31" s="19" t="inlineStr">
        <is>
          <t>As expected.</t>
        </is>
      </c>
      <c r="M31" s="19" t="inlineStr">
        <is>
          <t>Pass</t>
        </is>
      </c>
      <c r="N31" s="19" t="inlineStr"/>
      <c r="O31" s="19" t="inlineStr">
        <is>
          <t>iorta TechNXT QA</t>
        </is>
      </c>
      <c r="P31" s="19" t="inlineStr">
        <is>
          <t>03 October 2026</t>
        </is>
      </c>
      <c r="Q31" s="19" t="inlineStr"/>
      <c r="R31" s="19" t="inlineStr">
        <is>
          <t>backend/test/hardening.test.js :: never writes bearer tokens, cookies or link tokens to the log [passed]</t>
        </is>
      </c>
      <c r="S31" s="19" t="n"/>
    </row>
    <row r="32">
      <c r="A32" s="19" t="inlineStr">
        <is>
          <t>BV-SEC-031</t>
        </is>
      </c>
      <c r="B32" s="19" t="inlineStr">
        <is>
          <t>Sign-in and security</t>
        </is>
      </c>
      <c r="C32" s="19" t="inlineStr">
        <is>
          <t>Documents</t>
        </is>
      </c>
      <c r="D32" s="19" t="inlineStr">
        <is>
          <t>Any signed-in user</t>
        </is>
      </c>
      <c r="E32" s="19" t="inlineStr">
        <is>
          <t>Document links open only with a session or a signed, unexpired link</t>
        </is>
      </c>
      <c r="F32" s="19" t="inlineStr">
        <is>
          <t>Negative</t>
        </is>
      </c>
      <c r="G32" s="19" t="inlineStr">
        <is>
          <t>High</t>
        </is>
      </c>
      <c r="H32" s="19" t="inlineStr">
        <is>
          <t>A policy document is stored.</t>
        </is>
      </c>
      <c r="I32" s="19" t="inlineStr">
        <is>
          <t>1. Copy the document link from a policy.
2. Open it in a private window after the signature expiry.
3. Open a non-PDF attachment.</t>
        </is>
      </c>
      <c r="J32" s="19" t="inlineStr">
        <is>
          <t>Policy schedule PDF; claim photo</t>
        </is>
      </c>
      <c r="K32" s="19" t="inlineStr">
        <is>
          <t>Expired or unsigned link is refused. Non-image, non-PDF files download as attachments.</t>
        </is>
      </c>
      <c r="L32" s="19" t="inlineStr">
        <is>
          <t>As expected.</t>
        </is>
      </c>
      <c r="M32" s="19" t="inlineStr">
        <is>
          <t>Pass</t>
        </is>
      </c>
      <c r="N32" s="19" t="inlineStr"/>
      <c r="O32" s="19" t="inlineStr">
        <is>
          <t>iorta TechNXT QA</t>
        </is>
      </c>
      <c r="P32" s="19" t="inlineStr">
        <is>
          <t>03 October 2026</t>
        </is>
      </c>
      <c r="Q32" s="19" t="inlineStr"/>
      <c r="R32" s="19" t="inlineStr">
        <is>
          <t>backend/test/hardening.test.js :: serves objects only with a bearer header or a signed, unexpired link, with safe headers [passed]
backend/test/hardening.test.js :: sends non-image, non-PDF files as attachments; legacy unsafe types as octet-stream [passed]</t>
        </is>
      </c>
      <c r="S32" s="19" t="n"/>
    </row>
    <row r="33">
      <c r="A33" s="19" t="inlineStr">
        <is>
          <t>BV-SEC-032</t>
        </is>
      </c>
      <c r="B33" s="19" t="inlineStr">
        <is>
          <t>Sign-in and security</t>
        </is>
      </c>
      <c r="C33" s="19" t="inlineStr">
        <is>
          <t>Dependency audit</t>
        </is>
      </c>
      <c r="D33" s="19" t="inlineStr">
        <is>
          <t>System Administrator (BrokerVerse)</t>
        </is>
      </c>
      <c r="E33" s="19" t="inlineStr">
        <is>
          <t>Dependency audit of the release build</t>
        </is>
      </c>
      <c r="F33" s="19" t="inlineStr">
        <is>
          <t>Functional</t>
        </is>
      </c>
      <c r="G33" s="19" t="inlineStr">
        <is>
          <t>High</t>
        </is>
      </c>
      <c r="H33" s="19" t="inlineStr">
        <is>
          <t>Release build of backend and front end.</t>
        </is>
      </c>
      <c r="I33" s="19" t="inlineStr">
        <is>
          <t>1. Run npm audit --omit=dev in backend/.
2. Run npm audit --omit=dev in brokerverse/.</t>
        </is>
      </c>
      <c r="J33" s="19" t="inlineStr">
        <is>
          <t>Release lock files of 03 October 2026</t>
        </is>
      </c>
      <c r="K33" s="19" t="inlineStr">
        <is>
          <t>No known vulnerability in runtime dependencies.</t>
        </is>
      </c>
      <c r="L33" s="19" t="inlineStr">
        <is>
          <t>Backend: 0 vulnerabilities. Front end runtime: 2 moderate findings in react-router (open redirect advisory); the fix needs a major upgrade.</t>
        </is>
      </c>
      <c r="M33" s="19" t="inlineStr">
        <is>
          <t>Fail</t>
        </is>
      </c>
      <c r="N33" s="19" t="inlineStr">
        <is>
          <t>BV-DEF-001</t>
        </is>
      </c>
      <c r="O33" s="19" t="inlineStr">
        <is>
          <t>iorta TechNXT QA</t>
        </is>
      </c>
      <c r="P33" s="19" t="inlineStr">
        <is>
          <t>03 October 2026</t>
        </is>
      </c>
      <c r="Q33" s="19" t="inlineStr"/>
      <c r="R33" s="19" t="inlineStr"/>
      <c r="S33" s="19" t="n"/>
    </row>
    <row r="34">
      <c r="A34" s="19" t="inlineStr">
        <is>
          <t>BV-SEC-033</t>
        </is>
      </c>
      <c r="B34" s="19" t="inlineStr">
        <is>
          <t>Sign-in and security</t>
        </is>
      </c>
      <c r="C34" s="19" t="inlineStr">
        <is>
          <t>Data protection</t>
        </is>
      </c>
      <c r="D34" s="19" t="inlineStr">
        <is>
          <t>System Administrator (BrokerVerse)</t>
        </is>
      </c>
      <c r="E34" s="19" t="inlineStr">
        <is>
          <t>Personal data encrypted at application level</t>
        </is>
      </c>
      <c r="F34" s="19" t="inlineStr">
        <is>
          <t>Functional</t>
        </is>
      </c>
      <c r="G34" s="19" t="inlineStr">
        <is>
          <t>Medium</t>
        </is>
      </c>
      <c r="H34" s="19" t="inlineStr">
        <is>
          <t>Database access for the tester.</t>
        </is>
      </c>
      <c r="I34" s="19" t="inlineStr">
        <is>
          <t>1. Create a client with TIN, mobile and ID number.
2. Query the clients table directly.
3. Query the users table for TOTP secrets.</t>
        </is>
      </c>
      <c r="J34" s="19" t="inlineStr">
        <is>
          <t>Client: Rowena Bautista; TIN 214-558-902-000</t>
        </is>
      </c>
      <c r="K34" s="19" t="inlineStr">
        <is>
          <t>Sensitive personal fields are stored encrypted.</t>
        </is>
      </c>
      <c r="L34" s="19" t="inlineStr">
        <is>
          <t>TIN, government ID numbers (clients, signatories, beneficial owners) and bank account numbers are stored as pii:1: cipher text (PII_ENCRYPTION_KEY); the masking run of 04 October 2026 read them in clear and found no original value left.</t>
        </is>
      </c>
      <c r="M34" s="19" t="inlineStr">
        <is>
          <t>Pass</t>
        </is>
      </c>
      <c r="N34" s="19" t="n"/>
      <c r="O34" s="19" t="inlineStr">
        <is>
          <t>iorta TechNXT QA</t>
        </is>
      </c>
      <c r="P34" s="19" t="inlineStr">
        <is>
          <t>04 October 2026</t>
        </is>
      </c>
      <c r="Q34" s="19" t="inlineStr">
        <is>
          <t>BV-DEF-003 closed: package B merged into the release on 04 October 2026.</t>
        </is>
      </c>
      <c r="R34" s="19" t="inlineStr">
        <is>
          <t>backend/test/personal-data-protection.test.js :: stores TIN and government ID numbers encrypted with a blind index [passed]; masking run of 04 October 2026 (identifier check)</t>
        </is>
      </c>
      <c r="S34" s="19" t="n"/>
    </row>
    <row r="35">
      <c r="A35" s="19" t="inlineStr">
        <is>
          <t>BV-SEC-034</t>
        </is>
      </c>
      <c r="B35" s="19" t="inlineStr">
        <is>
          <t>Sign-in and security</t>
        </is>
      </c>
      <c r="C35" s="19" t="inlineStr">
        <is>
          <t>Data privacy</t>
        </is>
      </c>
      <c r="D35" s="19" t="inlineStr">
        <is>
          <t>Operations / Client Service (ana.buenaventura)</t>
        </is>
      </c>
      <c r="E35" s="19" t="inlineStr">
        <is>
          <t>Record client consent under the Data Privacy Act</t>
        </is>
      </c>
      <c r="F35" s="19" t="inlineStr">
        <is>
          <t>Functional</t>
        </is>
      </c>
      <c r="G35" s="19" t="inlineStr">
        <is>
          <t>Medium</t>
        </is>
      </c>
      <c r="H35" s="19" t="inlineStr">
        <is>
          <t>Client record open.</t>
        </is>
      </c>
      <c r="I35" s="19" t="inlineStr">
        <is>
          <t>1. Open Operations &gt; Clients and open a client.
2. Look for a consent capture section and record consent with date and purpose.</t>
        </is>
      </c>
      <c r="J35" s="19" t="inlineStr">
        <is>
          <t>Client: any retail client</t>
        </is>
      </c>
      <c r="K35" s="19" t="inlineStr">
        <is>
          <t>Consent with date, purpose and channel can be recorded and is shown on the client.</t>
        </is>
      </c>
      <c r="L35" s="19" t="inlineStr">
        <is>
          <t>Client Data privacy tab and the privacy API record consent per purpose (processing, marketing, sharing) with channel, evidence and notice version; the consent is shown on the client with its history. Re-test: consent for marketing recorded on CL-2026-00068 (201) and read back.</t>
        </is>
      </c>
      <c r="M35" s="19" t="inlineStr">
        <is>
          <t>Pass</t>
        </is>
      </c>
      <c r="N35" s="19" t="inlineStr">
        <is>
          <t>BV-DEF-002 (closed)</t>
        </is>
      </c>
      <c r="O35" s="19" t="inlineStr">
        <is>
          <t>iorta TechNXT QA</t>
        </is>
      </c>
      <c r="P35" s="19" t="inlineStr">
        <is>
          <t>03 October 2026</t>
        </is>
      </c>
      <c r="Q35" s="19" t="inlineStr">
        <is>
          <t>Re-test of 03 October 2026 after the fix, fresh database with the UAT data set.</t>
        </is>
      </c>
      <c r="R35" s="19" t="inlineStr"/>
      <c r="S35" s="19" t="n"/>
    </row>
    <row r="36">
      <c r="A36" s="19" t="inlineStr">
        <is>
          <t>BV-SEC-035</t>
        </is>
      </c>
      <c r="B36" s="19" t="inlineStr">
        <is>
          <t>Sign-in and security</t>
        </is>
      </c>
      <c r="C36" s="19" t="inlineStr">
        <is>
          <t>Data privacy</t>
        </is>
      </c>
      <c r="D36" s="19" t="inlineStr">
        <is>
          <t>System Administrator (BrokerVerse)</t>
        </is>
      </c>
      <c r="E36" s="19" t="inlineStr">
        <is>
          <t>Log and answer a data subject access or erasure request</t>
        </is>
      </c>
      <c r="F36" s="19" t="inlineStr">
        <is>
          <t>Functional</t>
        </is>
      </c>
      <c r="G36" s="19" t="inlineStr">
        <is>
          <t>Medium</t>
        </is>
      </c>
      <c r="H36" s="19" t="inlineStr">
        <is>
          <t>Client asks for a copy of personal data.</t>
        </is>
      </c>
      <c r="I36" s="19" t="inlineStr">
        <is>
          <t>1. Look for a data subject request register under Master.
2. Look for an anonymise action on a closed client.</t>
        </is>
      </c>
      <c r="J36" s="19" t="inlineStr">
        <is>
          <t>Client: any</t>
        </is>
      </c>
      <c r="K36" s="19" t="inlineStr">
        <is>
          <t>Request can be logged and tracked; an inactive client can be anonymised.</t>
        </is>
      </c>
      <c r="L36" s="19" t="inlineStr">
        <is>
          <t>Master &gt; Data Privacy: request DSR-2026-00001 logged, due 15 days after receipt (18/10/2026); personal data export produced; anonymise dry run refuses a client with a policy in force and lists the reasons.</t>
        </is>
      </c>
      <c r="M36" s="19" t="inlineStr">
        <is>
          <t>Pass</t>
        </is>
      </c>
      <c r="N36" s="19" t="inlineStr">
        <is>
          <t>BV-DEF-002 (closed)</t>
        </is>
      </c>
      <c r="O36" s="19" t="inlineStr">
        <is>
          <t>iorta TechNXT QA</t>
        </is>
      </c>
      <c r="P36" s="19" t="inlineStr">
        <is>
          <t>03 October 2026</t>
        </is>
      </c>
      <c r="Q36" s="19" t="inlineStr">
        <is>
          <t>Re-test of 03 October 2026 after the fix, fresh database with the UAT data set.</t>
        </is>
      </c>
      <c r="R36" s="19" t="inlineStr"/>
      <c r="S36" s="19" t="n"/>
    </row>
    <row r="37">
      <c r="A37" s="19" t="inlineStr">
        <is>
          <t>BV-USR-001</t>
        </is>
      </c>
      <c r="B37" s="19" t="inlineStr">
        <is>
          <t>User and role administration</t>
        </is>
      </c>
      <c r="C37" s="19" t="inlineStr">
        <is>
          <t>User</t>
        </is>
      </c>
      <c r="D37" s="19" t="inlineStr">
        <is>
          <t>System Administrator (BrokerVerse)</t>
        </is>
      </c>
      <c r="E37" s="19" t="inlineStr">
        <is>
          <t>Create a user per broker role</t>
        </is>
      </c>
      <c r="F37" s="19" t="inlineStr">
        <is>
          <t>Functional</t>
        </is>
      </c>
      <c r="G37" s="19" t="inlineStr">
        <is>
          <t>High</t>
        </is>
      </c>
      <c r="H37" s="19" t="inlineStr">
        <is>
          <t>Signed in as BrokerVerse.</t>
        </is>
      </c>
      <c r="I37" s="19" t="inlineStr">
        <is>
          <t>1. Open Master &gt; Generals &gt; User Management &gt; User.
2. Click Add User.
3. Enter username, first and last name, e-mail, branch HO, designation and one role.
4. Click Save.
5. Repeat for each persona.</t>
        </is>
      </c>
      <c r="J37" s="19" t="inlineStr">
        <is>
          <t>maria.rivera (sales), jose.bernardo (processing), ana.buenaventura (operations), carlo.estrada (claims), liza.quiambao (accounting), teresa.villaroman (accounting-manager); e-mail &lt;user&gt;@example.ph</t>
        </is>
      </c>
      <c r="K37" s="19" t="inlineStr">
        <is>
          <t>Each user is saved with the role and listed. A temporary password is shown once for each.</t>
        </is>
      </c>
      <c r="L37" s="19" t="inlineStr">
        <is>
          <t>12 persona users created in the cycle and signed in with their roles.</t>
        </is>
      </c>
      <c r="M37" s="19" t="inlineStr">
        <is>
          <t>Pass</t>
        </is>
      </c>
      <c r="N37" s="19" t="inlineStr"/>
      <c r="O37" s="19" t="inlineStr">
        <is>
          <t>iorta TechNXT QA</t>
        </is>
      </c>
      <c r="P37" s="19" t="inlineStr">
        <is>
          <t>04 October 2026</t>
        </is>
      </c>
      <c r="Q37" s="19" t="inlineStr"/>
      <c r="R37" s="19" t="inlineStr">
        <is>
          <t>backend/test/user-access.test.js :: lists, creates and locks users, and reads the audit trail [passed]
backend/test/core.test.js :: admin creates a persona user who can then sign in with that role [passed]
UAT cycle 03-04 October 2026, phase Set-up (46 passed, 0 failed)
Screen check /master/generals/usermanagement/user: opened clean</t>
        </is>
      </c>
      <c r="S37" s="19" t="n"/>
    </row>
    <row r="38">
      <c r="A38" s="19" t="inlineStr">
        <is>
          <t>BV-USR-002</t>
        </is>
      </c>
      <c r="B38" s="19" t="inlineStr">
        <is>
          <t>User and role administration</t>
        </is>
      </c>
      <c r="C38" s="19" t="inlineStr">
        <is>
          <t>User</t>
        </is>
      </c>
      <c r="D38" s="19" t="inlineStr">
        <is>
          <t>System Administrator (BrokerVerse)</t>
        </is>
      </c>
      <c r="E38" s="19" t="inlineStr">
        <is>
          <t>Required fields and e-mail format on Add User</t>
        </is>
      </c>
      <c r="F38" s="19" t="inlineStr">
        <is>
          <t>Validation</t>
        </is>
      </c>
      <c r="G38" s="19" t="inlineStr">
        <is>
          <t>Medium</t>
        </is>
      </c>
      <c r="H38" s="19" t="inlineStr">
        <is>
          <t>Add User form open.</t>
        </is>
      </c>
      <c r="I38" s="19" t="inlineStr">
        <is>
          <t>1. Click Save with all fields empty.
2. Enter e-mail "maria.rivera@" and save.</t>
        </is>
      </c>
      <c r="J38" s="19" t="inlineStr">
        <is>
          <t>E-mail: maria.rivera@</t>
        </is>
      </c>
      <c r="K38" s="19" t="inlineStr">
        <is>
          <t>Each required field shows its message. Invalid e-mail is refused. Nothing is saved.</t>
        </is>
      </c>
      <c r="L38" s="19" t="inlineStr">
        <is>
          <t>As expected.</t>
        </is>
      </c>
      <c r="M38" s="19" t="inlineStr">
        <is>
          <t>Pass</t>
        </is>
      </c>
      <c r="N38" s="19" t="inlineStr"/>
      <c r="O38" s="19" t="inlineStr">
        <is>
          <t>iorta TechNXT QA</t>
        </is>
      </c>
      <c r="P38" s="19" t="inlineStr">
        <is>
          <t>03 October 2026</t>
        </is>
      </c>
      <c r="Q38" s="19" t="inlineStr"/>
      <c r="R38" s="19" t="inlineStr">
        <is>
          <t>backend/test/role-access.test.js :: every create endpoint of the walk answers 400 "Validation failed" with one readable message per field [passed]</t>
        </is>
      </c>
      <c r="S38" s="19" t="n"/>
    </row>
    <row r="39">
      <c r="A39" s="19" t="inlineStr">
        <is>
          <t>BV-USR-003</t>
        </is>
      </c>
      <c r="B39" s="19" t="inlineStr">
        <is>
          <t>User and role administration</t>
        </is>
      </c>
      <c r="C39" s="19" t="inlineStr">
        <is>
          <t>User</t>
        </is>
      </c>
      <c r="D39" s="19" t="inlineStr">
        <is>
          <t>System Administrator (BrokerVerse)</t>
        </is>
      </c>
      <c r="E39" s="19" t="inlineStr">
        <is>
          <t>Duplicate username refused</t>
        </is>
      </c>
      <c r="F39" s="19" t="inlineStr">
        <is>
          <t>Negative</t>
        </is>
      </c>
      <c r="G39" s="19" t="inlineStr">
        <is>
          <t>Medium</t>
        </is>
      </c>
      <c r="H39" s="19" t="inlineStr">
        <is>
          <t>User maria.rivera exists.</t>
        </is>
      </c>
      <c r="I39" s="19" t="inlineStr">
        <is>
          <t>1. Click Add User.
2. Enter username maria.rivera with valid other details.
3. Click Save.</t>
        </is>
      </c>
      <c r="J39" s="19" t="inlineStr">
        <is>
          <t>Username: maria.rivera</t>
        </is>
      </c>
      <c r="K39" s="19" t="inlineStr">
        <is>
          <t>Save refused with a duplicate username message.</t>
        </is>
      </c>
      <c r="L39" s="19" t="inlineStr">
        <is>
          <t>As expected.</t>
        </is>
      </c>
      <c r="M39" s="19" t="inlineStr">
        <is>
          <t>Pass</t>
        </is>
      </c>
      <c r="N39" s="19" t="inlineStr"/>
      <c r="O39" s="19" t="inlineStr">
        <is>
          <t>iorta TechNXT QA</t>
        </is>
      </c>
      <c r="P39" s="19" t="inlineStr">
        <is>
          <t>03 October 2026</t>
        </is>
      </c>
      <c r="Q39" s="19" t="inlineStr">
        <is>
          <t>Unique username enforced by the user store.</t>
        </is>
      </c>
      <c r="R39" s="19" t="inlineStr">
        <is>
          <t>backend/test/user-access.test.js :: lists, creates and locks users, and reads the audit trail [passed]</t>
        </is>
      </c>
      <c r="S39" s="19" t="n"/>
    </row>
    <row r="40">
      <c r="A40" s="19" t="inlineStr">
        <is>
          <t>BV-USR-004</t>
        </is>
      </c>
      <c r="B40" s="19" t="inlineStr">
        <is>
          <t>User and role administration</t>
        </is>
      </c>
      <c r="C40" s="19" t="inlineStr">
        <is>
          <t>User</t>
        </is>
      </c>
      <c r="D40" s="19" t="inlineStr">
        <is>
          <t>System Administrator (beatriz.lacson)</t>
        </is>
      </c>
      <c r="E40" s="19" t="inlineStr">
        <is>
          <t>Only a System Administrator grants the administrator role</t>
        </is>
      </c>
      <c r="F40" s="19" t="inlineStr">
        <is>
          <t>Negative</t>
        </is>
      </c>
      <c r="G40" s="19" t="inlineStr">
        <is>
          <t>High</t>
        </is>
      </c>
      <c r="H40" s="19" t="inlineStr">
        <is>
          <t>Signed in as a user desk user without System Administrator role.</t>
        </is>
      </c>
      <c r="I40" s="19" t="inlineStr">
        <is>
          <t>1. Open a user and add role system-admin.
2. Click Save.</t>
        </is>
      </c>
      <c r="J40" s="19" t="inlineStr">
        <is>
          <t>Target role: system-admin</t>
        </is>
      </c>
      <c r="K40" s="19" t="inlineStr">
        <is>
          <t>Save refused. The role list stays unchanged.</t>
        </is>
      </c>
      <c r="L40" s="19" t="inlineStr">
        <is>
          <t>As expected.</t>
        </is>
      </c>
      <c r="M40" s="19" t="inlineStr">
        <is>
          <t>Pass</t>
        </is>
      </c>
      <c r="N40" s="19" t="inlineStr"/>
      <c r="O40" s="19" t="inlineStr">
        <is>
          <t>iorta TechNXT QA</t>
        </is>
      </c>
      <c r="P40" s="19" t="inlineStr">
        <is>
          <t>03 October 2026</t>
        </is>
      </c>
      <c r="Q40" s="19" t="inlineStr"/>
      <c r="R40" s="19" t="inlineStr">
        <is>
          <t>backend/test/user-access.test.js :: cannot grant the System Administrator role [passed]
backend/test/hardening.test.js :: only a System Administrator grants the administrator role or edits it; nobody changes their own roles or status [passed]</t>
        </is>
      </c>
      <c r="S40" s="19" t="n"/>
    </row>
    <row r="41">
      <c r="A41" s="19" t="inlineStr">
        <is>
          <t>BV-USR-005</t>
        </is>
      </c>
      <c r="B41" s="19" t="inlineStr">
        <is>
          <t>User and role administration</t>
        </is>
      </c>
      <c r="C41" s="19" t="inlineStr">
        <is>
          <t>User</t>
        </is>
      </c>
      <c r="D41" s="19" t="inlineStr">
        <is>
          <t>Any signed-in user</t>
        </is>
      </c>
      <c r="E41" s="19" t="inlineStr">
        <is>
          <t>A user cannot change own roles or status</t>
        </is>
      </c>
      <c r="F41" s="19" t="inlineStr">
        <is>
          <t>Negative</t>
        </is>
      </c>
      <c r="G41" s="19" t="inlineStr">
        <is>
          <t>High</t>
        </is>
      </c>
      <c r="H41" s="19" t="inlineStr">
        <is>
          <t>Signed in as beatriz.lacson.</t>
        </is>
      </c>
      <c r="I41" s="19" t="inlineStr">
        <is>
          <t>1. Open own user record.
2. Change the role or status and save.</t>
        </is>
      </c>
      <c r="J41" s="19" t="inlineStr">
        <is>
          <t>Own record</t>
        </is>
      </c>
      <c r="K41" s="19" t="inlineStr">
        <is>
          <t>Change refused.</t>
        </is>
      </c>
      <c r="L41" s="19" t="inlineStr">
        <is>
          <t>As expected.</t>
        </is>
      </c>
      <c r="M41" s="19" t="inlineStr">
        <is>
          <t>Pass</t>
        </is>
      </c>
      <c r="N41" s="19" t="inlineStr"/>
      <c r="O41" s="19" t="inlineStr">
        <is>
          <t>iorta TechNXT QA</t>
        </is>
      </c>
      <c r="P41" s="19" t="inlineStr">
        <is>
          <t>03 October 2026</t>
        </is>
      </c>
      <c r="Q41" s="19" t="inlineStr"/>
      <c r="R41" s="19" t="inlineStr">
        <is>
          <t>backend/test/user-access.test.js :: cannot change its own roles [passed]</t>
        </is>
      </c>
      <c r="S41" s="19" t="n"/>
    </row>
    <row r="42">
      <c r="A42" s="19" t="inlineStr">
        <is>
          <t>BV-USR-006</t>
        </is>
      </c>
      <c r="B42" s="19" t="inlineStr">
        <is>
          <t>User and role administration</t>
        </is>
      </c>
      <c r="C42" s="19" t="inlineStr">
        <is>
          <t>User</t>
        </is>
      </c>
      <c r="D42" s="19" t="inlineStr">
        <is>
          <t>System Administrator (BrokerVerse)</t>
        </is>
      </c>
      <c r="E42" s="19" t="inlineStr">
        <is>
          <t>Administrator resets a user password</t>
        </is>
      </c>
      <c r="F42" s="19" t="inlineStr">
        <is>
          <t>Functional</t>
        </is>
      </c>
      <c r="G42" s="19" t="inlineStr">
        <is>
          <t>Medium</t>
        </is>
      </c>
      <c r="H42" s="19" t="inlineStr">
        <is>
          <t>User carlo.estrada active and signed in elsewhere.</t>
        </is>
      </c>
      <c r="I42" s="19" t="inlineStr">
        <is>
          <t>1. Open the User list.
2. Open Account actions of carlo.estrada and reset the password leaving it empty.</t>
        </is>
      </c>
      <c r="J42" s="19" t="inlineStr">
        <is>
          <t>User: carlo.estrada</t>
        </is>
      </c>
      <c r="K42" s="19" t="inlineStr">
        <is>
          <t>Temporary password shown once. Existing sessions of the user end. User must change the password at the next sign-in.</t>
        </is>
      </c>
      <c r="L42" s="19" t="inlineStr">
        <is>
          <t>As expected.</t>
        </is>
      </c>
      <c r="M42" s="19" t="inlineStr">
        <is>
          <t>Pass</t>
        </is>
      </c>
      <c r="N42" s="19" t="inlineStr"/>
      <c r="O42" s="19" t="inlineStr">
        <is>
          <t>iorta TechNXT QA</t>
        </is>
      </c>
      <c r="P42" s="19" t="inlineStr">
        <is>
          <t>03 October 2026</t>
        </is>
      </c>
      <c r="Q42" s="19" t="inlineStr"/>
      <c r="R42" s="19" t="inlineStr">
        <is>
          <t>backend/test/hardening.test.js :: administrator reset without a password returns a temporary one once and ends the user's sessions [passed]</t>
        </is>
      </c>
      <c r="S42" s="19" t="n"/>
    </row>
    <row r="43">
      <c r="A43" s="19" t="inlineStr">
        <is>
          <t>BV-USR-007</t>
        </is>
      </c>
      <c r="B43" s="19" t="inlineStr">
        <is>
          <t>User and role administration</t>
        </is>
      </c>
      <c r="C43" s="19" t="inlineStr">
        <is>
          <t>Role</t>
        </is>
      </c>
      <c r="D43" s="19" t="inlineStr">
        <is>
          <t>System Administrator (BrokerVerse)</t>
        </is>
      </c>
      <c r="E43" s="19" t="inlineStr">
        <is>
          <t>Seeded roles are the broker roles plus System Administrator</t>
        </is>
      </c>
      <c r="F43" s="19" t="inlineStr">
        <is>
          <t>Functional</t>
        </is>
      </c>
      <c r="G43" s="19" t="inlineStr">
        <is>
          <t>Medium</t>
        </is>
      </c>
      <c r="H43" s="19" t="inlineStr">
        <is>
          <t>Fresh database.</t>
        </is>
      </c>
      <c r="I43" s="19" t="inlineStr">
        <is>
          <t>1. Open Master &gt; Generals &gt; User Management &gt; Role.</t>
        </is>
      </c>
      <c r="J43" s="19" t="inlineStr">
        <is>
          <t>None</t>
        </is>
      </c>
      <c r="K43" s="19" t="inlineStr">
        <is>
          <t>Roles listed: system-admin, sales, processing, operations, claims, accounting, accounting-manager. No legacy role codes.</t>
        </is>
      </c>
      <c r="L43" s="19" t="inlineStr">
        <is>
          <t>As expected.</t>
        </is>
      </c>
      <c r="M43" s="19" t="inlineStr">
        <is>
          <t>Pass</t>
        </is>
      </c>
      <c r="N43" s="19" t="inlineStr"/>
      <c r="O43" s="19" t="inlineStr">
        <is>
          <t>iorta TechNXT QA</t>
        </is>
      </c>
      <c r="P43" s="19" t="inlineStr">
        <is>
          <t>03 October 2026</t>
        </is>
      </c>
      <c r="Q43" s="19" t="inlineStr"/>
      <c r="R43" s="19" t="inlineStr">
        <is>
          <t>backend/test/user-access.test.js :: the seeded roles are the broker roles and the System Administrator [passed]
backend/test/broker-roles-migration.test.js :: leaves no old role code anywhere and is idempotent [passed]
Screen check /master/generals/usermanagement/role: opened clean</t>
        </is>
      </c>
      <c r="S43" s="19" t="n"/>
    </row>
    <row r="44">
      <c r="A44" s="19" t="inlineStr">
        <is>
          <t>BV-USR-008</t>
        </is>
      </c>
      <c r="B44" s="19" t="inlineStr">
        <is>
          <t>User and role administration</t>
        </is>
      </c>
      <c r="C44" s="19" t="inlineStr">
        <is>
          <t>Role permissions</t>
        </is>
      </c>
      <c r="D44" s="19" t="inlineStr">
        <is>
          <t>System Administrator (BrokerVerse)</t>
        </is>
      </c>
      <c r="E44" s="19" t="inlineStr">
        <is>
          <t>Change a role permission; the change waits for a second approver</t>
        </is>
      </c>
      <c r="F44" s="19" t="inlineStr">
        <is>
          <t>Functional</t>
        </is>
      </c>
      <c r="G44" s="19" t="inlineStr">
        <is>
          <t>High</t>
        </is>
      </c>
      <c r="H44" s="19" t="inlineStr">
        <is>
          <t>Two administrators.</t>
        </is>
      </c>
      <c r="I44" s="19" t="inlineStr">
        <is>
          <t>1. Open Master &gt; Generals &gt; User Management &gt; Role Permissions.
2. Add read:reports to role claims and save.
3. Check that the change is pending.
4. Sign in as the second administrator and approve it on Master &gt; Finance &gt; Configuration Approvals.</t>
        </is>
      </c>
      <c r="J44" s="19" t="inlineStr">
        <is>
          <t>Role: claims; permission read:reports</t>
        </is>
      </c>
      <c r="K44" s="19" t="inlineStr">
        <is>
          <t>Change shows as pending until a different user approves. After approval the users of the role receive renewed tokens with the new permission.</t>
        </is>
      </c>
      <c r="L44" s="19" t="inlineStr">
        <is>
          <t>As expected.</t>
        </is>
      </c>
      <c r="M44" s="19" t="inlineStr">
        <is>
          <t>Pass</t>
        </is>
      </c>
      <c r="N44" s="19" t="inlineStr"/>
      <c r="O44" s="19" t="inlineStr">
        <is>
          <t>iorta TechNXT QA</t>
        </is>
      </c>
      <c r="P44" s="19" t="inlineStr">
        <is>
          <t>03 October 2026</t>
        </is>
      </c>
      <c r="Q44" s="19" t="inlineStr"/>
      <c r="R44" s="19" t="inlineStr">
        <is>
          <t>backend/test/configuration-controls.test.js :: a role change waits for a different approver [passed]
backend/test/hardening.test.js :: role permission changes renew the tokens of the role's users [passed]
Screen check /master/generals/usermanagement/role-permissions: opened clean
Screen check /master/finance/configuration-approvals: opened clean</t>
        </is>
      </c>
      <c r="S44" s="19" t="n"/>
    </row>
    <row r="45">
      <c r="A45" s="19" t="inlineStr">
        <is>
          <t>BV-USR-009</t>
        </is>
      </c>
      <c r="B45" s="19" t="inlineStr">
        <is>
          <t>User and role administration</t>
        </is>
      </c>
      <c r="C45" s="19" t="inlineStr">
        <is>
          <t>Authority matrix</t>
        </is>
      </c>
      <c r="D45" s="19" t="inlineStr">
        <is>
          <t>System Administrator (BrokerVerse)</t>
        </is>
      </c>
      <c r="E45" s="19" t="inlineStr">
        <is>
          <t>Approval limits per role and transaction type</t>
        </is>
      </c>
      <c r="F45" s="19" t="inlineStr">
        <is>
          <t>Functional</t>
        </is>
      </c>
      <c r="G45" s="19" t="inlineStr">
        <is>
          <t>High</t>
        </is>
      </c>
      <c r="H45" s="19" t="inlineStr">
        <is>
          <t>Seeded authority matrix.</t>
        </is>
      </c>
      <c r="I45" s="19" t="inlineStr">
        <is>
          <t>1. Open Master &gt; Generals &gt; User Management &gt; Authority Matrix.
2. Read the default limits.
3. Raise the journal voucher limit of accounting to PHP 1,000,000.00 and save.
4. Approve as the second administrator.</t>
        </is>
      </c>
      <c r="J45" s="19" t="inlineStr">
        <is>
          <t>Journal voucher limit: PHP 1,000,000.00</t>
        </is>
      </c>
      <c r="K45" s="19" t="inlineStr">
        <is>
          <t>Matrix shows transaction types down and roles across. The new limit applies only after another administrator approves.</t>
        </is>
      </c>
      <c r="L45" s="19" t="inlineStr">
        <is>
          <t>As expected.</t>
        </is>
      </c>
      <c r="M45" s="19" t="inlineStr">
        <is>
          <t>Pass</t>
        </is>
      </c>
      <c r="N45" s="19" t="inlineStr"/>
      <c r="O45" s="19" t="inlineStr">
        <is>
          <t>iorta TechNXT QA</t>
        </is>
      </c>
      <c r="P45" s="19" t="inlineStr">
        <is>
          <t>03 October 2026</t>
        </is>
      </c>
      <c r="Q45" s="19" t="inlineStr"/>
      <c r="R45" s="19" t="inlineStr">
        <is>
          <t>backend/test/access-control.test.js :: ships default limits per role and shows them types down, roles across [passed]
backend/test/access-control.test.js :: a new limit applies only after another administrator approves it [passed]
Screen check /master/generals/usermanagement/authority-matrix: opened clean</t>
        </is>
      </c>
      <c r="S45" s="19" t="n"/>
    </row>
    <row r="46">
      <c r="A46" s="19" t="inlineStr">
        <is>
          <t>BV-USR-010</t>
        </is>
      </c>
      <c r="B46" s="19" t="inlineStr">
        <is>
          <t>User and role administration</t>
        </is>
      </c>
      <c r="C46" s="19" t="inlineStr">
        <is>
          <t>Authority matrix</t>
        </is>
      </c>
      <c r="D46" s="19" t="inlineStr">
        <is>
          <t>Accounting Manager (teresa.villaroman)</t>
        </is>
      </c>
      <c r="E46" s="19" t="inlineStr">
        <is>
          <t>Approval above the approver limit is refused</t>
        </is>
      </c>
      <c r="F46" s="19" t="inlineStr">
        <is>
          <t>Negative</t>
        </is>
      </c>
      <c r="G46" s="19" t="inlineStr">
        <is>
          <t>High</t>
        </is>
      </c>
      <c r="H46" s="19" t="inlineStr">
        <is>
          <t>Journal voucher of PHP 3,500,000.00 pending; accounting limit lower than that.</t>
        </is>
      </c>
      <c r="I46" s="19" t="inlineStr">
        <is>
          <t>1. Sign in as liza.quiambao's colleague nestor.pangilinan (accounting).
2. Try to approve the voucher.
3. Sign in as teresa.villaroman and approve.</t>
        </is>
      </c>
      <c r="J46" s="19" t="inlineStr">
        <is>
          <t>JV: go-live opening balance of BDO-OPS, PHP 3,500,000.00</t>
        </is>
      </c>
      <c r="K46" s="19" t="inlineStr">
        <is>
          <t>Accounting approver is refused (above limit). The Accounting Manager approves within limit.</t>
        </is>
      </c>
      <c r="L46" s="19" t="inlineStr">
        <is>
          <t>As expected.</t>
        </is>
      </c>
      <c r="M46" s="19" t="inlineStr">
        <is>
          <t>Pass</t>
        </is>
      </c>
      <c r="N46" s="19" t="inlineStr"/>
      <c r="O46" s="19" t="inlineStr">
        <is>
          <t>iorta TechNXT QA</t>
        </is>
      </c>
      <c r="P46" s="19" t="inlineStr">
        <is>
          <t>04 October 2026</t>
        </is>
      </c>
      <c r="Q46" s="19" t="inlineStr"/>
      <c r="R46" s="19" t="inlineStr">
        <is>
          <t>backend/test/access-control.test.js :: refuses an approval above the approver's limit and allows it within [passed]
UAT cycle 03-04 October 2026, phase Reconciliation: bank and insurer statements (10 passed, 0 failed)</t>
        </is>
      </c>
      <c r="S46" s="19" t="n"/>
    </row>
    <row r="47">
      <c r="A47" s="19" t="inlineStr">
        <is>
          <t>BV-USR-011</t>
        </is>
      </c>
      <c r="B47" s="19" t="inlineStr">
        <is>
          <t>User and role administration</t>
        </is>
      </c>
      <c r="C47" s="19" t="inlineStr">
        <is>
          <t>Delegations</t>
        </is>
      </c>
      <c r="D47" s="19" t="inlineStr">
        <is>
          <t>System Administrator (BrokerVerse)</t>
        </is>
      </c>
      <c r="E47" s="19" t="inlineStr">
        <is>
          <t>Delegate approval authority for a date range</t>
        </is>
      </c>
      <c r="F47" s="19" t="inlineStr">
        <is>
          <t>Functional</t>
        </is>
      </c>
      <c r="G47" s="19" t="inlineStr">
        <is>
          <t>Medium</t>
        </is>
      </c>
      <c r="H47" s="19" t="inlineStr">
        <is>
          <t>teresa.villaroman on leave 05 to 09 October 2026.</t>
        </is>
      </c>
      <c r="I47" s="19" t="inlineStr">
        <is>
          <t>1. Open Master &gt; Generals &gt; User Management &gt; Delegations.
2. Add a delegation from teresa.villaroman to ramon.almario for journal vouchers, 05 to 09 October 2026.
3. Save.</t>
        </is>
      </c>
      <c r="J47" s="19" t="inlineStr">
        <is>
          <t>Delegator: teresa.villaroman; Delegate: ramon.almario</t>
        </is>
      </c>
      <c r="K47" s="19" t="inlineStr">
        <is>
          <t>Within the dates ramon.almario approves with the delegator's authority for the listed types only.</t>
        </is>
      </c>
      <c r="L47" s="19" t="inlineStr">
        <is>
          <t>As expected.</t>
        </is>
      </c>
      <c r="M47" s="19" t="inlineStr">
        <is>
          <t>Pass</t>
        </is>
      </c>
      <c r="N47" s="19" t="inlineStr"/>
      <c r="O47" s="19" t="inlineStr">
        <is>
          <t>iorta TechNXT QA</t>
        </is>
      </c>
      <c r="P47" s="19" t="inlineStr">
        <is>
          <t>03 October 2026</t>
        </is>
      </c>
      <c r="Q47" s="19" t="inlineStr"/>
      <c r="R47" s="19" t="inlineStr">
        <is>
          <t>backend/test/access-control.test.js :: a delegation lends the delegator's authority for its types and dates [passed]
Screen check /master/generals/usermanagement/delegations: opened clean</t>
        </is>
      </c>
      <c r="S47" s="19" t="n"/>
    </row>
    <row r="48">
      <c r="A48" s="19" t="inlineStr">
        <is>
          <t>BV-USR-012</t>
        </is>
      </c>
      <c r="B48" s="19" t="inlineStr">
        <is>
          <t>User and role administration</t>
        </is>
      </c>
      <c r="C48" s="19" t="inlineStr">
        <is>
          <t>Segregation of duties</t>
        </is>
      </c>
      <c r="D48" s="19" t="inlineStr">
        <is>
          <t>System Administrator (BrokerVerse)</t>
        </is>
      </c>
      <c r="E48" s="19" t="inlineStr">
        <is>
          <t>Conflicting roles blocked on one user</t>
        </is>
      </c>
      <c r="F48" s="19" t="inlineStr">
        <is>
          <t>Negative</t>
        </is>
      </c>
      <c r="G48" s="19" t="inlineStr">
        <is>
          <t>High</t>
        </is>
      </c>
      <c r="H48" s="19" t="inlineStr">
        <is>
          <t>SoD rules seeded.</t>
        </is>
      </c>
      <c r="I48" s="19" t="inlineStr">
        <is>
          <t>1. Open Master &gt; Generals &gt; User Management &gt; Segregation of Duties and read the rules.
2. Open user liza.quiambao and add a role that conflicts with accounting (blocking rule).
3. Save.</t>
        </is>
      </c>
      <c r="J48" s="19" t="inlineStr">
        <is>
          <t>User: liza.quiambao</t>
        </is>
      </c>
      <c r="K48" s="19" t="inlineStr">
        <is>
          <t>Blocking conflicts refused; warning-level conflicts saved with a warning.</t>
        </is>
      </c>
      <c r="L48" s="19" t="inlineStr">
        <is>
          <t>As expected.</t>
        </is>
      </c>
      <c r="M48" s="19" t="inlineStr">
        <is>
          <t>Pass</t>
        </is>
      </c>
      <c r="N48" s="19" t="inlineStr"/>
      <c r="O48" s="19" t="inlineStr">
        <is>
          <t>iorta TechNXT QA</t>
        </is>
      </c>
      <c r="P48" s="19" t="inlineStr">
        <is>
          <t>03 October 2026</t>
        </is>
      </c>
      <c r="Q48" s="19" t="inlineStr"/>
      <c r="R48" s="19" t="inlineStr">
        <is>
          <t>backend/test/access-control.test.js :: blocks roles one person may not hold together and warns on the others [passed]
Screen check /master/generals/usermanagement/segregation-of-duties: opened clean</t>
        </is>
      </c>
      <c r="S48" s="19" t="n"/>
    </row>
    <row r="49">
      <c r="A49" s="19" t="inlineStr">
        <is>
          <t>BV-USR-013</t>
        </is>
      </c>
      <c r="B49" s="19" t="inlineStr">
        <is>
          <t>User and role administration</t>
        </is>
      </c>
      <c r="C49" s="19" t="inlineStr">
        <is>
          <t>Access reviews</t>
        </is>
      </c>
      <c r="D49" s="19" t="inlineStr">
        <is>
          <t>System Administrator (BrokerVerse)</t>
        </is>
      </c>
      <c r="E49" s="19" t="inlineStr">
        <is>
          <t>Periodic access review closes when every user is decided</t>
        </is>
      </c>
      <c r="F49" s="19" t="inlineStr">
        <is>
          <t>Functional</t>
        </is>
      </c>
      <c r="G49" s="19" t="inlineStr">
        <is>
          <t>Medium</t>
        </is>
      </c>
      <c r="H49" s="19" t="inlineStr">
        <is>
          <t>Active users exist.</t>
        </is>
      </c>
      <c r="I49" s="19" t="inlineStr">
        <is>
          <t>1. Open Master &gt; Generals &gt; User Management &gt; Access Reviews.
2. Start a review.
3. Keep all users except one; revoke paolo.dizon.
4. Complete the review.</t>
        </is>
      </c>
      <c r="J49" s="19" t="inlineStr">
        <is>
          <t>Revoked: paolo.dizon</t>
        </is>
      </c>
      <c r="K49" s="19" t="inlineStr">
        <is>
          <t>Every active user is listed. The revoked user is deactivated. The review closes when all are decided.</t>
        </is>
      </c>
      <c r="L49" s="19" t="inlineStr">
        <is>
          <t>As expected.</t>
        </is>
      </c>
      <c r="M49" s="19" t="inlineStr">
        <is>
          <t>Pass</t>
        </is>
      </c>
      <c r="N49" s="19" t="inlineStr"/>
      <c r="O49" s="19" t="inlineStr">
        <is>
          <t>iorta TechNXT QA</t>
        </is>
      </c>
      <c r="P49" s="19" t="inlineStr">
        <is>
          <t>03 October 2026</t>
        </is>
      </c>
      <c r="Q49" s="19" t="inlineStr"/>
      <c r="R49" s="19" t="inlineStr">
        <is>
          <t>backend/test/access-control.test.js :: reviews every active user; a revoked user is deactivated and the review closes when all are decided [passed]
Screen check /master/generals/usermanagement/access-reviews: opened clean</t>
        </is>
      </c>
      <c r="S49" s="19" t="n"/>
    </row>
    <row r="50">
      <c r="A50" s="19" t="inlineStr">
        <is>
          <t>BV-USR-014</t>
        </is>
      </c>
      <c r="B50" s="19" t="inlineStr">
        <is>
          <t>User and role administration</t>
        </is>
      </c>
      <c r="C50" s="19" t="inlineStr">
        <is>
          <t>User Access Matrix</t>
        </is>
      </c>
      <c r="D50" s="19" t="inlineStr">
        <is>
          <t>System Administrator (BrokerVerse)</t>
        </is>
      </c>
      <c r="E50" s="19" t="inlineStr">
        <is>
          <t>User access report downloads</t>
        </is>
      </c>
      <c r="F50" s="19" t="inlineStr">
        <is>
          <t>Report</t>
        </is>
      </c>
      <c r="G50" s="19" t="inlineStr">
        <is>
          <t>Low</t>
        </is>
      </c>
      <c r="H50" s="19" t="inlineStr">
        <is>
          <t>Users exist.</t>
        </is>
      </c>
      <c r="I50" s="19" t="inlineStr">
        <is>
          <t>1. Open Master &gt; Generals &gt; User Management &gt; User Access Matrix.
2. Click Download.</t>
        </is>
      </c>
      <c r="J50" s="19" t="inlineStr">
        <is>
          <t>None</t>
        </is>
      </c>
      <c r="K50" s="19" t="inlineStr">
        <is>
          <t>Every user listed with roles, last sign-in and status; file downloads.</t>
        </is>
      </c>
      <c r="L50" s="19" t="inlineStr">
        <is>
          <t>As expected.</t>
        </is>
      </c>
      <c r="M50" s="19" t="inlineStr">
        <is>
          <t>Pass</t>
        </is>
      </c>
      <c r="N50" s="19" t="inlineStr"/>
      <c r="O50" s="19" t="inlineStr">
        <is>
          <t>iorta TechNXT QA</t>
        </is>
      </c>
      <c r="P50" s="19" t="inlineStr">
        <is>
          <t>03 October 2026</t>
        </is>
      </c>
      <c r="Q50" s="19" t="inlineStr"/>
      <c r="R50" s="19" t="inlineStr">
        <is>
          <t>backend/test/access-control.test.js :: lists every user with roles and sign-in facts, and downloads it [passed]
Screen check /master/generals/usermanagement/access-matrix: opened clean</t>
        </is>
      </c>
      <c r="S50" s="19" t="n"/>
    </row>
    <row r="51">
      <c r="A51" s="19" t="inlineStr">
        <is>
          <t>BV-USR-015</t>
        </is>
      </c>
      <c r="B51" s="19" t="inlineStr">
        <is>
          <t>User and role administration</t>
        </is>
      </c>
      <c r="C51" s="19" t="inlineStr">
        <is>
          <t>Dormant accounts</t>
        </is>
      </c>
      <c r="D51" s="19" t="inlineStr">
        <is>
          <t>System Administrator (BrokerVerse)</t>
        </is>
      </c>
      <c r="E51" s="19" t="inlineStr">
        <is>
          <t>Dormant accounts deactivated, administrator kept</t>
        </is>
      </c>
      <c r="F51" s="19" t="inlineStr">
        <is>
          <t>Functional</t>
        </is>
      </c>
      <c r="G51" s="19" t="inlineStr">
        <is>
          <t>Low</t>
        </is>
      </c>
      <c r="H51" s="19" t="inlineStr">
        <is>
          <t>A user with no sign-in for the dormant period.</t>
        </is>
      </c>
      <c r="I51" s="19" t="inlineStr">
        <is>
          <t>1. Open Master &gt; Schedules.
2. Run the dormant account job.</t>
        </is>
      </c>
      <c r="J51" s="19" t="inlineStr">
        <is>
          <t>User last signed in more than the dormant period ago</t>
        </is>
      </c>
      <c r="K51" s="19" t="inlineStr">
        <is>
          <t>The dormant user is deactivated; the built-in administrator is never deactivated.</t>
        </is>
      </c>
      <c r="L51" s="19" t="inlineStr">
        <is>
          <t>As expected.</t>
        </is>
      </c>
      <c r="M51" s="19" t="inlineStr">
        <is>
          <t>Pass</t>
        </is>
      </c>
      <c r="N51" s="19" t="inlineStr"/>
      <c r="O51" s="19" t="inlineStr">
        <is>
          <t>iorta TechNXT QA</t>
        </is>
      </c>
      <c r="P51" s="19" t="inlineStr">
        <is>
          <t>03 October 2026</t>
        </is>
      </c>
      <c r="Q51" s="19" t="inlineStr"/>
      <c r="R51" s="19" t="inlineStr">
        <is>
          <t>backend/test/access-control.test.js :: deactivates accounts with no sign-in for the dormant period, never the built-in administrator [passed]</t>
        </is>
      </c>
      <c r="S51" s="19" t="n"/>
    </row>
    <row r="52">
      <c r="A52" s="19" t="inlineStr">
        <is>
          <t>BV-USR-016</t>
        </is>
      </c>
      <c r="B52" s="19" t="inlineStr">
        <is>
          <t>User and role administration</t>
        </is>
      </c>
      <c r="C52" s="19" t="inlineStr">
        <is>
          <t>Agent scope</t>
        </is>
      </c>
      <c r="D52" s="19" t="inlineStr">
        <is>
          <t>Sales / Account Executive (maria.rivera)</t>
        </is>
      </c>
      <c r="E52" s="19" t="inlineStr">
        <is>
          <t>Account Executive in a scoped role sees only own book</t>
        </is>
      </c>
      <c r="F52" s="19" t="inlineStr">
        <is>
          <t>Role access</t>
        </is>
      </c>
      <c r="G52" s="19" t="inlineStr">
        <is>
          <t>High</t>
        </is>
      </c>
      <c r="H52" s="19" t="inlineStr">
        <is>
          <t>security.scoped_roles = ["sales"]; leads exist for maria.rivera and paolo.dizon.</t>
        </is>
      </c>
      <c r="I52" s="19" t="inlineStr">
        <is>
          <t>1. Sign in as maria.rivera.
2. Open Prospects, Quotations, Policy and Clients.
3. Type the address of a quotation of paolo.dizon.</t>
        </is>
      </c>
      <c r="J52" s="19" t="inlineStr">
        <is>
          <t>Quotation of paolo.dizon</t>
        </is>
      </c>
      <c r="K52" s="19" t="inlineStr">
        <is>
          <t>Lists show only maria.rivera's records. The other quotation answers "not found". Administrator sees both.</t>
        </is>
      </c>
      <c r="L52" s="19" t="inlineStr">
        <is>
          <t>As expected.</t>
        </is>
      </c>
      <c r="M52" s="19" t="inlineStr">
        <is>
          <t>Pass</t>
        </is>
      </c>
      <c r="N52" s="19" t="inlineStr"/>
      <c r="O52" s="19" t="inlineStr">
        <is>
          <t>iorta TechNXT QA</t>
        </is>
      </c>
      <c r="P52" s="19" t="inlineStr">
        <is>
          <t>03 October 2026</t>
        </is>
      </c>
      <c r="Q52" s="19" t="inlineStr"/>
      <c r="R52" s="19" t="inlineStr">
        <is>
          <t>backend/test/scope.test.js :: leads: each agent lists, reads and updates only their own; admin sees all [passed]
backend/test/scope.test.js :: quotations: own list and stats; someone else's quote (or lead) answers 404 [passed]
backend/test/scope.test.js :: policies and clients: own book only; admin sees both agents' policies [passed]
backend/test/scope.test.js :: scoped roles come from security.scoped_roles [passed]</t>
        </is>
      </c>
      <c r="S52" s="19" t="n"/>
    </row>
    <row r="53">
      <c r="A53" s="19" t="inlineStr">
        <is>
          <t>BV-MST-001</t>
        </is>
      </c>
      <c r="B53" s="19" t="inlineStr">
        <is>
          <t>Masters</t>
        </is>
      </c>
      <c r="C53" s="19" t="inlineStr">
        <is>
          <t>Insurance Company</t>
        </is>
      </c>
      <c r="D53" s="19" t="inlineStr">
        <is>
          <t>System Administrator (beatriz.lacson)</t>
        </is>
      </c>
      <c r="E53" s="19" t="inlineStr">
        <is>
          <t>Add an insurer with credit terms</t>
        </is>
      </c>
      <c r="F53" s="19" t="inlineStr">
        <is>
          <t>Functional</t>
        </is>
      </c>
      <c r="G53" s="19" t="inlineStr">
        <is>
          <t>High</t>
        </is>
      </c>
      <c r="H53" s="19" t="inlineStr">
        <is>
          <t>Signed in as beatriz.lacson.</t>
        </is>
      </c>
      <c r="I53" s="19" t="inlineStr">
        <is>
          <t>1. Open Master &gt; Generals &gt; Insurance Management &gt; Insurance Company.
2. Click Add Insurance Company.
3. Enter code, name, short name, TIN, address, e-mail, phone, commission rate, premium warranty days, remittance terms days, billing mode.
4. Click Save.</t>
        </is>
      </c>
      <c r="J53" s="19" t="inlineStr">
        <is>
          <t>PCIC; Pacific Crest Insurance Corp.; Makati; commission 17.5%; warranty 60 days; remittance 30 days; billing broker</t>
        </is>
      </c>
      <c r="K53" s="19" t="inlineStr">
        <is>
          <t>Insurer saved and listed; it appears in the quotation insurer drop-down; credit terms resolve to 60 / 30 days.</t>
        </is>
      </c>
      <c r="L53" s="19" t="inlineStr">
        <is>
          <t>7 insurers created; credit terms read back per insurer.</t>
        </is>
      </c>
      <c r="M53" s="19" t="inlineStr">
        <is>
          <t>Pass</t>
        </is>
      </c>
      <c r="N53" s="19" t="inlineStr"/>
      <c r="O53" s="19" t="inlineStr">
        <is>
          <t>iorta TechNXT QA</t>
        </is>
      </c>
      <c r="P53" s="19" t="inlineStr">
        <is>
          <t>04 October 2026</t>
        </is>
      </c>
      <c r="Q53" s="19" t="inlineStr"/>
      <c r="R53" s="19" t="inlineStr">
        <is>
          <t>backend/test/masters.test.js :: creates, reads, searches, updates and deactivates [passed]
backend/test/numbering.test.js :: are edited on the insurer master and fall back to the settings [passed]
UAT cycle 03-04 October 2026, phase Set-up (46 passed, 0 failed)
Screen check /master/generals/insurancemanagement/insurancecompany: opened clean</t>
        </is>
      </c>
      <c r="S53" s="19" t="n"/>
    </row>
    <row r="54">
      <c r="A54" s="19" t="inlineStr">
        <is>
          <t>BV-MST-002</t>
        </is>
      </c>
      <c r="B54" s="19" t="inlineStr">
        <is>
          <t>Masters</t>
        </is>
      </c>
      <c r="C54" s="19" t="inlineStr">
        <is>
          <t>Insurance Company</t>
        </is>
      </c>
      <c r="D54" s="19" t="inlineStr">
        <is>
          <t>System Administrator (beatriz.lacson)</t>
        </is>
      </c>
      <c r="E54" s="19" t="inlineStr">
        <is>
          <t>Required fields and duplicate code on a master</t>
        </is>
      </c>
      <c r="F54" s="19" t="inlineStr">
        <is>
          <t>Validation</t>
        </is>
      </c>
      <c r="G54" s="19" t="inlineStr">
        <is>
          <t>Medium</t>
        </is>
      </c>
      <c r="H54" s="19" t="inlineStr">
        <is>
          <t>Insurer PCIC exists.</t>
        </is>
      </c>
      <c r="I54" s="19" t="inlineStr">
        <is>
          <t>1. Click Add Insurance Company and save empty.
2. Enter code PCIC again and save.</t>
        </is>
      </c>
      <c r="J54" s="19" t="inlineStr">
        <is>
          <t>Code: PCIC</t>
        </is>
      </c>
      <c r="K54" s="19" t="inlineStr">
        <is>
          <t>Required field messages. Duplicate code refused.</t>
        </is>
      </c>
      <c r="L54" s="19" t="inlineStr">
        <is>
          <t>As expected.</t>
        </is>
      </c>
      <c r="M54" s="19" t="inlineStr">
        <is>
          <t>Pass</t>
        </is>
      </c>
      <c r="N54" s="19" t="inlineStr"/>
      <c r="O54" s="19" t="inlineStr">
        <is>
          <t>iorta TechNXT QA</t>
        </is>
      </c>
      <c r="P54" s="19" t="inlineStr">
        <is>
          <t>03 October 2026</t>
        </is>
      </c>
      <c r="Q54" s="19" t="inlineStr"/>
      <c r="R54" s="19" t="inlineStr">
        <is>
          <t>backend/test/masters.test.js :: validates required fields, types and duplicate codes [passed]</t>
        </is>
      </c>
      <c r="S54" s="19" t="n"/>
    </row>
    <row r="55">
      <c r="A55" s="19" t="inlineStr">
        <is>
          <t>BV-MST-003</t>
        </is>
      </c>
      <c r="B55" s="19" t="inlineStr">
        <is>
          <t>Masters</t>
        </is>
      </c>
      <c r="C55" s="19" t="inlineStr">
        <is>
          <t>Product</t>
        </is>
      </c>
      <c r="D55" s="19" t="inlineStr">
        <is>
          <t>System Administrator (beatriz.lacson)</t>
        </is>
      </c>
      <c r="E55" s="19" t="inlineStr">
        <is>
          <t>Product master shows package / non-package classification</t>
        </is>
      </c>
      <c r="F55" s="19" t="inlineStr">
        <is>
          <t>Functional</t>
        </is>
      </c>
      <c r="G55" s="19" t="inlineStr">
        <is>
          <t>Medium</t>
        </is>
      </c>
      <c r="H55" s="19" t="inlineStr">
        <is>
          <t>Seeded products.</t>
        </is>
      </c>
      <c r="I55" s="19" t="inlineStr">
        <is>
          <t>1. Open Master &gt; Generals &gt; Insurance Management &gt; Product.
2. Filter by classification.</t>
        </is>
      </c>
      <c r="J55" s="19" t="inlineStr">
        <is>
          <t>MOTOR, CTPL, PA, TRAVEL, HOME (package); FIRE, IAR, CAR, EAR, MARINE, CGL, MONEY, EB, BOND (non-package)</t>
        </is>
      </c>
      <c r="K55" s="19" t="inlineStr">
        <is>
          <t>Each product shows its business type and customer segment; the filter narrows the list.</t>
        </is>
      </c>
      <c r="L55" s="19" t="inlineStr">
        <is>
          <t>As expected.</t>
        </is>
      </c>
      <c r="M55" s="19" t="inlineStr">
        <is>
          <t>Pass</t>
        </is>
      </c>
      <c r="N55" s="19" t="inlineStr"/>
      <c r="O55" s="19" t="inlineStr">
        <is>
          <t>iorta TechNXT QA</t>
        </is>
      </c>
      <c r="P55" s="19" t="inlineStr">
        <is>
          <t>03 October 2026</t>
        </is>
      </c>
      <c r="Q55" s="19" t="inlineStr"/>
      <c r="R55" s="19" t="inlineStr">
        <is>
          <t>backend/test/product-classification.test.js :: seeds package and non-package products with their customer segment [passed]
backend/test/product-classification.test.js :: shows and filters the classification on the placement options and the product master [passed]
Screen check /master/generals/insurancemanagement/productmaster: opened clean</t>
        </is>
      </c>
      <c r="S55" s="19" t="n"/>
    </row>
    <row r="56">
      <c r="A56" s="19" t="inlineStr">
        <is>
          <t>BV-MST-004</t>
        </is>
      </c>
      <c r="B56" s="19" t="inlineStr">
        <is>
          <t>Masters</t>
        </is>
      </c>
      <c r="C56" s="19" t="inlineStr">
        <is>
          <t>Product</t>
        </is>
      </c>
      <c r="D56" s="19" t="inlineStr">
        <is>
          <t>System Administrator (beatriz.lacson)</t>
        </is>
      </c>
      <c r="E56" s="19" t="inlineStr">
        <is>
          <t>Reclassifying a product changes its placement journey</t>
        </is>
      </c>
      <c r="F56" s="19" t="inlineStr">
        <is>
          <t>Functional</t>
        </is>
      </c>
      <c r="G56" s="19" t="inlineStr">
        <is>
          <t>Medium</t>
        </is>
      </c>
      <c r="H56" s="19" t="inlineStr">
        <is>
          <t>Product HOME is package.</t>
        </is>
      </c>
      <c r="I56" s="19" t="inlineStr">
        <is>
          <t>1. Open Product master, edit HOME, set business type non-package and save.
2. Create a quotation for HOME and try to convert directly.</t>
        </is>
      </c>
      <c r="J56" s="19" t="inlineStr">
        <is>
          <t>Product: HOME</t>
        </is>
      </c>
      <c r="K56" s="19" t="inlineStr">
        <is>
          <t>Conversion now asks for a Placement Slip. Revert the product afterwards.</t>
        </is>
      </c>
      <c r="L56" s="19" t="inlineStr">
        <is>
          <t>As expected.</t>
        </is>
      </c>
      <c r="M56" s="19" t="inlineStr">
        <is>
          <t>Pass</t>
        </is>
      </c>
      <c r="N56" s="19" t="inlineStr"/>
      <c r="O56" s="19" t="inlineStr">
        <is>
          <t>iorta TechNXT QA</t>
        </is>
      </c>
      <c r="P56" s="19" t="inlineStr">
        <is>
          <t>03 October 2026</t>
        </is>
      </c>
      <c r="Q56" s="19" t="inlineStr"/>
      <c r="R56" s="19" t="inlineStr">
        <is>
          <t>backend/test/product-classification.test.js :: reclassifying a product on the Product master changes its journey without a code change [passed]</t>
        </is>
      </c>
      <c r="S56" s="19" t="n"/>
    </row>
    <row r="57">
      <c r="A57" s="19" t="inlineStr">
        <is>
          <t>BV-MST-005</t>
        </is>
      </c>
      <c r="B57" s="19" t="inlineStr">
        <is>
          <t>Masters</t>
        </is>
      </c>
      <c r="C57" s="19" t="inlineStr">
        <is>
          <t>Cover</t>
        </is>
      </c>
      <c r="D57" s="19" t="inlineStr">
        <is>
          <t>System Administrator (beatriz.lacson)</t>
        </is>
      </c>
      <c r="E57" s="19" t="inlineStr">
        <is>
          <t>Cover master: code issued, several covers per line</t>
        </is>
      </c>
      <c r="F57" s="19" t="inlineStr">
        <is>
          <t>Functional</t>
        </is>
      </c>
      <c r="G57" s="19" t="inlineStr">
        <is>
          <t>Low</t>
        </is>
      </c>
      <c r="H57" s="19" t="inlineStr">
        <is>
          <t>Line MOTOR exists.</t>
        </is>
      </c>
      <c r="I57" s="19" t="inlineStr">
        <is>
          <t>1. Open Master &gt; Generals &gt; Insurance Management &gt; Cover.
2. Click Add Cover, choose line Motor, leave Effective To empty, save.</t>
        </is>
      </c>
      <c r="J57" s="19" t="inlineStr">
        <is>
          <t>Cover: Own damage and theft; Line: Motor</t>
        </is>
      </c>
      <c r="K57" s="19" t="inlineStr">
        <is>
          <t>Code issued, Effective To left open, cover offered on the motor quotation.</t>
        </is>
      </c>
      <c r="L57" s="19" t="inlineStr">
        <is>
          <t>As expected.</t>
        </is>
      </c>
      <c r="M57" s="19" t="inlineStr">
        <is>
          <t>Pass</t>
        </is>
      </c>
      <c r="N57" s="19" t="inlineStr"/>
      <c r="O57" s="19" t="inlineStr">
        <is>
          <t>iorta TechNXT QA</t>
        </is>
      </c>
      <c r="P57" s="19" t="inlineStr">
        <is>
          <t>03 October 2026</t>
        </is>
      </c>
      <c r="Q57" s="19" t="inlineStr"/>
      <c r="R57" s="19" t="inlineStr">
        <is>
          <t>backend/test/masters.test.js :: issues the code, leaves Effective To open, keeps several covers and matches every sales person when none is set [passed]
backend/test/masters.test.js :: offers the covers of a line and those without a line [passed]
Screen check /master/generals/insurancemanagement/cover: opened clean</t>
        </is>
      </c>
      <c r="S57" s="19" t="n"/>
    </row>
    <row r="58">
      <c r="A58" s="19" t="inlineStr">
        <is>
          <t>BV-MST-006</t>
        </is>
      </c>
      <c r="B58" s="19" t="inlineStr">
        <is>
          <t>Masters</t>
        </is>
      </c>
      <c r="C58" s="19" t="inlineStr">
        <is>
          <t>Signatories</t>
        </is>
      </c>
      <c r="D58" s="19" t="inlineStr">
        <is>
          <t>System Administrator (beatriz.lacson)</t>
        </is>
      </c>
      <c r="E58" s="19" t="inlineStr">
        <is>
          <t>Signatory added is offered on quotations; inactive is not</t>
        </is>
      </c>
      <c r="F58" s="19" t="inlineStr">
        <is>
          <t>Functional</t>
        </is>
      </c>
      <c r="G58" s="19" t="inlineStr">
        <is>
          <t>Medium</t>
        </is>
      </c>
      <c r="H58" s="19" t="inlineStr">
        <is>
          <t>Seeded signatories.</t>
        </is>
      </c>
      <c r="I58" s="19" t="inlineStr">
        <is>
          <t>1. Open Master &gt; Generals &gt; Insurance Management &gt; Signatories.
2. Click Add Signatories: name and position; save.
3. Deactivate another signatory.
4. As maria.rivera open a quotation PDF signatory list.</t>
        </is>
      </c>
      <c r="J58" s="19" t="inlineStr">
        <is>
          <t>Atty. Carmela Reyes, Vice President</t>
        </is>
      </c>
      <c r="K58" s="19" t="inlineStr">
        <is>
          <t>New signatory offered in the drop-down; inactive one not offered; the PDF prints name and designation.</t>
        </is>
      </c>
      <c r="L58" s="19" t="inlineStr">
        <is>
          <t>As expected.</t>
        </is>
      </c>
      <c r="M58" s="19" t="inlineStr">
        <is>
          <t>Pass</t>
        </is>
      </c>
      <c r="N58" s="19" t="inlineStr"/>
      <c r="O58" s="19" t="inlineStr">
        <is>
          <t>iorta TechNXT QA</t>
        </is>
      </c>
      <c r="P58" s="19" t="inlineStr">
        <is>
          <t>03 October 2026</t>
        </is>
      </c>
      <c r="Q58" s="19" t="inlineStr"/>
      <c r="R58" s="19" t="inlineStr">
        <is>
          <t>backend/test/masters.test.js :: a signatory added under Master is offered; an inactive one is not [passed]
backend/test/quote-to-policy.test.js :: the quotation PDF prints the chosen signatory with the designation [passed]
Screen check /master/generals/insurancemanagement/signatories: opened clean</t>
        </is>
      </c>
      <c r="S58" s="19" t="n"/>
    </row>
    <row r="59">
      <c r="A59" s="19" t="inlineStr">
        <is>
          <t>BV-MST-007</t>
        </is>
      </c>
      <c r="B59" s="19" t="inlineStr">
        <is>
          <t>Masters</t>
        </is>
      </c>
      <c r="C59" s="19" t="inlineStr">
        <is>
          <t>Location</t>
        </is>
      </c>
      <c r="D59" s="19" t="inlineStr">
        <is>
          <t>System Administrator (beatriz.lacson)</t>
        </is>
      </c>
      <c r="E59" s="19" t="inlineStr">
        <is>
          <t>Country, province and city drop-downs follow the hierarchy</t>
        </is>
      </c>
      <c r="F59" s="19" t="inlineStr">
        <is>
          <t>Functional</t>
        </is>
      </c>
      <c r="G59" s="19" t="inlineStr">
        <is>
          <t>Medium</t>
        </is>
      </c>
      <c r="H59" s="19" t="inlineStr">
        <is>
          <t>Seeded Philippine address data.</t>
        </is>
      </c>
      <c r="I59" s="19" t="inlineStr">
        <is>
          <t>1. Open a client address.
2. Select Philippines, Metro Manila, Makati.
3. Enter postal code lookup.</t>
        </is>
      </c>
      <c r="J59" s="19" t="inlineStr">
        <is>
          <t>Philippines &gt; Metro Manila (NCR) &gt; Makati; ZIP 1209</t>
        </is>
      </c>
      <c r="K59" s="19" t="inlineStr">
        <is>
          <t>Each level filters the next; postal code fills automatically.</t>
        </is>
      </c>
      <c r="L59" s="19" t="inlineStr">
        <is>
          <t>As expected.</t>
        </is>
      </c>
      <c r="M59" s="19" t="inlineStr">
        <is>
          <t>Pass</t>
        </is>
      </c>
      <c r="N59" s="19" t="inlineStr"/>
      <c r="O59" s="19" t="inlineStr">
        <is>
          <t>iorta TechNXT QA</t>
        </is>
      </c>
      <c r="P59" s="19" t="inlineStr">
        <is>
          <t>03 October 2026</t>
        </is>
      </c>
      <c r="Q59" s="19" t="inlineStr"/>
      <c r="R59" s="19" t="inlineStr">
        <is>
          <t>backend/test/addresses.test.js :: serves the Philippine hierarchy used by the claim screens: Metro Manila (NCR) -&gt; Makati [passed]
backend/test/addresses.test.js :: looks up postal codes for auto-fill [passed]
Screen check /master/generals/location/country: opened clean
Screen check /master/generals/location/state: opened clean
Screen check /master/generals/location/city: opened clean</t>
        </is>
      </c>
      <c r="S59" s="19" t="n"/>
    </row>
    <row r="60">
      <c r="A60" s="19" t="inlineStr">
        <is>
          <t>BV-MST-008</t>
        </is>
      </c>
      <c r="B60" s="19" t="inlineStr">
        <is>
          <t>Masters</t>
        </is>
      </c>
      <c r="C60" s="19" t="inlineStr">
        <is>
          <t>Location</t>
        </is>
      </c>
      <c r="D60" s="19" t="inlineStr">
        <is>
          <t>System Administrator (beatriz.lacson)</t>
        </is>
      </c>
      <c r="E60" s="19" t="inlineStr">
        <is>
          <t>Upload cities from the master template</t>
        </is>
      </c>
      <c r="F60" s="19" t="inlineStr">
        <is>
          <t>Functional</t>
        </is>
      </c>
      <c r="G60" s="19" t="inlineStr">
        <is>
          <t>Medium</t>
        </is>
      </c>
      <c r="H60" s="19" t="inlineStr">
        <is>
          <t>City master open.</t>
        </is>
      </c>
      <c r="I60" s="19" t="inlineStr">
        <is>
          <t>1. Open Master &gt; Generals &gt; Location &gt; City.
2. Click Upload and download the template.
3. Add one new city and upload the file.</t>
        </is>
      </c>
      <c r="J60" s="19" t="inlineStr">
        <is>
          <t>City: Tagaytay; Province: Cavite</t>
        </is>
      </c>
      <c r="K60" s="19" t="inlineStr">
        <is>
          <t>Message "1 created, 0 failed". City appears in the list and in address drop-downs. Rows in error are reported with the reason.</t>
        </is>
      </c>
      <c r="L60" s="19" t="inlineStr">
        <is>
          <t>As expected.</t>
        </is>
      </c>
      <c r="M60" s="19" t="inlineStr">
        <is>
          <t>Pass</t>
        </is>
      </c>
      <c r="N60" s="19" t="inlineStr"/>
      <c r="O60" s="19" t="inlineStr">
        <is>
          <t>iorta TechNXT QA</t>
        </is>
      </c>
      <c r="P60" s="19" t="inlineStr">
        <is>
          <t>03 October 2026</t>
        </is>
      </c>
      <c r="Q60" s="19" t="inlineStr"/>
      <c r="R60" s="19" t="inlineStr">
        <is>
          <t>backend/test/upload-templates.test.js :: downloads a master template and creates the uploaded records, reporting the rows that fail [passed]</t>
        </is>
      </c>
      <c r="S60" s="19" t="n"/>
    </row>
    <row r="61">
      <c r="A61" s="19" t="inlineStr">
        <is>
          <t>BV-MST-009</t>
        </is>
      </c>
      <c r="B61" s="19" t="inlineStr">
        <is>
          <t>Masters</t>
        </is>
      </c>
      <c r="C61" s="19" t="inlineStr">
        <is>
          <t>Company</t>
        </is>
      </c>
      <c r="D61" s="19" t="inlineStr">
        <is>
          <t>System Administrator (beatriz.lacson)</t>
        </is>
      </c>
      <c r="E61" s="19" t="inlineStr">
        <is>
          <t>Primary company prints on documents</t>
        </is>
      </c>
      <c r="F61" s="19" t="inlineStr">
        <is>
          <t>Functional</t>
        </is>
      </c>
      <c r="G61" s="19" t="inlineStr">
        <is>
          <t>Medium</t>
        </is>
      </c>
      <c r="H61" s="19" t="inlineStr">
        <is>
          <t>Company master seeded with iorta TechNXT Corp. as primary.</t>
        </is>
      </c>
      <c r="I61" s="19" t="inlineStr">
        <is>
          <t>1. Open Master &gt; Generals &gt; Organization &gt; Company.
2. Check one primary company only; try to set a second as primary.
3. Print a billing statement.</t>
        </is>
      </c>
      <c r="J61" s="19" t="inlineStr">
        <is>
          <t>Company: iorta TechNXT Corp.</t>
        </is>
      </c>
      <c r="K61" s="19" t="inlineStr">
        <is>
          <t>Only one primary company allowed. Prints show the primary company name, address, TIN and logo.</t>
        </is>
      </c>
      <c r="L61" s="19" t="inlineStr">
        <is>
          <t>As expected.</t>
        </is>
      </c>
      <c r="M61" s="19" t="inlineStr">
        <is>
          <t>Pass</t>
        </is>
      </c>
      <c r="N61" s="19" t="inlineStr"/>
      <c r="O61" s="19" t="inlineStr">
        <is>
          <t>iorta TechNXT QA</t>
        </is>
      </c>
      <c r="P61" s="19" t="inlineStr">
        <is>
          <t>03 October 2026</t>
        </is>
      </c>
      <c r="Q61" s="19" t="inlineStr"/>
      <c r="R61" s="19" t="inlineStr">
        <is>
          <t>backend/test/printing.test.js :: reads the primary company of the Company master (iorta TechNXT Corp. out of the box) with its logo [passed]
backend/test/printing.test.js :: allows one primary company only, and prints follow the primary company [passed]
Screen check /master/generals/organization/companymaster: opened clean</t>
        </is>
      </c>
      <c r="S61" s="19" t="n"/>
    </row>
    <row r="62">
      <c r="A62" s="19" t="inlineStr">
        <is>
          <t>BV-MST-010</t>
        </is>
      </c>
      <c r="B62" s="19" t="inlineStr">
        <is>
          <t>Masters</t>
        </is>
      </c>
      <c r="C62" s="19" t="inlineStr">
        <is>
          <t>Branch / Employee</t>
        </is>
      </c>
      <c r="D62" s="19" t="inlineStr">
        <is>
          <t>System Administrator (beatriz.lacson)</t>
        </is>
      </c>
      <c r="E62" s="19" t="inlineStr">
        <is>
          <t>Branch, designation and employee masters open and save</t>
        </is>
      </c>
      <c r="F62" s="19" t="inlineStr">
        <is>
          <t>Functional</t>
        </is>
      </c>
      <c r="G62" s="19" t="inlineStr">
        <is>
          <t>Low</t>
        </is>
      </c>
      <c r="H62" s="19" t="inlineStr">
        <is>
          <t>Signed in as beatriz.lacson.</t>
        </is>
      </c>
      <c r="I62" s="19" t="inlineStr">
        <is>
          <t>1. Open Master &gt; Generals &gt; Organization &gt; Branch and add branch CEB.
2. Open Employee Management &gt; Designation and add Senior Account Executive.
3. Open Employee Management &gt; Employee and add an employee in branch CEB.</t>
        </is>
      </c>
      <c r="J62" s="19" t="inlineStr">
        <is>
          <t>Branch CEB Cebu; Designation SAE</t>
        </is>
      </c>
      <c r="K62" s="19" t="inlineStr">
        <is>
          <t>Each record saves and lists; search finds it.</t>
        </is>
      </c>
      <c r="L62" s="19" t="inlineStr">
        <is>
          <t>As expected.</t>
        </is>
      </c>
      <c r="M62" s="19" t="inlineStr">
        <is>
          <t>Pass</t>
        </is>
      </c>
      <c r="N62" s="19" t="inlineStr"/>
      <c r="O62" s="19" t="inlineStr">
        <is>
          <t>iorta TechNXT QA</t>
        </is>
      </c>
      <c r="P62" s="19" t="inlineStr">
        <is>
          <t>03 October 2026</t>
        </is>
      </c>
      <c r="Q62" s="19" t="inlineStr"/>
      <c r="R62" s="19" t="inlineStr">
        <is>
          <t>backend/test/masters.test.js :: creates, reads, searches, updates and deactivates [passed]
Screen check /master/generals/organization/branchmaster: opened clean
Screen check /master/generals/employeemanagement/designation: opened clean
Screen check /master/generals/employeemanagement/employee: opened clean</t>
        </is>
      </c>
      <c r="S62" s="19" t="n"/>
    </row>
    <row r="63">
      <c r="A63" s="19" t="inlineStr">
        <is>
          <t>BV-MST-011</t>
        </is>
      </c>
      <c r="B63" s="19" t="inlineStr">
        <is>
          <t>Masters</t>
        </is>
      </c>
      <c r="C63" s="19" t="inlineStr">
        <is>
          <t>Master permissions</t>
        </is>
      </c>
      <c r="D63" s="19" t="inlineStr">
        <is>
          <t>Sales / Account Executive (maria.rivera)</t>
        </is>
      </c>
      <c r="E63" s="19" t="inlineStr">
        <is>
          <t>Sales reads masters but cannot change them</t>
        </is>
      </c>
      <c r="F63" s="19" t="inlineStr">
        <is>
          <t>Role access</t>
        </is>
      </c>
      <c r="G63" s="19" t="inlineStr">
        <is>
          <t>Medium</t>
        </is>
      </c>
      <c r="H63" s="19" t="inlineStr">
        <is>
          <t>Signed in as maria.rivera.</t>
        </is>
      </c>
      <c r="I63" s="19" t="inlineStr">
        <is>
          <t>1. Open a quotation and use the insurer drop-down.
2. Call an insurer master update (or open the master by address).</t>
        </is>
      </c>
      <c r="J63" s="19" t="inlineStr">
        <is>
          <t>Insurer PCIC</t>
        </is>
      </c>
      <c r="K63" s="19" t="inlineStr">
        <is>
          <t>Drop-downs read the master. Changes are refused.</t>
        </is>
      </c>
      <c r="L63" s="19" t="inlineStr">
        <is>
          <t>As expected.</t>
        </is>
      </c>
      <c r="M63" s="19" t="inlineStr">
        <is>
          <t>Pass</t>
        </is>
      </c>
      <c r="N63" s="19" t="inlineStr"/>
      <c r="O63" s="19" t="inlineStr">
        <is>
          <t>iorta TechNXT QA</t>
        </is>
      </c>
      <c r="P63" s="19" t="inlineStr">
        <is>
          <t>03 October 2026</t>
        </is>
      </c>
      <c r="Q63" s="19" t="inlineStr"/>
      <c r="R63" s="19" t="inlineStr">
        <is>
          <t>backend/test/masters.test.js :: enforces permissions: sales may read but not write [passed]</t>
        </is>
      </c>
      <c r="S63" s="19" t="n"/>
    </row>
    <row r="64">
      <c r="A64" s="19" t="inlineStr">
        <is>
          <t>BV-MST-012</t>
        </is>
      </c>
      <c r="B64" s="19" t="inlineStr">
        <is>
          <t>Masters</t>
        </is>
      </c>
      <c r="C64" s="19" t="inlineStr">
        <is>
          <t>Master definitions</t>
        </is>
      </c>
      <c r="D64" s="19" t="inlineStr">
        <is>
          <t>System Administrator (BrokerVerse)</t>
        </is>
      </c>
      <c r="E64" s="19" t="inlineStr">
        <is>
          <t>Administrator adds a new master type without code change</t>
        </is>
      </c>
      <c r="F64" s="19" t="inlineStr">
        <is>
          <t>Functional</t>
        </is>
      </c>
      <c r="G64" s="19" t="inlineStr">
        <is>
          <t>Low</t>
        </is>
      </c>
      <c r="H64" s="19" t="inlineStr">
        <is>
          <t>Signed in as BrokerVerse.</t>
        </is>
      </c>
      <c r="I64" s="19" t="inlineStr">
        <is>
          <t>1. Open the master definitions.
2. Add master type "Vehicle Usage" with two fields.
3. Add a record.</t>
        </is>
      </c>
      <c r="J64" s="19" t="inlineStr">
        <is>
          <t>Vehicle Usage: Private, Commercial</t>
        </is>
      </c>
      <c r="K64" s="19" t="inlineStr">
        <is>
          <t>The new master appears with its fields and records.</t>
        </is>
      </c>
      <c r="L64" s="19" t="inlineStr">
        <is>
          <t>As expected.</t>
        </is>
      </c>
      <c r="M64" s="19" t="inlineStr">
        <is>
          <t>Pass</t>
        </is>
      </c>
      <c r="N64" s="19" t="inlineStr"/>
      <c r="O64" s="19" t="inlineStr">
        <is>
          <t>iorta TechNXT QA</t>
        </is>
      </c>
      <c r="P64" s="19" t="inlineStr">
        <is>
          <t>03 October 2026</t>
        </is>
      </c>
      <c r="Q64" s="19" t="inlineStr"/>
      <c r="R64" s="19" t="inlineStr">
        <is>
          <t>backend/test/masters.test.js :: administrators add a new master type and edit field definitions without code changes [passed]</t>
        </is>
      </c>
      <c r="S64" s="19" t="n"/>
    </row>
    <row r="65">
      <c r="A65" s="19" t="inlineStr">
        <is>
          <t>BV-MST-013</t>
        </is>
      </c>
      <c r="B65" s="19" t="inlineStr">
        <is>
          <t>Masters</t>
        </is>
      </c>
      <c r="C65" s="19" t="inlineStr">
        <is>
          <t>Finance masters</t>
        </is>
      </c>
      <c r="D65" s="19" t="inlineStr">
        <is>
          <t>System Administrator (beatriz.lacson)</t>
        </is>
      </c>
      <c r="E65" s="19" t="inlineStr">
        <is>
          <t>Currency, exchange rate and bank masters</t>
        </is>
      </c>
      <c r="F65" s="19" t="inlineStr">
        <is>
          <t>Functional</t>
        </is>
      </c>
      <c r="G65" s="19" t="inlineStr">
        <is>
          <t>Medium</t>
        </is>
      </c>
      <c r="H65" s="19" t="inlineStr">
        <is>
          <t>Signed in as BrokerVerse.</t>
        </is>
      </c>
      <c r="I65" s="19" t="inlineStr">
        <is>
          <t>1. Open Master &gt; Finance &gt; Currency; check PHP and USD.
2. Open Exchange Rate and click Add Exchange Rate for USD.
3. Open Bank and add bank account BDO-OPS.</t>
        </is>
      </c>
      <c r="J65" s="19" t="inlineStr">
        <is>
          <t>USD 1 = PHP 57.25 effective 30 September 2026; BDO-OPS 0071-xxxx-xx</t>
        </is>
      </c>
      <c r="K65" s="19" t="inlineStr">
        <is>
          <t>Records saved and listed; bank account checks number, e-mail, phone and SWIFT formats.</t>
        </is>
      </c>
      <c r="L65" s="19" t="inlineStr">
        <is>
          <t>As expected.</t>
        </is>
      </c>
      <c r="M65" s="19" t="inlineStr">
        <is>
          <t>Pass</t>
        </is>
      </c>
      <c r="N65" s="19" t="inlineStr"/>
      <c r="O65" s="19" t="inlineStr">
        <is>
          <t>iorta TechNXT QA</t>
        </is>
      </c>
      <c r="P65" s="19" t="inlineStr">
        <is>
          <t>04 October 2026</t>
        </is>
      </c>
      <c r="Q65" s="19" t="inlineStr"/>
      <c r="R65" s="19" t="inlineStr">
        <is>
          <t>backend/test/masters.test.js :: currency and seeded insurance companies expose front-end field names [passed]
brokerverse/src/module/FinanceMastersModule/BankMaster/AccountDataView/bankAccountErrors.test.js :: checks the formats of number, e-mail, phone and SWIFT code [passed]
UAT cycle 03-04 October 2026, phase Set-up (46 passed, 0 failed)
Screen check /master/finance/currency: opened clean
Screen check /master/finance/exchangerate: opened clean
Screen check /master/finance/bank: opened clean</t>
        </is>
      </c>
      <c r="S65" s="19" t="n"/>
    </row>
    <row r="66">
      <c r="A66" s="19" t="inlineStr">
        <is>
          <t>BV-MST-014</t>
        </is>
      </c>
      <c r="B66" s="19" t="inlineStr">
        <is>
          <t>Masters</t>
        </is>
      </c>
      <c r="C66" s="19" t="inlineStr">
        <is>
          <t>Chart of accounts</t>
        </is>
      </c>
      <c r="D66" s="19" t="inlineStr">
        <is>
          <t>Accounting Officer (liza.quiambao)</t>
        </is>
      </c>
      <c r="E66" s="19" t="inlineStr">
        <is>
          <t>Chart of accounts is a complete Philippine broker chart</t>
        </is>
      </c>
      <c r="F66" s="19" t="inlineStr">
        <is>
          <t>Accounting</t>
        </is>
      </c>
      <c r="G66" s="19" t="inlineStr">
        <is>
          <t>High</t>
        </is>
      </c>
      <c r="H66" s="19" t="inlineStr">
        <is>
          <t>Fresh database.</t>
        </is>
      </c>
      <c r="I66" s="19" t="inlineStr">
        <is>
          <t>1. Open Master &gt; Finance &gt; Main Account.
2. Open Sub Account.
3. Check every GL account named in the settings and posting maps exists and is active.</t>
        </is>
      </c>
      <c r="J66" s="19" t="inlineStr">
        <is>
          <t>GL 1102001 BDO operating; 1102003 Metrobank collection; 2209001 unearned commission</t>
        </is>
      </c>
      <c r="K66" s="19" t="inlineStr">
        <is>
          <t>All system accounts exist and are active, grouped for the statements. System accounts cannot be deleted.</t>
        </is>
      </c>
      <c r="L66" s="19" t="inlineStr">
        <is>
          <t>As expected.</t>
        </is>
      </c>
      <c r="M66" s="19" t="inlineStr">
        <is>
          <t>Pass</t>
        </is>
      </c>
      <c r="N66" s="19" t="inlineStr"/>
      <c r="O66" s="19" t="inlineStr">
        <is>
          <t>iorta TechNXT QA</t>
        </is>
      </c>
      <c r="P66" s="19" t="inlineStr">
        <is>
          <t>03 October 2026</t>
        </is>
      </c>
      <c r="Q66" s="19" t="inlineStr"/>
      <c r="R66" s="19" t="inlineStr">
        <is>
          <t>backend/test/chart-of-accounts.test.js :: every GL account the system posts to (settings, payee and payment-mode maps) exists and is active [passed]
backend/test/chart-of-accounts.test.js :: is a complete Philippine broker chart, grouped for the statements [passed]
backend/test/chart-of-accounts.test.js :: is maintained from the chart of accounts screen (type grouping, statement group, system accounts protected) [passed]
Screen check /master/finance/mainaccount: opened clean
Screen check /master/finance/subaccount: opened clean
Screen check /master/finance/accountcategory: opened clean</t>
        </is>
      </c>
      <c r="S66" s="19" t="n"/>
    </row>
    <row r="67">
      <c r="A67" s="19" t="inlineStr">
        <is>
          <t>BV-MST-015</t>
        </is>
      </c>
      <c r="B67" s="19" t="inlineStr">
        <is>
          <t>Masters</t>
        </is>
      </c>
      <c r="C67" s="19" t="inlineStr">
        <is>
          <t>Chart of accounts</t>
        </is>
      </c>
      <c r="D67" s="19" t="inlineStr">
        <is>
          <t>Accounting Officer (liza.quiambao)</t>
        </is>
      </c>
      <c r="E67" s="19" t="inlineStr">
        <is>
          <t>Upload chart of accounts adds and updates accounts</t>
        </is>
      </c>
      <c r="F67" s="19" t="inlineStr">
        <is>
          <t>Functional</t>
        </is>
      </c>
      <c r="G67" s="19" t="inlineStr">
        <is>
          <t>Medium</t>
        </is>
      </c>
      <c r="H67" s="19" t="inlineStr">
        <is>
          <t>Template downloaded.</t>
        </is>
      </c>
      <c r="I67" s="19" t="inlineStr">
        <is>
          <t>1. Open Main Account and click Upload.
2. Upload a file with one new and one changed account.</t>
        </is>
      </c>
      <c r="J67" s="19" t="inlineStr">
        <is>
          <t>New 6105010 Bank charges - MBT; changed name of 4401001</t>
        </is>
      </c>
      <c r="K67" s="19" t="inlineStr">
        <is>
          <t>New account added, existing one updated.</t>
        </is>
      </c>
      <c r="L67" s="19" t="inlineStr">
        <is>
          <t>As expected.</t>
        </is>
      </c>
      <c r="M67" s="19" t="inlineStr">
        <is>
          <t>Pass</t>
        </is>
      </c>
      <c r="N67" s="19" t="inlineStr"/>
      <c r="O67" s="19" t="inlineStr">
        <is>
          <t>iorta TechNXT QA</t>
        </is>
      </c>
      <c r="P67" s="19" t="inlineStr">
        <is>
          <t>03 October 2026</t>
        </is>
      </c>
      <c r="Q67" s="19" t="inlineStr"/>
      <c r="R67" s="19" t="inlineStr">
        <is>
          <t>backend/test/upload-templates.test.js :: chart of accounts upload adds new accounts and updates existing ones [passed]</t>
        </is>
      </c>
      <c r="S67" s="19" t="n"/>
    </row>
    <row r="68">
      <c r="A68" s="19" t="inlineStr">
        <is>
          <t>BV-MST-016</t>
        </is>
      </c>
      <c r="B68" s="19" t="inlineStr">
        <is>
          <t>Masters</t>
        </is>
      </c>
      <c r="C68" s="19" t="inlineStr">
        <is>
          <t>Commission Rate Matrix</t>
        </is>
      </c>
      <c r="D68" s="19" t="inlineStr">
        <is>
          <t>System Administrator (beatriz.lacson)</t>
        </is>
      </c>
      <c r="E68" s="19" t="inlineStr">
        <is>
          <t>Commission rate per insurer and product with renewal row</t>
        </is>
      </c>
      <c r="F68" s="19" t="inlineStr">
        <is>
          <t>Functional</t>
        </is>
      </c>
      <c r="G68" s="19" t="inlineStr">
        <is>
          <t>High</t>
        </is>
      </c>
      <c r="H68" s="19" t="inlineStr">
        <is>
          <t>Insurers and products exist.</t>
        </is>
      </c>
      <c r="I68" s="19" t="inlineStr">
        <is>
          <t>1. Open Master &gt; Finance &gt; Commission Rate Matrix.
2. Click Add rate: insurer, product, policy type, rate, effective from.
3. Add a renewal row for PCIC / MOTOR.</t>
        </is>
      </c>
      <c r="J68" s="19" t="inlineStr">
        <is>
          <t>PCIC / MOTOR new 20.0%; PCIC / MOTOR renewal 17.5%; effective 01 January 2026</t>
        </is>
      </c>
      <c r="K68" s="19" t="inlineStr">
        <is>
          <t>Rows saved. Resolution picks the most specific active row; PCIC motor new business resolves to 20%.</t>
        </is>
      </c>
      <c r="L68" s="19" t="inlineStr">
        <is>
          <t>25 rate rows created; PCIC motor resolved to 20%.</t>
        </is>
      </c>
      <c r="M68" s="19" t="inlineStr">
        <is>
          <t>Pass</t>
        </is>
      </c>
      <c r="N68" s="19" t="inlineStr"/>
      <c r="O68" s="19" t="inlineStr">
        <is>
          <t>iorta TechNXT QA</t>
        </is>
      </c>
      <c r="P68" s="19" t="inlineStr">
        <is>
          <t>04 October 2026</t>
        </is>
      </c>
      <c r="Q68" s="19" t="inlineStr"/>
      <c r="R68" s="19" t="inlineStr">
        <is>
          <t>backend/test/numbering.test.js :: picks the most specific active row effective on the date [passed]
backend/test/numbering.test.js :: falls back to the insurer rate, then commission.default_rate [passed]
UAT cycle 03-04 October 2026, phase Set-up (46 passed, 0 failed)
Screen check /master/finance/commission-rate-matrix: opened clean</t>
        </is>
      </c>
      <c r="S68" s="19" t="n"/>
    </row>
    <row r="69">
      <c r="A69" s="19" t="inlineStr">
        <is>
          <t>BV-MST-017</t>
        </is>
      </c>
      <c r="B69" s="19" t="inlineStr">
        <is>
          <t>Masters</t>
        </is>
      </c>
      <c r="C69" s="19" t="inlineStr">
        <is>
          <t>Commission Rate Matrix</t>
        </is>
      </c>
      <c r="D69" s="19" t="inlineStr">
        <is>
          <t>System Administrator (beatriz.lacson)</t>
        </is>
      </c>
      <c r="E69" s="19" t="inlineStr">
        <is>
          <t>Overlapping active commission rows refused</t>
        </is>
      </c>
      <c r="F69" s="19" t="inlineStr">
        <is>
          <t>Negative</t>
        </is>
      </c>
      <c r="G69" s="19" t="inlineStr">
        <is>
          <t>Medium</t>
        </is>
      </c>
      <c r="H69" s="19" t="inlineStr">
        <is>
          <t>PCIC / MOTOR new 20% active from 01 January 2026.</t>
        </is>
      </c>
      <c r="I69" s="19" t="inlineStr">
        <is>
          <t>1. Add another active row PCIC / MOTOR new from 01 June 2026.
2. Save.</t>
        </is>
      </c>
      <c r="J69" s="19" t="inlineStr">
        <is>
          <t>Rate 22.5%</t>
        </is>
      </c>
      <c r="K69" s="19" t="inlineStr">
        <is>
          <t>Save refused for overlap; an inactive row with the same keys is allowed.</t>
        </is>
      </c>
      <c r="L69" s="19" t="inlineStr">
        <is>
          <t>As expected.</t>
        </is>
      </c>
      <c r="M69" s="19" t="inlineStr">
        <is>
          <t>Pass</t>
        </is>
      </c>
      <c r="N69" s="19" t="inlineStr"/>
      <c r="O69" s="19" t="inlineStr">
        <is>
          <t>iorta TechNXT QA</t>
        </is>
      </c>
      <c r="P69" s="19" t="inlineStr">
        <is>
          <t>03 October 2026</t>
        </is>
      </c>
      <c r="Q69" s="19" t="inlineStr"/>
      <c r="R69" s="19" t="inlineStr">
        <is>
          <t>backend/test/numbering.test.js :: rejects overlapping active rows with the same keys; inactive rows do not count [passed]</t>
        </is>
      </c>
      <c r="S69" s="19" t="n"/>
    </row>
    <row r="70">
      <c r="A70" s="19" t="inlineStr">
        <is>
          <t>BV-MST-018</t>
        </is>
      </c>
      <c r="B70" s="19" t="inlineStr">
        <is>
          <t>Masters</t>
        </is>
      </c>
      <c r="C70" s="19" t="inlineStr">
        <is>
          <t>Taxation</t>
        </is>
      </c>
      <c r="D70" s="19" t="inlineStr">
        <is>
          <t>Accounting Officer (liza.quiambao)</t>
        </is>
      </c>
      <c r="E70" s="19" t="inlineStr">
        <is>
          <t>Tax codes master holds the PH codes with ATCs</t>
        </is>
      </c>
      <c r="F70" s="19" t="inlineStr">
        <is>
          <t>Accounting</t>
        </is>
      </c>
      <c r="G70" s="19" t="inlineStr">
        <is>
          <t>High</t>
        </is>
      </c>
      <c r="H70" s="19" t="inlineStr">
        <is>
          <t>Seeded tax codes.</t>
        </is>
      </c>
      <c r="I70" s="19" t="inlineStr">
        <is>
          <t>1. Open Master &gt; Finance &gt; Taxation.
2. Find VAT12-OUT and WC139.
3. Edit the description of one code and save.</t>
        </is>
      </c>
      <c r="J70" s="19" t="inlineStr">
        <is>
          <t>VAT12-OUT; WC139</t>
        </is>
      </c>
      <c r="K70" s="19" t="inlineStr">
        <is>
          <t>26 tax codes, all active, with ATC; edit saved and the linked configuration key stays in step.</t>
        </is>
      </c>
      <c r="L70" s="19" t="inlineStr">
        <is>
          <t>As expected.</t>
        </is>
      </c>
      <c r="M70" s="19" t="inlineStr">
        <is>
          <t>Pass</t>
        </is>
      </c>
      <c r="N70" s="19" t="inlineStr"/>
      <c r="O70" s="19" t="inlineStr">
        <is>
          <t>iorta TechNXT QA</t>
        </is>
      </c>
      <c r="P70" s="19" t="inlineStr">
        <is>
          <t>04 October 2026</t>
        </is>
      </c>
      <c r="Q70" s="19" t="inlineStr"/>
      <c r="R70" s="19" t="inlineStr">
        <is>
          <t>backend/test/period-end.test.js :: tax codes master holds the PH codes with ATCs and is editable [passed]
backend/test/masters.test.js :: taxation records linked to a setting keep the configuration key in step [passed]
UAT cycle 03-04 October 2026, phase Set-up (46 passed, 0 failed)
Screen check /master/finance/taxation: opened clean</t>
        </is>
      </c>
      <c r="S70" s="19" t="n"/>
    </row>
    <row r="71">
      <c r="A71" s="19" t="inlineStr">
        <is>
          <t>BV-MST-019</t>
        </is>
      </c>
      <c r="B71" s="19" t="inlineStr">
        <is>
          <t>Masters</t>
        </is>
      </c>
      <c r="C71" s="19" t="inlineStr">
        <is>
          <t>Premium taxes</t>
        </is>
      </c>
      <c r="D71" s="19" t="inlineStr">
        <is>
          <t>Accounting Officer (liza.quiambao)</t>
        </is>
      </c>
      <c r="E71" s="19" t="inlineStr">
        <is>
          <t>Premium taxes and LGU rates maintained by Accounting</t>
        </is>
      </c>
      <c r="F71" s="19" t="inlineStr">
        <is>
          <t>Accounting</t>
        </is>
      </c>
      <c r="G71" s="19" t="inlineStr">
        <is>
          <t>High</t>
        </is>
      </c>
      <c r="H71" s="19" t="inlineStr">
        <is>
          <t>Seeded rules and Metro Manila LGU rates.</t>
        </is>
      </c>
      <c r="I71" s="19" t="inlineStr">
        <is>
          <t>1. Open Master &gt; Finance &gt; Premium Taxes &amp; LGU Rates.
2. Read VAT, DST, FST and LGT rules.
3. Change the Makati LGT rate and save.
4. As maria.rivera try the same change.</t>
        </is>
      </c>
      <c r="J71" s="19" t="inlineStr">
        <is>
          <t>Makati LGT 0.75%</t>
        </is>
      </c>
      <c r="K71" s="19" t="inlineStr">
        <is>
          <t>Accounting saves; Sales is refused. Charges calculator shows the effect for a premium at a location.</t>
        </is>
      </c>
      <c r="L71" s="19" t="inlineStr">
        <is>
          <t>Rules and LGU rates saved by Accounting; Sales refused. Signed in as Accounting, the screen loads with no refused request and the product list of the charges calculator is filled.</t>
        </is>
      </c>
      <c r="M71" s="19" t="inlineStr">
        <is>
          <t>Pass</t>
        </is>
      </c>
      <c r="N71" s="19" t="inlineStr">
        <is>
          <t>BV-DEF-006 (closed)</t>
        </is>
      </c>
      <c r="O71" s="19" t="inlineStr">
        <is>
          <t>iorta TechNXT QA</t>
        </is>
      </c>
      <c r="P71" s="19" t="inlineStr">
        <is>
          <t>03 October 2026</t>
        </is>
      </c>
      <c r="Q71" s="19" t="inlineStr">
        <is>
          <t>Re-test of 03 October 2026 after the fix, fresh database with the UAT data set.</t>
        </is>
      </c>
      <c r="R71" s="19" t="inlineStr">
        <is>
          <t>backend/test/premium-charges.test.js :: lets Accounting maintain rules and LGU rates; Sales cannot [passed]
backend/test/premium-charges.test.js :: lists the seeded rules and Metro Manila LGU rates [passed]
backend/test/premium-charges.test.js :: calculates the charges of a product premium at a location [passed]
Screen check /master/finance/premium-taxes: opened clean</t>
        </is>
      </c>
      <c r="S71" s="19" t="n"/>
    </row>
    <row r="72">
      <c r="A72" s="19" t="inlineStr">
        <is>
          <t>BV-MST-020</t>
        </is>
      </c>
      <c r="B72" s="19" t="inlineStr">
        <is>
          <t>Masters</t>
        </is>
      </c>
      <c r="C72" s="19" t="inlineStr">
        <is>
          <t>Premium taxes</t>
        </is>
      </c>
      <c r="D72" s="19" t="inlineStr">
        <is>
          <t>Processing Team (jose.bernardo)</t>
        </is>
      </c>
      <c r="E72" s="19" t="inlineStr">
        <is>
          <t>DST, VAT, FST and LGT computed on a fire premium</t>
        </is>
      </c>
      <c r="F72" s="19" t="inlineStr">
        <is>
          <t>Validation</t>
        </is>
      </c>
      <c r="G72" s="19" t="inlineStr">
        <is>
          <t>High</t>
        </is>
      </c>
      <c r="H72" s="19" t="inlineStr">
        <is>
          <t>Fire product; location Makati.</t>
        </is>
      </c>
      <c r="I72" s="19" t="inlineStr">
        <is>
          <t>1. Create a fire quotation for net premium PHP 22,000.00 in Makati.
2. Read the premium breakdown.</t>
        </is>
      </c>
      <c r="J72" s="19" t="inlineStr">
        <is>
          <t>Net PHP 22,000.00</t>
        </is>
      </c>
      <c r="K72" s="19" t="inlineStr">
        <is>
          <t>DST charged per PHP 4.00 or part (rounded up), VAT on non-property, FST on fire, LGT at the LGU rate; each line rounded to 2 decimals and totalled.</t>
        </is>
      </c>
      <c r="L72" s="19" t="inlineStr">
        <is>
          <t>As expected.</t>
        </is>
      </c>
      <c r="M72" s="19" t="inlineStr">
        <is>
          <t>Pass</t>
        </is>
      </c>
      <c r="N72" s="19" t="inlineStr"/>
      <c r="O72" s="19" t="inlineStr">
        <is>
          <t>iorta TechNXT QA</t>
        </is>
      </c>
      <c r="P72" s="19" t="inlineStr">
        <is>
          <t>03 October 2026</t>
        </is>
      </c>
      <c r="Q72" s="19" t="inlineStr"/>
      <c r="R72" s="19" t="inlineStr">
        <is>
          <t>backend/test/premium-charges.test.js :: prices VAT, DST per P4.00, FST on fire and LGT for a fire premium [passed]
backend/test/premium-charges.test.js :: charges DST on every P4.00 or fractional part (round up) or proportionally (prorate) [passed]
backend/test/premium-charges.test.js :: rounds every amount to 2 decimals half away from zero and totals the rounded lines [passed]</t>
        </is>
      </c>
      <c r="S72" s="19" t="n"/>
    </row>
    <row r="73">
      <c r="A73" s="19" t="inlineStr">
        <is>
          <t>BV-MST-021</t>
        </is>
      </c>
      <c r="B73" s="19" t="inlineStr">
        <is>
          <t>Masters</t>
        </is>
      </c>
      <c r="C73" s="19" t="inlineStr">
        <is>
          <t>Rounding</t>
        </is>
      </c>
      <c r="D73" s="19" t="inlineStr">
        <is>
          <t>Accounting Officer (liza.quiambao)</t>
        </is>
      </c>
      <c r="E73" s="19" t="inlineStr">
        <is>
          <t>Money rounding half away from zero</t>
        </is>
      </c>
      <c r="F73" s="19" t="inlineStr">
        <is>
          <t>Validation</t>
        </is>
      </c>
      <c r="G73" s="19" t="inlineStr">
        <is>
          <t>Medium</t>
        </is>
      </c>
      <c r="H73" s="19" t="inlineStr">
        <is>
          <t>Any premium screen.</t>
        </is>
      </c>
      <c r="I73" s="19" t="inlineStr">
        <is>
          <t>1. Enter amounts that end in .005 and check the displayed totals.</t>
        </is>
      </c>
      <c r="J73" s="19" t="inlineStr">
        <is>
          <t>1.005 -&gt; 1.01; 2.675 -&gt; 2.68; -1.005 -&gt; -1.01; 1234567.895 -&gt; 1,234,567.90</t>
        </is>
      </c>
      <c r="K73" s="19" t="inlineStr">
        <is>
          <t>Amounts round half away from zero to 2 decimals; empty input is 0.</t>
        </is>
      </c>
      <c r="L73" s="19" t="inlineStr">
        <is>
          <t>As expected.</t>
        </is>
      </c>
      <c r="M73" s="19" t="inlineStr">
        <is>
          <t>Pass</t>
        </is>
      </c>
      <c r="N73" s="19" t="inlineStr"/>
      <c r="O73" s="19" t="inlineStr">
        <is>
          <t>iorta TechNXT QA</t>
        </is>
      </c>
      <c r="P73" s="19" t="inlineStr">
        <is>
          <t>03 October 2026</t>
        </is>
      </c>
      <c r="Q73" s="19" t="inlineStr"/>
      <c r="R73" s="19" t="inlineStr">
        <is>
          <t>backend/test/configuration.test.js :: round2(1.005) = 1.01 [passed]
backend/test/configuration.test.js :: round2(2.675) = 2.68 [passed]
backend/test/configuration.test.js :: treats empty and invalid input as 0 (never -0 or NaN) [passed]</t>
        </is>
      </c>
      <c r="S73" s="19" t="n"/>
    </row>
    <row r="74">
      <c r="A74" s="19" t="inlineStr">
        <is>
          <t>BV-CFG-001</t>
        </is>
      </c>
      <c r="B74" s="19" t="inlineStr">
        <is>
          <t>Configuration and numbering</t>
        </is>
      </c>
      <c r="C74" s="19" t="inlineStr">
        <is>
          <t>Configuration</t>
        </is>
      </c>
      <c r="D74" s="19" t="inlineStr">
        <is>
          <t>System Administrator (BrokerVerse)</t>
        </is>
      </c>
      <c r="E74" s="19" t="inlineStr">
        <is>
          <t>Every setting is listed with a label and group</t>
        </is>
      </c>
      <c r="F74" s="19" t="inlineStr">
        <is>
          <t>Functional</t>
        </is>
      </c>
      <c r="G74" s="19" t="inlineStr">
        <is>
          <t>Medium</t>
        </is>
      </c>
      <c r="H74" s="19" t="inlineStr">
        <is>
          <t>Fresh database.</t>
        </is>
      </c>
      <c r="I74" s="19" t="inlineStr">
        <is>
          <t>1. Open Master &gt; Configuration.
2. Browse each group (Security, Limits, Accounting, Sales, Notification).</t>
        </is>
      </c>
      <c r="J74" s="19" t="inlineStr">
        <is>
          <t>None</t>
        </is>
      </c>
      <c r="K74" s="19" t="inlineStr">
        <is>
          <t>Every key read by the application is present with a label and group; values match the seeded defaults.</t>
        </is>
      </c>
      <c r="L74" s="19" t="inlineStr">
        <is>
          <t>As expected.</t>
        </is>
      </c>
      <c r="M74" s="19" t="inlineStr">
        <is>
          <t>Pass</t>
        </is>
      </c>
      <c r="N74" s="19" t="inlineStr"/>
      <c r="O74" s="19" t="inlineStr">
        <is>
          <t>iorta TechNXT QA</t>
        </is>
      </c>
      <c r="P74" s="19" t="inlineStr">
        <is>
          <t>03 October 2026</t>
        </is>
      </c>
      <c r="Q74" s="19" t="inlineStr"/>
      <c r="R74" s="19" t="inlineStr">
        <is>
          <t>backend/test/configuration.test.js :: every key read by the code is seeded, with a label and a group (so Master &gt; Configuration shows it) [passed]
backend/test/configuration.test.js :: scripts/check-settings.js: every key read in code exists and only documented keys are left unread [passed]
Screen check /master/configuration/settings: opened clean</t>
        </is>
      </c>
      <c r="S74" s="19" t="n"/>
    </row>
    <row r="75">
      <c r="A75" s="19" t="inlineStr">
        <is>
          <t>BV-CFG-002</t>
        </is>
      </c>
      <c r="B75" s="19" t="inlineStr">
        <is>
          <t>Configuration and numbering</t>
        </is>
      </c>
      <c r="C75" s="19" t="inlineStr">
        <is>
          <t>Configuration</t>
        </is>
      </c>
      <c r="D75" s="19" t="inlineStr">
        <is>
          <t>System Administrator (BrokerVerse)</t>
        </is>
      </c>
      <c r="E75" s="19" t="inlineStr">
        <is>
          <t>Change a setting; it is saved and audited</t>
        </is>
      </c>
      <c r="F75" s="19" t="inlineStr">
        <is>
          <t>Functional</t>
        </is>
      </c>
      <c r="G75" s="19" t="inlineStr">
        <is>
          <t>High</t>
        </is>
      </c>
      <c r="H75" s="19" t="inlineStr">
        <is>
          <t>Signed in as BrokerVerse.</t>
        </is>
      </c>
      <c r="I75" s="19" t="inlineStr">
        <is>
          <t>1. Open Master &gt; Configuration &gt; Limits.
2. Change limits.session_idle_minutes from 30 to 20 and save.
3. Open Master &gt; Audit Trail and filter on today.</t>
        </is>
      </c>
      <c r="J75" s="19" t="inlineStr">
        <is>
          <t>limits.session_idle_minutes: 30 -&gt; 20</t>
        </is>
      </c>
      <c r="K75" s="19" t="inlineStr">
        <is>
          <t>Setting saved. Audit Trail shows the change with before and after values and user.</t>
        </is>
      </c>
      <c r="L75" s="19" t="inlineStr">
        <is>
          <t>As expected.</t>
        </is>
      </c>
      <c r="M75" s="19" t="inlineStr">
        <is>
          <t>Pass</t>
        </is>
      </c>
      <c r="N75" s="19" t="inlineStr"/>
      <c r="O75" s="19" t="inlineStr">
        <is>
          <t>iorta TechNXT QA</t>
        </is>
      </c>
      <c r="P75" s="19" t="inlineStr">
        <is>
          <t>03 October 2026</t>
        </is>
      </c>
      <c r="Q75" s="19" t="inlineStr"/>
      <c r="R75" s="19" t="inlineStr">
        <is>
          <t>backend/test/core.test.js :: settings are read from the database and editable by admins [passed]
backend/test/core.test.js :: writes an audit trail [passed]</t>
        </is>
      </c>
      <c r="S75" s="19" t="n"/>
    </row>
    <row r="76">
      <c r="A76" s="19" t="inlineStr">
        <is>
          <t>BV-CFG-003</t>
        </is>
      </c>
      <c r="B76" s="19" t="inlineStr">
        <is>
          <t>Configuration and numbering</t>
        </is>
      </c>
      <c r="C76" s="19" t="inlineStr">
        <is>
          <t>Configuration</t>
        </is>
      </c>
      <c r="D76" s="19" t="inlineStr">
        <is>
          <t>System Administrator (BrokerVerse)</t>
        </is>
      </c>
      <c r="E76" s="19" t="inlineStr">
        <is>
          <t>Invalid setting value refused</t>
        </is>
      </c>
      <c r="F76" s="19" t="inlineStr">
        <is>
          <t>Negative</t>
        </is>
      </c>
      <c r="G76" s="19" t="inlineStr">
        <is>
          <t>Medium</t>
        </is>
      </c>
      <c r="H76" s="19" t="inlineStr">
        <is>
          <t>Signed in as BrokerVerse.</t>
        </is>
      </c>
      <c r="I76" s="19" t="inlineStr">
        <is>
          <t>1. Enter "abc" for a number setting and save.
2. As maria.rivera try to change a setting.</t>
        </is>
      </c>
      <c r="J76" s="19" t="inlineStr">
        <is>
          <t>limits.max_login_attempts = abc</t>
        </is>
      </c>
      <c r="K76" s="19" t="inlineStr">
        <is>
          <t>Invalid value refused; unauthorised user refused.</t>
        </is>
      </c>
      <c r="L76" s="19" t="inlineStr">
        <is>
          <t>As expected.</t>
        </is>
      </c>
      <c r="M76" s="19" t="inlineStr">
        <is>
          <t>Pass</t>
        </is>
      </c>
      <c r="N76" s="19" t="inlineStr"/>
      <c r="O76" s="19" t="inlineStr">
        <is>
          <t>iorta TechNXT QA</t>
        </is>
      </c>
      <c r="P76" s="19" t="inlineStr">
        <is>
          <t>03 October 2026</t>
        </is>
      </c>
      <c r="Q76" s="19" t="inlineStr"/>
      <c r="R76" s="19" t="inlineStr">
        <is>
          <t>backend/test/system-settings.test.js :: rejects invalid values and unauthorised users [passed]</t>
        </is>
      </c>
      <c r="S76" s="19" t="n"/>
    </row>
    <row r="77">
      <c r="A77" s="19" t="inlineStr">
        <is>
          <t>BV-CFG-004</t>
        </is>
      </c>
      <c r="B77" s="19" t="inlineStr">
        <is>
          <t>Configuration and numbering</t>
        </is>
      </c>
      <c r="C77" s="19" t="inlineStr">
        <is>
          <t>Configuration</t>
        </is>
      </c>
      <c r="D77" s="19" t="inlineStr">
        <is>
          <t>System Administrator (BrokerVerse)</t>
        </is>
      </c>
      <c r="E77" s="19" t="inlineStr">
        <is>
          <t>Settings change on one server is picked up by the others</t>
        </is>
      </c>
      <c r="F77" s="19" t="inlineStr">
        <is>
          <t>Integration</t>
        </is>
      </c>
      <c r="G77" s="19" t="inlineStr">
        <is>
          <t>Low</t>
        </is>
      </c>
      <c r="H77" s="19" t="inlineStr">
        <is>
          <t>Two API instances.</t>
        </is>
      </c>
      <c r="I77" s="19" t="inlineStr">
        <is>
          <t>1. Change a setting on instance A.
2. Read it from instance B after the version check interval.</t>
        </is>
      </c>
      <c r="J77" s="19" t="inlineStr">
        <is>
          <t>Any setting</t>
        </is>
      </c>
      <c r="K77" s="19" t="inlineStr">
        <is>
          <t>Instance B uses the new value without a restart.</t>
        </is>
      </c>
      <c r="L77" s="19" t="inlineStr">
        <is>
          <t>As expected.</t>
        </is>
      </c>
      <c r="M77" s="19" t="inlineStr">
        <is>
          <t>Pass</t>
        </is>
      </c>
      <c r="N77" s="19" t="inlineStr"/>
      <c r="O77" s="19" t="inlineStr">
        <is>
          <t>iorta TechNXT QA</t>
        </is>
      </c>
      <c r="P77" s="19" t="inlineStr">
        <is>
          <t>03 October 2026</t>
        </is>
      </c>
      <c r="Q77" s="19" t="inlineStr"/>
      <c r="R77" s="19" t="inlineStr">
        <is>
          <t>backend/test/operations.test.js :: picks up a setting changed by another instance at the next version check [passed]</t>
        </is>
      </c>
      <c r="S77" s="19" t="n"/>
    </row>
    <row r="78">
      <c r="A78" s="19" t="inlineStr">
        <is>
          <t>BV-CFG-005</t>
        </is>
      </c>
      <c r="B78" s="19" t="inlineStr">
        <is>
          <t>Configuration and numbering</t>
        </is>
      </c>
      <c r="C78" s="19" t="inlineStr">
        <is>
          <t>Time zone</t>
        </is>
      </c>
      <c r="D78" s="19" t="inlineStr">
        <is>
          <t>System Administrator (BrokerVerse)</t>
        </is>
      </c>
      <c r="E78" s="19" t="inlineStr">
        <is>
          <t>Business date is Manila time, not UTC</t>
        </is>
      </c>
      <c r="F78" s="19" t="inlineStr">
        <is>
          <t>Validation</t>
        </is>
      </c>
      <c r="G78" s="19" t="inlineStr">
        <is>
          <t>High</t>
        </is>
      </c>
      <c r="H78" s="19" t="inlineStr">
        <is>
          <t>general.timezone = Asia/Manila.</t>
        </is>
      </c>
      <c r="I78" s="19" t="inlineStr">
        <is>
          <t>1. Issue a policy at 00:30 Manila on 01 October 2026.
2. Open the Executive Dashboard "This Month".</t>
        </is>
      </c>
      <c r="J78" s="19" t="inlineStr">
        <is>
          <t>Issue time 00:30 Manila (16:30 UTC previous day)</t>
        </is>
      </c>
      <c r="K78" s="19" t="inlineStr">
        <is>
          <t>The policy counts in October. Business dates and numbering use the Manila date.</t>
        </is>
      </c>
      <c r="L78" s="19" t="inlineStr">
        <is>
          <t>As expected.</t>
        </is>
      </c>
      <c r="M78" s="19" t="inlineStr">
        <is>
          <t>Pass</t>
        </is>
      </c>
      <c r="N78" s="19" t="inlineStr"/>
      <c r="O78" s="19" t="inlineStr">
        <is>
          <t>iorta TechNXT QA</t>
        </is>
      </c>
      <c r="P78" s="19" t="inlineStr">
        <is>
          <t>03 October 2026</t>
        </is>
      </c>
      <c r="Q78" s="19" t="inlineStr"/>
      <c r="R78" s="19" t="inlineStr">
        <is>
          <t>backend/test/configuration.test.js :: is Manila time near midnight UTC, not the UTC date [passed]
backend/test/dashboard.test.js :: "This Month" runs from the 1st of the Manila month; a policy at 00:30 Manila on the 1st counts, 23:30 the day before does not [passed]
backend/test/operations.test.js :: defaults business-date columns to the Manila date (numbering_business_date) [passed]</t>
        </is>
      </c>
      <c r="S78" s="19" t="n"/>
    </row>
    <row r="79">
      <c r="A79" s="19" t="inlineStr">
        <is>
          <t>BV-CFG-006</t>
        </is>
      </c>
      <c r="B79" s="19" t="inlineStr">
        <is>
          <t>Configuration and numbering</t>
        </is>
      </c>
      <c r="C79" s="19" t="inlineStr">
        <is>
          <t>System Settings</t>
        </is>
      </c>
      <c r="D79" s="19" t="inlineStr">
        <is>
          <t>System Administrator (BrokerVerse)</t>
        </is>
      </c>
      <c r="E79" s="19" t="inlineStr">
        <is>
          <t>Company logo and favicon on System Settings</t>
        </is>
      </c>
      <c r="F79" s="19" t="inlineStr">
        <is>
          <t>Functional</t>
        </is>
      </c>
      <c r="G79" s="19" t="inlineStr">
        <is>
          <t>Low</t>
        </is>
      </c>
      <c r="H79" s="19" t="inlineStr">
        <is>
          <t>Signed in as BrokerVerse.</t>
        </is>
      </c>
      <c r="I79" s="19" t="inlineStr">
        <is>
          <t>1. Open Master &gt; System Settings.
2. Click Upload Logo and choose a PNG.
3. Click Upload Favicon and choose an .exe renamed .ico.</t>
        </is>
      </c>
      <c r="J79" s="19" t="inlineStr">
        <is>
          <t>logo.png; bad.ico</t>
        </is>
      </c>
      <c r="K79" s="19" t="inlineStr">
        <is>
          <t>Logo preset added and shown. Disallowed favicon type refused.</t>
        </is>
      </c>
      <c r="L79" s="19" t="inlineStr">
        <is>
          <t>As expected.</t>
        </is>
      </c>
      <c r="M79" s="19" t="inlineStr">
        <is>
          <t>Pass</t>
        </is>
      </c>
      <c r="N79" s="19" t="inlineStr"/>
      <c r="O79" s="19" t="inlineStr">
        <is>
          <t>iorta TechNXT QA</t>
        </is>
      </c>
      <c r="P79" s="19" t="inlineStr">
        <is>
          <t>03 October 2026</t>
        </is>
      </c>
      <c r="Q79" s="19" t="inlineStr"/>
      <c r="R79" s="19" t="inlineStr">
        <is>
          <t>backend/test/system-settings.test.js :: adds a logo preset by URL and by file upload, then removes it [passed]
backend/test/system-settings.test.js :: uploads a favicon and rejects a disallowed type [passed]
Screen check /master/configuration/system-settings: opened clean</t>
        </is>
      </c>
      <c r="S79" s="19" t="n"/>
    </row>
    <row r="80">
      <c r="A80" s="19" t="inlineStr">
        <is>
          <t>BV-CFG-007</t>
        </is>
      </c>
      <c r="B80" s="19" t="inlineStr">
        <is>
          <t>Configuration and numbering</t>
        </is>
      </c>
      <c r="C80" s="19" t="inlineStr">
        <is>
          <t>Document Numbering</t>
        </is>
      </c>
      <c r="D80" s="19" t="inlineStr">
        <is>
          <t>System Administrator (BrokerVerse)</t>
        </is>
      </c>
      <c r="E80" s="19" t="inlineStr">
        <is>
          <t>Numbering series listed with next-number preview</t>
        </is>
      </c>
      <c r="F80" s="19" t="inlineStr">
        <is>
          <t>Functional</t>
        </is>
      </c>
      <c r="G80" s="19" t="inlineStr">
        <is>
          <t>High</t>
        </is>
      </c>
      <c r="H80" s="19" t="inlineStr">
        <is>
          <t>Fresh database.</t>
        </is>
      </c>
      <c r="I80" s="19" t="inlineStr">
        <is>
          <t>1. Open Master &gt; Document Numbering.
2. Search "receipt".
3. Read the pattern, current counter and next number.</t>
        </is>
      </c>
      <c r="J80" s="19" t="inlineStr">
        <is>
          <t>Series: official receipt</t>
        </is>
      </c>
      <c r="K80" s="19" t="inlineStr">
        <is>
          <t>Every document code has an active series with a unique prefix; preview shows the next number.</t>
        </is>
      </c>
      <c r="L80" s="19" t="inlineStr">
        <is>
          <t>As expected.</t>
        </is>
      </c>
      <c r="M80" s="19" t="inlineStr">
        <is>
          <t>Pass</t>
        </is>
      </c>
      <c r="N80" s="19" t="inlineStr"/>
      <c r="O80" s="19" t="inlineStr">
        <is>
          <t>iorta TechNXT QA</t>
        </is>
      </c>
      <c r="P80" s="19" t="inlineStr">
        <is>
          <t>03 October 2026</t>
        </is>
      </c>
      <c r="Q80" s="19" t="inlineStr"/>
      <c r="R80" s="19" t="inlineStr">
        <is>
          <t>backend/test/numbering.test.js :: seeds a series for every code the application uses, with unique active prefixes and the default pattern [passed]
backend/test/numbering.test.js :: lists series with the current counter and next-number preview [passed]
Screen check /master/configuration/document-numbering: opened clean</t>
        </is>
      </c>
      <c r="S80" s="19" t="n"/>
    </row>
    <row r="81">
      <c r="A81" s="19" t="inlineStr">
        <is>
          <t>BV-CFG-008</t>
        </is>
      </c>
      <c r="B81" s="19" t="inlineStr">
        <is>
          <t>Configuration and numbering</t>
        </is>
      </c>
      <c r="C81" s="19" t="inlineStr">
        <is>
          <t>Document Numbering</t>
        </is>
      </c>
      <c r="D81" s="19" t="inlineStr">
        <is>
          <t>System Administrator (BrokerVerse)</t>
        </is>
      </c>
      <c r="E81" s="19" t="inlineStr">
        <is>
          <t>Set the next official receipt number forward</t>
        </is>
      </c>
      <c r="F81" s="19" t="inlineStr">
        <is>
          <t>Functional</t>
        </is>
      </c>
      <c r="G81" s="19" t="inlineStr">
        <is>
          <t>High</t>
        </is>
      </c>
      <c r="H81" s="19" t="inlineStr">
        <is>
          <t>Receipt series active.</t>
        </is>
      </c>
      <c r="I81" s="19" t="inlineStr">
        <is>
          <t>1. Open the official receipt series.
2. Set the next number to 5001 and save.
3. Have Accounting issue a receipt.
4. Try to set the next number back to 4000.</t>
        </is>
      </c>
      <c r="J81" s="19" t="inlineStr">
        <is>
          <t>Next number 5001; then 4000</t>
        </is>
      </c>
      <c r="K81" s="19" t="inlineStr">
        <is>
          <t>The receipt carries number 5001 in the series format. Setting a lower number is refused (forward only).</t>
        </is>
      </c>
      <c r="L81" s="19" t="inlineStr">
        <is>
          <t>As expected.</t>
        </is>
      </c>
      <c r="M81" s="19" t="inlineStr">
        <is>
          <t>Pass</t>
        </is>
      </c>
      <c r="N81" s="19" t="inlineStr"/>
      <c r="O81" s="19" t="inlineStr">
        <is>
          <t>iorta TechNXT QA</t>
        </is>
      </c>
      <c r="P81" s="19" t="inlineStr">
        <is>
          <t>03 October 2026</t>
        </is>
      </c>
      <c r="Q81" s="19" t="inlineStr"/>
      <c r="R81" s="19" t="inlineStr">
        <is>
          <t>backend/test/numbering.test.js :: sets the next number forward only [passed]
backend/test/numbering.test.js :: updates a series with validation, unique prefixes and an audit entry [passed]</t>
        </is>
      </c>
      <c r="S81" s="19" t="n"/>
    </row>
    <row r="82">
      <c r="A82" s="19" t="inlineStr">
        <is>
          <t>BV-CFG-009</t>
        </is>
      </c>
      <c r="B82" s="19" t="inlineStr">
        <is>
          <t>Configuration and numbering</t>
        </is>
      </c>
      <c r="C82" s="19" t="inlineStr">
        <is>
          <t>Document Numbering</t>
        </is>
      </c>
      <c r="D82" s="19" t="inlineStr">
        <is>
          <t>System Administrator (BrokerVerse)</t>
        </is>
      </c>
      <c r="E82" s="19" t="inlineStr">
        <is>
          <t>Pattern errors shown in the preview</t>
        </is>
      </c>
      <c r="F82" s="19" t="inlineStr">
        <is>
          <t>Validation</t>
        </is>
      </c>
      <c r="G82" s="19" t="inlineStr">
        <is>
          <t>Medium</t>
        </is>
      </c>
      <c r="H82" s="19" t="inlineStr">
        <is>
          <t>Series edit open.</t>
        </is>
      </c>
      <c r="I82" s="19" t="inlineStr">
        <is>
          <t>1. Change the pattern to {PREFIX}-{YYYY}-{SEQ:5}-{BRANCH}.
2. Then enter an unknown token {FOO}.</t>
        </is>
      </c>
      <c r="J82" s="19" t="inlineStr">
        <is>
          <t>Pattern tokens</t>
        </is>
      </c>
      <c r="K82" s="19" t="inlineStr">
        <is>
          <t>Valid pattern previews; optional {BRANCH} / {LOB} drop with their separator; unknown token reported as a pattern error.</t>
        </is>
      </c>
      <c r="L82" s="19" t="inlineStr">
        <is>
          <t>As expected.</t>
        </is>
      </c>
      <c r="M82" s="19" t="inlineStr">
        <is>
          <t>Pass</t>
        </is>
      </c>
      <c r="N82" s="19" t="inlineStr"/>
      <c r="O82" s="19" t="inlineStr">
        <is>
          <t>iorta TechNXT QA</t>
        </is>
      </c>
      <c r="P82" s="19" t="inlineStr">
        <is>
          <t>03 October 2026</t>
        </is>
      </c>
      <c r="Q82" s="19" t="inlineStr"/>
      <c r="R82" s="19" t="inlineStr">
        <is>
          <t>backend/test/numbering.test.js :: previews unsaved changes and reports pattern errors [passed]
backend/test/numbering.test.js :: formats every token; optional {BRANCH} / {LOB} drop with their separator [passed]</t>
        </is>
      </c>
      <c r="S82" s="19" t="n"/>
    </row>
    <row r="83">
      <c r="A83" s="19" t="inlineStr">
        <is>
          <t>BV-CFG-010</t>
        </is>
      </c>
      <c r="B83" s="19" t="inlineStr">
        <is>
          <t>Configuration and numbering</t>
        </is>
      </c>
      <c r="C83" s="19" t="inlineStr">
        <is>
          <t>Document Numbering</t>
        </is>
      </c>
      <c r="D83" s="19" t="inlineStr">
        <is>
          <t>System Administrator (BrokerVerse)</t>
        </is>
      </c>
      <c r="E83" s="19" t="inlineStr">
        <is>
          <t>Counter resets yearly, monthly or by fiscal year</t>
        </is>
      </c>
      <c r="F83" s="19" t="inlineStr">
        <is>
          <t>Validation</t>
        </is>
      </c>
      <c r="G83" s="19" t="inlineStr">
        <is>
          <t>Medium</t>
        </is>
      </c>
      <c r="H83" s="19" t="inlineStr">
        <is>
          <t>Series with yearly reset.</t>
        </is>
      </c>
      <c r="I83" s="19" t="inlineStr">
        <is>
          <t>1. Issue a number on 31 December 2026 and on 01 January 2027 (test clock).</t>
        </is>
      </c>
      <c r="J83" s="19" t="inlineStr">
        <is>
          <t>Yearly reset series</t>
        </is>
      </c>
      <c r="K83" s="19" t="inlineStr">
        <is>
          <t>The counter restarts at the configured boundary.</t>
        </is>
      </c>
      <c r="L83" s="19" t="inlineStr">
        <is>
          <t>As expected.</t>
        </is>
      </c>
      <c r="M83" s="19" t="inlineStr">
        <is>
          <t>Pass</t>
        </is>
      </c>
      <c r="N83" s="19" t="inlineStr"/>
      <c r="O83" s="19" t="inlineStr">
        <is>
          <t>iorta TechNXT QA</t>
        </is>
      </c>
      <c r="P83" s="19" t="inlineStr">
        <is>
          <t>03 October 2026</t>
        </is>
      </c>
      <c r="Q83" s="19" t="inlineStr"/>
      <c r="R83" s="19" t="inlineStr">
        <is>
          <t>backend/test/numbering.test.js :: yearly, monthly, fiscal-year and never reset the counter at the right boundary [passed]</t>
        </is>
      </c>
      <c r="S83" s="19" t="n"/>
    </row>
    <row r="84">
      <c r="A84" s="19" t="inlineStr">
        <is>
          <t>BV-CFG-011</t>
        </is>
      </c>
      <c r="B84" s="19" t="inlineStr">
        <is>
          <t>Configuration and numbering</t>
        </is>
      </c>
      <c r="C84" s="19" t="inlineStr">
        <is>
          <t>Document Numbering</t>
        </is>
      </c>
      <c r="D84" s="19" t="inlineStr">
        <is>
          <t>System Administrator (BrokerVerse)</t>
        </is>
      </c>
      <c r="E84" s="19" t="inlineStr">
        <is>
          <t>No duplicate numbers under concurrent saves</t>
        </is>
      </c>
      <c r="F84" s="19" t="inlineStr">
        <is>
          <t>Integration</t>
        </is>
      </c>
      <c r="G84" s="19" t="inlineStr">
        <is>
          <t>High</t>
        </is>
      </c>
      <c r="H84" s="19" t="inlineStr">
        <is>
          <t>Two users saving receipts at the same time.</t>
        </is>
      </c>
      <c r="I84" s="19" t="inlineStr">
        <is>
          <t>1. Have two Accounting users save receipts at the same moment several times.</t>
        </is>
      </c>
      <c r="J84" s="19" t="inlineStr">
        <is>
          <t>20 parallel saves</t>
        </is>
      </c>
      <c r="K84" s="19" t="inlineStr">
        <is>
          <t>Every receipt gets a different number; a cancelled transaction gives its number back.</t>
        </is>
      </c>
      <c r="L84" s="19" t="inlineStr">
        <is>
          <t>As expected.</t>
        </is>
      </c>
      <c r="M84" s="19" t="inlineStr">
        <is>
          <t>Pass</t>
        </is>
      </c>
      <c r="N84" s="19" t="inlineStr"/>
      <c r="O84" s="19" t="inlineStr">
        <is>
          <t>iorta TechNXT QA</t>
        </is>
      </c>
      <c r="P84" s="19" t="inlineStr">
        <is>
          <t>03 October 2026</t>
        </is>
      </c>
      <c r="Q84" s="19" t="inlineStr"/>
      <c r="R84" s="19" t="inlineStr">
        <is>
          <t>backend/test/numbering.test.js :: parallel callers (pool and transactions) never receive the same number [passed]
backend/test/numbering.test.js :: a rolled-back transaction gives its number back; a number already in the target table is skipped [passed]</t>
        </is>
      </c>
      <c r="S84" s="19" t="n"/>
    </row>
    <row r="85">
      <c r="A85" s="19" t="inlineStr">
        <is>
          <t>BV-CFG-012</t>
        </is>
      </c>
      <c r="B85" s="19" t="inlineStr">
        <is>
          <t>Configuration and numbering</t>
        </is>
      </c>
      <c r="C85" s="19" t="inlineStr">
        <is>
          <t>Document Numbering</t>
        </is>
      </c>
      <c r="D85" s="19" t="inlineStr">
        <is>
          <t>System Administrator (BrokerVerse)</t>
        </is>
      </c>
      <c r="E85" s="19" t="inlineStr">
        <is>
          <t>Inactive series refuses to issue</t>
        </is>
      </c>
      <c r="F85" s="19" t="inlineStr">
        <is>
          <t>Negative</t>
        </is>
      </c>
      <c r="G85" s="19" t="inlineStr">
        <is>
          <t>Low</t>
        </is>
      </c>
      <c r="H85" s="19" t="inlineStr">
        <is>
          <t>Series set inactive.</t>
        </is>
      </c>
      <c r="I85" s="19" t="inlineStr">
        <is>
          <t>1. Deactivate the petty cash request series.
2. Create a petty cash request.</t>
        </is>
      </c>
      <c r="J85" s="19" t="inlineStr">
        <is>
          <t>Series: petty cash request</t>
        </is>
      </c>
      <c r="K85" s="19" t="inlineStr">
        <is>
          <t>Save refused with a message that the series is inactive.</t>
        </is>
      </c>
      <c r="L85" s="19" t="inlineStr">
        <is>
          <t>As expected.</t>
        </is>
      </c>
      <c r="M85" s="19" t="inlineStr">
        <is>
          <t>Pass</t>
        </is>
      </c>
      <c r="N85" s="19" t="inlineStr"/>
      <c r="O85" s="19" t="inlineStr">
        <is>
          <t>iorta TechNXT QA</t>
        </is>
      </c>
      <c r="P85" s="19" t="inlineStr">
        <is>
          <t>03 October 2026</t>
        </is>
      </c>
      <c r="Q85" s="19" t="inlineStr"/>
      <c r="R85" s="19" t="inlineStr">
        <is>
          <t>backend/test/numbering.test.js :: an inactive or unknown series refuses to issue numbers [passed]</t>
        </is>
      </c>
      <c r="S85" s="19" t="n"/>
    </row>
    <row r="86">
      <c r="A86" s="19" t="inlineStr">
        <is>
          <t>BV-CFG-013</t>
        </is>
      </c>
      <c r="B86" s="19" t="inlineStr">
        <is>
          <t>Configuration and numbering</t>
        </is>
      </c>
      <c r="C86" s="19" t="inlineStr">
        <is>
          <t>Document Numbering</t>
        </is>
      </c>
      <c r="D86" s="19" t="inlineStr">
        <is>
          <t>Sales / Account Executive (maria.rivera)</t>
        </is>
      </c>
      <c r="E86" s="19" t="inlineStr">
        <is>
          <t>Numbering is restricted to system configuration</t>
        </is>
      </c>
      <c r="F86" s="19" t="inlineStr">
        <is>
          <t>Role access</t>
        </is>
      </c>
      <c r="G86" s="19" t="inlineStr">
        <is>
          <t>Low</t>
        </is>
      </c>
      <c r="H86" s="19" t="inlineStr">
        <is>
          <t>Signed in as maria.rivera.</t>
        </is>
      </c>
      <c r="I86" s="19" t="inlineStr">
        <is>
          <t>1. Type the address /master/configuration/document-numbering.</t>
        </is>
      </c>
      <c r="J86" s="19" t="inlineStr">
        <is>
          <t>None</t>
        </is>
      </c>
      <c r="K86" s="19" t="inlineStr">
        <is>
          <t>Screen not available to Sales.</t>
        </is>
      </c>
      <c r="L86" s="19" t="inlineStr">
        <is>
          <t>As expected.</t>
        </is>
      </c>
      <c r="M86" s="19" t="inlineStr">
        <is>
          <t>Pass</t>
        </is>
      </c>
      <c r="N86" s="19" t="inlineStr"/>
      <c r="O86" s="19" t="inlineStr">
        <is>
          <t>iorta TechNXT QA</t>
        </is>
      </c>
      <c r="P86" s="19" t="inlineStr">
        <is>
          <t>03 October 2026</t>
        </is>
      </c>
      <c r="Q86" s="19" t="inlineStr"/>
      <c r="R86" s="19" t="inlineStr">
        <is>
          <t>backend/test/numbering.test.js :: is restricted to system configuration [passed]</t>
        </is>
      </c>
      <c r="S86" s="19" t="n"/>
    </row>
    <row r="87">
      <c r="A87" s="19" t="inlineStr">
        <is>
          <t>BV-CFG-014</t>
        </is>
      </c>
      <c r="B87" s="19" t="inlineStr">
        <is>
          <t>Configuration and numbering</t>
        </is>
      </c>
      <c r="C87" s="19" t="inlineStr">
        <is>
          <t>Schedules</t>
        </is>
      </c>
      <c r="D87" s="19" t="inlineStr">
        <is>
          <t>System Administrator (BrokerVerse)</t>
        </is>
      </c>
      <c r="E87" s="19" t="inlineStr">
        <is>
          <t>Scheduled jobs list and run now</t>
        </is>
      </c>
      <c r="F87" s="19" t="inlineStr">
        <is>
          <t>Functional</t>
        </is>
      </c>
      <c r="G87" s="19" t="inlineStr">
        <is>
          <t>High</t>
        </is>
      </c>
      <c r="H87" s="19" t="inlineStr">
        <is>
          <t>Seeded jobs.</t>
        </is>
      </c>
      <c r="I87" s="19" t="inlineStr">
        <is>
          <t>1. Open Master &gt; Schedules.
2. Read the schedule and time zone of each job.
3. Click run for the renewal notice job.</t>
        </is>
      </c>
      <c r="J87" s="19" t="inlineStr">
        <is>
          <t>Renewal notices job (06:00 Manila)</t>
        </is>
      </c>
      <c r="K87" s="19" t="inlineStr">
        <is>
          <t>Jobs show Asia/Manila time; the run is recorded with start, end and result.</t>
        </is>
      </c>
      <c r="L87" s="19" t="inlineStr">
        <is>
          <t>As expected.</t>
        </is>
      </c>
      <c r="M87" s="19" t="inlineStr">
        <is>
          <t>Pass</t>
        </is>
      </c>
      <c r="N87" s="19" t="inlineStr"/>
      <c r="O87" s="19" t="inlineStr">
        <is>
          <t>iorta TechNXT QA</t>
        </is>
      </c>
      <c r="P87" s="19" t="inlineStr">
        <is>
          <t>03 October 2026</t>
        </is>
      </c>
      <c r="Q87" s="19" t="inlineStr"/>
      <c r="R87" s="19" t="inlineStr">
        <is>
          <t>backend/test/core.test.js :: runs a scheduled job and records the run [passed]
backend/test/operations.test.js :: schedules every job in general.timezone (06:00 Manila, not 06:00 UTC) and shows the zone [passed]
backend/test/dependencies.test.js :: node-cron 4 validates every seeded job schedule and schedules / stops tasks [passed]
Screen check /master/configuration/schedules: opened clean</t>
        </is>
      </c>
      <c r="S87" s="19" t="n"/>
    </row>
    <row r="88">
      <c r="A88" s="19" t="inlineStr">
        <is>
          <t>BV-CFG-015</t>
        </is>
      </c>
      <c r="B88" s="19" t="inlineStr">
        <is>
          <t>Configuration and numbering</t>
        </is>
      </c>
      <c r="C88" s="19" t="inlineStr">
        <is>
          <t>Schedules</t>
        </is>
      </c>
      <c r="D88" s="19" t="inlineStr">
        <is>
          <t>System Administrator (BrokerVerse)</t>
        </is>
      </c>
      <c r="E88" s="19" t="inlineStr">
        <is>
          <t>A job runs once when several servers fire it</t>
        </is>
      </c>
      <c r="F88" s="19" t="inlineStr">
        <is>
          <t>Integration</t>
        </is>
      </c>
      <c r="G88" s="19" t="inlineStr">
        <is>
          <t>Medium</t>
        </is>
      </c>
      <c r="H88" s="19" t="inlineStr">
        <is>
          <t>Two API instances.</t>
        </is>
      </c>
      <c r="I88" s="19" t="inlineStr">
        <is>
          <t>1. Let both instances fire the same slot.</t>
        </is>
      </c>
      <c r="J88" s="19" t="inlineStr">
        <is>
          <t>Daily job</t>
        </is>
      </c>
      <c r="K88" s="19" t="inlineStr">
        <is>
          <t>The slot runs once; the second instance skips under the lock.</t>
        </is>
      </c>
      <c r="L88" s="19" t="inlineStr">
        <is>
          <t>As expected.</t>
        </is>
      </c>
      <c r="M88" s="19" t="inlineStr">
        <is>
          <t>Pass</t>
        </is>
      </c>
      <c r="N88" s="19" t="inlineStr"/>
      <c r="O88" s="19" t="inlineStr">
        <is>
          <t>iorta TechNXT QA</t>
        </is>
      </c>
      <c r="P88" s="19" t="inlineStr">
        <is>
          <t>03 October 2026</t>
        </is>
      </c>
      <c r="Q88" s="19" t="inlineStr"/>
      <c r="R88" s="19" t="inlineStr">
        <is>
          <t>backend/test/go-live.test.js :: skips a run while another instance holds the job advisory lock [passed]
backend/test/go-live.test.js :: runs a scheduled slot once when several instances fire it at the same time [passed]</t>
        </is>
      </c>
      <c r="S88" s="19" t="n"/>
    </row>
    <row r="89">
      <c r="A89" s="19" t="inlineStr">
        <is>
          <t>BV-CFG-016</t>
        </is>
      </c>
      <c r="B89" s="19" t="inlineStr">
        <is>
          <t>Configuration and numbering</t>
        </is>
      </c>
      <c r="C89" s="19" t="inlineStr">
        <is>
          <t>Schedules</t>
        </is>
      </c>
      <c r="D89" s="19" t="inlineStr">
        <is>
          <t>System Administrator (BrokerVerse)</t>
        </is>
      </c>
      <c r="E89" s="19" t="inlineStr">
        <is>
          <t>Data retention purge keeps audit trail at least 7 years</t>
        </is>
      </c>
      <c r="F89" s="19" t="inlineStr">
        <is>
          <t>Functional</t>
        </is>
      </c>
      <c r="G89" s="19" t="inlineStr">
        <is>
          <t>Medium</t>
        </is>
      </c>
      <c r="H89" s="19" t="inlineStr">
        <is>
          <t>Retention job seeded and enabled.</t>
        </is>
      </c>
      <c r="I89" s="19" t="inlineStr">
        <is>
          <t>1. Open Master &gt; Schedules and run the retention job.
2. Check old notifications and audit rows.</t>
        </is>
      </c>
      <c r="J89" s="19" t="inlineStr">
        <is>
          <t>Retention days per table</t>
        </is>
      </c>
      <c r="K89" s="19" t="inlineStr">
        <is>
          <t>Rows past retention are purged; recent and unresolved rows kept; audit trail never purged below 7 years.</t>
        </is>
      </c>
      <c r="L89" s="19" t="inlineStr">
        <is>
          <t>As expected.</t>
        </is>
      </c>
      <c r="M89" s="19" t="inlineStr">
        <is>
          <t>Pass</t>
        </is>
      </c>
      <c r="N89" s="19" t="inlineStr"/>
      <c r="O89" s="19" t="inlineStr">
        <is>
          <t>iorta TechNXT QA</t>
        </is>
      </c>
      <c r="P89" s="19" t="inlineStr">
        <is>
          <t>03 October 2026</t>
        </is>
      </c>
      <c r="Q89" s="19" t="inlineStr"/>
      <c r="R89" s="19" t="inlineStr">
        <is>
          <t>backend/test/operations.test.js :: purges rows past their retention and keeps recent, unresolved and audit rows [passed]
backend/test/operations.test.js :: keeps a table forever at 0 days and never purges the audit trail below 7 years [passed]</t>
        </is>
      </c>
      <c r="S89" s="19" t="n"/>
    </row>
    <row r="90">
      <c r="A90" s="19" t="inlineStr">
        <is>
          <t>BV-CFG-017</t>
        </is>
      </c>
      <c r="B90" s="19" t="inlineStr">
        <is>
          <t>Configuration and numbering</t>
        </is>
      </c>
      <c r="C90" s="19" t="inlineStr">
        <is>
          <t>Health</t>
        </is>
      </c>
      <c r="D90" s="19" t="inlineStr">
        <is>
          <t>System Administrator (BrokerVerse)</t>
        </is>
      </c>
      <c r="E90" s="19" t="inlineStr">
        <is>
          <t>Health check and version endpoints</t>
        </is>
      </c>
      <c r="F90" s="19" t="inlineStr">
        <is>
          <t>Functional</t>
        </is>
      </c>
      <c r="G90" s="19" t="inlineStr">
        <is>
          <t>Medium</t>
        </is>
      </c>
      <c r="H90" s="19" t="inlineStr">
        <is>
          <t>Production build running.</t>
        </is>
      </c>
      <c r="I90" s="19" t="inlineStr">
        <is>
          <t>1. Open /api/health.
2. Stop the database and open it again.
3. Open /api/version.</t>
        </is>
      </c>
      <c r="J90" s="19" t="inlineStr">
        <is>
          <t>None</t>
        </is>
      </c>
      <c r="K90" s="19" t="inlineStr">
        <is>
          <t>Health shows database ready; answers 503 when the database is down. Version shows the build without sign-in.</t>
        </is>
      </c>
      <c r="L90" s="19" t="inlineStr">
        <is>
          <t>As expected.</t>
        </is>
      </c>
      <c r="M90" s="19" t="inlineStr">
        <is>
          <t>Pass</t>
        </is>
      </c>
      <c r="N90" s="19" t="inlineStr"/>
      <c r="O90" s="19" t="inlineStr">
        <is>
          <t>iorta TechNXT QA</t>
        </is>
      </c>
      <c r="P90" s="19" t="inlineStr">
        <is>
          <t>03 October 2026</t>
        </is>
      </c>
      <c r="Q90" s="19" t="inlineStr"/>
      <c r="R90" s="19" t="inlineStr">
        <is>
          <t>backend/test/go-live.test.js :: GET /api/health reports database connectivity and readiness; 503 while starting or when the database is down [passed]
backend/test/security.test.js :: GET /api/version reports build and runtime information without sign-in [passed]</t>
        </is>
      </c>
      <c r="S90" s="19" t="n"/>
    </row>
    <row r="91">
      <c r="A91" s="19" t="inlineStr">
        <is>
          <t>BV-PCF-001</t>
        </is>
      </c>
      <c r="B91" s="19" t="inlineStr">
        <is>
          <t>Product configurator</t>
        </is>
      </c>
      <c r="C91" s="19" t="inlineStr">
        <is>
          <t>Product Templates</t>
        </is>
      </c>
      <c r="D91" s="19" t="inlineStr">
        <is>
          <t>Processing Team (jose.bernardo)</t>
        </is>
      </c>
      <c r="E91" s="19" t="inlineStr">
        <is>
          <t>Templates listed and opened</t>
        </is>
      </c>
      <c r="F91" s="19" t="inlineStr">
        <is>
          <t>Functional</t>
        </is>
      </c>
      <c r="G91" s="19" t="inlineStr">
        <is>
          <t>High</t>
        </is>
      </c>
      <c r="H91" s="19" t="inlineStr">
        <is>
          <t>Seeded templates.</t>
        </is>
      </c>
      <c r="I91" s="19" t="inlineStr">
        <is>
          <t>1. Open Product Configurator &gt; Product Templates.
2. Open the motor template.
3. Read vehicle classes, CTPL and APPA settings.</t>
        </is>
      </c>
      <c r="J91" s="19" t="inlineStr">
        <is>
          <t>Motor template</t>
        </is>
      </c>
      <c r="K91" s="19" t="inlineStr">
        <is>
          <t>Template opens with seven IC vehicle classes, CTPL per class (private cars PHP 610.40 inclusive one-year) and APPA limits.</t>
        </is>
      </c>
      <c r="L91" s="19" t="inlineStr">
        <is>
          <t>As expected.</t>
        </is>
      </c>
      <c r="M91" s="19" t="inlineStr">
        <is>
          <t>Pass</t>
        </is>
      </c>
      <c r="N91" s="19" t="inlineStr"/>
      <c r="O91" s="19" t="inlineStr">
        <is>
          <t>iorta TechNXT QA</t>
        </is>
      </c>
      <c r="P91" s="19" t="inlineStr">
        <is>
          <t>03 October 2026</t>
        </is>
      </c>
      <c r="Q91" s="19" t="inlineStr"/>
      <c r="R91" s="19" t="inlineStr">
        <is>
          <t>backend/test/product-configurator.test.js :: lists seeded templates in the captured shape [passed]
backend/test/motor-tariff.test.js :: lists the Insurance Commission vehicle classes with the CTPL tariff and the APPA limits [passed]
Screen check /product-configurator/templates: opened clean</t>
        </is>
      </c>
      <c r="S91" s="19" t="n"/>
    </row>
    <row r="92">
      <c r="A92" s="19" t="inlineStr">
        <is>
          <t>BV-PCF-002</t>
        </is>
      </c>
      <c r="B92" s="19" t="inlineStr">
        <is>
          <t>Product configurator</t>
        </is>
      </c>
      <c r="C92" s="19" t="inlineStr">
        <is>
          <t>Product Templates</t>
        </is>
      </c>
      <c r="D92" s="19" t="inlineStr">
        <is>
          <t>Processing Team (jose.bernardo)</t>
        </is>
      </c>
      <c r="E92" s="19" t="inlineStr">
        <is>
          <t>Create, version, retire and reactivate a template</t>
        </is>
      </c>
      <c r="F92" s="19" t="inlineStr">
        <is>
          <t>Functional</t>
        </is>
      </c>
      <c r="G92" s="19" t="inlineStr">
        <is>
          <t>Medium</t>
        </is>
      </c>
      <c r="H92" s="19" t="inlineStr">
        <is>
          <t>Signed in as jose.bernardo.</t>
        </is>
      </c>
      <c r="I92" s="19" t="inlineStr">
        <is>
          <t>1. Click Create Template and save a new template.
2. Create a new version.
3. Retire it, then reactivate.</t>
        </is>
      </c>
      <c r="J92" s="19" t="inlineStr">
        <is>
          <t>Template: Householder Plus</t>
        </is>
      </c>
      <c r="K92" s="19" t="inlineStr">
        <is>
          <t>Each action saves; the version number increases; retired template not offered.</t>
        </is>
      </c>
      <c r="L92" s="19" t="inlineStr">
        <is>
          <t>As expected.</t>
        </is>
      </c>
      <c r="M92" s="19" t="inlineStr">
        <is>
          <t>Pass</t>
        </is>
      </c>
      <c r="N92" s="19" t="inlineStr"/>
      <c r="O92" s="19" t="inlineStr">
        <is>
          <t>iorta TechNXT QA</t>
        </is>
      </c>
      <c r="P92" s="19" t="inlineStr">
        <is>
          <t>03 October 2026</t>
        </is>
      </c>
      <c r="Q92" s="19" t="inlineStr"/>
      <c r="R92" s="19" t="inlineStr">
        <is>
          <t>backend/test/product-configurator.test.js :: creates, updates, versions, retires and reactivates a template [passed]</t>
        </is>
      </c>
      <c r="S92" s="19" t="n"/>
    </row>
    <row r="93">
      <c r="A93" s="19" t="inlineStr">
        <is>
          <t>BV-PCF-003</t>
        </is>
      </c>
      <c r="B93" s="19" t="inlineStr">
        <is>
          <t>Product configurator</t>
        </is>
      </c>
      <c r="C93" s="19" t="inlineStr">
        <is>
          <t>Product Templates</t>
        </is>
      </c>
      <c r="D93" s="19" t="inlineStr">
        <is>
          <t>Sales / Account Executive (maria.rivera)</t>
        </is>
      </c>
      <c r="E93" s="19" t="inlineStr">
        <is>
          <t>Users without products permission cannot change templates</t>
        </is>
      </c>
      <c r="F93" s="19" t="inlineStr">
        <is>
          <t>Role access</t>
        </is>
      </c>
      <c r="G93" s="19" t="inlineStr">
        <is>
          <t>Medium</t>
        </is>
      </c>
      <c r="H93" s="19" t="inlineStr">
        <is>
          <t>Signed in as maria.rivera.</t>
        </is>
      </c>
      <c r="I93" s="19" t="inlineStr">
        <is>
          <t>1. Open Product Templates.
2. Try to edit the motor template.</t>
        </is>
      </c>
      <c r="J93" s="19" t="inlineStr">
        <is>
          <t>Motor template</t>
        </is>
      </c>
      <c r="K93" s="19" t="inlineStr">
        <is>
          <t>Read only; changes refused.</t>
        </is>
      </c>
      <c r="L93" s="19" t="inlineStr">
        <is>
          <t>As expected.</t>
        </is>
      </c>
      <c r="M93" s="19" t="inlineStr">
        <is>
          <t>Pass</t>
        </is>
      </c>
      <c r="N93" s="19" t="inlineStr"/>
      <c r="O93" s="19" t="inlineStr">
        <is>
          <t>iorta TechNXT QA</t>
        </is>
      </c>
      <c r="P93" s="19" t="inlineStr">
        <is>
          <t>03 October 2026</t>
        </is>
      </c>
      <c r="Q93" s="19" t="inlineStr"/>
      <c r="R93" s="19" t="inlineStr">
        <is>
          <t>backend/test/product-configurator.test.js :: denies writes without products permission [passed]</t>
        </is>
      </c>
      <c r="S93" s="19" t="n"/>
    </row>
    <row r="94">
      <c r="A94" s="19" t="inlineStr">
        <is>
          <t>BV-PCF-004</t>
        </is>
      </c>
      <c r="B94" s="19" t="inlineStr">
        <is>
          <t>Product configurator</t>
        </is>
      </c>
      <c r="C94" s="19" t="inlineStr">
        <is>
          <t>Rating Engine</t>
        </is>
      </c>
      <c r="D94" s="19" t="inlineStr">
        <is>
          <t>Processing Team (jose.bernardo)</t>
        </is>
      </c>
      <c r="E94" s="19" t="inlineStr">
        <is>
          <t>Rate tables and insurer panel give a premium illustration</t>
        </is>
      </c>
      <c r="F94" s="19" t="inlineStr">
        <is>
          <t>Functional</t>
        </is>
      </c>
      <c r="G94" s="19" t="inlineStr">
        <is>
          <t>High</t>
        </is>
      </c>
      <c r="H94" s="19" t="inlineStr">
        <is>
          <t>Template with insurer panel.</t>
        </is>
      </c>
      <c r="I94" s="19" t="inlineStr">
        <is>
          <t>1. Open Product Configurator &gt; Rating Engine.
2. Add Factor for a template and save.
3. Open the insurer panel and calculate an illustration.</t>
        </is>
      </c>
      <c r="J94" s="19" t="inlineStr">
        <is>
          <t>Factor: vehicle age 0-3 years 1.00</t>
        </is>
      </c>
      <c r="K94" s="19" t="inlineStr">
        <is>
          <t>Factor saved; premium illustration calculated per insurer.</t>
        </is>
      </c>
      <c r="L94" s="19" t="inlineStr">
        <is>
          <t>As expected.</t>
        </is>
      </c>
      <c r="M94" s="19" t="inlineStr">
        <is>
          <t>Pass</t>
        </is>
      </c>
      <c r="N94" s="19" t="inlineStr"/>
      <c r="O94" s="19" t="inlineStr">
        <is>
          <t>iorta TechNXT QA</t>
        </is>
      </c>
      <c r="P94" s="19" t="inlineStr">
        <is>
          <t>03 October 2026</t>
        </is>
      </c>
      <c r="Q94" s="19" t="inlineStr"/>
      <c r="R94" s="19" t="inlineStr">
        <is>
          <t>backend/test/product-configurator.test.js :: manages the insurer panel and calculates a premium illustration [passed]
backend/test/product-configurator.test.js :: CRUD for every component kind used by the mock-only screens [passed]
Screen check /product-configurator/rating: opened clean</t>
        </is>
      </c>
      <c r="S94" s="19" t="n"/>
    </row>
    <row r="95">
      <c r="A95" s="19" t="inlineStr">
        <is>
          <t>BV-PCF-005</t>
        </is>
      </c>
      <c r="B95" s="19" t="inlineStr">
        <is>
          <t>Product configurator</t>
        </is>
      </c>
      <c r="C95" s="19" t="inlineStr">
        <is>
          <t>Rating Engine</t>
        </is>
      </c>
      <c r="D95" s="19" t="inlineStr">
        <is>
          <t>Processing Team (jose.bernardo)</t>
        </is>
      </c>
      <c r="E95" s="19" t="inlineStr">
        <is>
          <t>Rating factors list shows which template each factor belongs to</t>
        </is>
      </c>
      <c r="F95" s="19" t="inlineStr">
        <is>
          <t>Functional</t>
        </is>
      </c>
      <c r="G95" s="19" t="inlineStr">
        <is>
          <t>Low</t>
        </is>
      </c>
      <c r="H95" s="19" t="inlineStr">
        <is>
          <t>Several templates with their own factors.</t>
        </is>
      </c>
      <c r="I95" s="19" t="inlineStr">
        <is>
          <t>1. Open Product Configurator &gt; Rating Engine.
2. Read the factor list.</t>
        </is>
      </c>
      <c r="J95" s="19" t="inlineStr">
        <is>
          <t>Factors of motor and householder templates</t>
        </is>
      </c>
      <c r="K95" s="19" t="inlineStr">
        <is>
          <t>Each factor row shows its template so per-template factors are distinguishable.</t>
        </is>
      </c>
      <c r="L95" s="19" t="inlineStr">
        <is>
          <t>Rating Engine, Coverage Builder, Acceptance Rules and Document Manager lists show a Template column; the same factor code on two templates (VEH_AGE on MOT-003-2025 and MOTOR-COMP-2026) is now distinguishable.</t>
        </is>
      </c>
      <c r="M95" s="19" t="inlineStr">
        <is>
          <t>Pass</t>
        </is>
      </c>
      <c r="N95" s="19" t="inlineStr">
        <is>
          <t>BV-DEF-004 (closed)</t>
        </is>
      </c>
      <c r="O95" s="19" t="inlineStr">
        <is>
          <t>iorta TechNXT QA</t>
        </is>
      </c>
      <c r="P95" s="19" t="inlineStr">
        <is>
          <t>03 October 2026</t>
        </is>
      </c>
      <c r="Q95" s="19" t="inlineStr">
        <is>
          <t>Re-test of 03 October 2026 after the fix, fresh database with the UAT data set.</t>
        </is>
      </c>
      <c r="R95" s="19" t="inlineStr">
        <is>
          <t>Screen check /product-configurator/rating: opened clean</t>
        </is>
      </c>
      <c r="S95" s="19" t="n"/>
    </row>
    <row r="96">
      <c r="A96" s="19" t="inlineStr">
        <is>
          <t>BV-PCF-006</t>
        </is>
      </c>
      <c r="B96" s="19" t="inlineStr">
        <is>
          <t>Product configurator</t>
        </is>
      </c>
      <c r="C96" s="19" t="inlineStr">
        <is>
          <t>Coverage Builder</t>
        </is>
      </c>
      <c r="D96" s="19" t="inlineStr">
        <is>
          <t>Processing Team (jose.bernardo)</t>
        </is>
      </c>
      <c r="E96" s="19" t="inlineStr">
        <is>
          <t>Coverage Builder, Acceptance Rules, Document Manager, Approval Workflows</t>
        </is>
      </c>
      <c r="F96" s="19" t="inlineStr">
        <is>
          <t>Functional</t>
        </is>
      </c>
      <c r="G96" s="19" t="inlineStr">
        <is>
          <t>Medium</t>
        </is>
      </c>
      <c r="H96" s="19" t="inlineStr">
        <is>
          <t>Signed in as jose.bernardo.</t>
        </is>
      </c>
      <c r="I96" s="19" t="inlineStr">
        <is>
          <t>1. Open Coverage Builder and click Add Coverage; save.
2. Open Acceptance Rules and click Add Rule; save.
3. Open Document Manager and upload a template.
4. Open Approval Workflows and click Create Workflow; Add Stage; save.</t>
        </is>
      </c>
      <c r="J96" s="19" t="inlineStr">
        <is>
          <t>Coverage: Riot, strike and civil commotion; Rule: vehicle age &gt; 15 years refer</t>
        </is>
      </c>
      <c r="K96" s="19" t="inlineStr">
        <is>
          <t>Each component saves and lists.</t>
        </is>
      </c>
      <c r="L96" s="19" t="inlineStr">
        <is>
          <t>As expected.</t>
        </is>
      </c>
      <c r="M96" s="19" t="inlineStr">
        <is>
          <t>Pass</t>
        </is>
      </c>
      <c r="N96" s="19" t="inlineStr"/>
      <c r="O96" s="19" t="inlineStr">
        <is>
          <t>iorta TechNXT QA</t>
        </is>
      </c>
      <c r="P96" s="19" t="inlineStr">
        <is>
          <t>03 October 2026</t>
        </is>
      </c>
      <c r="Q96" s="19" t="inlineStr"/>
      <c r="R96" s="19" t="inlineStr">
        <is>
          <t>backend/test/product-configurator.test.js :: CRUD for every component kind used by the mock-only screens [passed]
Screen check /product-configurator/coverages: opened clean
Screen check /product-configurator/underwriting: opened clean
Screen check /product-configurator/documents: opened clean
Screen check /product-configurator/workflows: opened clean</t>
        </is>
      </c>
      <c r="S96" s="19" t="n"/>
    </row>
    <row r="97">
      <c r="A97" s="19" t="inlineStr">
        <is>
          <t>BV-PCF-007</t>
        </is>
      </c>
      <c r="B97" s="19" t="inlineStr">
        <is>
          <t>Product configurator</t>
        </is>
      </c>
      <c r="C97" s="19" t="inlineStr">
        <is>
          <t>Risk Mapping</t>
        </is>
      </c>
      <c r="D97" s="19" t="inlineStr">
        <is>
          <t>Processing Team (jose.bernardo)</t>
        </is>
      </c>
      <c r="E97" s="19" t="inlineStr">
        <is>
          <t>IAR sections added, deactivated and re-added</t>
        </is>
      </c>
      <c r="F97" s="19" t="inlineStr">
        <is>
          <t>Functional</t>
        </is>
      </c>
      <c r="G97" s="19" t="inlineStr">
        <is>
          <t>Low</t>
        </is>
      </c>
      <c r="H97" s="19" t="inlineStr">
        <is>
          <t>IAR product.</t>
        </is>
      </c>
      <c r="I97" s="19" t="inlineStr">
        <is>
          <t>1. Open Product Configurator &gt; Risk Mapping.
2. Add section Machinery breakdown, save.
3. Deactivate it and re-add.</t>
        </is>
      </c>
      <c r="J97" s="19" t="inlineStr">
        <is>
          <t>Section: Machinery breakdown</t>
        </is>
      </c>
      <c r="K97" s="19" t="inlineStr">
        <is>
          <t>Section list updates each time.</t>
        </is>
      </c>
      <c r="L97" s="19" t="inlineStr">
        <is>
          <t>As expected.</t>
        </is>
      </c>
      <c r="M97" s="19" t="inlineStr">
        <is>
          <t>Pass</t>
        </is>
      </c>
      <c r="N97" s="19" t="inlineStr"/>
      <c r="O97" s="19" t="inlineStr">
        <is>
          <t>iorta TechNXT QA</t>
        </is>
      </c>
      <c r="P97" s="19" t="inlineStr">
        <is>
          <t>03 October 2026</t>
        </is>
      </c>
      <c r="Q97" s="19" t="inlineStr"/>
      <c r="R97" s="19" t="inlineStr">
        <is>
          <t>backend/test/product-configurator.test.js :: adds, updates, deactivates and re-adds IAR sections [passed]
Screen check /product-configurator/risk-mapping: opened clean</t>
        </is>
      </c>
      <c r="S97" s="19" t="n"/>
    </row>
    <row r="98">
      <c r="A98" s="19" t="inlineStr">
        <is>
          <t>BV-PCF-008</t>
        </is>
      </c>
      <c r="B98" s="19" t="inlineStr">
        <is>
          <t>Product configurator</t>
        </is>
      </c>
      <c r="C98" s="19" t="inlineStr">
        <is>
          <t>Motor tariff</t>
        </is>
      </c>
      <c r="D98" s="19" t="inlineStr">
        <is>
          <t>Processing Team (jose.bernardo)</t>
        </is>
      </c>
      <c r="E98" s="19" t="inlineStr">
        <is>
          <t>CTPL tariff change in the configurator is used by quotations</t>
        </is>
      </c>
      <c r="F98" s="19" t="inlineStr">
        <is>
          <t>Integration</t>
        </is>
      </c>
      <c r="G98" s="19" t="inlineStr">
        <is>
          <t>High</t>
        </is>
      </c>
      <c r="H98" s="19" t="inlineStr">
        <is>
          <t>Motor template open.</t>
        </is>
      </c>
      <c r="I98" s="19" t="inlineStr">
        <is>
          <t>1. Change the CTPL of private cars and save.
2. As maria.rivera create a quick quote for a private car with CTPL.</t>
        </is>
      </c>
      <c r="J98" s="19" t="inlineStr">
        <is>
          <t>Private car CTPL changed for the test then restored</t>
        </is>
      </c>
      <c r="K98" s="19" t="inlineStr">
        <is>
          <t>Quotation uses the new tariff. A new vehicle class or 3-year CTPL appears once configured.</t>
        </is>
      </c>
      <c r="L98" s="19" t="inlineStr">
        <is>
          <t>As expected.</t>
        </is>
      </c>
      <c r="M98" s="19" t="inlineStr">
        <is>
          <t>Pass</t>
        </is>
      </c>
      <c r="N98" s="19" t="inlineStr"/>
      <c r="O98" s="19" t="inlineStr">
        <is>
          <t>iorta TechNXT QA</t>
        </is>
      </c>
      <c r="P98" s="19" t="inlineStr">
        <is>
          <t>03 October 2026</t>
        </is>
      </c>
      <c r="Q98" s="19" t="inlineStr"/>
      <c r="R98" s="19" t="inlineStr">
        <is>
          <t>backend/test/motor-tariff.test.js :: follows tariff changes made in the Product Configurator [passed]
backend/test/motor-tariff.test.js :: offers a 3-year CTPL and a new vehicle class once they are configured [passed]</t>
        </is>
      </c>
      <c r="S98" s="19" t="n"/>
    </row>
    <row r="99">
      <c r="A99" s="19" t="inlineStr">
        <is>
          <t>BV-PCF-009</t>
        </is>
      </c>
      <c r="B99" s="19" t="inlineStr">
        <is>
          <t>Product configurator</t>
        </is>
      </c>
      <c r="C99" s="19" t="inlineStr">
        <is>
          <t>Motor tariff</t>
        </is>
      </c>
      <c r="D99" s="19" t="inlineStr">
        <is>
          <t>Processing Team (jose.bernardo)</t>
        </is>
      </c>
      <c r="E99" s="19" t="inlineStr">
        <is>
          <t>Invalid tariff amounts, seats and duplicate class codes refused</t>
        </is>
      </c>
      <c r="F99" s="19" t="inlineStr">
        <is>
          <t>Validation</t>
        </is>
      </c>
      <c r="G99" s="19" t="inlineStr">
        <is>
          <t>Medium</t>
        </is>
      </c>
      <c r="H99" s="19" t="inlineStr">
        <is>
          <t>Motor template open.</t>
        </is>
      </c>
      <c r="I99" s="19" t="inlineStr">
        <is>
          <t>1. Enter a negative CTPL amount.
2. Enter seats 0.
3. Add class code private_cars again.</t>
        </is>
      </c>
      <c r="J99" s="19" t="inlineStr">
        <is>
          <t>CTPL -100; seats 0</t>
        </is>
      </c>
      <c r="K99" s="19" t="inlineStr">
        <is>
          <t>Each value refused with a message.</t>
        </is>
      </c>
      <c r="L99" s="19" t="inlineStr">
        <is>
          <t>As expected.</t>
        </is>
      </c>
      <c r="M99" s="19" t="inlineStr">
        <is>
          <t>Pass</t>
        </is>
      </c>
      <c r="N99" s="19" t="inlineStr"/>
      <c r="O99" s="19" t="inlineStr">
        <is>
          <t>iorta TechNXT QA</t>
        </is>
      </c>
      <c r="P99" s="19" t="inlineStr">
        <is>
          <t>03 October 2026</t>
        </is>
      </c>
      <c r="Q99" s="19" t="inlineStr"/>
      <c r="R99" s="19" t="inlineStr">
        <is>
          <t>backend/test/motor-tariff.test.js :: refuses invalid amounts, seats and duplicate class codes [passed]</t>
        </is>
      </c>
      <c r="S99" s="19" t="n"/>
    </row>
    <row r="100">
      <c r="A100" s="19" t="inlineStr">
        <is>
          <t>BV-PCF-010</t>
        </is>
      </c>
      <c r="B100" s="19" t="inlineStr">
        <is>
          <t>Product configurator</t>
        </is>
      </c>
      <c r="C100" s="19" t="inlineStr">
        <is>
          <t>Dashboard / Analytics</t>
        </is>
      </c>
      <c r="D100" s="19" t="inlineStr">
        <is>
          <t>Processing Team (jose.bernardo)</t>
        </is>
      </c>
      <c r="E100" s="19" t="inlineStr">
        <is>
          <t>Product configurator dashboard and analytics</t>
        </is>
      </c>
      <c r="F100" s="19" t="inlineStr">
        <is>
          <t>Report</t>
        </is>
      </c>
      <c r="G100" s="19" t="inlineStr">
        <is>
          <t>Low</t>
        </is>
      </c>
      <c r="H100" s="19" t="inlineStr">
        <is>
          <t>Templates exist.</t>
        </is>
      </c>
      <c r="I100" s="19" t="inlineStr">
        <is>
          <t>1. Open Product Configurator &gt; Dashboard.
2. Open Product Analytics.</t>
        </is>
      </c>
      <c r="J100" s="19" t="inlineStr">
        <is>
          <t>None</t>
        </is>
      </c>
      <c r="K100" s="19" t="inlineStr">
        <is>
          <t>Both screens load figures for the templates.</t>
        </is>
      </c>
      <c r="L100" s="19" t="inlineStr">
        <is>
          <t>As expected.</t>
        </is>
      </c>
      <c r="M100" s="19" t="inlineStr">
        <is>
          <t>Pass</t>
        </is>
      </c>
      <c r="N100" s="19" t="inlineStr"/>
      <c r="O100" s="19" t="inlineStr">
        <is>
          <t>iorta TechNXT QA</t>
        </is>
      </c>
      <c r="P100" s="19" t="inlineStr">
        <is>
          <t>04 October 2026</t>
        </is>
      </c>
      <c r="Q100" s="19" t="inlineStr"/>
      <c r="R100" s="19" t="inlineStr">
        <is>
          <t>backend/test/product-configurator.test.js :: analytics and dashboard return the screen shapes [passed]
UAT cycle 03-04 October 2026, phase Reports and dashboards (58 passed, 0 failed)
Screen check /product-configurator/dashboard: opened clean
Screen check /product-configurator/analytics: opened clean</t>
        </is>
      </c>
      <c r="S100" s="19" t="n"/>
    </row>
    <row r="101">
      <c r="A101" s="19" t="inlineStr">
        <is>
          <t>BV-GOL-001</t>
        </is>
      </c>
      <c r="B101" s="19" t="inlineStr">
        <is>
          <t>Go-live data load</t>
        </is>
      </c>
      <c r="C101" s="19" t="inlineStr">
        <is>
          <t>Production seed</t>
        </is>
      </c>
      <c r="D101" s="19" t="inlineStr">
        <is>
          <t>System Administrator (BrokerVerse)</t>
        </is>
      </c>
      <c r="E101" s="19" t="inlineStr">
        <is>
          <t>Production install seeds reference data only</t>
        </is>
      </c>
      <c r="F101" s="19" t="inlineStr">
        <is>
          <t>Functional</t>
        </is>
      </c>
      <c r="G101" s="19" t="inlineStr">
        <is>
          <t>High</t>
        </is>
      </c>
      <c r="H101" s="19" t="inlineStr">
        <is>
          <t>Empty PostgreSQL database; NODE_ENV=production.</t>
        </is>
      </c>
      <c r="I101" s="19" t="inlineStr">
        <is>
          <t>1. Start the API.
2. Open /api/health.
3. Sign in as BrokerVerse and open Policy, Clients and Receipts.</t>
        </is>
      </c>
      <c r="J101" s="19" t="inlineStr">
        <is>
          <t>Fresh database</t>
        </is>
      </c>
      <c r="K101" s="19" t="inlineStr">
        <is>
          <t>Reference data and the administrator only; no demo transactions. A second seed changes nothing.</t>
        </is>
      </c>
      <c r="L101" s="19" t="inlineStr">
        <is>
          <t>As expected.</t>
        </is>
      </c>
      <c r="M101" s="19" t="inlineStr">
        <is>
          <t>Pass</t>
        </is>
      </c>
      <c r="N101" s="19" t="inlineStr"/>
      <c r="O101" s="19" t="inlineStr">
        <is>
          <t>iorta TechNXT QA</t>
        </is>
      </c>
      <c r="P101" s="19" t="inlineStr">
        <is>
          <t>03 October 2026</t>
        </is>
      </c>
      <c r="Q101" s="19" t="inlineStr"/>
      <c r="R101" s="19" t="inlineStr">
        <is>
          <t>backend/test/go-live.test.js :: the API starts with NODE_ENV=production, seeds reference data only and answers the health check [passed]
backend/test/go-live.test.js :: the database holds reference data and the administrator, and no demo transactions [passed]
backend/test/go-live.test.js :: a second production seed is idempotent [passed]</t>
        </is>
      </c>
      <c r="S101" s="19" t="n"/>
    </row>
    <row r="102">
      <c r="A102" s="19" t="inlineStr">
        <is>
          <t>BV-GOL-002</t>
        </is>
      </c>
      <c r="B102" s="19" t="inlineStr">
        <is>
          <t>Go-live data load</t>
        </is>
      </c>
      <c r="C102" s="19" t="inlineStr">
        <is>
          <t>Purge</t>
        </is>
      </c>
      <c r="D102" s="19" t="inlineStr">
        <is>
          <t>System Administrator (BrokerVerse)</t>
        </is>
      </c>
      <c r="E102" s="19" t="inlineStr">
        <is>
          <t>Purge of demo data needs confirmation and is a dry run by default</t>
        </is>
      </c>
      <c r="F102" s="19" t="inlineStr">
        <is>
          <t>Negative</t>
        </is>
      </c>
      <c r="G102" s="19" t="inlineStr">
        <is>
          <t>High</t>
        </is>
      </c>
      <c r="H102" s="19" t="inlineStr">
        <is>
          <t>Database with demo data.</t>
        </is>
      </c>
      <c r="I102" s="19" t="inlineStr">
        <is>
          <t>1. Run the purge without CONFIRM_PURGE.
2. Run it with CONFIRM_PURGE=yes and --keep-users=BrokerVerse.</t>
        </is>
      </c>
      <c r="J102" s="19" t="inlineStr">
        <is>
          <t>CONFIRM_PURGE=yes</t>
        </is>
      </c>
      <c r="K102" s="19" t="inlineStr">
        <is>
          <t>Without confirmation nothing is deleted. With confirmation only reference data and the kept users remain; error rolls back.</t>
        </is>
      </c>
      <c r="L102" s="19" t="inlineStr">
        <is>
          <t>As expected.</t>
        </is>
      </c>
      <c r="M102" s="19" t="inlineStr">
        <is>
          <t>Pass</t>
        </is>
      </c>
      <c r="N102" s="19" t="inlineStr"/>
      <c r="O102" s="19" t="inlineStr">
        <is>
          <t>iorta TechNXT QA</t>
        </is>
      </c>
      <c r="P102" s="19" t="inlineStr">
        <is>
          <t>03 October 2026</t>
        </is>
      </c>
      <c r="Q102" s="19" t="inlineStr"/>
      <c r="R102" s="19" t="inlineStr">
        <is>
          <t>backend/test/go-live.test.js :: the purge command refuses to run without CONFIRM_PURGE=yes and is a dry run by default [passed]
backend/test/go-live.test.js :: the purge keeps only the users chosen with --keep-users and rolls back on error [passed]</t>
        </is>
      </c>
      <c r="S102" s="19" t="n"/>
    </row>
    <row r="103">
      <c r="A103" s="19" t="inlineStr">
        <is>
          <t>BV-GOL-003</t>
        </is>
      </c>
      <c r="B103" s="19" t="inlineStr">
        <is>
          <t>Go-live data load</t>
        </is>
      </c>
      <c r="C103" s="19" t="inlineStr">
        <is>
          <t>In-force policies</t>
        </is>
      </c>
      <c r="D103" s="19" t="inlineStr">
        <is>
          <t>Processing Team (jose.bernardo)</t>
        </is>
      </c>
      <c r="E103" s="19" t="inlineStr">
        <is>
          <t>Upload in-force policies of the old system in go-live mode</t>
        </is>
      </c>
      <c r="F103" s="19" t="inlineStr">
        <is>
          <t>Functional</t>
        </is>
      </c>
      <c r="G103" s="19" t="inlineStr">
        <is>
          <t>High</t>
        </is>
      </c>
      <c r="H103" s="19" t="inlineStr">
        <is>
          <t>Policies_Upload_Template filled with the old system book.</t>
        </is>
      </c>
      <c r="I103" s="19" t="inlineStr">
        <is>
          <t>1. Open Operations &gt; Policy and click Upload Policy.
2. Tick the go-live option.
3. Upload old-system-in-force.csv.</t>
        </is>
      </c>
      <c r="J103" s="19" t="inlineStr">
        <is>
          <t>14 policies OLD-MC-2025-xxxxx / OLD-FI-2025-xxxxx; insurers Pacific Crest, Luzon Bay, Visayas Mutual, Mindanao Shield</t>
        </is>
      </c>
      <c r="K103" s="19" t="inlineStr">
        <is>
          <t>"14 created, 0 failed". Policies are in force with no bill, no journal and no commission line.</t>
        </is>
      </c>
      <c r="L103" s="19" t="inlineStr">
        <is>
          <t>14 in-force policies migrated; none reported as policies without accounting.</t>
        </is>
      </c>
      <c r="M103" s="19" t="inlineStr">
        <is>
          <t>Pass</t>
        </is>
      </c>
      <c r="N103" s="19" t="inlineStr"/>
      <c r="O103" s="19" t="inlineStr">
        <is>
          <t>iorta TechNXT QA</t>
        </is>
      </c>
      <c r="P103" s="19" t="inlineStr">
        <is>
          <t>04 October 2026</t>
        </is>
      </c>
      <c r="Q103" s="19" t="inlineStr"/>
      <c r="R103" s="19" t="inlineStr">
        <is>
          <t>backend/test/upload-templates.test.js :: go-live policy upload creates in-force policies without bill, journal or commission; open items load against them once [passed]
UAT cycle 03-04 October 2026, phase Go-live migration (1 passed, 0 failed)</t>
        </is>
      </c>
      <c r="S103" s="19" t="n"/>
    </row>
    <row r="104">
      <c r="A104" s="19" t="inlineStr">
        <is>
          <t>BV-GOL-004</t>
        </is>
      </c>
      <c r="B104" s="19" t="inlineStr">
        <is>
          <t>Go-live data load</t>
        </is>
      </c>
      <c r="C104" s="19" t="inlineStr">
        <is>
          <t>Open items</t>
        </is>
      </c>
      <c r="D104" s="19" t="inlineStr">
        <is>
          <t>Accounting Officer (liza.quiambao)</t>
        </is>
      </c>
      <c r="E104" s="19" t="inlineStr">
        <is>
          <t>Load open premium items against migrated policies and receipt them</t>
        </is>
      </c>
      <c r="F104" s="19" t="inlineStr">
        <is>
          <t>Accounting</t>
        </is>
      </c>
      <c r="G104" s="19" t="inlineStr">
        <is>
          <t>High</t>
        </is>
      </c>
      <c r="H104" s="19" t="inlineStr">
        <is>
          <t>Go-live policies loaded.</t>
        </is>
      </c>
      <c r="I104" s="19" t="inlineStr">
        <is>
          <t>1. Upload the open items file once.
2. Upload the same file again.
3. Enter a receipt against one open item.</t>
        </is>
      </c>
      <c r="J104" s="19" t="inlineStr">
        <is>
          <t>Open item PHP 18,550.40 on OLD-MC-2025-xxxxx</t>
        </is>
      </c>
      <c r="K104" s="19" t="inlineStr">
        <is>
          <t>Items load once (second upload refused). Receipt credits the receivable without booking the bill again.</t>
        </is>
      </c>
      <c r="L104" s="19" t="inlineStr">
        <is>
          <t>As expected.</t>
        </is>
      </c>
      <c r="M104" s="19" t="inlineStr">
        <is>
          <t>Pass</t>
        </is>
      </c>
      <c r="N104" s="19" t="inlineStr"/>
      <c r="O104" s="19" t="inlineStr">
        <is>
          <t>iorta TechNXT QA</t>
        </is>
      </c>
      <c r="P104" s="19" t="inlineStr">
        <is>
          <t>03 October 2026</t>
        </is>
      </c>
      <c r="Q104" s="19" t="inlineStr"/>
      <c r="R104" s="19" t="inlineStr">
        <is>
          <t>backend/test/upload-templates.test.js :: go-live policy upload creates in-force policies without bill, journal or commission; open items load against them once [passed]
backend/test/upload-templates.test.js :: a receipt against an open item credits the receivable without booking the bill again [passed]</t>
        </is>
      </c>
      <c r="S104" s="19" t="n"/>
    </row>
    <row r="105">
      <c r="A105" s="19" t="inlineStr">
        <is>
          <t>BV-GOL-005</t>
        </is>
      </c>
      <c r="B105" s="19" t="inlineStr">
        <is>
          <t>Go-live data load</t>
        </is>
      </c>
      <c r="C105" s="19" t="inlineStr">
        <is>
          <t>Opening trial balance</t>
        </is>
      </c>
      <c r="D105" s="19" t="inlineStr">
        <is>
          <t>Accounting Officer (liza.quiambao)</t>
        </is>
      </c>
      <c r="E105" s="19" t="inlineStr">
        <is>
          <t>Load a balanced opening trial balance</t>
        </is>
      </c>
      <c r="F105" s="19" t="inlineStr">
        <is>
          <t>Accounting</t>
        </is>
      </c>
      <c r="G105" s="19" t="inlineStr">
        <is>
          <t>High</t>
        </is>
      </c>
      <c r="H105" s="19" t="inlineStr">
        <is>
          <t>Go-live date chosen; no journals in the fiscal year.</t>
        </is>
      </c>
      <c r="I105" s="19" t="inlineStr">
        <is>
          <t>1. Open the trial balance upload.
2. Upload an unbalanced file.
3. Upload the balanced file.
4. Upload again with another go-live date.</t>
        </is>
      </c>
      <c r="J105" s="19" t="inlineStr">
        <is>
          <t>Go-live 30 April 2026; total debits = credits PHP 48,250,000.00</t>
        </is>
      </c>
      <c r="K105" s="19" t="inlineStr">
        <is>
          <t>Unbalanced file loads nothing. Balanced file lands in the fiscal year of the go-live date; same date replaces it; another date refused.</t>
        </is>
      </c>
      <c r="L105" s="19" t="inlineStr">
        <is>
          <t>As expected.</t>
        </is>
      </c>
      <c r="M105" s="19" t="inlineStr">
        <is>
          <t>Pass</t>
        </is>
      </c>
      <c r="N105" s="19" t="inlineStr"/>
      <c r="O105" s="19" t="inlineStr">
        <is>
          <t>iorta TechNXT QA</t>
        </is>
      </c>
      <c r="P105" s="19" t="inlineStr">
        <is>
          <t>03 October 2026</t>
        </is>
      </c>
      <c r="Q105" s="19" t="inlineStr"/>
      <c r="R105" s="19" t="inlineStr">
        <is>
          <t>backend/test/upload-templates.test.js :: refuses an unbalanced or invalid trial balance and loads nothing [passed]
backend/test/upload-templates.test.js :: loads a balanced trial balance into the fiscal year of the go-live date; the same date replaces it, another date is refused [passed]
backend/test/upload-templates.test.js :: refuses a go-live date after journals already posted in its fiscal year [passed]</t>
        </is>
      </c>
      <c r="S105" s="19" t="n"/>
    </row>
    <row r="106">
      <c r="A106" s="19" t="inlineStr">
        <is>
          <t>BV-GOL-006</t>
        </is>
      </c>
      <c r="B106" s="19" t="inlineStr">
        <is>
          <t>Go-live data load</t>
        </is>
      </c>
      <c r="C106" s="19" t="inlineStr">
        <is>
          <t>Upload templates</t>
        </is>
      </c>
      <c r="D106" s="19" t="inlineStr">
        <is>
          <t>System Administrator (BrokerVerse)</t>
        </is>
      </c>
      <c r="E106" s="19" t="inlineStr">
        <is>
          <t>Upload templates match the importers</t>
        </is>
      </c>
      <c r="F106" s="19" t="inlineStr">
        <is>
          <t>Validation</t>
        </is>
      </c>
      <c r="G106" s="19" t="inlineStr">
        <is>
          <t>Medium</t>
        </is>
      </c>
      <c r="H106" s="19" t="inlineStr">
        <is>
          <t>Template download available per upload.</t>
        </is>
      </c>
      <c r="I106" s="19" t="inlineStr">
        <is>
          <t>1. Download each upload template (leads, quotations, policies, masters, bank statement).
2. Upload each sample unchanged.</t>
        </is>
      </c>
      <c r="J106" s="19" t="inlineStr">
        <is>
          <t>Sample rows of each template</t>
        </is>
      </c>
      <c r="K106" s="19" t="inlineStr">
        <is>
          <t>Each sample row is accepted by its importer; Data sheet first, no duplicate headers.</t>
        </is>
      </c>
      <c r="L106" s="19" t="inlineStr">
        <is>
          <t>As expected.</t>
        </is>
      </c>
      <c r="M106" s="19" t="inlineStr">
        <is>
          <t>Pass</t>
        </is>
      </c>
      <c r="N106" s="19" t="inlineStr"/>
      <c r="O106" s="19" t="inlineStr">
        <is>
          <t>iorta TechNXT QA</t>
        </is>
      </c>
      <c r="P106" s="19" t="inlineStr">
        <is>
          <t>03 October 2026</t>
        </is>
      </c>
      <c r="Q106" s="19" t="inlineStr"/>
      <c r="R106" s="19" t="inlineStr">
        <is>
          <t>backend/test/upload-templates.test.js :: builds one workbook per upload, Data sheet first, with the importer headers and no duplicate header [passed]
backend/test/upload-templates.test.js :: every sample value is read back by the importer's own parser and column list [passed]</t>
        </is>
      </c>
      <c r="S106" s="19" t="n"/>
    </row>
    <row r="107">
      <c r="A107" s="19" t="inlineStr">
        <is>
          <t>BV-GOL-007</t>
        </is>
      </c>
      <c r="B107" s="19" t="inlineStr">
        <is>
          <t>Go-live data load</t>
        </is>
      </c>
      <c r="C107" s="19" t="inlineStr">
        <is>
          <t>Upload limits</t>
        </is>
      </c>
      <c r="D107" s="19" t="inlineStr">
        <is>
          <t>System Administrator (BrokerVerse)</t>
        </is>
      </c>
      <c r="E107" s="19" t="inlineStr">
        <is>
          <t>Workbook decompression and row limits</t>
        </is>
      </c>
      <c r="F107" s="19" t="inlineStr">
        <is>
          <t>Negative</t>
        </is>
      </c>
      <c r="G107" s="19" t="inlineStr">
        <is>
          <t>Low</t>
        </is>
      </c>
      <c r="H107" s="19" t="inlineStr">
        <is>
          <t>Large workbook.</t>
        </is>
      </c>
      <c r="I107" s="19" t="inlineStr">
        <is>
          <t>1. Upload a workbook above the row limit.</t>
        </is>
      </c>
      <c r="J107" s="19" t="inlineStr">
        <is>
          <t>XLSX with 200,000 rows</t>
        </is>
      </c>
      <c r="K107" s="19" t="inlineStr">
        <is>
          <t>Upload refused with a message stating the limit.</t>
        </is>
      </c>
      <c r="L107" s="19" t="inlineStr">
        <is>
          <t>As expected.</t>
        </is>
      </c>
      <c r="M107" s="19" t="inlineStr">
        <is>
          <t>Pass</t>
        </is>
      </c>
      <c r="N107" s="19" t="inlineStr"/>
      <c r="O107" s="19" t="inlineStr">
        <is>
          <t>iorta TechNXT QA</t>
        </is>
      </c>
      <c r="P107" s="19" t="inlineStr">
        <is>
          <t>03 October 2026</t>
        </is>
      </c>
      <c r="Q107" s="19" t="inlineStr"/>
      <c r="R107" s="19" t="inlineStr">
        <is>
          <t>backend/test/hardening.test.js :: caps workbook decompression and import rows [passed]</t>
        </is>
      </c>
      <c r="S107" s="19" t="n"/>
    </row>
    <row r="108">
      <c r="A108" s="19" t="inlineStr">
        <is>
          <t>BV-GOL-008</t>
        </is>
      </c>
      <c r="B108" s="19" t="inlineStr">
        <is>
          <t>Go-live data load</t>
        </is>
      </c>
      <c r="C108" s="19" t="inlineStr">
        <is>
          <t>Year-end carry forward</t>
        </is>
      </c>
      <c r="D108" s="19" t="inlineStr">
        <is>
          <t>Accounting Officer (liza.quiambao)</t>
        </is>
      </c>
      <c r="E108" s="19" t="inlineStr">
        <is>
          <t>Year-end close carries the go-live opening balances</t>
        </is>
      </c>
      <c r="F108" s="19" t="inlineStr">
        <is>
          <t>Accounting</t>
        </is>
      </c>
      <c r="G108" s="19" t="inlineStr">
        <is>
          <t>Medium</t>
        </is>
      </c>
      <c r="H108" s="19" t="inlineStr">
        <is>
          <t>Opening TB loaded and journals posted.</t>
        </is>
      </c>
      <c r="I108" s="19" t="inlineStr">
        <is>
          <t>1. Run the year-end close of the fiscal year.
2. Read the next year opening trial balance.</t>
        </is>
      </c>
      <c r="J108" s="19" t="inlineStr">
        <is>
          <t>Fiscal year 2026</t>
        </is>
      </c>
      <c r="K108" s="19" t="inlineStr">
        <is>
          <t>Opening balances include the go-live balances plus the year's movements.</t>
        </is>
      </c>
      <c r="L108" s="19" t="inlineStr">
        <is>
          <t>As expected.</t>
        </is>
      </c>
      <c r="M108" s="19" t="inlineStr">
        <is>
          <t>Pass</t>
        </is>
      </c>
      <c r="N108" s="19" t="inlineStr"/>
      <c r="O108" s="19" t="inlineStr">
        <is>
          <t>iorta TechNXT QA</t>
        </is>
      </c>
      <c r="P108" s="19" t="inlineStr">
        <is>
          <t>03 October 2026</t>
        </is>
      </c>
      <c r="Q108" s="19" t="inlineStr"/>
      <c r="R108" s="19" t="inlineStr">
        <is>
          <t>backend/test/upload-templates.test.js :: the year-end close carries the go-live opening balances forward with the year's journals [passed]</t>
        </is>
      </c>
      <c r="S108" s="19" t="n"/>
    </row>
    <row r="109">
      <c r="A109" s="19" t="inlineStr">
        <is>
          <t>BV-PRS-001</t>
        </is>
      </c>
      <c r="B109" s="19" t="inlineStr">
        <is>
          <t>Prospects and clients</t>
        </is>
      </c>
      <c r="C109" s="19" t="inlineStr">
        <is>
          <t>Prospects</t>
        </is>
      </c>
      <c r="D109" s="19" t="inlineStr">
        <is>
          <t>Sales / Account Executive (maria.rivera)</t>
        </is>
      </c>
      <c r="E109" s="19" t="inlineStr">
        <is>
          <t>Create a retail motor prospect</t>
        </is>
      </c>
      <c r="F109" s="19" t="inlineStr">
        <is>
          <t>Functional</t>
        </is>
      </c>
      <c r="G109" s="19" t="inlineStr">
        <is>
          <t>High</t>
        </is>
      </c>
      <c r="H109" s="19" t="inlineStr">
        <is>
          <t>Signed in as maria.rivera.</t>
        </is>
      </c>
      <c r="I109" s="19" t="inlineStr">
        <is>
          <t>1. Open Operations &gt; Sales &amp; Marketing &gt; Prospects.
2. Click Create Prospect.
3. Enter first and last name, mobile, e-mail, birth date, address, line Motor, source.
4. Click Save Prospect.</t>
        </is>
      </c>
      <c r="J109" s="19" t="inlineStr">
        <is>
          <t>Kristine Villanueva; 0917 882 4410; kristine.villanueva@example.ph; 14 March 1990; Kapitolyo, Pasig 1605; source Car dealer tie-up</t>
        </is>
      </c>
      <c r="K109" s="19" t="inlineStr">
        <is>
          <t>Prospect saved with a prospect number and listed as New; Sales Dashboard prospect count increases by 1.</t>
        </is>
      </c>
      <c r="L109" s="19" t="inlineStr">
        <is>
          <t>41 retail and 20 corporate prospects created in the cycle.</t>
        </is>
      </c>
      <c r="M109" s="19" t="inlineStr">
        <is>
          <t>Pass</t>
        </is>
      </c>
      <c r="N109" s="19" t="inlineStr"/>
      <c r="O109" s="19" t="inlineStr">
        <is>
          <t>iorta TechNXT QA</t>
        </is>
      </c>
      <c r="P109" s="19" t="inlineStr">
        <is>
          <t>04 October 2026</t>
        </is>
      </c>
      <c r="Q109" s="19" t="inlineStr"/>
      <c r="R109" s="19" t="inlineStr">
        <is>
          <t>backend/test/leads.test.js :: creates a lead and returns it at the top level and in data [passed]
backend/test/dashboard.test.js :: sales funnel, processing workbench and claims summary [passed]
UAT cycle 03-04 October 2026, phase Retail package business (84 passed, 0 failed)
Screen check /agent/leadlisting: opened clean</t>
        </is>
      </c>
      <c r="S109" s="19" t="n"/>
    </row>
    <row r="110">
      <c r="A110" s="19" t="inlineStr">
        <is>
          <t>BV-PRS-002</t>
        </is>
      </c>
      <c r="B110" s="19" t="inlineStr">
        <is>
          <t>Prospects and clients</t>
        </is>
      </c>
      <c r="C110" s="19" t="inlineStr">
        <is>
          <t>Prospects</t>
        </is>
      </c>
      <c r="D110" s="19" t="inlineStr">
        <is>
          <t>Sales / Account Executive (maria.rivera)</t>
        </is>
      </c>
      <c r="E110" s="19" t="inlineStr">
        <is>
          <t>Prospect validation: e-mail, mobile and required fields</t>
        </is>
      </c>
      <c r="F110" s="19" t="inlineStr">
        <is>
          <t>Validation</t>
        </is>
      </c>
      <c r="G110" s="19" t="inlineStr">
        <is>
          <t>High</t>
        </is>
      </c>
      <c r="H110" s="19" t="inlineStr">
        <is>
          <t>Create Prospect form open.</t>
        </is>
      </c>
      <c r="I110" s="19" t="inlineStr">
        <is>
          <t>1. Click Save Prospect with empty fields.
2. Enter e-mail "kristine@" and mobile "12345".
3. Click Save Prospect.</t>
        </is>
      </c>
      <c r="J110" s="19" t="inlineStr">
        <is>
          <t>E-mail kristine@; mobile 12345</t>
        </is>
      </c>
      <c r="K110" s="19" t="inlineStr">
        <is>
          <t>Required field messages; invalid e-mail and mobile refused; nothing saved.</t>
        </is>
      </c>
      <c r="L110" s="19" t="inlineStr">
        <is>
          <t>As expected.</t>
        </is>
      </c>
      <c r="M110" s="19" t="inlineStr">
        <is>
          <t>Pass</t>
        </is>
      </c>
      <c r="N110" s="19" t="inlineStr"/>
      <c r="O110" s="19" t="inlineStr">
        <is>
          <t>iorta TechNXT QA</t>
        </is>
      </c>
      <c r="P110" s="19" t="inlineStr">
        <is>
          <t>03 October 2026</t>
        </is>
      </c>
      <c r="Q110" s="19" t="inlineStr"/>
      <c r="R110" s="19" t="inlineStr">
        <is>
          <t>backend/test/leads.test.js :: validates input [passed]
brokerverse/src/services/__tests__/leadService.test.js :: createLead should handle API errors [passed]</t>
        </is>
      </c>
      <c r="S110" s="19" t="n"/>
    </row>
    <row r="111">
      <c r="A111" s="19" t="inlineStr">
        <is>
          <t>BV-PRS-003</t>
        </is>
      </c>
      <c r="B111" s="19" t="inlineStr">
        <is>
          <t>Prospects and clients</t>
        </is>
      </c>
      <c r="C111" s="19" t="inlineStr">
        <is>
          <t>Prospects</t>
        </is>
      </c>
      <c r="D111" s="19" t="inlineStr">
        <is>
          <t>Sales / Account Executive (maria.rivera)</t>
        </is>
      </c>
      <c r="E111" s="19" t="inlineStr">
        <is>
          <t>Date of birth outside the configured age range refused</t>
        </is>
      </c>
      <c r="F111" s="19" t="inlineStr">
        <is>
          <t>Validation</t>
        </is>
      </c>
      <c r="G111" s="19" t="inlineStr">
        <is>
          <t>Medium</t>
        </is>
      </c>
      <c r="H111" s="19" t="inlineStr">
        <is>
          <t>Age range setting 18 to 70.</t>
        </is>
      </c>
      <c r="I111" s="19" t="inlineStr">
        <is>
          <t>1. Create a prospect with birth date 01 January 2015.
2. Save.</t>
        </is>
      </c>
      <c r="J111" s="19" t="inlineStr">
        <is>
          <t>Birth date 01 January 2015</t>
        </is>
      </c>
      <c r="K111" s="19" t="inlineStr">
        <is>
          <t>Refused with an age range message. Implausible client birth dates are refused too.</t>
        </is>
      </c>
      <c r="L111" s="19" t="inlineStr">
        <is>
          <t>As expected.</t>
        </is>
      </c>
      <c r="M111" s="19" t="inlineStr">
        <is>
          <t>Pass</t>
        </is>
      </c>
      <c r="N111" s="19" t="inlineStr"/>
      <c r="O111" s="19" t="inlineStr">
        <is>
          <t>iorta TechNXT QA</t>
        </is>
      </c>
      <c r="P111" s="19" t="inlineStr">
        <is>
          <t>03 October 2026</t>
        </is>
      </c>
      <c r="Q111" s="19" t="inlineStr"/>
      <c r="R111" s="19" t="inlineStr">
        <is>
          <t>backend/test/leads.test.js :: checks the date of birth against the configured age range [passed]
backend/test/clients.test.js :: refuses an implausible date of birth [passed]</t>
        </is>
      </c>
      <c r="S111" s="19" t="n"/>
    </row>
    <row r="112">
      <c r="A112" s="19" t="inlineStr">
        <is>
          <t>BV-PRS-004</t>
        </is>
      </c>
      <c r="B112" s="19" t="inlineStr">
        <is>
          <t>Prospects and clients</t>
        </is>
      </c>
      <c r="C112" s="19" t="inlineStr">
        <is>
          <t>Prospects</t>
        </is>
      </c>
      <c r="D112" s="19" t="inlineStr">
        <is>
          <t>Sales / Account Executive (maria.rivera)</t>
        </is>
      </c>
      <c r="E112" s="19" t="inlineStr">
        <is>
          <t>Search, filter and page the prospect list</t>
        </is>
      </c>
      <c r="F112" s="19" t="inlineStr">
        <is>
          <t>Functional</t>
        </is>
      </c>
      <c r="G112" s="19" t="inlineStr">
        <is>
          <t>Medium</t>
        </is>
      </c>
      <c r="H112" s="19" t="inlineStr">
        <is>
          <t>Several prospects exist.</t>
        </is>
      </c>
      <c r="I112" s="19" t="inlineStr">
        <is>
          <t>1. Type a surname in "Search by name, prospect ID...".
2. Filter by line and status.
3. Go to page 2.</t>
        </is>
      </c>
      <c r="J112" s="19" t="inlineStr">
        <is>
          <t>Search: Villanueva</t>
        </is>
      </c>
      <c r="K112" s="19" t="inlineStr">
        <is>
          <t>List narrows to matching rows; paging works; totals shown.</t>
        </is>
      </c>
      <c r="L112" s="19" t="inlineStr">
        <is>
          <t>As expected.</t>
        </is>
      </c>
      <c r="M112" s="19" t="inlineStr">
        <is>
          <t>Pass</t>
        </is>
      </c>
      <c r="N112" s="19" t="inlineStr"/>
      <c r="O112" s="19" t="inlineStr">
        <is>
          <t>iorta TechNXT QA</t>
        </is>
      </c>
      <c r="P112" s="19" t="inlineStr">
        <is>
          <t>03 October 2026</t>
        </is>
      </c>
      <c r="Q112" s="19" t="inlineStr"/>
      <c r="R112" s="19" t="inlineStr">
        <is>
          <t>backend/test/leads.test.js :: lists with paging, filters and search [passed]</t>
        </is>
      </c>
      <c r="S112" s="19" t="n"/>
    </row>
    <row r="113">
      <c r="A113" s="19" t="inlineStr">
        <is>
          <t>BV-PRS-005</t>
        </is>
      </c>
      <c r="B113" s="19" t="inlineStr">
        <is>
          <t>Prospects and clients</t>
        </is>
      </c>
      <c r="C113" s="19" t="inlineStr">
        <is>
          <t>Prospects</t>
        </is>
      </c>
      <c r="D113" s="19" t="inlineStr">
        <is>
          <t>Sales / Account Executive (maria.rivera)</t>
        </is>
      </c>
      <c r="E113" s="19" t="inlineStr">
        <is>
          <t>Bulk upload prospects from CSV and XLSX</t>
        </is>
      </c>
      <c r="F113" s="19" t="inlineStr">
        <is>
          <t>Functional</t>
        </is>
      </c>
      <c r="G113" s="19" t="inlineStr">
        <is>
          <t>Medium</t>
        </is>
      </c>
      <c r="H113" s="19" t="inlineStr">
        <is>
          <t>Leads_Upload_Template.xlsx with 3 rows.</t>
        </is>
      </c>
      <c r="I113" s="19" t="inlineStr">
        <is>
          <t>1. Open Prospects and click the bulk upload.
2. Upload the file.</t>
        </is>
      </c>
      <c r="J113" s="19" t="inlineStr">
        <is>
          <t>3 prospects (Rhea Navarro, Dennis Soriano, Aileen Pascual)</t>
        </is>
      </c>
      <c r="K113" s="19" t="inlineStr">
        <is>
          <t>"3 created, 0 failed"; the 3 prospects are listed.</t>
        </is>
      </c>
      <c r="L113" s="19" t="inlineStr">
        <is>
          <t>As expected.</t>
        </is>
      </c>
      <c r="M113" s="19" t="inlineStr">
        <is>
          <t>Pass</t>
        </is>
      </c>
      <c r="N113" s="19" t="inlineStr"/>
      <c r="O113" s="19" t="inlineStr">
        <is>
          <t>iorta TechNXT QA</t>
        </is>
      </c>
      <c r="P113" s="19" t="inlineStr">
        <is>
          <t>03 October 2026</t>
        </is>
      </c>
      <c r="Q113" s="19" t="inlineStr"/>
      <c r="R113" s="19" t="inlineStr">
        <is>
          <t>backend/test/leads.test.js :: bulk uploads CSV and XLSX files [passed]</t>
        </is>
      </c>
      <c r="S113" s="19" t="n"/>
    </row>
    <row r="114">
      <c r="A114" s="19" t="inlineStr">
        <is>
          <t>BV-PRS-006</t>
        </is>
      </c>
      <c r="B114" s="19" t="inlineStr">
        <is>
          <t>Prospects and clients</t>
        </is>
      </c>
      <c r="C114" s="19" t="inlineStr">
        <is>
          <t>Prospects</t>
        </is>
      </c>
      <c r="D114" s="19" t="inlineStr">
        <is>
          <t>Sales / Account Executive (maria.rivera)</t>
        </is>
      </c>
      <c r="E114" s="19" t="inlineStr">
        <is>
          <t>Download the prospect report</t>
        </is>
      </c>
      <c r="F114" s="19" t="inlineStr">
        <is>
          <t>Report</t>
        </is>
      </c>
      <c r="G114" s="19" t="inlineStr">
        <is>
          <t>Low</t>
        </is>
      </c>
      <c r="H114" s="19" t="inlineStr">
        <is>
          <t>Prospects exist.</t>
        </is>
      </c>
      <c r="I114" s="19" t="inlineStr">
        <is>
          <t>1. Click Generate Report.
2. Choose XLSX, then CSV.</t>
        </is>
      </c>
      <c r="J114" s="19" t="inlineStr">
        <is>
          <t>Period: May to October 2026</t>
        </is>
      </c>
      <c r="K114" s="19" t="inlineStr">
        <is>
          <t>Both files download with the listed prospects.</t>
        </is>
      </c>
      <c r="L114" s="19" t="inlineStr">
        <is>
          <t>As expected.</t>
        </is>
      </c>
      <c r="M114" s="19" t="inlineStr">
        <is>
          <t>Pass</t>
        </is>
      </c>
      <c r="N114" s="19" t="inlineStr"/>
      <c r="O114" s="19" t="inlineStr">
        <is>
          <t>iorta TechNXT QA</t>
        </is>
      </c>
      <c r="P114" s="19" t="inlineStr">
        <is>
          <t>03 October 2026</t>
        </is>
      </c>
      <c r="Q114" s="19" t="inlineStr"/>
      <c r="R114" s="19" t="inlineStr">
        <is>
          <t>backend/test/leads.test.js :: downloads the report as XLSX and CSV [passed]</t>
        </is>
      </c>
      <c r="S114" s="19" t="n"/>
    </row>
    <row r="115">
      <c r="A115" s="19" t="inlineStr">
        <is>
          <t>BV-PRS-007</t>
        </is>
      </c>
      <c r="B115" s="19" t="inlineStr">
        <is>
          <t>Prospects and clients</t>
        </is>
      </c>
      <c r="C115" s="19" t="inlineStr">
        <is>
          <t>Prospects</t>
        </is>
      </c>
      <c r="D115" s="19" t="inlineStr">
        <is>
          <t>Sales / Account Executive (maria.rivera)</t>
        </is>
      </c>
      <c r="E115" s="19" t="inlineStr">
        <is>
          <t>A prospect with an issued policy cannot be deleted</t>
        </is>
      </c>
      <c r="F115" s="19" t="inlineStr">
        <is>
          <t>Negative</t>
        </is>
      </c>
      <c r="G115" s="19" t="inlineStr">
        <is>
          <t>Medium</t>
        </is>
      </c>
      <c r="H115" s="19" t="inlineStr">
        <is>
          <t>Prospect converted to a policy.</t>
        </is>
      </c>
      <c r="I115" s="19" t="inlineStr">
        <is>
          <t>1. Delete a prospect without a policy.
2. Delete a prospect with an issued policy.</t>
        </is>
      </c>
      <c r="J115" s="19" t="inlineStr">
        <is>
          <t>Prospect of policy MC-2026-xxxxx</t>
        </is>
      </c>
      <c r="K115" s="19" t="inlineStr">
        <is>
          <t>First is removed from the list (soft delete). Second is refused.</t>
        </is>
      </c>
      <c r="L115" s="19" t="inlineStr">
        <is>
          <t>As expected.</t>
        </is>
      </c>
      <c r="M115" s="19" t="inlineStr">
        <is>
          <t>Pass</t>
        </is>
      </c>
      <c r="N115" s="19" t="inlineStr"/>
      <c r="O115" s="19" t="inlineStr">
        <is>
          <t>iorta TechNXT QA</t>
        </is>
      </c>
      <c r="P115" s="19" t="inlineStr">
        <is>
          <t>03 October 2026</t>
        </is>
      </c>
      <c r="Q115" s="19" t="inlineStr"/>
      <c r="R115" s="19" t="inlineStr">
        <is>
          <t>backend/test/leads.test.js :: soft-deletes a lead, but not one with an issued policy [passed]</t>
        </is>
      </c>
      <c r="S115" s="19" t="n"/>
    </row>
    <row r="116">
      <c r="A116" s="19" t="inlineStr">
        <is>
          <t>BV-PRS-008</t>
        </is>
      </c>
      <c r="B116" s="19" t="inlineStr">
        <is>
          <t>Prospects and clients</t>
        </is>
      </c>
      <c r="C116" s="19" t="inlineStr">
        <is>
          <t>Prospects</t>
        </is>
      </c>
      <c r="D116" s="19" t="inlineStr">
        <is>
          <t>Claims Officer (carlo.estrada)</t>
        </is>
      </c>
      <c r="E116" s="19" t="inlineStr">
        <is>
          <t>Claims officer does not list prospects</t>
        </is>
      </c>
      <c r="F116" s="19" t="inlineStr">
        <is>
          <t>Role access</t>
        </is>
      </c>
      <c r="G116" s="19" t="inlineStr">
        <is>
          <t>Medium</t>
        </is>
      </c>
      <c r="H116" s="19" t="inlineStr">
        <is>
          <t>Signed in as carlo.estrada.</t>
        </is>
      </c>
      <c r="I116" s="19" t="inlineStr">
        <is>
          <t>1. Type the address /agent/leadlisting.</t>
        </is>
      </c>
      <c r="J116" s="19" t="inlineStr">
        <is>
          <t>None</t>
        </is>
      </c>
      <c r="K116" s="19" t="inlineStr">
        <is>
          <t>Screen not available; API refuses the list.</t>
        </is>
      </c>
      <c r="L116" s="19" t="inlineStr">
        <is>
          <t>As expected.</t>
        </is>
      </c>
      <c r="M116" s="19" t="inlineStr">
        <is>
          <t>Pass</t>
        </is>
      </c>
      <c r="N116" s="19" t="inlineStr"/>
      <c r="O116" s="19" t="inlineStr">
        <is>
          <t>iorta TechNXT QA</t>
        </is>
      </c>
      <c r="P116" s="19" t="inlineStr">
        <is>
          <t>03 October 2026</t>
        </is>
      </c>
      <c r="Q116" s="19" t="inlineStr"/>
      <c r="R116" s="19" t="inlineStr">
        <is>
          <t>backend/test/hardening.test.js :: claims officers do not list leads; sales and operations do not read the receipt register [passed]
backend/test/leads.test.js :: enforces permissions [passed]</t>
        </is>
      </c>
      <c r="S116" s="19" t="n"/>
    </row>
    <row r="117">
      <c r="A117" s="19" t="inlineStr">
        <is>
          <t>BV-PRS-009</t>
        </is>
      </c>
      <c r="B117" s="19" t="inlineStr">
        <is>
          <t>Prospects and clients</t>
        </is>
      </c>
      <c r="C117" s="19" t="inlineStr">
        <is>
          <t>Clients</t>
        </is>
      </c>
      <c r="D117" s="19" t="inlineStr">
        <is>
          <t>Operations / Client Service (ana.buenaventura)</t>
        </is>
      </c>
      <c r="E117" s="19" t="inlineStr">
        <is>
          <t>Find a client and see policies and open bills</t>
        </is>
      </c>
      <c r="F117" s="19" t="inlineStr">
        <is>
          <t>Functional</t>
        </is>
      </c>
      <c r="G117" s="19" t="inlineStr">
        <is>
          <t>High</t>
        </is>
      </c>
      <c r="H117" s="19" t="inlineStr">
        <is>
          <t>Clients exist from the cycle.</t>
        </is>
      </c>
      <c r="I117" s="19" t="inlineStr">
        <is>
          <t>1. Open Operations &gt; Clients.
2. Search by surname.
3. Open the client.</t>
        </is>
      </c>
      <c r="J117" s="19" t="inlineStr">
        <is>
          <t>Search: Bautista</t>
        </is>
      </c>
      <c r="K117" s="19" t="inlineStr">
        <is>
          <t>Client with policies and open bills is shown; client code shown.</t>
        </is>
      </c>
      <c r="L117" s="19" t="inlineStr">
        <is>
          <t>As expected.</t>
        </is>
      </c>
      <c r="M117" s="19" t="inlineStr">
        <is>
          <t>Pass</t>
        </is>
      </c>
      <c r="N117" s="19" t="inlineStr"/>
      <c r="O117" s="19" t="inlineStr">
        <is>
          <t>iorta TechNXT QA</t>
        </is>
      </c>
      <c r="P117" s="19" t="inlineStr">
        <is>
          <t>04 October 2026</t>
        </is>
      </c>
      <c r="Q117" s="19" t="inlineStr"/>
      <c r="R117" s="19" t="inlineStr">
        <is>
          <t>backend/test/clients.test.js :: lists clients in the { data: { clients, pagination } } shape [passed]
backend/test/clients.test.js :: returns a client with its policies (by id or code) [passed]
UAT cycle 03-04 October 2026, phase Retail package business (84 passed, 0 failed)
Screen check /agent/clientlisting: opened clean</t>
        </is>
      </c>
      <c r="S117" s="19" t="n"/>
    </row>
    <row r="118">
      <c r="A118" s="19" t="inlineStr">
        <is>
          <t>BV-PRS-010</t>
        </is>
      </c>
      <c r="B118" s="19" t="inlineStr">
        <is>
          <t>Prospects and clients</t>
        </is>
      </c>
      <c r="C118" s="19" t="inlineStr">
        <is>
          <t>Clients</t>
        </is>
      </c>
      <c r="D118" s="19" t="inlineStr">
        <is>
          <t>Operations / Client Service (ana.buenaventura)</t>
        </is>
      </c>
      <c r="E118" s="19" t="inlineStr">
        <is>
          <t>Create and update a client</t>
        </is>
      </c>
      <c r="F118" s="19" t="inlineStr">
        <is>
          <t>Functional</t>
        </is>
      </c>
      <c r="G118" s="19" t="inlineStr">
        <is>
          <t>Medium</t>
        </is>
      </c>
      <c r="H118" s="19" t="inlineStr">
        <is>
          <t>Signed in as ana.buenaventura.</t>
        </is>
      </c>
      <c r="I118" s="19" t="inlineStr">
        <is>
          <t>1. Create a client with name, TIN and address.
2. Edit the mobile number and save.</t>
        </is>
      </c>
      <c r="J118" s="19" t="inlineStr">
        <is>
          <t>Rowena Bautista; TIN 214-558-902-000; mobile 0918 220 1144</t>
        </is>
      </c>
      <c r="K118" s="19" t="inlineStr">
        <is>
          <t>Client saved and updated.</t>
        </is>
      </c>
      <c r="L118" s="19" t="inlineStr">
        <is>
          <t>As expected.</t>
        </is>
      </c>
      <c r="M118" s="19" t="inlineStr">
        <is>
          <t>Pass</t>
        </is>
      </c>
      <c r="N118" s="19" t="inlineStr"/>
      <c r="O118" s="19" t="inlineStr">
        <is>
          <t>iorta TechNXT QA</t>
        </is>
      </c>
      <c r="P118" s="19" t="inlineStr">
        <is>
          <t>03 October 2026</t>
        </is>
      </c>
      <c r="Q118" s="19" t="inlineStr"/>
      <c r="R118" s="19" t="inlineStr">
        <is>
          <t>backend/test/clients.test.js :: creates and updates a client [passed]</t>
        </is>
      </c>
      <c r="S118" s="19" t="n"/>
    </row>
    <row r="119">
      <c r="A119" s="19" t="inlineStr">
        <is>
          <t>BV-PRS-011</t>
        </is>
      </c>
      <c r="B119" s="19" t="inlineStr">
        <is>
          <t>Prospects and clients</t>
        </is>
      </c>
      <c r="C119" s="19" t="inlineStr">
        <is>
          <t>Clients</t>
        </is>
      </c>
      <c r="D119" s="19" t="inlineStr">
        <is>
          <t>Sales / Account Executive (maria.rivera)</t>
        </is>
      </c>
      <c r="E119" s="19" t="inlineStr">
        <is>
          <t>A prospect converts to one client only</t>
        </is>
      </c>
      <c r="F119" s="19" t="inlineStr">
        <is>
          <t>Validation</t>
        </is>
      </c>
      <c r="G119" s="19" t="inlineStr">
        <is>
          <t>High</t>
        </is>
      </c>
      <c r="H119" s="19" t="inlineStr">
        <is>
          <t>Prospect with an accepted quotation.</t>
        </is>
      </c>
      <c r="I119" s="19" t="inlineStr">
        <is>
          <t>1. Convert the quotation to a policy.
2. Convert a second quotation of the same prospect.</t>
        </is>
      </c>
      <c r="J119" s="19" t="inlineStr">
        <is>
          <t>Prospect Kristine Villanueva</t>
        </is>
      </c>
      <c r="K119" s="19" t="inlineStr">
        <is>
          <t>One client is created and linked; the second conversion reuses it.</t>
        </is>
      </c>
      <c r="L119" s="19" t="inlineStr">
        <is>
          <t>As expected.</t>
        </is>
      </c>
      <c r="M119" s="19" t="inlineStr">
        <is>
          <t>Pass</t>
        </is>
      </c>
      <c r="N119" s="19" t="inlineStr"/>
      <c r="O119" s="19" t="inlineStr">
        <is>
          <t>iorta TechNXT QA</t>
        </is>
      </c>
      <c r="P119" s="19" t="inlineStr">
        <is>
          <t>03 October 2026</t>
        </is>
      </c>
      <c r="Q119" s="19" t="inlineStr"/>
      <c r="R119" s="19" t="inlineStr">
        <is>
          <t>backend/test/clients.test.js :: converts a lead into a client once [passed]
backend/test/leads.test.js :: links the prospect to the client and converts without a second client [passed]</t>
        </is>
      </c>
      <c r="S119" s="19" t="n"/>
    </row>
    <row r="120">
      <c r="A120" s="19" t="inlineStr">
        <is>
          <t>BV-PRS-012</t>
        </is>
      </c>
      <c r="B120" s="19" t="inlineStr">
        <is>
          <t>Prospects and clients</t>
        </is>
      </c>
      <c r="C120" s="19" t="inlineStr">
        <is>
          <t>Global search</t>
        </is>
      </c>
      <c r="D120" s="19" t="inlineStr">
        <is>
          <t>Any signed-in user</t>
        </is>
      </c>
      <c r="E120" s="19" t="inlineStr">
        <is>
          <t>Global search returns typed results with links</t>
        </is>
      </c>
      <c r="F120" s="19" t="inlineStr">
        <is>
          <t>Functional</t>
        </is>
      </c>
      <c r="G120" s="19" t="inlineStr">
        <is>
          <t>Low</t>
        </is>
      </c>
      <c r="H120" s="19" t="inlineStr">
        <is>
          <t>Signed in as maria.rivera.</t>
        </is>
      </c>
      <c r="I120" s="19" t="inlineStr">
        <is>
          <t>1. Type a policy number in the header search.
2. Click a result.</t>
        </is>
      </c>
      <c r="J120" s="19" t="inlineStr">
        <is>
          <t>Policy number of maria.rivera</t>
        </is>
      </c>
      <c r="K120" s="19" t="inlineStr">
        <is>
          <t>Results show type (client, policy, quotation) and open the record. Scoped users see only their own.</t>
        </is>
      </c>
      <c r="L120" s="19" t="inlineStr">
        <is>
          <t>As expected.</t>
        </is>
      </c>
      <c r="M120" s="19" t="inlineStr">
        <is>
          <t>Pass</t>
        </is>
      </c>
      <c r="N120" s="19" t="inlineStr"/>
      <c r="O120" s="19" t="inlineStr">
        <is>
          <t>iorta TechNXT QA</t>
        </is>
      </c>
      <c r="P120" s="19" t="inlineStr">
        <is>
          <t>03 October 2026</t>
        </is>
      </c>
      <c r="Q120" s="19" t="inlineStr"/>
      <c r="R120" s="19" t="inlineStr">
        <is>
          <t>backend/test/scope.test.js :: global search returns typed results with front-end links and respects scoping [passed]</t>
        </is>
      </c>
      <c r="S120" s="19" t="n"/>
    </row>
    <row r="121">
      <c r="A121" s="19" t="inlineStr">
        <is>
          <t>BV-QQT-001</t>
        </is>
      </c>
      <c r="B121" s="19" t="inlineStr">
        <is>
          <t>Quick quote and compare insurers</t>
        </is>
      </c>
      <c r="C121" s="19" t="inlineStr">
        <is>
          <t>Quick Quote</t>
        </is>
      </c>
      <c r="D121" s="19" t="inlineStr">
        <is>
          <t>Sales / Account Executive (maria.rivera)</t>
        </is>
      </c>
      <c r="E121" s="19" t="inlineStr">
        <is>
          <t>Motor quick quote from the tariff with CTPL and APPA</t>
        </is>
      </c>
      <c r="F121" s="19" t="inlineStr">
        <is>
          <t>Functional</t>
        </is>
      </c>
      <c r="G121" s="19" t="inlineStr">
        <is>
          <t>High</t>
        </is>
      </c>
      <c r="H121" s="19" t="inlineStr">
        <is>
          <t>Signed in as maria.rivera; motor template with tariff.</t>
        </is>
      </c>
      <c r="I121" s="19" t="inlineStr">
        <is>
          <t>1. Open Operations &gt; Sales &amp; Marketing &gt; Quick Quote.
2. Choose Motor, private car Toyota Vios 1.3 XLE CVT 2024.
3. Enter FMV, own damage rate, acts of nature rate, BI, PD, APPA limit and seats; include CTPL.
4. Click calculate.</t>
        </is>
      </c>
      <c r="J121" s="19" t="inlineStr">
        <is>
          <t>FMV PHP 850,000.00; OD 1.5%; AON 0.5%; BI PHP 200,000.00; PD PHP 200,000.00; APPA PHP 100,000.00 x 5 seats; insurer Pacific Crest</t>
        </is>
      </c>
      <c r="K121" s="19" t="inlineStr">
        <is>
          <t>Premium breakdown: net, VAT, DST, LGT and CTPL PHP 610.40; APPA = 100,000 x 5 x 0.1% = PHP 500.00; gross shown.</t>
        </is>
      </c>
      <c r="L121" s="19" t="inlineStr">
        <is>
          <t>As expected.</t>
        </is>
      </c>
      <c r="M121" s="19" t="inlineStr">
        <is>
          <t>Pass</t>
        </is>
      </c>
      <c r="N121" s="19" t="inlineStr"/>
      <c r="O121" s="19" t="inlineStr">
        <is>
          <t>iorta TechNXT QA</t>
        </is>
      </c>
      <c r="P121" s="19" t="inlineStr">
        <is>
          <t>04 October 2026</t>
        </is>
      </c>
      <c r="Q121" s="19" t="inlineStr"/>
      <c r="R121" s="19" t="inlineStr">
        <is>
          <t>backend/test/motor-tariff.test.js :: prices CTPL at the tariff of the vehicle class, whatever amount the browser sends [passed]
backend/test/motor-tariff.test.js :: prices Auto Passenger PA as limit per person x seats x rate and counts the cover in the sum insured [passed]
UAT cycle 03-04 October 2026, phase Retail package business (84 passed, 0 failed)
Screen check /sales/quick-quote: opened clean</t>
        </is>
      </c>
      <c r="S121" s="19" t="n"/>
    </row>
    <row r="122">
      <c r="A122" s="19" t="inlineStr">
        <is>
          <t>BV-QQT-002</t>
        </is>
      </c>
      <c r="B122" s="19" t="inlineStr">
        <is>
          <t>Quick quote and compare insurers</t>
        </is>
      </c>
      <c r="C122" s="19" t="inlineStr">
        <is>
          <t>Quick Quote</t>
        </is>
      </c>
      <c r="D122" s="19" t="inlineStr">
        <is>
          <t>Sales / Account Executive (maria.rivera)</t>
        </is>
      </c>
      <c r="E122" s="19" t="inlineStr">
        <is>
          <t>CTPL premium ignores any amount sent by the browser</t>
        </is>
      </c>
      <c r="F122" s="19" t="inlineStr">
        <is>
          <t>Negative</t>
        </is>
      </c>
      <c r="G122" s="19" t="inlineStr">
        <is>
          <t>High</t>
        </is>
      </c>
      <c r="H122" s="19" t="inlineStr">
        <is>
          <t>Quick quote open.</t>
        </is>
      </c>
      <c r="I122" s="19" t="inlineStr">
        <is>
          <t>1. Change the CTPL amount in the request (browser tools) to PHP 100.00.
2. Calculate.</t>
        </is>
      </c>
      <c r="J122" s="19" t="inlineStr">
        <is>
          <t>CTPL sent: PHP 100.00</t>
        </is>
      </c>
      <c r="K122" s="19" t="inlineStr">
        <is>
          <t>The system prices CTPL at the tariff of the vehicle class.</t>
        </is>
      </c>
      <c r="L122" s="19" t="inlineStr">
        <is>
          <t>As expected.</t>
        </is>
      </c>
      <c r="M122" s="19" t="inlineStr">
        <is>
          <t>Pass</t>
        </is>
      </c>
      <c r="N122" s="19" t="inlineStr"/>
      <c r="O122" s="19" t="inlineStr">
        <is>
          <t>iorta TechNXT QA</t>
        </is>
      </c>
      <c r="P122" s="19" t="inlineStr">
        <is>
          <t>03 October 2026</t>
        </is>
      </c>
      <c r="Q122" s="19" t="inlineStr"/>
      <c r="R122" s="19" t="inlineStr">
        <is>
          <t>backend/test/motor-tariff.test.js :: prices CTPL at the tariff of the vehicle class, whatever amount the browser sends [passed]</t>
        </is>
      </c>
      <c r="S122" s="19" t="n"/>
    </row>
    <row r="123">
      <c r="A123" s="19" t="inlineStr">
        <is>
          <t>BV-QQT-003</t>
        </is>
      </c>
      <c r="B123" s="19" t="inlineStr">
        <is>
          <t>Quick quote and compare insurers</t>
        </is>
      </c>
      <c r="C123" s="19" t="inlineStr">
        <is>
          <t>Quick Quote</t>
        </is>
      </c>
      <c r="D123" s="19" t="inlineStr">
        <is>
          <t>Sales / Account Executive (maria.rivera)</t>
        </is>
      </c>
      <c r="E123" s="19" t="inlineStr">
        <is>
          <t>3-year CTPL for a brand-new private car only</t>
        </is>
      </c>
      <c r="F123" s="19" t="inlineStr">
        <is>
          <t>Validation</t>
        </is>
      </c>
      <c r="G123" s="19" t="inlineStr">
        <is>
          <t>Medium</t>
        </is>
      </c>
      <c r="H123" s="19" t="inlineStr">
        <is>
          <t>Tariff has 3-year CTPL for private cars only.</t>
        </is>
      </c>
      <c r="I123" s="19" t="inlineStr">
        <is>
          <t>1. Quote a 2026 brand-new private car with 3-year CTPL.
2. Quote a light truck with 3-year CTPL.</t>
        </is>
      </c>
      <c r="J123" s="19" t="inlineStr">
        <is>
          <t>2026 Toyota Raize (no plate, MV file no.); light truck</t>
        </is>
      </c>
      <c r="K123" s="19" t="inlineStr">
        <is>
          <t>Private car priced at PHP 1,660.40; truck refused where the tariff has none.</t>
        </is>
      </c>
      <c r="L123" s="19" t="inlineStr">
        <is>
          <t>As expected.</t>
        </is>
      </c>
      <c r="M123" s="19" t="inlineStr">
        <is>
          <t>Pass</t>
        </is>
      </c>
      <c r="N123" s="19" t="inlineStr"/>
      <c r="O123" s="19" t="inlineStr">
        <is>
          <t>iorta TechNXT QA</t>
        </is>
      </c>
      <c r="P123" s="19" t="inlineStr">
        <is>
          <t>03 October 2026</t>
        </is>
      </c>
      <c r="Q123" s="19" t="inlineStr"/>
      <c r="R123" s="19" t="inlineStr">
        <is>
          <t>backend/test/motor-tariff.test.js :: prices the 3-year CTPL for a brand-new private car and refuses it where the tariff has none [passed]</t>
        </is>
      </c>
      <c r="S123" s="19" t="n"/>
    </row>
    <row r="124">
      <c r="A124" s="19" t="inlineStr">
        <is>
          <t>BV-QQT-004</t>
        </is>
      </c>
      <c r="B124" s="19" t="inlineStr">
        <is>
          <t>Quick quote and compare insurers</t>
        </is>
      </c>
      <c r="C124" s="19" t="inlineStr">
        <is>
          <t>Quick Quote</t>
        </is>
      </c>
      <c r="D124" s="19" t="inlineStr">
        <is>
          <t>Sales / Account Executive (maria.rivera)</t>
        </is>
      </c>
      <c r="E124" s="19" t="inlineStr">
        <is>
          <t>CTPL without a vehicle class and APPA outside the tariff refused</t>
        </is>
      </c>
      <c r="F124" s="19" t="inlineStr">
        <is>
          <t>Validation</t>
        </is>
      </c>
      <c r="G124" s="19" t="inlineStr">
        <is>
          <t>Medium</t>
        </is>
      </c>
      <c r="H124" s="19" t="inlineStr">
        <is>
          <t>Quick quote open.</t>
        </is>
      </c>
      <c r="I124" s="19" t="inlineStr">
        <is>
          <t>1. Include CTPL without a vehicle class.
2. Enter APPA limit PHP 120,000.00.</t>
        </is>
      </c>
      <c r="J124" s="19" t="inlineStr">
        <is>
          <t>APPA PHP 120,000.00</t>
        </is>
      </c>
      <c r="K124" s="19" t="inlineStr">
        <is>
          <t>Both refused with a message; CTPL omitted when not included.</t>
        </is>
      </c>
      <c r="L124" s="19" t="inlineStr">
        <is>
          <t>As expected.</t>
        </is>
      </c>
      <c r="M124" s="19" t="inlineStr">
        <is>
          <t>Pass</t>
        </is>
      </c>
      <c r="N124" s="19" t="inlineStr"/>
      <c r="O124" s="19" t="inlineStr">
        <is>
          <t>iorta TechNXT QA</t>
        </is>
      </c>
      <c r="P124" s="19" t="inlineStr">
        <is>
          <t>03 October 2026</t>
        </is>
      </c>
      <c r="Q124" s="19" t="inlineStr"/>
      <c r="R124" s="19" t="inlineStr">
        <is>
          <t>backend/test/motor-tariff.test.js :: leaves CTPL out when it is not included and refuses CTPL without a vehicle class [passed]
backend/test/motor-tariff.test.js :: refuses an APPA limit outside the tariff [passed]</t>
        </is>
      </c>
      <c r="S124" s="19" t="n"/>
    </row>
    <row r="125">
      <c r="A125" s="19" t="inlineStr">
        <is>
          <t>BV-QQT-005</t>
        </is>
      </c>
      <c r="B125" s="19" t="inlineStr">
        <is>
          <t>Quick quote and compare insurers</t>
        </is>
      </c>
      <c r="C125" s="19" t="inlineStr">
        <is>
          <t>Quick Quote</t>
        </is>
      </c>
      <c r="D125" s="19" t="inlineStr">
        <is>
          <t>Sales / Account Executive (maria.rivera)</t>
        </is>
      </c>
      <c r="E125" s="19" t="inlineStr">
        <is>
          <t>Discount never reduces the CTPL tariff premium</t>
        </is>
      </c>
      <c r="F125" s="19" t="inlineStr">
        <is>
          <t>Validation</t>
        </is>
      </c>
      <c r="G125" s="19" t="inlineStr">
        <is>
          <t>Medium</t>
        </is>
      </c>
      <c r="H125" s="19" t="inlineStr">
        <is>
          <t>Motor quote with CTPL.</t>
        </is>
      </c>
      <c r="I125" s="19" t="inlineStr">
        <is>
          <t>1. Enter discount PHP 1,500.00.
2. Calculate.</t>
        </is>
      </c>
      <c r="J125" s="19" t="inlineStr">
        <is>
          <t>Discount PHP 1,500.00</t>
        </is>
      </c>
      <c r="K125" s="19" t="inlineStr">
        <is>
          <t>Discount applies to the comprehensive part; CTPL stays at tariff.</t>
        </is>
      </c>
      <c r="L125" s="19" t="inlineStr">
        <is>
          <t>As expected.</t>
        </is>
      </c>
      <c r="M125" s="19" t="inlineStr">
        <is>
          <t>Pass</t>
        </is>
      </c>
      <c r="N125" s="19" t="inlineStr"/>
      <c r="O125" s="19" t="inlineStr">
        <is>
          <t>iorta TechNXT QA</t>
        </is>
      </c>
      <c r="P125" s="19" t="inlineStr">
        <is>
          <t>03 October 2026</t>
        </is>
      </c>
      <c r="Q125" s="19" t="inlineStr"/>
      <c r="R125" s="19" t="inlineStr">
        <is>
          <t>backend/test/uat-disconnects.test.js :: a discount never reduces the CTPL tariff premium [passed]</t>
        </is>
      </c>
      <c r="S125" s="19" t="n"/>
    </row>
    <row r="126">
      <c r="A126" s="19" t="inlineStr">
        <is>
          <t>BV-QQT-006</t>
        </is>
      </c>
      <c r="B126" s="19" t="inlineStr">
        <is>
          <t>Quick quote and compare insurers</t>
        </is>
      </c>
      <c r="C126" s="19" t="inlineStr">
        <is>
          <t>Quick Quote</t>
        </is>
      </c>
      <c r="D126" s="19" t="inlineStr">
        <is>
          <t>Sales / Account Executive (maria.rivera)</t>
        </is>
      </c>
      <c r="E126" s="19" t="inlineStr">
        <is>
          <t>Quick quote and saved quotation give the same premium</t>
        </is>
      </c>
      <c r="F126" s="19" t="inlineStr">
        <is>
          <t>Integration</t>
        </is>
      </c>
      <c r="G126" s="19" t="inlineStr">
        <is>
          <t>High</t>
        </is>
      </c>
      <c r="H126" s="19" t="inlineStr">
        <is>
          <t>Quick quote calculated.</t>
        </is>
      </c>
      <c r="I126" s="19" t="inlineStr">
        <is>
          <t>1. Save the quick quote as a quotation.
2. Compare gross premium with the quick quote.</t>
        </is>
      </c>
      <c r="J126" s="19" t="inlineStr">
        <is>
          <t>Motor comprehensive with CTPL</t>
        </is>
      </c>
      <c r="K126" s="19" t="inlineStr">
        <is>
          <t>Saved quotation gross equals the quick quote gross to the centavo.</t>
        </is>
      </c>
      <c r="L126" s="19" t="inlineStr">
        <is>
          <t>14 motor and 6 CTPL quotations saved; each matched its quick quote.</t>
        </is>
      </c>
      <c r="M126" s="19" t="inlineStr">
        <is>
          <t>Pass</t>
        </is>
      </c>
      <c r="N126" s="19" t="inlineStr"/>
      <c r="O126" s="19" t="inlineStr">
        <is>
          <t>iorta TechNXT QA</t>
        </is>
      </c>
      <c r="P126" s="19" t="inlineStr">
        <is>
          <t>04 October 2026</t>
        </is>
      </c>
      <c r="Q126" s="19" t="inlineStr"/>
      <c r="R126" s="19" t="inlineStr">
        <is>
          <t>backend/test/motor-tariff.test.js :: stores the server-priced CTPL and Auto Passenger PA in the quotation [passed]
UAT cycle 03-04 October 2026, phase Retail package business (84 passed, 0 failed)</t>
        </is>
      </c>
      <c r="S126" s="19" t="n"/>
    </row>
    <row r="127">
      <c r="A127" s="19" t="inlineStr">
        <is>
          <t>BV-QQT-007</t>
        </is>
      </c>
      <c r="B127" s="19" t="inlineStr">
        <is>
          <t>Quick quote and compare insurers</t>
        </is>
      </c>
      <c r="C127" s="19" t="inlineStr">
        <is>
          <t>Compare Insurers</t>
        </is>
      </c>
      <c r="D127" s="19" t="inlineStr">
        <is>
          <t>Sales / Account Executive (maria.rivera)</t>
        </is>
      </c>
      <c r="E127" s="19" t="inlineStr">
        <is>
          <t>Compare insurers of a product side by side</t>
        </is>
      </c>
      <c r="F127" s="19" t="inlineStr">
        <is>
          <t>Functional</t>
        </is>
      </c>
      <c r="G127" s="19" t="inlineStr">
        <is>
          <t>High</t>
        </is>
      </c>
      <c r="H127" s="19" t="inlineStr">
        <is>
          <t>Insurer rate tables for Personal Accident.</t>
        </is>
      </c>
      <c r="I127" s="19" t="inlineStr">
        <is>
          <t>1. Open Operations &gt; Sales &amp; Marketing &gt; Compare Insurers.
2. Choose Personal Accident, sum insured PHP 500,000.00.
3. Read the comparison.
4. Print it for the client.</t>
        </is>
      </c>
      <c r="J127" s="19" t="inlineStr">
        <is>
          <t>PA PHP 500,000.00</t>
        </is>
      </c>
      <c r="K127" s="19" t="inlineStr">
        <is>
          <t>Insurers listed cheapest total first; printed comparison opens as PDF; Proceed creates a quotation priced with the engine.</t>
        </is>
      </c>
      <c r="L127" s="19" t="inlineStr">
        <is>
          <t>As expected.</t>
        </is>
      </c>
      <c r="M127" s="19" t="inlineStr">
        <is>
          <t>Pass</t>
        </is>
      </c>
      <c r="N127" s="19" t="inlineStr"/>
      <c r="O127" s="19" t="inlineStr">
        <is>
          <t>iorta TechNXT QA</t>
        </is>
      </c>
      <c r="P127" s="19" t="inlineStr">
        <is>
          <t>03 October 2026</t>
        </is>
      </c>
      <c r="Q127" s="19" t="inlineStr"/>
      <c r="R127" s="19" t="inlineStr">
        <is>
          <t>backend/test/packages.test.js :: compares the insurers of a product side by side, cheapest total first [passed]
backend/test/packages.test.js :: prints the comparison for the client and proceeds to a quotation priced with the engine [passed]
Screen check /sales/compare-insurers: opened clean</t>
        </is>
      </c>
      <c r="S127" s="19" t="n"/>
    </row>
    <row r="128">
      <c r="A128" s="19" t="inlineStr">
        <is>
          <t>BV-QQT-008</t>
        </is>
      </c>
      <c r="B128" s="19" t="inlineStr">
        <is>
          <t>Quick quote and compare insurers</t>
        </is>
      </c>
      <c r="C128" s="19" t="inlineStr">
        <is>
          <t>Rate tables</t>
        </is>
      </c>
      <c r="D128" s="19" t="inlineStr">
        <is>
          <t>Processing Team (jose.bernardo)</t>
        </is>
      </c>
      <c r="E128" s="19" t="inlineStr">
        <is>
          <t>Processing maintains insurer rate tables; Sales reads them</t>
        </is>
      </c>
      <c r="F128" s="19" t="inlineStr">
        <is>
          <t>Role access</t>
        </is>
      </c>
      <c r="G128" s="19" t="inlineStr">
        <is>
          <t>Medium</t>
        </is>
      </c>
      <c r="H128" s="19" t="inlineStr">
        <is>
          <t>Master &gt; Finance &gt; Insurer Rate Tables.</t>
        </is>
      </c>
      <c r="I128" s="19" t="inlineStr">
        <is>
          <t>1. As jose.bernardo edit a PA rate and save.
2. As maria.rivera open the same table.</t>
        </is>
      </c>
      <c r="J128" s="19" t="inlineStr">
        <is>
          <t>Luzon Bay PA rate 0.40%</t>
        </is>
      </c>
      <c r="K128" s="19" t="inlineStr">
        <is>
          <t>Processing saves; Sales reads only. Percent, per mille and flat rates with minimum premium price correctly.</t>
        </is>
      </c>
      <c r="L128" s="19" t="inlineStr">
        <is>
          <t>As expected.</t>
        </is>
      </c>
      <c r="M128" s="19" t="inlineStr">
        <is>
          <t>Pass</t>
        </is>
      </c>
      <c r="N128" s="19" t="inlineStr"/>
      <c r="O128" s="19" t="inlineStr">
        <is>
          <t>iorta TechNXT QA</t>
        </is>
      </c>
      <c r="P128" s="19" t="inlineStr">
        <is>
          <t>03 October 2026</t>
        </is>
      </c>
      <c r="Q128" s="19" t="inlineStr"/>
      <c r="R128" s="19" t="inlineStr">
        <is>
          <t>backend/test/packages.test.js :: lets the Processing Team maintain rate tables; Sales reads them [passed]
backend/test/packages.test.js :: prices percent, per mille and flat rates with the minimum premium [passed]
Screen check /master/finance/insurer-rate-tables: opened clean</t>
        </is>
      </c>
      <c r="S128" s="19" t="n"/>
    </row>
    <row r="129">
      <c r="A129" s="19" t="inlineStr">
        <is>
          <t>BV-QQT-009</t>
        </is>
      </c>
      <c r="B129" s="19" t="inlineStr">
        <is>
          <t>Quick quote and compare insurers</t>
        </is>
      </c>
      <c r="C129" s="19" t="inlineStr">
        <is>
          <t>Package bundles</t>
        </is>
      </c>
      <c r="D129" s="19" t="inlineStr">
        <is>
          <t>Processing Team (jose.bernardo)</t>
        </is>
      </c>
      <c r="E129" s="19" t="inlineStr">
        <is>
          <t>Bundle product priced per section and insurer</t>
        </is>
      </c>
      <c r="F129" s="19" t="inlineStr">
        <is>
          <t>Functional</t>
        </is>
      </c>
      <c r="G129" s="19" t="inlineStr">
        <is>
          <t>Medium</t>
        </is>
      </c>
      <c r="H129" s="19" t="inlineStr">
        <is>
          <t>Master &gt; Finance &gt; Package Bundles.</t>
        </is>
      </c>
      <c r="I129" s="19" t="inlineStr">
        <is>
          <t>1. Create a bundle with fire and burglary sections.
2. Quote it with a discount.</t>
        </is>
      </c>
      <c r="J129" s="19" t="inlineStr">
        <is>
          <t>SME bundle: fire PHP 5,000,000.00, burglary PHP 500,000.00, discount 5%</t>
        </is>
      </c>
      <c r="K129" s="19" t="inlineStr">
        <is>
          <t>Each section priced at its insurer rate, discount spread, taxes per section; lead insurer = largest gross; shares total 100.</t>
        </is>
      </c>
      <c r="L129" s="19" t="inlineStr">
        <is>
          <t>As expected.</t>
        </is>
      </c>
      <c r="M129" s="19" t="inlineStr">
        <is>
          <t>Pass</t>
        </is>
      </c>
      <c r="N129" s="19" t="inlineStr"/>
      <c r="O129" s="19" t="inlineStr">
        <is>
          <t>iorta TechNXT QA</t>
        </is>
      </c>
      <c r="P129" s="19" t="inlineStr">
        <is>
          <t>03 October 2026</t>
        </is>
      </c>
      <c r="Q129" s="19" t="inlineStr"/>
      <c r="R129" s="19" t="inlineStr">
        <is>
          <t>backend/test/packages.test.js :: maintains bundle products (Processing Team) [passed]
backend/test/packages.test.js :: prices a bundle per section: insurer rate, discount spread, taxes per section [passed]
backend/test/packages.test.js :: groups sections per insurer with the largest gross as lead and shares totalling 100 [passed]
Screen check /master/finance/package-bundles: opened clean</t>
        </is>
      </c>
      <c r="S129" s="19" t="n"/>
    </row>
    <row r="130">
      <c r="A130" s="19" t="inlineStr">
        <is>
          <t>BV-QUO-001</t>
        </is>
      </c>
      <c r="B130" s="19" t="inlineStr">
        <is>
          <t>Quotations and customer response</t>
        </is>
      </c>
      <c r="C130" s="19" t="inlineStr">
        <is>
          <t>Quotation</t>
        </is>
      </c>
      <c r="D130" s="19" t="inlineStr">
        <is>
          <t>Sales / Account Executive (maria.rivera)</t>
        </is>
      </c>
      <c r="E130" s="19" t="inlineStr">
        <is>
          <t>Create a motor quotation from a prospect</t>
        </is>
      </c>
      <c r="F130" s="19" t="inlineStr">
        <is>
          <t>Functional</t>
        </is>
      </c>
      <c r="G130" s="19" t="inlineStr">
        <is>
          <t>High</t>
        </is>
      </c>
      <c r="H130" s="19" t="inlineStr">
        <is>
          <t>Prospect Kristine Villanueva exists.</t>
        </is>
      </c>
      <c r="I130" s="19" t="inlineStr">
        <is>
          <t>1. Open the prospect and click Create Quote.
2. Enter vehicle details, sum insured, covers and insurer.
3. Save.</t>
        </is>
      </c>
      <c r="J130" s="19" t="inlineStr">
        <is>
          <t>Toyota Fortuner 2.8 LTD 4x4 AT 2023; plate NBC 4521; FMV PHP 2,100,000.00; Pacific Crest</t>
        </is>
      </c>
      <c r="K130" s="19" t="inlineStr">
        <is>
          <t>Quotation saved as Draft with a number from the series; premium breakdown calculated on the server; listed in Quotations.</t>
        </is>
      </c>
      <c r="L130" s="19" t="inlineStr">
        <is>
          <t>As expected.</t>
        </is>
      </c>
      <c r="M130" s="19" t="inlineStr">
        <is>
          <t>Pass</t>
        </is>
      </c>
      <c r="N130" s="19" t="inlineStr"/>
      <c r="O130" s="19" t="inlineStr">
        <is>
          <t>iorta TechNXT QA</t>
        </is>
      </c>
      <c r="P130" s="19" t="inlineStr">
        <is>
          <t>04 October 2026</t>
        </is>
      </c>
      <c r="Q130" s="19" t="inlineStr"/>
      <c r="R130" s="19" t="inlineStr">
        <is>
          <t>backend/test/quotations.test.js :: creates a quotation with a server-side premium breakdown from settings [passed]
UAT cycle 03-04 October 2026, phase Retail package business (84 passed, 0 failed)
Screen check /agent/Quotation: opened clean</t>
        </is>
      </c>
      <c r="S130" s="19" t="n"/>
    </row>
    <row r="131">
      <c r="A131" s="19" t="inlineStr">
        <is>
          <t>BV-QUO-002</t>
        </is>
      </c>
      <c r="B131" s="19" t="inlineStr">
        <is>
          <t>Quotations and customer response</t>
        </is>
      </c>
      <c r="C131" s="19" t="inlineStr">
        <is>
          <t>Quotation</t>
        </is>
      </c>
      <c r="D131" s="19" t="inlineStr">
        <is>
          <t>Sales / Account Executive (maria.rivera)</t>
        </is>
      </c>
      <c r="E131" s="19" t="inlineStr">
        <is>
          <t>Quotation without a prospect refused</t>
        </is>
      </c>
      <c r="F131" s="19" t="inlineStr">
        <is>
          <t>Negative</t>
        </is>
      </c>
      <c r="G131" s="19" t="inlineStr">
        <is>
          <t>Medium</t>
        </is>
      </c>
      <c r="H131" s="19" t="inlineStr">
        <is>
          <t>Signed in as maria.rivera.</t>
        </is>
      </c>
      <c r="I131" s="19" t="inlineStr">
        <is>
          <t>1. Try to save a quotation with no prospect, client or new prospect name.</t>
        </is>
      </c>
      <c r="J131" s="19" t="inlineStr">
        <is>
          <t>No prospect</t>
        </is>
      </c>
      <c r="K131" s="19" t="inlineStr">
        <is>
          <t>Save refused; nothing saved.</t>
        </is>
      </c>
      <c r="L131" s="19" t="inlineStr">
        <is>
          <t>As expected.</t>
        </is>
      </c>
      <c r="M131" s="19" t="inlineStr">
        <is>
          <t>Pass</t>
        </is>
      </c>
      <c r="N131" s="19" t="inlineStr"/>
      <c r="O131" s="19" t="inlineStr">
        <is>
          <t>iorta TechNXT QA</t>
        </is>
      </c>
      <c r="P131" s="19" t="inlineStr">
        <is>
          <t>03 October 2026</t>
        </is>
      </c>
      <c r="Q131" s="19" t="inlineStr"/>
      <c r="R131" s="19" t="inlineStr">
        <is>
          <t>backend/test/quotations.test.js :: rejects a quotation without a lead and blocks personas without the permission [passed]
backend/test/request-for-quotation.test.js :: needs a lead, a client or a prospect with a name, and saves nothing on failure [passed]</t>
        </is>
      </c>
      <c r="S131" s="19" t="n"/>
    </row>
    <row r="132">
      <c r="A132" s="19" t="inlineStr">
        <is>
          <t>BV-QUO-003</t>
        </is>
      </c>
      <c r="B132" s="19" t="inlineStr">
        <is>
          <t>Quotations and customer response</t>
        </is>
      </c>
      <c r="C132" s="19" t="inlineStr">
        <is>
          <t>Quotation</t>
        </is>
      </c>
      <c r="D132" s="19" t="inlineStr">
        <is>
          <t>Sales / Account Executive (maria.rivera)</t>
        </is>
      </c>
      <c r="E132" s="19" t="inlineStr">
        <is>
          <t>Motor sum insured and rate checks on the coverage card</t>
        </is>
      </c>
      <c r="F132" s="19" t="inlineStr">
        <is>
          <t>Validation</t>
        </is>
      </c>
      <c r="G132" s="19" t="inlineStr">
        <is>
          <t>Medium</t>
        </is>
      </c>
      <c r="H132" s="19" t="inlineStr">
        <is>
          <t>Create Quote - Coverage Details open.</t>
        </is>
      </c>
      <c r="I132" s="19" t="inlineStr">
        <is>
          <t>1. Enter sum insured 0.
2. Enter rate 120 for own damage.
3. Untick a cover and leave its rate blank.</t>
        </is>
      </c>
      <c r="J132" s="19" t="inlineStr">
        <is>
          <t>SI 0; rate 120</t>
        </is>
      </c>
      <c r="K132" s="19" t="inlineStr">
        <is>
          <t>Zero or negative sum insured refused; rate must be 0 to 100; rates checked only for included covers.</t>
        </is>
      </c>
      <c r="L132" s="19" t="inlineStr">
        <is>
          <t>As expected.</t>
        </is>
      </c>
      <c r="M132" s="19" t="inlineStr">
        <is>
          <t>Pass</t>
        </is>
      </c>
      <c r="N132" s="19" t="inlineStr"/>
      <c r="O132" s="19" t="inlineStr">
        <is>
          <t>iorta TechNXT QA</t>
        </is>
      </c>
      <c r="P132" s="19" t="inlineStr">
        <is>
          <t>03 October 2026</t>
        </is>
      </c>
      <c r="Q132" s="19" t="inlineStr"/>
      <c r="R132" s="19" t="inlineStr">
        <is>
          <t>brokerverse/src/agentModule/quoteModule/coverageDetails/coverageDetailsCard/coverageInputErrors.test.js :: rejects an empty, zero or negative sum insured [passed]
brokerverse/src/agentModule/quoteModule/coverageDetails/coverageDetailsCard/coverageInputErrors.test.js :: accepts a positive sum insured and rates from 0 to 100 [passed]
brokerverse/src/agentModule/quoteModule/coverageDetails/coverageDetailsCard/coverageInputErrors.test.js :: checks the rates of the covers that are included only [passed]</t>
        </is>
      </c>
      <c r="S132" s="19" t="n"/>
    </row>
    <row r="133">
      <c r="A133" s="19" t="inlineStr">
        <is>
          <t>BV-QUO-004</t>
        </is>
      </c>
      <c r="B133" s="19" t="inlineStr">
        <is>
          <t>Quotations and customer response</t>
        </is>
      </c>
      <c r="C133" s="19" t="inlineStr">
        <is>
          <t>Quotation</t>
        </is>
      </c>
      <c r="D133" s="19" t="inlineStr">
        <is>
          <t>Sales / Account Executive (maria.rivera)</t>
        </is>
      </c>
      <c r="E133" s="19" t="inlineStr">
        <is>
          <t>Edit a quotation; premium recalculates</t>
        </is>
      </c>
      <c r="F133" s="19" t="inlineStr">
        <is>
          <t>Functional</t>
        </is>
      </c>
      <c r="G133" s="19" t="inlineStr">
        <is>
          <t>Medium</t>
        </is>
      </c>
      <c r="H133" s="19" t="inlineStr">
        <is>
          <t>Draft quotation.</t>
        </is>
      </c>
      <c r="I133" s="19" t="inlineStr">
        <is>
          <t>1. Open the quotation, change the own damage rate from 1.50% to 1.65%.
2. Save.</t>
        </is>
      </c>
      <c r="J133" s="19" t="inlineStr">
        <is>
          <t>OD rate 1.65%</t>
        </is>
      </c>
      <c r="K133" s="19" t="inlineStr">
        <is>
          <t>Premium recalculated and saved; search finds the quotation.</t>
        </is>
      </c>
      <c r="L133" s="19" t="inlineStr">
        <is>
          <t>As expected.</t>
        </is>
      </c>
      <c r="M133" s="19" t="inlineStr">
        <is>
          <t>Pass</t>
        </is>
      </c>
      <c r="N133" s="19" t="inlineStr"/>
      <c r="O133" s="19" t="inlineStr">
        <is>
          <t>iorta TechNXT QA</t>
        </is>
      </c>
      <c r="P133" s="19" t="inlineStr">
        <is>
          <t>03 October 2026</t>
        </is>
      </c>
      <c r="Q133" s="19" t="inlineStr"/>
      <c r="R133" s="19" t="inlineStr">
        <is>
          <t>backend/test/quotations.test.js :: reads back, lists, searches and updates (premium recalculated) [passed]</t>
        </is>
      </c>
      <c r="S133" s="19" t="n"/>
    </row>
    <row r="134">
      <c r="A134" s="19" t="inlineStr">
        <is>
          <t>BV-QUO-005</t>
        </is>
      </c>
      <c r="B134" s="19" t="inlineStr">
        <is>
          <t>Quotations and customer response</t>
        </is>
      </c>
      <c r="C134" s="19" t="inlineStr">
        <is>
          <t>Quotation</t>
        </is>
      </c>
      <c r="D134" s="19" t="inlineStr">
        <is>
          <t>Sales / Account Executive (maria.rivera)</t>
        </is>
      </c>
      <c r="E134" s="19" t="inlineStr">
        <is>
          <t>Quotation PDF prints the breakdown and signatory</t>
        </is>
      </c>
      <c r="F134" s="19" t="inlineStr">
        <is>
          <t>Functional</t>
        </is>
      </c>
      <c r="G134" s="19" t="inlineStr">
        <is>
          <t>Medium</t>
        </is>
      </c>
      <c r="H134" s="19" t="inlineStr">
        <is>
          <t>Motor quotation with CTPL.</t>
        </is>
      </c>
      <c r="I134" s="19" t="inlineStr">
        <is>
          <t>1. Open the quotation.
2. Download the PDF.</t>
        </is>
      </c>
      <c r="J134" s="19" t="inlineStr">
        <is>
          <t>Motor quotation</t>
        </is>
      </c>
      <c r="K134" s="19" t="inlineStr">
        <is>
          <t>PDF shows net + taxes + CTPL = gross, the insured name from the client and the chosen signatory with designation.</t>
        </is>
      </c>
      <c r="L134" s="19" t="inlineStr">
        <is>
          <t>As expected.</t>
        </is>
      </c>
      <c r="M134" s="19" t="inlineStr">
        <is>
          <t>Pass</t>
        </is>
      </c>
      <c r="N134" s="19" t="inlineStr"/>
      <c r="O134" s="19" t="inlineStr">
        <is>
          <t>iorta TechNXT QA</t>
        </is>
      </c>
      <c r="P134" s="19" t="inlineStr">
        <is>
          <t>03 October 2026</t>
        </is>
      </c>
      <c r="Q134" s="19" t="inlineStr"/>
      <c r="R134" s="19" t="inlineStr">
        <is>
          <t>backend/test/printing.test.js :: motor quotation with CTPL: net + taxes + CTPL = gross [passed]
backend/test/quote-to-policy.test.js :: the quotation names its insured from the client [passed]
backend/test/quotations.test.js :: stats, compare, vehicle info, quote PDF and customer e-mail [passed]</t>
        </is>
      </c>
      <c r="S134" s="19" t="n"/>
    </row>
    <row r="135">
      <c r="A135" s="19" t="inlineStr">
        <is>
          <t>BV-QUO-006</t>
        </is>
      </c>
      <c r="B135" s="19" t="inlineStr">
        <is>
          <t>Quotations and customer response</t>
        </is>
      </c>
      <c r="C135" s="19" t="inlineStr">
        <is>
          <t>Customer approval</t>
        </is>
      </c>
      <c r="D135" s="19" t="inlineStr">
        <is>
          <t>Sales / Account Executive (maria.rivera)</t>
        </is>
      </c>
      <c r="E135" s="19" t="inlineStr">
        <is>
          <t>Send for customer approval when e-mail is off</t>
        </is>
      </c>
      <c r="F135" s="19" t="inlineStr">
        <is>
          <t>Functional</t>
        </is>
      </c>
      <c r="G135" s="19" t="inlineStr">
        <is>
          <t>High</t>
        </is>
      </c>
      <c r="H135" s="19" t="inlineStr">
        <is>
          <t>E-mail sending switched off.</t>
        </is>
      </c>
      <c r="I135" s="19" t="inlineStr">
        <is>
          <t>1. Open the quotation.
2. Click Send for Customer Approval.</t>
        </is>
      </c>
      <c r="J135" s="19" t="inlineStr">
        <is>
          <t>Quotation of Kristine Villanueva</t>
        </is>
      </c>
      <c r="K135" s="19" t="inlineStr">
        <is>
          <t>Status Pending customer; message "E-mail not sent" explains e-mail is not configured; Copy approval link offered.</t>
        </is>
      </c>
      <c r="L135" s="19" t="inlineStr">
        <is>
          <t>As expected.</t>
        </is>
      </c>
      <c r="M135" s="19" t="inlineStr">
        <is>
          <t>Pass</t>
        </is>
      </c>
      <c r="N135" s="19" t="inlineStr"/>
      <c r="O135" s="19" t="inlineStr">
        <is>
          <t>iorta TechNXT QA</t>
        </is>
      </c>
      <c r="P135" s="19" t="inlineStr">
        <is>
          <t>04 October 2026</t>
        </is>
      </c>
      <c r="Q135" s="19" t="inlineStr"/>
      <c r="R135" s="19" t="inlineStr">
        <is>
          <t>backend/test/customer-response.test.js :: moves to PendingCustomer and says plainly that e-mail is not configured [passed]
backend/test/customer-response.test.js :: returns the current link again, so the e-mailed one keeps working [passed]
UAT cycle 03-04 October 2026, phase Retail package business (84 passed, 0 failed)</t>
        </is>
      </c>
      <c r="S135" s="19" t="n"/>
    </row>
    <row r="136">
      <c r="A136" s="19" t="inlineStr">
        <is>
          <t>BV-QUO-007</t>
        </is>
      </c>
      <c r="B136" s="19" t="inlineStr">
        <is>
          <t>Quotations and customer response</t>
        </is>
      </c>
      <c r="C136" s="19" t="inlineStr">
        <is>
          <t>Customer approval</t>
        </is>
      </c>
      <c r="D136" s="19" t="inlineStr">
        <is>
          <t>Sales / Account Executive (maria.rivera)</t>
        </is>
      </c>
      <c r="E136" s="19" t="inlineStr">
        <is>
          <t>Record customer response: accepted with evidence</t>
        </is>
      </c>
      <c r="F136" s="19" t="inlineStr">
        <is>
          <t>Functional</t>
        </is>
      </c>
      <c r="G136" s="19" t="inlineStr">
        <is>
          <t>High</t>
        </is>
      </c>
      <c r="H136" s="19" t="inlineStr">
        <is>
          <t>Quotation Pending customer.</t>
        </is>
      </c>
      <c r="I136" s="19" t="inlineStr">
        <is>
          <t>1. Click Record customer response.
2. Customer's answer: Accepted; Received by: Viber/WhatsApp; Response date; Reference; attach signed form.
3. Click Record response.</t>
        </is>
      </c>
      <c r="J136" s="19" t="inlineStr">
        <is>
          <t>Reference: Viber 03 Oct 2026 10:42; attachment signed-acceptance.pdf</t>
        </is>
      </c>
      <c r="K136" s="19" t="inlineStr">
        <is>
          <t>"Customer response recorded. Quotation status: CustomerAccepted". Evidence stored and shown in the history; audited.</t>
        </is>
      </c>
      <c r="L136" s="19" t="inlineStr">
        <is>
          <t>66 accepted responses recorded in the cycle.</t>
        </is>
      </c>
      <c r="M136" s="19" t="inlineStr">
        <is>
          <t>Pass</t>
        </is>
      </c>
      <c r="N136" s="19" t="inlineStr"/>
      <c r="O136" s="19" t="inlineStr">
        <is>
          <t>iorta TechNXT QA</t>
        </is>
      </c>
      <c r="P136" s="19" t="inlineStr">
        <is>
          <t>04 October 2026</t>
        </is>
      </c>
      <c r="Q136" s="19" t="inlineStr"/>
      <c r="R136" s="19" t="inlineStr">
        <is>
          <t>backend/test/customer-response.test.js :: accepted: CustomerAccepted with the evidence stored, audited and listed [passed]
UAT cycle 03-04 October 2026, phase Retail package business (84 passed, 0 failed)</t>
        </is>
      </c>
      <c r="S136" s="19" t="n"/>
    </row>
    <row r="137">
      <c r="A137" s="19" t="inlineStr">
        <is>
          <t>BV-QUO-008</t>
        </is>
      </c>
      <c r="B137" s="19" t="inlineStr">
        <is>
          <t>Quotations and customer response</t>
        </is>
      </c>
      <c r="C137" s="19" t="inlineStr">
        <is>
          <t>Customer approval</t>
        </is>
      </c>
      <c r="D137" s="19" t="inlineStr">
        <is>
          <t>Sales / Account Executive (maria.rivera)</t>
        </is>
      </c>
      <c r="E137" s="19" t="inlineStr">
        <is>
          <t>Record response: declined and revise</t>
        </is>
      </c>
      <c r="F137" s="19" t="inlineStr">
        <is>
          <t>Functional</t>
        </is>
      </c>
      <c r="G137" s="19" t="inlineStr">
        <is>
          <t>Medium</t>
        </is>
      </c>
      <c r="H137" s="19" t="inlineStr">
        <is>
          <t>Two quotations Pending customer.</t>
        </is>
      </c>
      <c r="I137" s="19" t="inlineStr">
        <is>
          <t>1. Record Declined on the first.
2. Record Revise on the second; open the old approval link.</t>
        </is>
      </c>
      <c r="J137" s="19" t="inlineStr">
        <is>
          <t>Declined: "Premium too high"; Revise: "Asked for a lower deductible"</t>
        </is>
      </c>
      <c r="K137" s="19" t="inlineStr">
        <is>
          <t>Declined: status Rejected. Revise: back to Draft and the old link stops working.</t>
        </is>
      </c>
      <c r="L137" s="19" t="inlineStr">
        <is>
          <t>As expected.</t>
        </is>
      </c>
      <c r="M137" s="19" t="inlineStr">
        <is>
          <t>Pass</t>
        </is>
      </c>
      <c r="N137" s="19" t="inlineStr"/>
      <c r="O137" s="19" t="inlineStr">
        <is>
          <t>iorta TechNXT QA</t>
        </is>
      </c>
      <c r="P137" s="19" t="inlineStr">
        <is>
          <t>04 October 2026</t>
        </is>
      </c>
      <c r="Q137" s="19" t="inlineStr"/>
      <c r="R137" s="19" t="inlineStr">
        <is>
          <t>backend/test/customer-response.test.js :: declined: Rejected; revise: back to Draft and the old link stops working [passed]
UAT cycle 03-04 October 2026, phase Retail package business (84 passed, 0 failed)</t>
        </is>
      </c>
      <c r="S137" s="19" t="n"/>
    </row>
    <row r="138">
      <c r="A138" s="19" t="inlineStr">
        <is>
          <t>BV-QUO-009</t>
        </is>
      </c>
      <c r="B138" s="19" t="inlineStr">
        <is>
          <t>Quotations and customer response</t>
        </is>
      </c>
      <c r="C138" s="19" t="inlineStr">
        <is>
          <t>Customer approval</t>
        </is>
      </c>
      <c r="D138" s="19" t="inlineStr">
        <is>
          <t>Sales / Account Executive (maria.rivera)</t>
        </is>
      </c>
      <c r="E138" s="19" t="inlineStr">
        <is>
          <t>Customer response evidence validation</t>
        </is>
      </c>
      <c r="F138" s="19" t="inlineStr">
        <is>
          <t>Validation</t>
        </is>
      </c>
      <c r="G138" s="19" t="inlineStr">
        <is>
          <t>Medium</t>
        </is>
      </c>
      <c r="H138" s="19" t="inlineStr">
        <is>
          <t>Record customer response dialog open.</t>
        </is>
      </c>
      <c r="I138" s="19" t="inlineStr">
        <is>
          <t>1. Click Record response with nothing selected.</t>
        </is>
      </c>
      <c r="J138" s="19" t="inlineStr">
        <is>
          <t>Empty form</t>
        </is>
      </c>
      <c r="K138" s="19" t="inlineStr">
        <is>
          <t>"Select how the response was received", "Enter the response date", "Enter a reference or remarks".</t>
        </is>
      </c>
      <c r="L138" s="19" t="inlineStr">
        <is>
          <t>As expected.</t>
        </is>
      </c>
      <c r="M138" s="19" t="inlineStr">
        <is>
          <t>Pass</t>
        </is>
      </c>
      <c r="N138" s="19" t="inlineStr"/>
      <c r="O138" s="19" t="inlineStr">
        <is>
          <t>iorta TechNXT QA</t>
        </is>
      </c>
      <c r="P138" s="19" t="inlineStr">
        <is>
          <t>03 October 2026</t>
        </is>
      </c>
      <c r="Q138" s="19" t="inlineStr"/>
      <c r="R138" s="19" t="inlineStr">
        <is>
          <t>backend/test/customer-response.test.js :: validates the evidence: channel, date, reference or remarks [passed]</t>
        </is>
      </c>
      <c r="S138" s="19" t="n"/>
    </row>
    <row r="139">
      <c r="A139" s="19" t="inlineStr">
        <is>
          <t>BV-QUO-010</t>
        </is>
      </c>
      <c r="B139" s="19" t="inlineStr">
        <is>
          <t>Quotations and customer response</t>
        </is>
      </c>
      <c r="C139" s="19" t="inlineStr">
        <is>
          <t>Customer approval</t>
        </is>
      </c>
      <c r="D139" s="19" t="inlineStr">
        <is>
          <t>Sales / Account Executive (maria.rivera)</t>
        </is>
      </c>
      <c r="E139" s="19" t="inlineStr">
        <is>
          <t>Customer approves through the link</t>
        </is>
      </c>
      <c r="F139" s="19" t="inlineStr">
        <is>
          <t>Functional</t>
        </is>
      </c>
      <c r="G139" s="19" t="inlineStr">
        <is>
          <t>High</t>
        </is>
      </c>
      <c r="H139" s="19" t="inlineStr">
        <is>
          <t>E-mail sending on; customer e-mail valid.</t>
        </is>
      </c>
      <c r="I139" s="19" t="inlineStr">
        <is>
          <t>1. Send for Customer Approval.
2. Open the link from the e-mail as the customer.
3. Accept.
4. Open the link with a wrong token.</t>
        </is>
      </c>
      <c r="J139" s="19" t="inlineStr">
        <is>
          <t>Customer e-mail kristine.villanueva@example.ph</t>
        </is>
      </c>
      <c r="K139" s="19" t="inlineStr">
        <is>
          <t>Preview shows the quotation; accept sets Customer accepted; invalid token refused.</t>
        </is>
      </c>
      <c r="L139" s="19" t="inlineStr">
        <is>
          <t>Link flow confirmed in the backend run; e-mail delivery to an inbox not possible because SMTP is not configured.</t>
        </is>
      </c>
      <c r="M139" s="19" t="inlineStr">
        <is>
          <t>Blocked</t>
        </is>
      </c>
      <c r="N139" s="19" t="inlineStr"/>
      <c r="O139" s="19" t="inlineStr">
        <is>
          <t>iorta TechNXT QA</t>
        </is>
      </c>
      <c r="P139" s="19" t="inlineStr">
        <is>
          <t>03 October 2026</t>
        </is>
      </c>
      <c r="Q139" s="19" t="inlineStr">
        <is>
          <t>Re-test with SMTP configured.</t>
        </is>
      </c>
      <c r="R139" s="19" t="inlineStr">
        <is>
          <t>backend/test/quotations.test.js :: public approve-by-customer: preview, accept, invalid token [passed]
backend/test/quotations.test.js :: sends for approval: e-mail with signed link, underwriting notified, PendingCustomer [passed]</t>
        </is>
      </c>
      <c r="S139" s="19" t="n"/>
    </row>
    <row r="140">
      <c r="A140" s="19" t="inlineStr">
        <is>
          <t>BV-QUO-011</t>
        </is>
      </c>
      <c r="B140" s="19" t="inlineStr">
        <is>
          <t>Quotations and customer response</t>
        </is>
      </c>
      <c r="C140" s="19" t="inlineStr">
        <is>
          <t>Customer approval</t>
        </is>
      </c>
      <c r="D140" s="19" t="inlineStr">
        <is>
          <t>Sales / Account Executive (maria.rivera)</t>
        </is>
      </c>
      <c r="E140" s="19" t="inlineStr">
        <is>
          <t>Response refused on a quotation not pending</t>
        </is>
      </c>
      <c r="F140" s="19" t="inlineStr">
        <is>
          <t>Negative</t>
        </is>
      </c>
      <c r="G140" s="19" t="inlineStr">
        <is>
          <t>Low</t>
        </is>
      </c>
      <c r="H140" s="19" t="inlineStr">
        <is>
          <t>Draft quotation.</t>
        </is>
      </c>
      <c r="I140" s="19" t="inlineStr">
        <is>
          <t>1. Try to record a customer response on a Draft quotation.</t>
        </is>
      </c>
      <c r="J140" s="19" t="inlineStr">
        <is>
          <t>Draft quotation</t>
        </is>
      </c>
      <c r="K140" s="19" t="inlineStr">
        <is>
          <t>Refused; the transition map is respected.</t>
        </is>
      </c>
      <c r="L140" s="19" t="inlineStr">
        <is>
          <t>As expected.</t>
        </is>
      </c>
      <c r="M140" s="19" t="inlineStr">
        <is>
          <t>Pass</t>
        </is>
      </c>
      <c r="N140" s="19" t="inlineStr"/>
      <c r="O140" s="19" t="inlineStr">
        <is>
          <t>iorta TechNXT QA</t>
        </is>
      </c>
      <c r="P140" s="19" t="inlineStr">
        <is>
          <t>03 October 2026</t>
        </is>
      </c>
      <c r="Q140" s="19" t="inlineStr"/>
      <c r="R140" s="19" t="inlineStr">
        <is>
          <t>backend/test/customer-response.test.js :: issues a new link when the stored one is gone and refuses a quotation that is not pending [passed]
backend/test/customer-response.test.js :: follows the configured outcome status and the transition map [passed]</t>
        </is>
      </c>
      <c r="S140" s="19" t="n"/>
    </row>
    <row r="141">
      <c r="A141" s="19" t="inlineStr">
        <is>
          <t>BV-QUO-012</t>
        </is>
      </c>
      <c r="B141" s="19" t="inlineStr">
        <is>
          <t>Quotations and customer response</t>
        </is>
      </c>
      <c r="C141" s="19" t="inlineStr">
        <is>
          <t>Quotation approval</t>
        </is>
      </c>
      <c r="D141" s="19" t="inlineStr">
        <is>
          <t>Processing Team (jose.bernardo)</t>
        </is>
      </c>
      <c r="E141" s="19" t="inlineStr">
        <is>
          <t>Maker cannot approve own quotation slip</t>
        </is>
      </c>
      <c r="F141" s="19" t="inlineStr">
        <is>
          <t>Negative</t>
        </is>
      </c>
      <c r="G141" s="19" t="inlineStr">
        <is>
          <t>High</t>
        </is>
      </c>
      <c r="H141" s="19" t="inlineStr">
        <is>
          <t>Quotation submitted to the insurer by jose.bernardo.</t>
        </is>
      </c>
      <c r="I141" s="19" t="inlineStr">
        <is>
          <t>1. As jose.bernardo open the quotation and click Approve Quotation Slip.
2. As rica.fernandez approve it.</t>
        </is>
      </c>
      <c r="J141" s="19" t="inlineStr">
        <is>
          <t>Quotation slip of Kalayaan Steel Fabricators Inc.</t>
        </is>
      </c>
      <c r="K141" s="19" t="inlineStr">
        <is>
          <t>Maker refused; second user approves.</t>
        </is>
      </c>
      <c r="L141" s="19" t="inlineStr">
        <is>
          <t>As expected.</t>
        </is>
      </c>
      <c r="M141" s="19" t="inlineStr">
        <is>
          <t>Pass</t>
        </is>
      </c>
      <c r="N141" s="19" t="inlineStr"/>
      <c r="O141" s="19" t="inlineStr">
        <is>
          <t>iorta TechNXT QA</t>
        </is>
      </c>
      <c r="P141" s="19" t="inlineStr">
        <is>
          <t>03 October 2026</t>
        </is>
      </c>
      <c r="Q141" s="19" t="inlineStr"/>
      <c r="R141" s="19" t="inlineStr">
        <is>
          <t>backend/test/quotations.test.js :: submits to the insurer, enforces maker-checker on approval and the transition map [passed]</t>
        </is>
      </c>
      <c r="S141" s="19" t="n"/>
    </row>
    <row r="142">
      <c r="A142" s="19" t="inlineStr">
        <is>
          <t>BV-QUO-013</t>
        </is>
      </c>
      <c r="B142" s="19" t="inlineStr">
        <is>
          <t>Quotations and customer response</t>
        </is>
      </c>
      <c r="C142" s="19" t="inlineStr">
        <is>
          <t>Quotation</t>
        </is>
      </c>
      <c r="D142" s="19" t="inlineStr">
        <is>
          <t>Sales / Account Executive (maria.rivera)</t>
        </is>
      </c>
      <c r="E142" s="19" t="inlineStr">
        <is>
          <t>Convert or delete in the wrong status refused</t>
        </is>
      </c>
      <c r="F142" s="19" t="inlineStr">
        <is>
          <t>Negative</t>
        </is>
      </c>
      <c r="G142" s="19" t="inlineStr">
        <is>
          <t>Medium</t>
        </is>
      </c>
      <c r="H142" s="19" t="inlineStr">
        <is>
          <t>Draft quotation; converted quotation.</t>
        </is>
      </c>
      <c r="I142" s="19" t="inlineStr">
        <is>
          <t>1. Click Convert to Policy on a Draft quotation.
2. Delete a converted quotation.</t>
        </is>
      </c>
      <c r="J142" s="19" t="inlineStr">
        <is>
          <t>Draft and converted quotations</t>
        </is>
      </c>
      <c r="K142" s="19" t="inlineStr">
        <is>
          <t>Both refused with a status message.</t>
        </is>
      </c>
      <c r="L142" s="19" t="inlineStr">
        <is>
          <t>As expected.</t>
        </is>
      </c>
      <c r="M142" s="19" t="inlineStr">
        <is>
          <t>Pass</t>
        </is>
      </c>
      <c r="N142" s="19" t="inlineStr"/>
      <c r="O142" s="19" t="inlineStr">
        <is>
          <t>iorta TechNXT QA</t>
        </is>
      </c>
      <c r="P142" s="19" t="inlineStr">
        <is>
          <t>03 October 2026</t>
        </is>
      </c>
      <c r="Q142" s="19" t="inlineStr"/>
      <c r="R142" s="19" t="inlineStr">
        <is>
          <t>backend/test/quotations.test.js :: refuses to convert or delete quotations in the wrong status [passed]</t>
        </is>
      </c>
      <c r="S142" s="19" t="n"/>
    </row>
    <row r="143">
      <c r="A143" s="19" t="inlineStr">
        <is>
          <t>BV-QUO-014</t>
        </is>
      </c>
      <c r="B143" s="19" t="inlineStr">
        <is>
          <t>Quotations and customer response</t>
        </is>
      </c>
      <c r="C143" s="19" t="inlineStr">
        <is>
          <t>Quotation</t>
        </is>
      </c>
      <c r="D143" s="19" t="inlineStr">
        <is>
          <t>Sales / Account Executive (maria.rivera)</t>
        </is>
      </c>
      <c r="E143" s="19" t="inlineStr">
        <is>
          <t>Bulk upload quotations from CSV</t>
        </is>
      </c>
      <c r="F143" s="19" t="inlineStr">
        <is>
          <t>Functional</t>
        </is>
      </c>
      <c r="G143" s="19" t="inlineStr">
        <is>
          <t>Low</t>
        </is>
      </c>
      <c r="H143" s="19" t="inlineStr">
        <is>
          <t>Template downloaded.</t>
        </is>
      </c>
      <c r="I143" s="19" t="inlineStr">
        <is>
          <t>1. Open Quotations, click upload and click Download Template.
2. Upload 2 rows.</t>
        </is>
      </c>
      <c r="J143" s="19" t="inlineStr">
        <is>
          <t>2 motor quotations</t>
        </is>
      </c>
      <c r="K143" s="19" t="inlineStr">
        <is>
          <t>Both created; errors reported per row.</t>
        </is>
      </c>
      <c r="L143" s="19" t="inlineStr">
        <is>
          <t>As expected.</t>
        </is>
      </c>
      <c r="M143" s="19" t="inlineStr">
        <is>
          <t>Pass</t>
        </is>
      </c>
      <c r="N143" s="19" t="inlineStr"/>
      <c r="O143" s="19" t="inlineStr">
        <is>
          <t>iorta TechNXT QA</t>
        </is>
      </c>
      <c r="P143" s="19" t="inlineStr">
        <is>
          <t>03 October 2026</t>
        </is>
      </c>
      <c r="Q143" s="19" t="inlineStr"/>
      <c r="R143" s="19" t="inlineStr">
        <is>
          <t>backend/test/quotations.test.js :: bulk uploads quotations from CSV [passed]</t>
        </is>
      </c>
      <c r="S143" s="19" t="n"/>
    </row>
    <row r="144">
      <c r="A144" s="19" t="inlineStr">
        <is>
          <t>BV-QUO-015</t>
        </is>
      </c>
      <c r="B144" s="19" t="inlineStr">
        <is>
          <t>Quotations and customer response</t>
        </is>
      </c>
      <c r="C144" s="19" t="inlineStr">
        <is>
          <t>Quotation</t>
        </is>
      </c>
      <c r="D144" s="19" t="inlineStr">
        <is>
          <t>Sales / Account Executive (maria.rivera)</t>
        </is>
      </c>
      <c r="E144" s="19" t="inlineStr">
        <is>
          <t>Quotation by another user on own prospect appears in list and funnel</t>
        </is>
      </c>
      <c r="F144" s="19" t="inlineStr">
        <is>
          <t>Integration</t>
        </is>
      </c>
      <c r="G144" s="19" t="inlineStr">
        <is>
          <t>Low</t>
        </is>
      </c>
      <c r="H144" s="19" t="inlineStr">
        <is>
          <t>jose.bernardo creates a quotation on maria.rivera's prospect.</t>
        </is>
      </c>
      <c r="I144" s="19" t="inlineStr">
        <is>
          <t>1. As maria.rivera open Quotations and the Sales Dashboard funnel.</t>
        </is>
      </c>
      <c r="J144" s="19" t="inlineStr">
        <is>
          <t>Prospect of maria.rivera</t>
        </is>
      </c>
      <c r="K144" s="19" t="inlineStr">
        <is>
          <t>Quotation listed and counted in the funnel.</t>
        </is>
      </c>
      <c r="L144" s="19" t="inlineStr">
        <is>
          <t>As expected.</t>
        </is>
      </c>
      <c r="M144" s="19" t="inlineStr">
        <is>
          <t>Pass</t>
        </is>
      </c>
      <c r="N144" s="19" t="inlineStr"/>
      <c r="O144" s="19" t="inlineStr">
        <is>
          <t>iorta TechNXT QA</t>
        </is>
      </c>
      <c r="P144" s="19" t="inlineStr">
        <is>
          <t>03 October 2026</t>
        </is>
      </c>
      <c r="Q144" s="19" t="inlineStr"/>
      <c r="R144" s="19" t="inlineStr">
        <is>
          <t>backend/test/role-access.test.js :: a quotation another user creates on the agent's lead is in both the quotation list and the dashboard funnel [passed]</t>
        </is>
      </c>
      <c r="S144" s="19" t="n"/>
    </row>
    <row r="145">
      <c r="A145" s="19" t="inlineStr">
        <is>
          <t>BV-QUO-016</t>
        </is>
      </c>
      <c r="B145" s="19" t="inlineStr">
        <is>
          <t>Quotations and customer response</t>
        </is>
      </c>
      <c r="C145" s="19" t="inlineStr">
        <is>
          <t>Quotation</t>
        </is>
      </c>
      <c r="D145" s="19" t="inlineStr">
        <is>
          <t>Sales / Account Executive (maria.rivera)</t>
        </is>
      </c>
      <c r="E145" s="19" t="inlineStr">
        <is>
          <t>Quotation statistics</t>
        </is>
      </c>
      <c r="F145" s="19" t="inlineStr">
        <is>
          <t>Report</t>
        </is>
      </c>
      <c r="G145" s="19" t="inlineStr">
        <is>
          <t>Low</t>
        </is>
      </c>
      <c r="H145" s="19" t="inlineStr">
        <is>
          <t>Quotations exist.</t>
        </is>
      </c>
      <c r="I145" s="19" t="inlineStr">
        <is>
          <t>1. Open Quotations and read the totals.</t>
        </is>
      </c>
      <c r="J145" s="19" t="inlineStr">
        <is>
          <t>None</t>
        </is>
      </c>
      <c r="K145" s="19" t="inlineStr">
        <is>
          <t>Totals by status shown.</t>
        </is>
      </c>
      <c r="L145" s="19" t="inlineStr">
        <is>
          <t>As expected.</t>
        </is>
      </c>
      <c r="M145" s="19" t="inlineStr">
        <is>
          <t>Pass</t>
        </is>
      </c>
      <c r="N145" s="19" t="inlineStr"/>
      <c r="O145" s="19" t="inlineStr">
        <is>
          <t>iorta TechNXT QA</t>
        </is>
      </c>
      <c r="P145" s="19" t="inlineStr">
        <is>
          <t>04 October 2026</t>
        </is>
      </c>
      <c r="Q145" s="19" t="inlineStr"/>
      <c r="R145" s="19" t="inlineStr">
        <is>
          <t>backend/test/quotations.test.js :: stats, compare, vehicle info, quote PDF and customer e-mail [passed]
UAT cycle 03-04 October 2026, phase Reports and dashboards (58 passed, 0 failed)</t>
        </is>
      </c>
      <c r="S145" s="19" t="n"/>
    </row>
    <row r="146">
      <c r="A146" s="19" t="inlineStr">
        <is>
          <t>BV-RFQ-001</t>
        </is>
      </c>
      <c r="B146" s="19" t="inlineStr">
        <is>
          <t>Request for quotation and placement</t>
        </is>
      </c>
      <c r="C146" s="19" t="inlineStr">
        <is>
          <t>Request for Quotation</t>
        </is>
      </c>
      <c r="D146" s="19" t="inlineStr">
        <is>
          <t>Sales / Account Executive (maria.rivera)</t>
        </is>
      </c>
      <c r="E146" s="19" t="inlineStr">
        <is>
          <t>Retail RFQ to two insurers (PA)</t>
        </is>
      </c>
      <c r="F146" s="19" t="inlineStr">
        <is>
          <t>Functional</t>
        </is>
      </c>
      <c r="G146" s="19" t="inlineStr">
        <is>
          <t>High</t>
        </is>
      </c>
      <c r="H146" s="19" t="inlineStr">
        <is>
          <t>Prospect for Personal Accident.</t>
        </is>
      </c>
      <c r="I146" s="19" t="inlineStr">
        <is>
          <t>1. Open Operations &gt; Sales &amp; Marketing &gt; Request for Quotation.
2. Click New Request for Quotation.
3. Select prospect, product PA, sum insured, requested covers, insurers Luzon Bay and Harbor Point.
4. Click Save and submit to market.</t>
        </is>
      </c>
      <c r="J146" s="19" t="inlineStr">
        <is>
          <t>PA AD&amp;D PHP 500,000.00; medical PHP 50,000.00; occupation Teacher</t>
        </is>
      </c>
      <c r="K146" s="19" t="inlineStr">
        <is>
          <t>Slip numbered; one pending request per insurer.</t>
        </is>
      </c>
      <c r="L146" s="19" t="inlineStr">
        <is>
          <t>10 PA, 6 Travel and 8 Home RFQs sent in the cycle.</t>
        </is>
      </c>
      <c r="M146" s="19" t="inlineStr">
        <is>
          <t>Pass</t>
        </is>
      </c>
      <c r="N146" s="19" t="inlineStr"/>
      <c r="O146" s="19" t="inlineStr">
        <is>
          <t>iorta TechNXT QA</t>
        </is>
      </c>
      <c r="P146" s="19" t="inlineStr">
        <is>
          <t>04 October 2026</t>
        </is>
      </c>
      <c r="Q146" s="19" t="inlineStr"/>
      <c r="R146" s="19" t="inlineStr">
        <is>
          <t>backend/test/placement.test.js :: creates a broker slip with the market and submits it (one queued request per insurer) [passed]
UAT cycle 03-04 October 2026, phase Retail package business (84 passed, 0 failed)
Screen check /placement/broker-slips: opened clean</t>
        </is>
      </c>
      <c r="S146" s="19" t="n"/>
    </row>
    <row r="147">
      <c r="A147" s="19" t="inlineStr">
        <is>
          <t>BV-RFQ-002</t>
        </is>
      </c>
      <c r="B147" s="19" t="inlineStr">
        <is>
          <t>Request for quotation and placement</t>
        </is>
      </c>
      <c r="C147" s="19" t="inlineStr">
        <is>
          <t>Request for Quotation</t>
        </is>
      </c>
      <c r="D147" s="19" t="inlineStr">
        <is>
          <t>Sales / Account Executive (maria.rivera)</t>
        </is>
      </c>
      <c r="E147" s="19" t="inlineStr">
        <is>
          <t>RFQ saves a new prospect in one step</t>
        </is>
      </c>
      <c r="F147" s="19" t="inlineStr">
        <is>
          <t>Functional</t>
        </is>
      </c>
      <c r="G147" s="19" t="inlineStr">
        <is>
          <t>Medium</t>
        </is>
      </c>
      <c r="H147" s="19" t="inlineStr">
        <is>
          <t>No prospect yet.</t>
        </is>
      </c>
      <c r="I147" s="19" t="inlineStr">
        <is>
          <t>1. New Request for Quotation, choose New insured and type the name.
2. Save.</t>
        </is>
      </c>
      <c r="J147" s="19" t="inlineStr">
        <is>
          <t>Bagong Silangan Agri-Ventures Corp.</t>
        </is>
      </c>
      <c r="K147" s="19" t="inlineStr">
        <is>
          <t>Prospect created and slip saved against it; on failure nothing is saved.</t>
        </is>
      </c>
      <c r="L147" s="19" t="inlineStr">
        <is>
          <t>As expected.</t>
        </is>
      </c>
      <c r="M147" s="19" t="inlineStr">
        <is>
          <t>Pass</t>
        </is>
      </c>
      <c r="N147" s="19" t="inlineStr"/>
      <c r="O147" s="19" t="inlineStr">
        <is>
          <t>iorta TechNXT QA</t>
        </is>
      </c>
      <c r="P147" s="19" t="inlineStr">
        <is>
          <t>03 October 2026</t>
        </is>
      </c>
      <c r="Q147" s="19" t="inlineStr"/>
      <c r="R147" s="19" t="inlineStr">
        <is>
          <t>backend/test/request-for-quotation.test.js :: saves the prospect as a lead and the slip against it in one step [passed]
backend/test/request-for-quotation.test.js :: needs a lead, a client or a prospect with a name, and saves nothing on failure [passed]</t>
        </is>
      </c>
      <c r="S147" s="19" t="n"/>
    </row>
    <row r="148">
      <c r="A148" s="19" t="inlineStr">
        <is>
          <t>BV-RFQ-003</t>
        </is>
      </c>
      <c r="B148" s="19" t="inlineStr">
        <is>
          <t>Request for quotation and placement</t>
        </is>
      </c>
      <c r="C148" s="19" t="inlineStr">
        <is>
          <t>Offers</t>
        </is>
      </c>
      <c r="D148" s="19" t="inlineStr">
        <is>
          <t>Processing Team (jose.bernardo)</t>
        </is>
      </c>
      <c r="E148" s="19" t="inlineStr">
        <is>
          <t>Record offers and declines, compare and prepare a quotation slip</t>
        </is>
      </c>
      <c r="F148" s="19" t="inlineStr">
        <is>
          <t>Functional</t>
        </is>
      </c>
      <c r="G148" s="19" t="inlineStr">
        <is>
          <t>High</t>
        </is>
      </c>
      <c r="H148" s="19" t="inlineStr">
        <is>
          <t>Corporate fire RFQ sent to 3 insurers.</t>
        </is>
      </c>
      <c r="I148" s="19" t="inlineStr">
        <is>
          <t>1. Open the slip.
2. Record response for two insurers (premium, share, reference, deductibles, validity).
3. Record decline for the third with a reason.
4. Open Compare offers.
5. Select two lines and click Prepare Quotation Slip with shares 60 / 40.</t>
        </is>
      </c>
      <c r="J148" s="19" t="inlineStr">
        <is>
          <t>Kalayaan Steel Fabricators Inc.; fire PHP 120,000,000.00; Pacific Crest 60%, Visayas Mutual 40%; decline: Treaty capacity used for the zone</t>
        </is>
      </c>
      <c r="K148" s="19" t="inlineStr">
        <is>
          <t>Comparison shows premiums and the best offer; co-insurance quotation slip prepared with lead insurer.</t>
        </is>
      </c>
      <c r="L148" s="19" t="inlineStr">
        <is>
          <t>102 offers and 16 declines recorded; 4 FIRE co-insurance slips prepared.</t>
        </is>
      </c>
      <c r="M148" s="19" t="inlineStr">
        <is>
          <t>Pass</t>
        </is>
      </c>
      <c r="N148" s="19" t="inlineStr"/>
      <c r="O148" s="19" t="inlineStr">
        <is>
          <t>iorta TechNXT QA</t>
        </is>
      </c>
      <c r="P148" s="19" t="inlineStr">
        <is>
          <t>04 October 2026</t>
        </is>
      </c>
      <c r="Q148" s="19" t="inlineStr"/>
      <c r="R148" s="19" t="inlineStr">
        <is>
          <t>backend/test/placement.test.js :: records the offers and declines, compares them and prepares a co-insurance Quotation Slip from two lines [passed]
UAT cycle 03-04 October 2026, phase Corporate non-package business (45 passed, 0 failed)</t>
        </is>
      </c>
      <c r="S148" s="19" t="n"/>
    </row>
    <row r="149">
      <c r="A149" s="19" t="inlineStr">
        <is>
          <t>BV-RFQ-004</t>
        </is>
      </c>
      <c r="B149" s="19" t="inlineStr">
        <is>
          <t>Request for quotation and placement</t>
        </is>
      </c>
      <c r="C149" s="19" t="inlineStr">
        <is>
          <t>Offers</t>
        </is>
      </c>
      <c r="D149" s="19" t="inlineStr">
        <is>
          <t>Processing Team (jose.bernardo)</t>
        </is>
      </c>
      <c r="E149" s="19" t="inlineStr">
        <is>
          <t>Shares must total 100% with one lead</t>
        </is>
      </c>
      <c r="F149" s="19" t="inlineStr">
        <is>
          <t>Validation</t>
        </is>
      </c>
      <c r="G149" s="19" t="inlineStr">
        <is>
          <t>High</t>
        </is>
      </c>
      <c r="H149" s="19" t="inlineStr">
        <is>
          <t>Prepare Quotation Slip dialog.</t>
        </is>
      </c>
      <c r="I149" s="19" t="inlineStr">
        <is>
          <t>1. Enter shares 60 / 30.
2. Mark two leads.
3. Add an unknown insurer.</t>
        </is>
      </c>
      <c r="J149" s="19" t="inlineStr">
        <is>
          <t>Shares 60 / 30</t>
        </is>
      </c>
      <c r="K149" s="19" t="inlineStr">
        <is>
          <t>Each refused with a clear message.</t>
        </is>
      </c>
      <c r="L149" s="19" t="inlineStr">
        <is>
          <t>As expected.</t>
        </is>
      </c>
      <c r="M149" s="19" t="inlineStr">
        <is>
          <t>Pass</t>
        </is>
      </c>
      <c r="N149" s="19" t="inlineStr"/>
      <c r="O149" s="19" t="inlineStr">
        <is>
          <t>iorta TechNXT QA</t>
        </is>
      </c>
      <c r="P149" s="19" t="inlineStr">
        <is>
          <t>03 October 2026</t>
        </is>
      </c>
      <c r="Q149" s="19" t="inlineStr"/>
      <c r="R149" s="19" t="inlineStr">
        <is>
          <t>backend/test/placement.test.js :: rejects shares that do not total 100%, two leads and unknown insurers with a clear message [passed]</t>
        </is>
      </c>
      <c r="S149" s="19" t="n"/>
    </row>
    <row r="150">
      <c r="A150" s="19" t="inlineStr">
        <is>
          <t>BV-RFQ-005</t>
        </is>
      </c>
      <c r="B150" s="19" t="inlineStr">
        <is>
          <t>Request for quotation and placement</t>
        </is>
      </c>
      <c r="C150" s="19" t="inlineStr">
        <is>
          <t>Offers</t>
        </is>
      </c>
      <c r="D150" s="19" t="inlineStr">
        <is>
          <t>Processing Team (jose.bernardo)</t>
        </is>
      </c>
      <c r="E150" s="19" t="inlineStr">
        <is>
          <t>Participant amounts split with the remainder on the lead</t>
        </is>
      </c>
      <c r="F150" s="19" t="inlineStr">
        <is>
          <t>Accounting</t>
        </is>
      </c>
      <c r="G150" s="19" t="inlineStr">
        <is>
          <t>Medium</t>
        </is>
      </c>
      <c r="H150" s="19" t="inlineStr">
        <is>
          <t>Three-way co-insurance 50 / 30 / 20.</t>
        </is>
      </c>
      <c r="I150" s="19" t="inlineStr">
        <is>
          <t>1. Issue the policy.
2. Read participant premiums.</t>
        </is>
      </c>
      <c r="J150" s="19" t="inlineStr">
        <is>
          <t>Gross PHP 1,000,000.01</t>
        </is>
      </c>
      <c r="K150" s="19" t="inlineStr">
        <is>
          <t>Each share rounded to centavos; remainder centavo on the lead insurer.</t>
        </is>
      </c>
      <c r="L150" s="19" t="inlineStr">
        <is>
          <t>As expected.</t>
        </is>
      </c>
      <c r="M150" s="19" t="inlineStr">
        <is>
          <t>Pass</t>
        </is>
      </c>
      <c r="N150" s="19" t="inlineStr"/>
      <c r="O150" s="19" t="inlineStr">
        <is>
          <t>iorta TechNXT QA</t>
        </is>
      </c>
      <c r="P150" s="19" t="inlineStr">
        <is>
          <t>03 October 2026</t>
        </is>
      </c>
      <c r="Q150" s="19" t="inlineStr"/>
      <c r="R150" s="19" t="inlineStr">
        <is>
          <t>backend/test/placement.test.js :: splits with round2 and puts the remainder on the lead (unit) [passed]
backend/test/placement.test.js :: writes participants by insurer id, splits by share with the remainder on the lead and keeps the legacy participantDetails [passed]</t>
        </is>
      </c>
      <c r="S150" s="19" t="n"/>
    </row>
    <row r="151">
      <c r="A151" s="19" t="inlineStr">
        <is>
          <t>BV-RFQ-006</t>
        </is>
      </c>
      <c r="B151" s="19" t="inlineStr">
        <is>
          <t>Request for quotation and placement</t>
        </is>
      </c>
      <c r="C151" s="19" t="inlineStr">
        <is>
          <t>Placement Slips</t>
        </is>
      </c>
      <c r="D151" s="19" t="inlineStr">
        <is>
          <t>Processing Team (jose.bernardo)</t>
        </is>
      </c>
      <c r="E151" s="19" t="inlineStr">
        <is>
          <t>Placement slip, firm order and insurer bindings</t>
        </is>
      </c>
      <c r="F151" s="19" t="inlineStr">
        <is>
          <t>Functional</t>
        </is>
      </c>
      <c r="G151" s="19" t="inlineStr">
        <is>
          <t>High</t>
        </is>
      </c>
      <c r="H151" s="19" t="inlineStr">
        <is>
          <t>Quotation slip accepted by the client.</t>
        </is>
      </c>
      <c r="I151" s="19" t="inlineStr">
        <is>
          <t>1. Open Operations &gt; Sales &amp; Marketing &gt; Placement Slips.
2. Click Create Placement Slip from the quotation.
3. Click Send to insurer(s).
4. Record each insurer's confirmation with its reference.
5. Click Issue Policy.</t>
        </is>
      </c>
      <c r="J151" s="19" t="inlineStr">
        <is>
          <t>PCIC-FIRE-2026-xxxxxx; VIS-FIRE-2026-xxxxxx</t>
        </is>
      </c>
      <c r="K151" s="19" t="inlineStr">
        <is>
          <t>Policy issued only after every insurer confirms; participants copied; lead insurer on the policy; quotation Converted.</t>
        </is>
      </c>
      <c r="L151" s="19" t="inlineStr">
        <is>
          <t>22 placement slips; 36 bindings; 22 corporate policies issued from placements.</t>
        </is>
      </c>
      <c r="M151" s="19" t="inlineStr">
        <is>
          <t>Pass</t>
        </is>
      </c>
      <c r="N151" s="19" t="inlineStr"/>
      <c r="O151" s="19" t="inlineStr">
        <is>
          <t>iorta TechNXT QA</t>
        </is>
      </c>
      <c r="P151" s="19" t="inlineStr">
        <is>
          <t>04 October 2026</t>
        </is>
      </c>
      <c r="Q151" s="19" t="inlineStr"/>
      <c r="R151" s="19" t="inlineStr">
        <is>
          <t>backend/test/placement.test.js :: creates the Placement Slip from the quotation, sends it and records each insurer's binding [passed]
backend/test/placement.test.js :: sends the firm order per participant and binds when every insurer confirms [passed]
backend/test/placement.test.js :: issues the policy from the bound placement: participants copied, lead insurer on the policy, quotation converted [passed]
UAT cycle 03-04 October 2026, phase Corporate non-package business (45 passed, 0 failed)
Screen check /placement/placement-slips: opened clean</t>
        </is>
      </c>
      <c r="S151" s="19" t="n"/>
    </row>
    <row r="152">
      <c r="A152" s="19" t="inlineStr">
        <is>
          <t>BV-RFQ-007</t>
        </is>
      </c>
      <c r="B152" s="19" t="inlineStr">
        <is>
          <t>Request for quotation and placement</t>
        </is>
      </c>
      <c r="C152" s="19" t="inlineStr">
        <is>
          <t>Placement Slips</t>
        </is>
      </c>
      <c r="D152" s="19" t="inlineStr">
        <is>
          <t>Processing Team (jose.bernardo)</t>
        </is>
      </c>
      <c r="E152" s="19" t="inlineStr">
        <is>
          <t>Non-package product cannot skip the placement slip</t>
        </is>
      </c>
      <c r="F152" s="19" t="inlineStr">
        <is>
          <t>Negative</t>
        </is>
      </c>
      <c r="G152" s="19" t="inlineStr">
        <is>
          <t>High</t>
        </is>
      </c>
      <c r="H152" s="19" t="inlineStr">
        <is>
          <t>Accepted FIRE quotation slip.</t>
        </is>
      </c>
      <c r="I152" s="19" t="inlineStr">
        <is>
          <t>1. Click Convert to Policy directly.</t>
        </is>
      </c>
      <c r="J152" s="19" t="inlineStr">
        <is>
          <t>FIRE quotation</t>
        </is>
      </c>
      <c r="K152" s="19" t="inlineStr">
        <is>
          <t>Refused: the journey requires a Placement Slip.</t>
        </is>
      </c>
      <c r="L152" s="19" t="inlineStr">
        <is>
          <t>As expected.</t>
        </is>
      </c>
      <c r="M152" s="19" t="inlineStr">
        <is>
          <t>Pass</t>
        </is>
      </c>
      <c r="N152" s="19" t="inlineStr"/>
      <c r="O152" s="19" t="inlineStr">
        <is>
          <t>iorta TechNXT QA</t>
        </is>
      </c>
      <c r="P152" s="19" t="inlineStr">
        <is>
          <t>03 October 2026</t>
        </is>
      </c>
      <c r="Q152" s="19" t="inlineStr"/>
      <c r="R152" s="19" t="inlineStr">
        <is>
          <t>backend/test/placement.test.js :: refuses the direct conversion when the journey requires a Placement Slip [passed]
backend/test/product-classification.test.js :: non-package: placement slip required [passed]</t>
        </is>
      </c>
      <c r="S152" s="19" t="n"/>
    </row>
    <row r="153">
      <c r="A153" s="19" t="inlineStr">
        <is>
          <t>BV-RFQ-008</t>
        </is>
      </c>
      <c r="B153" s="19" t="inlineStr">
        <is>
          <t>Request for quotation and placement</t>
        </is>
      </c>
      <c r="C153" s="19" t="inlineStr">
        <is>
          <t>Placement Slips</t>
        </is>
      </c>
      <c r="D153" s="19" t="inlineStr">
        <is>
          <t>Processing Team (jose.bernardo)</t>
        </is>
      </c>
      <c r="E153" s="19" t="inlineStr">
        <is>
          <t>Direct motor placement refused; optional placement allowed</t>
        </is>
      </c>
      <c r="F153" s="19" t="inlineStr">
        <is>
          <t>Negative</t>
        </is>
      </c>
      <c r="G153" s="19" t="inlineStr">
        <is>
          <t>Medium</t>
        </is>
      </c>
      <c r="H153" s="19" t="inlineStr">
        <is>
          <t>Motor quotation.</t>
        </is>
      </c>
      <c r="I153" s="19" t="inlineStr">
        <is>
          <t>1. Try New direct placement for a motor risk.
2. Create a placement slip from an accepted motor quotation.</t>
        </is>
      </c>
      <c r="J153" s="19" t="inlineStr">
        <is>
          <t>Motor quotation</t>
        </is>
      </c>
      <c r="K153" s="19" t="inlineStr">
        <is>
          <t>Direct placement refused (motor needs a Quotation Slip); optional placement slip accepted.</t>
        </is>
      </c>
      <c r="L153" s="19" t="inlineStr">
        <is>
          <t>As expected.</t>
        </is>
      </c>
      <c r="M153" s="19" t="inlineStr">
        <is>
          <t>Pass</t>
        </is>
      </c>
      <c r="N153" s="19" t="inlineStr"/>
      <c r="O153" s="19" t="inlineStr">
        <is>
          <t>iorta TechNXT QA</t>
        </is>
      </c>
      <c r="P153" s="19" t="inlineStr">
        <is>
          <t>03 October 2026</t>
        </is>
      </c>
      <c r="Q153" s="19" t="inlineStr"/>
      <c r="R153" s="19" t="inlineStr">
        <is>
          <t>backend/test/placement.test.js :: refuses a direct motor placement (the motor journey requires a Quotation Slip) [passed]
backend/test/placement.test.js :: a motor quotation can still go through an optional placement slip [passed]</t>
        </is>
      </c>
      <c r="S153" s="19" t="n"/>
    </row>
    <row r="154">
      <c r="A154" s="19" t="inlineStr">
        <is>
          <t>BV-RFQ-009</t>
        </is>
      </c>
      <c r="B154" s="19" t="inlineStr">
        <is>
          <t>Request for quotation and placement</t>
        </is>
      </c>
      <c r="C154" s="19" t="inlineStr">
        <is>
          <t>Placement Slips</t>
        </is>
      </c>
      <c r="D154" s="19" t="inlineStr">
        <is>
          <t>Processing Team (jose.bernardo)</t>
        </is>
      </c>
      <c r="E154" s="19" t="inlineStr">
        <is>
          <t>Marine cargo placed directly with co-insurers</t>
        </is>
      </c>
      <c r="F154" s="19" t="inlineStr">
        <is>
          <t>Functional</t>
        </is>
      </c>
      <c r="G154" s="19" t="inlineStr">
        <is>
          <t>Medium</t>
        </is>
      </c>
      <c r="H154" s="19" t="inlineStr">
        <is>
          <t>Marine journey allows direct placement.</t>
        </is>
      </c>
      <c r="I154" s="19" t="inlineStr">
        <is>
          <t>1. Click New direct placement, product Marine Cargo, add two insurers with shares.
2. Send, bind and issue.</t>
        </is>
      </c>
      <c r="J154" s="19" t="inlineStr">
        <is>
          <t>Dagat Asul Seafoods Export Corp.; Harbor Point 60%, Luzon Bay 40%</t>
        </is>
      </c>
      <c r="K154" s="19" t="inlineStr">
        <is>
          <t>Policy issued with both participants.</t>
        </is>
      </c>
      <c r="L154" s="19" t="inlineStr">
        <is>
          <t>As expected.</t>
        </is>
      </c>
      <c r="M154" s="19" t="inlineStr">
        <is>
          <t>Pass</t>
        </is>
      </c>
      <c r="N154" s="19" t="inlineStr"/>
      <c r="O154" s="19" t="inlineStr">
        <is>
          <t>iorta TechNXT QA</t>
        </is>
      </c>
      <c r="P154" s="19" t="inlineStr">
        <is>
          <t>04 October 2026</t>
        </is>
      </c>
      <c r="Q154" s="19" t="inlineStr"/>
      <c r="R154" s="19" t="inlineStr">
        <is>
          <t>backend/test/placement.test.js :: places a marine cargo risk directly with co-insurers, binds and issues [passed]
UAT cycle 03-04 October 2026, phase Corporate non-package business (45 passed, 0 failed)</t>
        </is>
      </c>
      <c r="S154" s="19" t="n"/>
    </row>
    <row r="155">
      <c r="A155" s="19" t="inlineStr">
        <is>
          <t>BV-RFQ-010</t>
        </is>
      </c>
      <c r="B155" s="19" t="inlineStr">
        <is>
          <t>Request for quotation and placement</t>
        </is>
      </c>
      <c r="C155" s="19" t="inlineStr">
        <is>
          <t>Request for Quotation</t>
        </is>
      </c>
      <c r="D155" s="19" t="inlineStr">
        <is>
          <t>Processing Team (jose.bernardo)</t>
        </is>
      </c>
      <c r="E155" s="19" t="inlineStr">
        <is>
          <t>Close an RFQ not taken up</t>
        </is>
      </c>
      <c r="F155" s="19" t="inlineStr">
        <is>
          <t>Functional</t>
        </is>
      </c>
      <c r="G155" s="19" t="inlineStr">
        <is>
          <t>Low</t>
        </is>
      </c>
      <c r="H155" s="19" t="inlineStr">
        <is>
          <t>RFQ with offers.</t>
        </is>
      </c>
      <c r="I155" s="19" t="inlineStr">
        <is>
          <t>1. Open the slip and click Close (not taken up) with a reason.</t>
        </is>
      </c>
      <c r="J155" s="19" t="inlineStr">
        <is>
          <t>Reason: Client renewed with its existing broker</t>
        </is>
      </c>
      <c r="K155" s="19" t="inlineStr">
        <is>
          <t>Slip Closed; it no longer appears in open work.</t>
        </is>
      </c>
      <c r="L155" s="19" t="inlineStr">
        <is>
          <t>As expected.</t>
        </is>
      </c>
      <c r="M155" s="19" t="inlineStr">
        <is>
          <t>Pass</t>
        </is>
      </c>
      <c r="N155" s="19" t="inlineStr"/>
      <c r="O155" s="19" t="inlineStr">
        <is>
          <t>iorta TechNXT QA</t>
        </is>
      </c>
      <c r="P155" s="19" t="inlineStr">
        <is>
          <t>04 October 2026</t>
        </is>
      </c>
      <c r="Q155" s="19" t="inlineStr"/>
      <c r="R155" s="19" t="inlineStr">
        <is>
          <t>backend/test/placement.test.js :: placementSlip skip / brokerSlip required / directPolicy skip are enforced [passed]
UAT cycle 03-04 October 2026, phase Corporate non-package business (45 passed, 0 failed)</t>
        </is>
      </c>
      <c r="S155" s="19" t="n"/>
    </row>
    <row r="156">
      <c r="A156" s="19" t="inlineStr">
        <is>
          <t>BV-RFQ-011</t>
        </is>
      </c>
      <c r="B156" s="19" t="inlineStr">
        <is>
          <t>Request for quotation and placement</t>
        </is>
      </c>
      <c r="C156" s="19" t="inlineStr">
        <is>
          <t>Record Issued Policy</t>
        </is>
      </c>
      <c r="D156" s="19" t="inlineStr">
        <is>
          <t>Processing Team (jose.bernardo)</t>
        </is>
      </c>
      <c r="E156" s="19" t="inlineStr">
        <is>
          <t>Record a policy the insurer already issued</t>
        </is>
      </c>
      <c r="F156" s="19" t="inlineStr">
        <is>
          <t>Functional</t>
        </is>
      </c>
      <c r="G156" s="19" t="inlineStr">
        <is>
          <t>Medium</t>
        </is>
      </c>
      <c r="H156" s="19" t="inlineStr">
        <is>
          <t>Corporate client exists.</t>
        </is>
      </c>
      <c r="I156" s="19" t="inlineStr">
        <is>
          <t>1. Open Placement Slips and click Record Issued Policy.
2. Enter product Surety Bond, policy number, dates, sum insured, net premium, insurer 100%.
3. Click Record policy.</t>
        </is>
      </c>
      <c r="J156" s="19" t="inlineStr">
        <is>
          <t>TALA-PB-2026-xxxxx; DPWH road widening package 3; SI PHP 15,000,000.00; net PHP 67,500.00</t>
        </is>
      </c>
      <c r="K156" s="19" t="inlineStr">
        <is>
          <t>Policy recorded in one step with bill and booking.</t>
        </is>
      </c>
      <c r="L156" s="19" t="inlineStr">
        <is>
          <t>As expected.</t>
        </is>
      </c>
      <c r="M156" s="19" t="inlineStr">
        <is>
          <t>Pass</t>
        </is>
      </c>
      <c r="N156" s="19" t="inlineStr"/>
      <c r="O156" s="19" t="inlineStr">
        <is>
          <t>iorta TechNXT QA</t>
        </is>
      </c>
      <c r="P156" s="19" t="inlineStr">
        <is>
          <t>04 October 2026</t>
        </is>
      </c>
      <c r="Q156" s="19" t="inlineStr"/>
      <c r="R156" s="19" t="inlineStr">
        <is>
          <t>backend/test/placement.test.js :: records a policy the insurer already issued, with a new insured, in one step [passed]
UAT cycle 03-04 October 2026, phase Corporate non-package business (45 passed, 0 failed)</t>
        </is>
      </c>
      <c r="S156" s="19" t="n"/>
    </row>
    <row r="157">
      <c r="A157" s="19" t="inlineStr">
        <is>
          <t>BV-RFQ-012</t>
        </is>
      </c>
      <c r="B157" s="19" t="inlineStr">
        <is>
          <t>Request for quotation and placement</t>
        </is>
      </c>
      <c r="C157" s="19" t="inlineStr">
        <is>
          <t>Journey</t>
        </is>
      </c>
      <c r="D157" s="19" t="inlineStr">
        <is>
          <t>System Administrator (BrokerVerse)</t>
        </is>
      </c>
      <c r="E157" s="19" t="inlineStr">
        <is>
          <t>Placement journey per line from settings</t>
        </is>
      </c>
      <c r="F157" s="19" t="inlineStr">
        <is>
          <t>Functional</t>
        </is>
      </c>
      <c r="G157" s="19" t="inlineStr">
        <is>
          <t>Low</t>
        </is>
      </c>
      <c r="H157" s="19" t="inlineStr">
        <is>
          <t>placement.journey setting.</t>
        </is>
      </c>
      <c r="I157" s="19" t="inlineStr">
        <is>
          <t>1. Read the journey for MOTOR, FIRE and HOME.
2. Override HOME to require a broker slip and test.</t>
        </is>
      </c>
      <c r="J157" s="19" t="inlineStr">
        <is>
          <t>placement.journey</t>
        </is>
      </c>
      <c r="K157" s="19" t="inlineStr">
        <is>
          <t>Journey follows business type unless a line or product override exists.</t>
        </is>
      </c>
      <c r="L157" s="19" t="inlineStr">
        <is>
          <t>As expected.</t>
        </is>
      </c>
      <c r="M157" s="19" t="inlineStr">
        <is>
          <t>Pass</t>
        </is>
      </c>
      <c r="N157" s="19" t="inlineStr"/>
      <c r="O157" s="19" t="inlineStr">
        <is>
          <t>iorta TechNXT QA</t>
        </is>
      </c>
      <c r="P157" s="19" t="inlineStr">
        <is>
          <t>03 October 2026</t>
        </is>
      </c>
      <c r="Q157" s="19" t="inlineStr"/>
      <c r="R157" s="19" t="inlineStr">
        <is>
          <t>backend/test/placement.test.js :: resolves the journey per LOB and product type from placement.journey [passed]
backend/test/product-classification.test.js :: a placement.journey entry for the line or product type still overrides the business type [passed]
backend/test/product-classification.test.js :: the business-type journey is itself a setting [passed]</t>
        </is>
      </c>
      <c r="S157" s="19" t="n"/>
    </row>
    <row r="158">
      <c r="A158" s="19" t="inlineStr">
        <is>
          <t>BV-RFQ-013</t>
        </is>
      </c>
      <c r="B158" s="19" t="inlineStr">
        <is>
          <t>Request for quotation and placement</t>
        </is>
      </c>
      <c r="C158" s="19" t="inlineStr">
        <is>
          <t>Reports</t>
        </is>
      </c>
      <c r="D158" s="19" t="inlineStr">
        <is>
          <t>Processing Team (jose.bernardo)</t>
        </is>
      </c>
      <c r="E158" s="19" t="inlineStr">
        <is>
          <t>Placement Pipeline and Market Response reports</t>
        </is>
      </c>
      <c r="F158" s="19" t="inlineStr">
        <is>
          <t>Report</t>
        </is>
      </c>
      <c r="G158" s="19" t="inlineStr">
        <is>
          <t>Medium</t>
        </is>
      </c>
      <c r="H158" s="19" t="inlineStr">
        <is>
          <t>Slips exist.</t>
        </is>
      </c>
      <c r="I158" s="19" t="inlineStr">
        <is>
          <t>1. Open Reports &gt; All Reports.
2. Run Placement Pipeline and Market Response.</t>
        </is>
      </c>
      <c r="J158" s="19" t="inlineStr">
        <is>
          <t>May to October 2026</t>
        </is>
      </c>
      <c r="K158" s="19" t="inlineStr">
        <is>
          <t>Pipeline 71 rows overall; Market Response 7 rows overall.</t>
        </is>
      </c>
      <c r="L158" s="19" t="inlineStr">
        <is>
          <t>As expected.</t>
        </is>
      </c>
      <c r="M158" s="19" t="inlineStr">
        <is>
          <t>Pass</t>
        </is>
      </c>
      <c r="N158" s="19" t="inlineStr"/>
      <c r="O158" s="19" t="inlineStr">
        <is>
          <t>iorta TechNXT QA</t>
        </is>
      </c>
      <c r="P158" s="19" t="inlineStr">
        <is>
          <t>04 October 2026</t>
        </is>
      </c>
      <c r="Q158" s="19" t="inlineStr"/>
      <c r="R158" s="19" t="inlineStr">
        <is>
          <t>backend/test/placement.test.js :: runs the Placement Pipeline and Market Response reports [passed]
UAT cycle 03-04 October 2026, phase Reports and dashboards (58 passed, 0 failed)</t>
        </is>
      </c>
      <c r="S158" s="19" t="n"/>
    </row>
    <row r="159">
      <c r="A159" s="19" t="inlineStr">
        <is>
          <t>BV-POL-001</t>
        </is>
      </c>
      <c r="B159" s="19" t="inlineStr">
        <is>
          <t>Policy issuance</t>
        </is>
      </c>
      <c r="C159" s="19" t="inlineStr">
        <is>
          <t>Convert to policy</t>
        </is>
      </c>
      <c r="D159" s="19" t="inlineStr">
        <is>
          <t>Processing Team (jose.bernardo)</t>
        </is>
      </c>
      <c r="E159" s="19" t="inlineStr">
        <is>
          <t>Issue a motor policy with CTPL</t>
        </is>
      </c>
      <c r="F159" s="19" t="inlineStr">
        <is>
          <t>Functional</t>
        </is>
      </c>
      <c r="G159" s="19" t="inlineStr">
        <is>
          <t>High</t>
        </is>
      </c>
      <c r="H159" s="19" t="inlineStr">
        <is>
          <t>Motor quotation Customer accepted; KYC captured.</t>
        </is>
      </c>
      <c r="I159" s="19" t="inlineStr">
        <is>
          <t>1. Open the quotation and click Convert to Policy.
2. Enter ID type, ID number, chassis, engine, plate; upload ID and vehicle photo.
3. Confirm issue date and inception.
4. Issue.</t>
        </is>
      </c>
      <c r="J159" s="19" t="inlineStr">
        <is>
          <t>PhilSys ID 1234-5678-9012; chassis MHF11ZFS0P1234567; engine 2GD1234567; plate NBC 4521</t>
        </is>
      </c>
      <c r="K159" s="19" t="inlineStr">
        <is>
          <t>Policy number issued; client created; bill with bill number; commission accrual; owner notified; policy Active.</t>
        </is>
      </c>
      <c r="L159" s="19" t="inlineStr">
        <is>
          <t>11 motor and 6 CTPL policies issued.</t>
        </is>
      </c>
      <c r="M159" s="19" t="inlineStr">
        <is>
          <t>Pass</t>
        </is>
      </c>
      <c r="N159" s="19" t="inlineStr"/>
      <c r="O159" s="19" t="inlineStr">
        <is>
          <t>iorta TechNXT QA</t>
        </is>
      </c>
      <c r="P159" s="19" t="inlineStr">
        <is>
          <t>04 October 2026</t>
        </is>
      </c>
      <c r="Q159" s="19" t="inlineStr"/>
      <c r="R159" s="19" t="inlineStr">
        <is>
          <t>backend/test/quotations.test.js :: converts to policy: client, policy, receivable with bill number, commission accrual, owner notified [passed]
UAT cycle 03-04 October 2026, phase Retail package business (84 passed, 0 failed)
Screen check /agent/policy: opened clean</t>
        </is>
      </c>
      <c r="S159" s="19" t="n"/>
    </row>
    <row r="160">
      <c r="A160" s="19" t="inlineStr">
        <is>
          <t>BV-POL-002</t>
        </is>
      </c>
      <c r="B160" s="19" t="inlineStr">
        <is>
          <t>Policy issuance</t>
        </is>
      </c>
      <c r="C160" s="19" t="inlineStr">
        <is>
          <t>Convert to policy</t>
        </is>
      </c>
      <c r="D160" s="19" t="inlineStr">
        <is>
          <t>Processing Team (jose.bernardo)</t>
        </is>
      </c>
      <c r="E160" s="19" t="inlineStr">
        <is>
          <t>Motor policy refused without KYC and vehicle identifiers</t>
        </is>
      </c>
      <c r="F160" s="19" t="inlineStr">
        <is>
          <t>Negative</t>
        </is>
      </c>
      <c r="G160" s="19" t="inlineStr">
        <is>
          <t>High</t>
        </is>
      </c>
      <c r="H160" s="19" t="inlineStr">
        <is>
          <t>Motor quotation accepted; ID and chassis empty.</t>
        </is>
      </c>
      <c r="I160" s="19" t="inlineStr">
        <is>
          <t>1. Click Convert to Policy without ID and chassis.</t>
        </is>
      </c>
      <c r="J160" s="19" t="inlineStr">
        <is>
          <t>Missing ID type, chassis</t>
        </is>
      </c>
      <c r="K160" s="19" t="inlineStr">
        <is>
          <t>Refused naming the missing fields (policy.kyc_required_fields).</t>
        </is>
      </c>
      <c r="L160" s="19" t="inlineStr">
        <is>
          <t>As expected.</t>
        </is>
      </c>
      <c r="M160" s="19" t="inlineStr">
        <is>
          <t>Pass</t>
        </is>
      </c>
      <c r="N160" s="19" t="inlineStr"/>
      <c r="O160" s="19" t="inlineStr">
        <is>
          <t>iorta TechNXT QA</t>
        </is>
      </c>
      <c r="P160" s="19" t="inlineStr">
        <is>
          <t>03 October 2026</t>
        </is>
      </c>
      <c r="Q160" s="19" t="inlineStr"/>
      <c r="R160" s="19" t="inlineStr">
        <is>
          <t>backend/test/quotations.test.js :: refuses to issue a motor policy without KYC and vehicle identifiers (policy.kyc_required_fields) [passed]</t>
        </is>
      </c>
      <c r="S160" s="19" t="n"/>
    </row>
    <row r="161">
      <c r="A161" s="19" t="inlineStr">
        <is>
          <t>BV-POL-003</t>
        </is>
      </c>
      <c r="B161" s="19" t="inlineStr">
        <is>
          <t>Policy issuance</t>
        </is>
      </c>
      <c r="C161" s="19" t="inlineStr">
        <is>
          <t>Convert to policy</t>
        </is>
      </c>
      <c r="D161" s="19" t="inlineStr">
        <is>
          <t>Processing Team (jose.bernardo)</t>
        </is>
      </c>
      <c r="E161" s="19" t="inlineStr">
        <is>
          <t>ID from an earlier policy proposed</t>
        </is>
      </c>
      <c r="F161" s="19" t="inlineStr">
        <is>
          <t>Functional</t>
        </is>
      </c>
      <c r="G161" s="19" t="inlineStr">
        <is>
          <t>Low</t>
        </is>
      </c>
      <c r="H161" s="19" t="inlineStr">
        <is>
          <t>Client has an earlier policy with ID captured.</t>
        </is>
      </c>
      <c r="I161" s="19" t="inlineStr">
        <is>
          <t>1. Convert a new quotation of the same client.</t>
        </is>
      </c>
      <c r="J161" s="19" t="inlineStr">
        <is>
          <t>Client with UMID on file</t>
        </is>
      </c>
      <c r="K161" s="19" t="inlineStr">
        <is>
          <t>ID type and number are proposed.</t>
        </is>
      </c>
      <c r="L161" s="19" t="inlineStr">
        <is>
          <t>As expected.</t>
        </is>
      </c>
      <c r="M161" s="19" t="inlineStr">
        <is>
          <t>Pass</t>
        </is>
      </c>
      <c r="N161" s="19" t="inlineStr"/>
      <c r="O161" s="19" t="inlineStr">
        <is>
          <t>iorta TechNXT QA</t>
        </is>
      </c>
      <c r="P161" s="19" t="inlineStr">
        <is>
          <t>03 October 2026</t>
        </is>
      </c>
      <c r="Q161" s="19" t="inlineStr"/>
      <c r="R161" s="19" t="inlineStr">
        <is>
          <t>backend/test/quote-to-policy.test.js :: the ID captured on an earlier policy of the client is proposed for the new policy [passed]</t>
        </is>
      </c>
      <c r="S161" s="19" t="n"/>
    </row>
    <row r="162">
      <c r="A162" s="19" t="inlineStr">
        <is>
          <t>BV-POL-004</t>
        </is>
      </c>
      <c r="B162" s="19" t="inlineStr">
        <is>
          <t>Policy issuance</t>
        </is>
      </c>
      <c r="C162" s="19" t="inlineStr">
        <is>
          <t>Package policy</t>
        </is>
      </c>
      <c r="D162" s="19" t="inlineStr">
        <is>
          <t>Processing Team (jose.bernardo)</t>
        </is>
      </c>
      <c r="E162" s="19" t="inlineStr">
        <is>
          <t>Issue a package policy with sections per insurer</t>
        </is>
      </c>
      <c r="F162" s="19" t="inlineStr">
        <is>
          <t>Functional</t>
        </is>
      </c>
      <c r="G162" s="19" t="inlineStr">
        <is>
          <t>High</t>
        </is>
      </c>
      <c r="H162" s="19" t="inlineStr">
        <is>
          <t>Package quotation accepted.</t>
        </is>
      </c>
      <c r="I162" s="19" t="inlineStr">
        <is>
          <t>1. Convert the package quotation.</t>
        </is>
      </c>
      <c r="J162" s="19" t="inlineStr">
        <is>
          <t>SME package: fire with Pacific Crest, burglary with Luzon Bay</t>
        </is>
      </c>
      <c r="K162" s="19" t="inlineStr">
        <is>
          <t>One policy with sections per insurer, exact participant amounts and one booking per insurer.</t>
        </is>
      </c>
      <c r="L162" s="19" t="inlineStr">
        <is>
          <t>As expected.</t>
        </is>
      </c>
      <c r="M162" s="19" t="inlineStr">
        <is>
          <t>Pass</t>
        </is>
      </c>
      <c r="N162" s="19" t="inlineStr"/>
      <c r="O162" s="19" t="inlineStr">
        <is>
          <t>iorta TechNXT QA</t>
        </is>
      </c>
      <c r="P162" s="19" t="inlineStr">
        <is>
          <t>03 October 2026</t>
        </is>
      </c>
      <c r="Q162" s="19" t="inlineStr"/>
      <c r="R162" s="19" t="inlineStr">
        <is>
          <t>backend/test/packages.test.js :: creates, updates and accepts a package quotation [passed]
backend/test/packages.test.js :: issues ONE policy with sections per insurer, exact participant amounts and a booking per carrier [passed]</t>
        </is>
      </c>
      <c r="S162" s="19" t="n"/>
    </row>
    <row r="163">
      <c r="A163" s="19" t="inlineStr">
        <is>
          <t>BV-POL-005</t>
        </is>
      </c>
      <c r="B163" s="19" t="inlineStr">
        <is>
          <t>Policy issuance</t>
        </is>
      </c>
      <c r="C163" s="19" t="inlineStr">
        <is>
          <t>Package policy</t>
        </is>
      </c>
      <c r="D163" s="19" t="inlineStr">
        <is>
          <t>Processing Team (jose.bernardo)</t>
        </is>
      </c>
      <c r="E163" s="19" t="inlineStr">
        <is>
          <t>Retail PA, Travel and Householder from RFQ</t>
        </is>
      </c>
      <c r="F163" s="19" t="inlineStr">
        <is>
          <t>Functional</t>
        </is>
      </c>
      <c r="G163" s="19" t="inlineStr">
        <is>
          <t>High</t>
        </is>
      </c>
      <c r="H163" s="19" t="inlineStr">
        <is>
          <t>RFQ offers recorded; quotation accepted.</t>
        </is>
      </c>
      <c r="I163" s="19" t="inlineStr">
        <is>
          <t>1. Prepare the quotation from the best offer.
2. Record acceptance.
3. Convert to policy.</t>
        </is>
      </c>
      <c r="J163" s="19" t="inlineStr">
        <is>
          <t>Travel: Japan, 2 travellers, 10 days; Home: concrete, 2 storeys</t>
        </is>
      </c>
      <c r="K163" s="19" t="inlineStr">
        <is>
          <t>Policy issued without placement slip (package journey); expiry follows the travel term.</t>
        </is>
      </c>
      <c r="L163" s="19" t="inlineStr">
        <is>
          <t>10 PA, 4 Travel and 8 Home policies issued.</t>
        </is>
      </c>
      <c r="M163" s="19" t="inlineStr">
        <is>
          <t>Pass</t>
        </is>
      </c>
      <c r="N163" s="19" t="inlineStr"/>
      <c r="O163" s="19" t="inlineStr">
        <is>
          <t>iorta TechNXT QA</t>
        </is>
      </c>
      <c r="P163" s="19" t="inlineStr">
        <is>
          <t>04 October 2026</t>
        </is>
      </c>
      <c r="Q163" s="19" t="inlineStr"/>
      <c r="R163" s="19" t="inlineStr">
        <is>
          <t>backend/test/uat-disconnects.test.js :: a Householder quotation prepared from a broker slip stays a package product and converts without a placement slip [passed]
backend/test/product-classification.test.js :: package: quotation required, broker and placement slips optional [passed]
UAT cycle 03-04 October 2026, phase Retail package business (84 passed, 0 failed)</t>
        </is>
      </c>
      <c r="S163" s="19" t="n"/>
    </row>
    <row r="164">
      <c r="A164" s="19" t="inlineStr">
        <is>
          <t>BV-POL-006</t>
        </is>
      </c>
      <c r="B164" s="19" t="inlineStr">
        <is>
          <t>Policy issuance</t>
        </is>
      </c>
      <c r="C164" s="19" t="inlineStr">
        <is>
          <t>Policy accounting</t>
        </is>
      </c>
      <c r="D164" s="19" t="inlineStr">
        <is>
          <t>Accounting Officer (liza.quiambao)</t>
        </is>
      </c>
      <c r="E164" s="19" t="inlineStr">
        <is>
          <t>Booking at issuance</t>
        </is>
      </c>
      <c r="F164" s="19" t="inlineStr">
        <is>
          <t>Accounting</t>
        </is>
      </c>
      <c r="G164" s="19" t="inlineStr">
        <is>
          <t>High</t>
        </is>
      </c>
      <c r="H164" s="19" t="inlineStr">
        <is>
          <t>Policy just issued.</t>
        </is>
      </c>
      <c r="I164" s="19" t="inlineStr">
        <is>
          <t>1. Open Accounts &gt; Accounting Query and search the policy.
2. Open the journal.</t>
        </is>
      </c>
      <c r="J164" s="19" t="inlineStr">
        <is>
          <t>Motor policy gross PHP 39,872.15</t>
        </is>
      </c>
      <c r="K164" s="19" t="inlineStr">
        <is>
          <t>Dr Premium receivable gross / Cr Premium payable per insurer and commission income; output VAT and EWT on commission; balanced; dated on the issue date.</t>
        </is>
      </c>
      <c r="L164" s="19" t="inlineStr">
        <is>
          <t>As expected.</t>
        </is>
      </c>
      <c r="M164" s="19" t="inlineStr">
        <is>
          <t>Pass</t>
        </is>
      </c>
      <c r="N164" s="19" t="inlineStr"/>
      <c r="O164" s="19" t="inlineStr">
        <is>
          <t>iorta TechNXT QA</t>
        </is>
      </c>
      <c r="P164" s="19" t="inlineStr">
        <is>
          <t>03 October 2026</t>
        </is>
      </c>
      <c r="Q164" s="19" t="inlineStr"/>
      <c r="R164" s="19" t="inlineStr">
        <is>
          <t>backend/test/posting-rules.test.js :: policy booking and receipt: same accounts, amounts, memos and order (premium taxes not split) [passed]
backend/test/commission-taxes.test.js :: the booking journal books output VAT on the commission and the EWT the insurer withholds (rule version 2) [passed]
backend/test/uat-disconnects.test.js :: books a policy on its issue date; its credit days run from the issue (or later inception) [passed]</t>
        </is>
      </c>
      <c r="S164" s="19" t="n"/>
    </row>
    <row r="165">
      <c r="A165" s="19" t="inlineStr">
        <is>
          <t>BV-POL-007</t>
        </is>
      </c>
      <c r="B165" s="19" t="inlineStr">
        <is>
          <t>Policy issuance</t>
        </is>
      </c>
      <c r="C165" s="19" t="inlineStr">
        <is>
          <t>Policy accounting</t>
        </is>
      </c>
      <c r="D165" s="19" t="inlineStr">
        <is>
          <t>Accounting Officer (liza.quiambao)</t>
        </is>
      </c>
      <c r="E165" s="19" t="inlineStr">
        <is>
          <t>Co-insured policy books one receivable and per insurer payables</t>
        </is>
      </c>
      <c r="F165" s="19" t="inlineStr">
        <is>
          <t>Accounting</t>
        </is>
      </c>
      <c r="G165" s="19" t="inlineStr">
        <is>
          <t>High</t>
        </is>
      </c>
      <c r="H165" s="19" t="inlineStr">
        <is>
          <t>Co-insured fire policy with 3 insurers.</t>
        </is>
      </c>
      <c r="I165" s="19" t="inlineStr">
        <is>
          <t>1. Open the journal of the policy.</t>
        </is>
      </c>
      <c r="J165" s="19" t="inlineStr">
        <is>
          <t>Shares 50 / 30 / 20</t>
        </is>
      </c>
      <c r="K165" s="19" t="inlineStr">
        <is>
          <t>One receivable at gross; premium and commission per insurer; rounding on the lead.</t>
        </is>
      </c>
      <c r="L165" s="19" t="inlineStr">
        <is>
          <t>As expected.</t>
        </is>
      </c>
      <c r="M165" s="19" t="inlineStr">
        <is>
          <t>Pass</t>
        </is>
      </c>
      <c r="N165" s="19" t="inlineStr"/>
      <c r="O165" s="19" t="inlineStr">
        <is>
          <t>iorta TechNXT QA</t>
        </is>
      </c>
      <c r="P165" s="19" t="inlineStr">
        <is>
          <t>03 October 2026</t>
        </is>
      </c>
      <c r="Q165" s="19" t="inlineStr"/>
      <c r="R165" s="19" t="inlineStr">
        <is>
          <t>backend/test/posting-rules.test.js :: books one receivable at the gross and the premium and commission per insurer (3 insurers, rounding) [passed]</t>
        </is>
      </c>
      <c r="S165" s="19" t="n"/>
    </row>
    <row r="166">
      <c r="A166" s="19" t="inlineStr">
        <is>
          <t>BV-POL-008</t>
        </is>
      </c>
      <c r="B166" s="19" t="inlineStr">
        <is>
          <t>Policy issuance</t>
        </is>
      </c>
      <c r="C166" s="19" t="inlineStr">
        <is>
          <t>Policy list</t>
        </is>
      </c>
      <c r="D166" s="19" t="inlineStr">
        <is>
          <t>Operations / Client Service (ana.buenaventura)</t>
        </is>
      </c>
      <c r="E166" s="19" t="inlineStr">
        <is>
          <t>Policy list paging, filters and detail</t>
        </is>
      </c>
      <c r="F166" s="19" t="inlineStr">
        <is>
          <t>Functional</t>
        </is>
      </c>
      <c r="G166" s="19" t="inlineStr">
        <is>
          <t>Medium</t>
        </is>
      </c>
      <c r="H166" s="19" t="inlineStr">
        <is>
          <t>Policies exist.</t>
        </is>
      </c>
      <c r="I166" s="19" t="inlineStr">
        <is>
          <t>1. Open Operations &gt; Policy.
2. Filter by product and status.
3. Open a policy.</t>
        </is>
      </c>
      <c r="J166" s="19" t="inlineStr">
        <is>
          <t>Filter: Motor, Active</t>
        </is>
      </c>
      <c r="K166" s="19" t="inlineStr">
        <is>
          <t>List filtered; detail shows client, prospect and quotation.</t>
        </is>
      </c>
      <c r="L166" s="19" t="inlineStr">
        <is>
          <t>As expected.</t>
        </is>
      </c>
      <c r="M166" s="19" t="inlineStr">
        <is>
          <t>Pass</t>
        </is>
      </c>
      <c r="N166" s="19" t="inlineStr"/>
      <c r="O166" s="19" t="inlineStr">
        <is>
          <t>iorta TechNXT QA</t>
        </is>
      </c>
      <c r="P166" s="19" t="inlineStr">
        <is>
          <t>03 October 2026</t>
        </is>
      </c>
      <c r="Q166" s="19" t="inlineStr"/>
      <c r="R166" s="19" t="inlineStr">
        <is>
          <t>backend/test/policies.test.js :: lists with paging and filters [passed]
backend/test/policies.test.js :: reads one policy with client, lead and quotation [passed]</t>
        </is>
      </c>
      <c r="S166" s="19" t="n"/>
    </row>
    <row r="167">
      <c r="A167" s="19" t="inlineStr">
        <is>
          <t>BV-POL-009</t>
        </is>
      </c>
      <c r="B167" s="19" t="inlineStr">
        <is>
          <t>Policy issuance</t>
        </is>
      </c>
      <c r="C167" s="19" t="inlineStr">
        <is>
          <t>Documents</t>
        </is>
      </c>
      <c r="D167" s="19" t="inlineStr">
        <is>
          <t>Operations / Client Service (ana.buenaventura)</t>
        </is>
      </c>
      <c r="E167" s="19" t="inlineStr">
        <is>
          <t>Policy schedule and billing statement PDFs</t>
        </is>
      </c>
      <c r="F167" s="19" t="inlineStr">
        <is>
          <t>Functional</t>
        </is>
      </c>
      <c r="G167" s="19" t="inlineStr">
        <is>
          <t>High</t>
        </is>
      </c>
      <c r="H167" s="19" t="inlineStr">
        <is>
          <t>Policy issued.</t>
        </is>
      </c>
      <c r="I167" s="19" t="inlineStr">
        <is>
          <t>1. Open the policy &gt; Documents.
2. Open the policy schedule.
3. Open the billing statement.</t>
        </is>
      </c>
      <c r="J167" s="19" t="inlineStr">
        <is>
          <t>Motor policy</t>
        </is>
      </c>
      <c r="K167" s="19" t="inlineStr">
        <is>
          <t>Both PDFs open with the company letterhead; schedule uses the policy columns; dates in the configured format; amounts in full.</t>
        </is>
      </c>
      <c r="L167" s="19" t="inlineStr">
        <is>
          <t>As expected.</t>
        </is>
      </c>
      <c r="M167" s="19" t="inlineStr">
        <is>
          <t>Pass</t>
        </is>
      </c>
      <c r="N167" s="19" t="inlineStr"/>
      <c r="O167" s="19" t="inlineStr">
        <is>
          <t>iorta TechNXT QA</t>
        </is>
      </c>
      <c r="P167" s="19" t="inlineStr">
        <is>
          <t>03 October 2026</t>
        </is>
      </c>
      <c r="Q167" s="19" t="inlineStr"/>
      <c r="R167" s="19" t="inlineStr">
        <is>
          <t>backend/test/policies.test.js :: lists documents and renders PDFs [passed]
backend/test/printing.test.js :: a policy schedule uses the policy columns, and prints only the gross when there is no breakdown [passed]
backend/test/receipts.test.js :: billing statement PDF for a policy [passed]
backend/test/printing.test.js :: formats dates in the configured pattern, never as JS Date strings [passed]</t>
        </is>
      </c>
      <c r="S167" s="19" t="n"/>
    </row>
    <row r="168">
      <c r="A168" s="19" t="inlineStr">
        <is>
          <t>BV-POL-010</t>
        </is>
      </c>
      <c r="B168" s="19" t="inlineStr">
        <is>
          <t>Policy issuance</t>
        </is>
      </c>
      <c r="C168" s="19" t="inlineStr">
        <is>
          <t>Bulk upload</t>
        </is>
      </c>
      <c r="D168" s="19" t="inlineStr">
        <is>
          <t>Processing Team (jose.bernardo)</t>
        </is>
      </c>
      <c r="E168" s="19" t="inlineStr">
        <is>
          <t>New business policy upload creates bills and commission</t>
        </is>
      </c>
      <c r="F168" s="19" t="inlineStr">
        <is>
          <t>Functional</t>
        </is>
      </c>
      <c r="G168" s="19" t="inlineStr">
        <is>
          <t>Medium</t>
        </is>
      </c>
      <c r="H168" s="19" t="inlineStr">
        <is>
          <t>Policies_Upload_Template with 2 rows; go-live box not ticked.</t>
        </is>
      </c>
      <c r="I168" s="19" t="inlineStr">
        <is>
          <t>1. Open Operations &gt; Policy, click Upload Policy.
2. Upload the file.</t>
        </is>
      </c>
      <c r="J168" s="19" t="inlineStr">
        <is>
          <t>2 policies</t>
        </is>
      </c>
      <c r="K168" s="19" t="inlineStr">
        <is>
          <t>"2 created"; each with client, bill in Collections and commission line.</t>
        </is>
      </c>
      <c r="L168" s="19" t="inlineStr">
        <is>
          <t>As expected.</t>
        </is>
      </c>
      <c r="M168" s="19" t="inlineStr">
        <is>
          <t>Pass</t>
        </is>
      </c>
      <c r="N168" s="19" t="inlineStr"/>
      <c r="O168" s="19" t="inlineStr">
        <is>
          <t>iorta TechNXT QA</t>
        </is>
      </c>
      <c r="P168" s="19" t="inlineStr">
        <is>
          <t>03 October 2026</t>
        </is>
      </c>
      <c r="Q168" s="19" t="inlineStr"/>
      <c r="R168" s="19" t="inlineStr">
        <is>
          <t>backend/test/policies.test.js :: bulk uploads policies with client, receivable and commission [passed]
backend/test/placement.test.js :: bulk import writes 100% of the insurer [passed]</t>
        </is>
      </c>
      <c r="S168" s="19" t="n"/>
    </row>
    <row r="169">
      <c r="A169" s="19" t="inlineStr">
        <is>
          <t>BV-POL-011</t>
        </is>
      </c>
      <c r="B169" s="19" t="inlineStr">
        <is>
          <t>Policy issuance</t>
        </is>
      </c>
      <c r="C169" s="19" t="inlineStr">
        <is>
          <t>Permissions</t>
        </is>
      </c>
      <c r="D169" s="19" t="inlineStr">
        <is>
          <t>Claims Officer (carlo.estrada)</t>
        </is>
      </c>
      <c r="E169" s="19" t="inlineStr">
        <is>
          <t>Claims users not offered Create Policy or Bulk Upload</t>
        </is>
      </c>
      <c r="F169" s="19" t="inlineStr">
        <is>
          <t>Role access</t>
        </is>
      </c>
      <c r="G169" s="19" t="inlineStr">
        <is>
          <t>Medium</t>
        </is>
      </c>
      <c r="H169" s="19" t="inlineStr">
        <is>
          <t>Signed in as carlo.estrada.</t>
        </is>
      </c>
      <c r="I169" s="19" t="inlineStr">
        <is>
          <t>1. Open Operations &gt; Policy.</t>
        </is>
      </c>
      <c r="J169" s="19" t="inlineStr">
        <is>
          <t>None</t>
        </is>
      </c>
      <c r="K169" s="19" t="inlineStr">
        <is>
          <t>No Create Policy, no Upload Policy; list is read only.</t>
        </is>
      </c>
      <c r="L169" s="19" t="inlineStr">
        <is>
          <t>As expected.</t>
        </is>
      </c>
      <c r="M169" s="19" t="inlineStr">
        <is>
          <t>Pass</t>
        </is>
      </c>
      <c r="N169" s="19" t="inlineStr"/>
      <c r="O169" s="19" t="inlineStr">
        <is>
          <t>iorta TechNXT QA</t>
        </is>
      </c>
      <c r="P169" s="19" t="inlineStr">
        <is>
          <t>03 October 2026</t>
        </is>
      </c>
      <c r="Q169" s="19" t="inlineStr"/>
      <c r="R169" s="19" t="inlineStr">
        <is>
          <t>brokerverse/src/utils/canOpen.test.js :: claims users are not offered Create Policy (Leads) nor Bulk Upload (write:policies) [passed]
backend/test/policies.test.js :: enforces permissions [passed]</t>
        </is>
      </c>
      <c r="S169" s="19" t="n"/>
    </row>
    <row r="170">
      <c r="A170" s="19" t="inlineStr">
        <is>
          <t>BV-POL-012</t>
        </is>
      </c>
      <c r="B170" s="19" t="inlineStr">
        <is>
          <t>Policy issuance</t>
        </is>
      </c>
      <c r="C170" s="19" t="inlineStr">
        <is>
          <t>Credit limit</t>
        </is>
      </c>
      <c r="D170" s="19" t="inlineStr">
        <is>
          <t>Processing Team (jose.bernardo)</t>
        </is>
      </c>
      <c r="E170" s="19" t="inlineStr">
        <is>
          <t>Policy over the client credit limit is issued with a warning</t>
        </is>
      </c>
      <c r="F170" s="19" t="inlineStr">
        <is>
          <t>Validation</t>
        </is>
      </c>
      <c r="G170" s="19" t="inlineStr">
        <is>
          <t>Medium</t>
        </is>
      </c>
      <c r="H170" s="19" t="inlineStr">
        <is>
          <t>Client credit limit PHP 1,000,000.00 with PHP 900,000.00 open.</t>
        </is>
      </c>
      <c r="I170" s="19" t="inlineStr">
        <is>
          <t>1. Issue a broker-billed policy of PHP 250,000.00.</t>
        </is>
      </c>
      <c r="J170" s="19" t="inlineStr">
        <is>
          <t>Kalayaan Steel Fabricators Inc.</t>
        </is>
      </c>
      <c r="K170" s="19" t="inlineStr">
        <is>
          <t>Issued with a credit limit warning.</t>
        </is>
      </c>
      <c r="L170" s="19" t="inlineStr">
        <is>
          <t>As expected.</t>
        </is>
      </c>
      <c r="M170" s="19" t="inlineStr">
        <is>
          <t>Pass</t>
        </is>
      </c>
      <c r="N170" s="19" t="inlineStr"/>
      <c r="O170" s="19" t="inlineStr">
        <is>
          <t>iorta TechNXT QA</t>
        </is>
      </c>
      <c r="P170" s="19" t="inlineStr">
        <is>
          <t>03 October 2026</t>
        </is>
      </c>
      <c r="Q170" s="19" t="inlineStr"/>
      <c r="R170" s="19" t="inlineStr">
        <is>
          <t>backend/test/credit-control.test.js :: only an approver sets the limit; a broker-billed policy over it is issued with a warning [passed]</t>
        </is>
      </c>
      <c r="S170" s="19" t="n"/>
    </row>
    <row r="171">
      <c r="A171" s="19" t="inlineStr">
        <is>
          <t>BV-POL-013</t>
        </is>
      </c>
      <c r="B171" s="19" t="inlineStr">
        <is>
          <t>Policy issuance</t>
        </is>
      </c>
      <c r="C171" s="19" t="inlineStr">
        <is>
          <t>Billing mode</t>
        </is>
      </c>
      <c r="D171" s="19" t="inlineStr">
        <is>
          <t>Accounting Officer (liza.quiambao)</t>
        </is>
      </c>
      <c r="E171" s="19" t="inlineStr">
        <is>
          <t>Default billing mode from settings; switch to direct bill</t>
        </is>
      </c>
      <c r="F171" s="19" t="inlineStr">
        <is>
          <t>Functional</t>
        </is>
      </c>
      <c r="G171" s="19" t="inlineStr">
        <is>
          <t>Medium</t>
        </is>
      </c>
      <c r="H171" s="19" t="inlineStr">
        <is>
          <t>Broker-billed policy with nothing collected.</t>
        </is>
      </c>
      <c r="I171" s="19" t="inlineStr">
        <is>
          <t>1. Change billing mode to direct bill.
2. Change it back.
3. Collect part of the premium and try again.</t>
        </is>
      </c>
      <c r="J171" s="19" t="inlineStr">
        <is>
          <t>Policy with open bill</t>
        </is>
      </c>
      <c r="K171" s="19" t="inlineStr">
        <is>
          <t>Switch works both ways while nothing is collected; refused after collection or once on a debit note.</t>
        </is>
      </c>
      <c r="L171" s="19" t="inlineStr">
        <is>
          <t>As expected.</t>
        </is>
      </c>
      <c r="M171" s="19" t="inlineStr">
        <is>
          <t>Pass</t>
        </is>
      </c>
      <c r="N171" s="19" t="inlineStr"/>
      <c r="O171" s="19" t="inlineStr">
        <is>
          <t>iorta TechNXT QA</t>
        </is>
      </c>
      <c r="P171" s="19" t="inlineStr">
        <is>
          <t>03 October 2026</t>
        </is>
      </c>
      <c r="Q171" s="19" t="inlineStr"/>
      <c r="R171" s="19" t="inlineStr">
        <is>
          <t>backend/test/direct-bill.test.js :: a broker-billed policy with nothing collected becomes direct bill and back [passed]
backend/test/direct-bill.test.js :: refuses the change once premium was collected or the commission is on a debit note [passed]
backend/test/direct-bill.test.js :: default billing mode comes from the settings [passed]</t>
        </is>
      </c>
      <c r="S171" s="19" t="n"/>
    </row>
    <row r="172">
      <c r="A172" s="19" t="inlineStr">
        <is>
          <t>BV-POL-014</t>
        </is>
      </c>
      <c r="B172" s="19" t="inlineStr">
        <is>
          <t>Policy issuance</t>
        </is>
      </c>
      <c r="C172" s="19" t="inlineStr">
        <is>
          <t>Commission accrual</t>
        </is>
      </c>
      <c r="D172" s="19" t="inlineStr">
        <is>
          <t>Processing Team (jose.bernardo)</t>
        </is>
      </c>
      <c r="E172" s="19" t="inlineStr">
        <is>
          <t>No commission line for an administrator issuing a policy</t>
        </is>
      </c>
      <c r="F172" s="19" t="inlineStr">
        <is>
          <t>Validation</t>
        </is>
      </c>
      <c r="G172" s="19" t="inlineStr">
        <is>
          <t>Low</t>
        </is>
      </c>
      <c r="H172" s="19" t="inlineStr">
        <is>
          <t>Policy issued by BrokerVerse and one by an Account Executive.</t>
        </is>
      </c>
      <c r="I172" s="19" t="inlineStr">
        <is>
          <t>1. Open Commission &gt; Commission Dashboard.</t>
        </is>
      </c>
      <c r="J172" s="19" t="inlineStr">
        <is>
          <t>Two policies</t>
        </is>
      </c>
      <c r="K172" s="19" t="inlineStr">
        <is>
          <t>Only the Account Executive earns a commission line.</t>
        </is>
      </c>
      <c r="L172" s="19" t="inlineStr">
        <is>
          <t>As expected.</t>
        </is>
      </c>
      <c r="M172" s="19" t="inlineStr">
        <is>
          <t>Pass</t>
        </is>
      </c>
      <c r="N172" s="19" t="inlineStr"/>
      <c r="O172" s="19" t="inlineStr">
        <is>
          <t>iorta TechNXT QA</t>
        </is>
      </c>
      <c r="P172" s="19" t="inlineStr">
        <is>
          <t>03 October 2026</t>
        </is>
      </c>
      <c r="Q172" s="19" t="inlineStr"/>
      <c r="R172" s="19" t="inlineStr">
        <is>
          <t>backend/test/policy-payments.test.js :: no commission line for an administrator who issues a policy; an Account Executive earns one [passed]</t>
        </is>
      </c>
      <c r="S172" s="19" t="n"/>
    </row>
    <row r="173">
      <c r="A173" s="19" t="inlineStr">
        <is>
          <t>BV-POL-015</t>
        </is>
      </c>
      <c r="B173" s="19" t="inlineStr">
        <is>
          <t>Policy issuance</t>
        </is>
      </c>
      <c r="C173" s="19" t="inlineStr">
        <is>
          <t>Payment gateway</t>
        </is>
      </c>
      <c r="D173" s="19" t="inlineStr">
        <is>
          <t>Sales / Account Executive (maria.rivera)</t>
        </is>
      </c>
      <c r="E173" s="19" t="inlineStr">
        <is>
          <t>Online payment link issues the package policy</t>
        </is>
      </c>
      <c r="F173" s="19" t="inlineStr">
        <is>
          <t>Integration</t>
        </is>
      </c>
      <c r="G173" s="19" t="inlineStr">
        <is>
          <t>Medium</t>
        </is>
      </c>
      <c r="H173" s="19" t="inlineStr">
        <is>
          <t>Payment gateway in sandbox.</t>
        </is>
      </c>
      <c r="I173" s="19" t="inlineStr">
        <is>
          <t>1. Create a payment link for an accepted package quotation.
2. Pay in the sandbox.</t>
        </is>
      </c>
      <c r="J173" s="19" t="inlineStr">
        <is>
          <t>PayMongo sandbox; amount in centavos</t>
        </is>
      </c>
      <c r="K173" s="19" t="inlineStr">
        <is>
          <t>Signed webhook applied once; policy issued; receipt created; policy PDF available. Bad signature rejected and logged.</t>
        </is>
      </c>
      <c r="L173" s="19" t="inlineStr">
        <is>
          <t>As expected.</t>
        </is>
      </c>
      <c r="M173" s="19" t="inlineStr">
        <is>
          <t>Pass</t>
        </is>
      </c>
      <c r="N173" s="19" t="inlineStr"/>
      <c r="O173" s="19" t="inlineStr">
        <is>
          <t>iorta TechNXT QA</t>
        </is>
      </c>
      <c r="P173" s="19" t="inlineStr">
        <is>
          <t>03 October 2026</t>
        </is>
      </c>
      <c r="Q173" s="19" t="inlineStr">
        <is>
          <t>Sandbox only; live keys not configured.</t>
        </is>
      </c>
      <c r="R173" s="19" t="inlineStr">
        <is>
          <t>backend/test/payments.test.js :: pays a package quotation in the sandbox: policy issued, receipt created, policy PDF available [passed]
backend/test/payments.test.js :: rejects a notification with a bad signature and logs it [passed]</t>
        </is>
      </c>
      <c r="S173" s="19" t="n"/>
    </row>
    <row r="174">
      <c r="A174" s="19" t="inlineStr">
        <is>
          <t>BV-END-001</t>
        </is>
      </c>
      <c r="B174" s="19" t="inlineStr">
        <is>
          <t>Endorsements and cancellations</t>
        </is>
      </c>
      <c r="C174" s="19" t="inlineStr">
        <is>
          <t>Endorsement</t>
        </is>
      </c>
      <c r="D174" s="19" t="inlineStr">
        <is>
          <t>Operations / Client Service (ana.buenaventura)</t>
        </is>
      </c>
      <c r="E174" s="19" t="inlineStr">
        <is>
          <t>Additional premium endorsement on a motor policy</t>
        </is>
      </c>
      <c r="F174" s="19" t="inlineStr">
        <is>
          <t>Functional</t>
        </is>
      </c>
      <c r="G174" s="19" t="inlineStr">
        <is>
          <t>High</t>
        </is>
      </c>
      <c r="H174" s="19" t="inlineStr">
        <is>
          <t>Active broker-billed motor policy, OD PHP 1,200,000.00 at 2%.</t>
        </is>
      </c>
      <c r="I174" s="19" t="inlineStr">
        <is>
          <t>1. Open the policy and start an endorsement.
2. Change own damage sum insured to PHP 1,400,000.00 and click Save &amp; Next.
3. Send to Insurance Company.
4. Click Upload Endorsement with the insurer document and complete with issued date.</t>
        </is>
      </c>
      <c r="J174" s="19" t="inlineStr">
        <is>
          <t>OD 1,200,000.00 -&gt; 1,400,000.00 at 2%; remarks: Accessories added: mags, dashcam and tint</t>
        </is>
      </c>
      <c r="K174" s="19" t="inlineStr">
        <is>
          <t>Premium delta priced by the system (net PHP 4,000.00 plus taxes); endorsement numbered; new bill raised with a balanced journal and a collection item; policy premium updated.</t>
        </is>
      </c>
      <c r="L174" s="19" t="inlineStr">
        <is>
          <t>4 additional premium endorsements completed and paid.</t>
        </is>
      </c>
      <c r="M174" s="19" t="inlineStr">
        <is>
          <t>Pass</t>
        </is>
      </c>
      <c r="N174" s="19" t="inlineStr"/>
      <c r="O174" s="19" t="inlineStr">
        <is>
          <t>iorta TechNXT QA</t>
        </is>
      </c>
      <c r="P174" s="19" t="inlineStr">
        <is>
          <t>04 October 2026</t>
        </is>
      </c>
      <c r="Q174" s="19" t="inlineStr"/>
      <c r="R174" s="19" t="inlineStr">
        <is>
          <t>backend/test/endorsements.test.js :: prices the screen payload of a motor policy with BI / PD / APPA (own damage 1,200,000 -&gt; 1,400,000 at 2%) [passed]
backend/test/endorsements.test.js :: bills a positive delta as a new receivable with a balanced journal and a collection item, and updates the policy premium [passed]
UAT cycle 03-04 October 2026, phase Servicing: endorsements, renewals, claims (31 passed, 0 failed)</t>
        </is>
      </c>
      <c r="S174" s="19" t="n"/>
    </row>
    <row r="175">
      <c r="A175" s="19" t="inlineStr">
        <is>
          <t>BV-END-002</t>
        </is>
      </c>
      <c r="B175" s="19" t="inlineStr">
        <is>
          <t>Endorsements and cancellations</t>
        </is>
      </c>
      <c r="C175" s="19" t="inlineStr">
        <is>
          <t>Endorsement</t>
        </is>
      </c>
      <c r="D175" s="19" t="inlineStr">
        <is>
          <t>Operations / Client Service (ana.buenaventura)</t>
        </is>
      </c>
      <c r="E175" s="19" t="inlineStr">
        <is>
          <t>Premium delta that does not match the coverage change refused</t>
        </is>
      </c>
      <c r="F175" s="19" t="inlineStr">
        <is>
          <t>Negative</t>
        </is>
      </c>
      <c r="G175" s="19" t="inlineStr">
        <is>
          <t>High</t>
        </is>
      </c>
      <c r="H175" s="19" t="inlineStr">
        <is>
          <t>Endorsement form.</t>
        </is>
      </c>
      <c r="I175" s="19" t="inlineStr">
        <is>
          <t>1. Send a premium delta different from new gross minus current gross.</t>
        </is>
      </c>
      <c r="J175" s="19" t="inlineStr">
        <is>
          <t>Delta sent PHP 1,000.00 vs computed PHP 4,994.40</t>
        </is>
      </c>
      <c r="K175" s="19" t="inlineStr">
        <is>
          <t>Refused.</t>
        </is>
      </c>
      <c r="L175" s="19" t="inlineStr">
        <is>
          <t>As expected.</t>
        </is>
      </c>
      <c r="M175" s="19" t="inlineStr">
        <is>
          <t>Pass</t>
        </is>
      </c>
      <c r="N175" s="19" t="inlineStr"/>
      <c r="O175" s="19" t="inlineStr">
        <is>
          <t>iorta TechNXT QA</t>
        </is>
      </c>
      <c r="P175" s="19" t="inlineStr">
        <is>
          <t>03 October 2026</t>
        </is>
      </c>
      <c r="Q175" s="19" t="inlineStr"/>
      <c r="R175" s="19" t="inlineStr">
        <is>
          <t>backend/test/endorsements.test.js :: refuses a premiumDelta that does not match new gross - current gross [passed]</t>
        </is>
      </c>
      <c r="S175" s="19" t="n"/>
    </row>
    <row r="176">
      <c r="A176" s="19" t="inlineStr">
        <is>
          <t>BV-END-003</t>
        </is>
      </c>
      <c r="B176" s="19" t="inlineStr">
        <is>
          <t>Endorsements and cancellations</t>
        </is>
      </c>
      <c r="C176" s="19" t="inlineStr">
        <is>
          <t>Endorsement</t>
        </is>
      </c>
      <c r="D176" s="19" t="inlineStr">
        <is>
          <t>Operations / Client Service (ana.buenaventura)</t>
        </is>
      </c>
      <c r="E176" s="19" t="inlineStr">
        <is>
          <t>Zero delta is not billed</t>
        </is>
      </c>
      <c r="F176" s="19" t="inlineStr">
        <is>
          <t>Validation</t>
        </is>
      </c>
      <c r="G176" s="19" t="inlineStr">
        <is>
          <t>Low</t>
        </is>
      </c>
      <c r="H176" s="19" t="inlineStr">
        <is>
          <t>Address change only.</t>
        </is>
      </c>
      <c r="I176" s="19" t="inlineStr">
        <is>
          <t>1. Endorse a change of address.</t>
        </is>
      </c>
      <c r="J176" s="19" t="inlineStr">
        <is>
          <t>New address: 32nd St., Fort Bonifacio, Taguig</t>
        </is>
      </c>
      <c r="K176" s="19" t="inlineStr">
        <is>
          <t>Endorsement completed; no bill.</t>
        </is>
      </c>
      <c r="L176" s="19" t="inlineStr">
        <is>
          <t>As expected.</t>
        </is>
      </c>
      <c r="M176" s="19" t="inlineStr">
        <is>
          <t>Pass</t>
        </is>
      </c>
      <c r="N176" s="19" t="inlineStr"/>
      <c r="O176" s="19" t="inlineStr">
        <is>
          <t>iorta TechNXT QA</t>
        </is>
      </c>
      <c r="P176" s="19" t="inlineStr">
        <is>
          <t>03 October 2026</t>
        </is>
      </c>
      <c r="Q176" s="19" t="inlineStr"/>
      <c r="R176" s="19" t="inlineStr">
        <is>
          <t>backend/test/endorsements.test.js :: does not bill a zero delta [passed]</t>
        </is>
      </c>
      <c r="S176" s="19" t="n"/>
    </row>
    <row r="177">
      <c r="A177" s="19" t="inlineStr">
        <is>
          <t>BV-END-004</t>
        </is>
      </c>
      <c r="B177" s="19" t="inlineStr">
        <is>
          <t>Endorsements and cancellations</t>
        </is>
      </c>
      <c r="C177" s="19" t="inlineStr">
        <is>
          <t>Endorsement</t>
        </is>
      </c>
      <c r="D177" s="19" t="inlineStr">
        <is>
          <t>Operations / Client Service (ana.buenaventura)</t>
        </is>
      </c>
      <c r="E177" s="19" t="inlineStr">
        <is>
          <t>Return premium on a paid policy raises a client refund</t>
        </is>
      </c>
      <c r="F177" s="19" t="inlineStr">
        <is>
          <t>Accounting</t>
        </is>
      </c>
      <c r="G177" s="19" t="inlineStr">
        <is>
          <t>High</t>
        </is>
      </c>
      <c r="H177" s="19" t="inlineStr">
        <is>
          <t>Fully paid motor policy.</t>
        </is>
      </c>
      <c r="I177" s="19" t="inlineStr">
        <is>
          <t>1. Reduce own damage to the appraised value.
2. Complete the endorsement.
3. Open Accounts &gt; Disbursement invoice list.</t>
        </is>
      </c>
      <c r="J177" s="19" t="inlineStr">
        <is>
          <t>OD reduced by 15%</t>
        </is>
      </c>
      <c r="K177" s="19" t="inlineStr">
        <is>
          <t>Return premium credits the open bill; the paid part becomes a client refund payable; commission taxes reversed at booked rates.</t>
        </is>
      </c>
      <c r="L177" s="19" t="inlineStr">
        <is>
          <t>2 return premium endorsements; 3 client refunds paid by cheque.</t>
        </is>
      </c>
      <c r="M177" s="19" t="inlineStr">
        <is>
          <t>Pass</t>
        </is>
      </c>
      <c r="N177" s="19" t="inlineStr"/>
      <c r="O177" s="19" t="inlineStr">
        <is>
          <t>iorta TechNXT QA</t>
        </is>
      </c>
      <c r="P177" s="19" t="inlineStr">
        <is>
          <t>04 October 2026</t>
        </is>
      </c>
      <c r="Q177" s="19" t="inlineStr"/>
      <c r="R177" s="19" t="inlineStr">
        <is>
          <t>backend/test/posting-rules.test.js :: return premium credits the open bill and makes the paid part a client refund payable [passed]
backend/test/commission-taxes.test.js :: a return premium reverses the commission taxes at the rates booked; bills booked without them return none [passed]
backend/test/endorsements.test.js :: records a negative delta (return premium) without billing it [passed]
UAT cycle 03-04 October 2026, phase Servicing: endorsements, renewals, claims (31 passed, 0 failed)</t>
        </is>
      </c>
      <c r="S177" s="19" t="n"/>
    </row>
    <row r="178">
      <c r="A178" s="19" t="inlineStr">
        <is>
          <t>BV-END-005</t>
        </is>
      </c>
      <c r="B178" s="19" t="inlineStr">
        <is>
          <t>Endorsements and cancellations</t>
        </is>
      </c>
      <c r="C178" s="19" t="inlineStr">
        <is>
          <t>Endorsement</t>
        </is>
      </c>
      <c r="D178" s="19" t="inlineStr">
        <is>
          <t>Operations / Client Service (ana.buenaventura)</t>
        </is>
      </c>
      <c r="E178" s="19" t="inlineStr">
        <is>
          <t>Return premium claws back sub-agent commission</t>
        </is>
      </c>
      <c r="F178" s="19" t="inlineStr">
        <is>
          <t>Accounting</t>
        </is>
      </c>
      <c r="G178" s="19" t="inlineStr">
        <is>
          <t>Medium</t>
        </is>
      </c>
      <c r="H178" s="19" t="inlineStr">
        <is>
          <t>Policy with paid sub-agent commission line.</t>
        </is>
      </c>
      <c r="I178" s="19" t="inlineStr">
        <is>
          <t>1. Endorse a 25% return.
2. Cancel the rest later.</t>
        </is>
      </c>
      <c r="J178" s="19" t="inlineStr">
        <is>
          <t>Return 25%</t>
        </is>
      </c>
      <c r="K178" s="19" t="inlineStr">
        <is>
          <t>25% of the paid line clawed back and 25% of the accrual reversed; later cancellation claws back only what is left.</t>
        </is>
      </c>
      <c r="L178" s="19" t="inlineStr">
        <is>
          <t>As expected.</t>
        </is>
      </c>
      <c r="M178" s="19" t="inlineStr">
        <is>
          <t>Pass</t>
        </is>
      </c>
      <c r="N178" s="19" t="inlineStr"/>
      <c r="O178" s="19" t="inlineStr">
        <is>
          <t>iorta TechNXT QA</t>
        </is>
      </c>
      <c r="P178" s="19" t="inlineStr">
        <is>
          <t>03 October 2026</t>
        </is>
      </c>
      <c r="Q178" s="19" t="inlineStr"/>
      <c r="R178" s="19" t="inlineStr">
        <is>
          <t>backend/test/accounting-followups.test.js :: a 25% return claws back 25% of the paid line and reverses 25% of the approved accrual through the posting rules [passed]
backend/test/accounting-followups.test.js :: a later cancellation of the rest claws back only what is left and reverses the lines [passed]</t>
        </is>
      </c>
      <c r="S178" s="19" t="n"/>
    </row>
    <row r="179">
      <c r="A179" s="19" t="inlineStr">
        <is>
          <t>BV-END-006</t>
        </is>
      </c>
      <c r="B179" s="19" t="inlineStr">
        <is>
          <t>Endorsements and cancellations</t>
        </is>
      </c>
      <c r="C179" s="19" t="inlineStr">
        <is>
          <t>Endorsement</t>
        </is>
      </c>
      <c r="D179" s="19" t="inlineStr">
        <is>
          <t>Operations / Client Service (ana.buenaventura)</t>
        </is>
      </c>
      <c r="E179" s="19" t="inlineStr">
        <is>
          <t>Section endorsement on a package bills that insurer only</t>
        </is>
      </c>
      <c r="F179" s="19" t="inlineStr">
        <is>
          <t>Functional</t>
        </is>
      </c>
      <c r="G179" s="19" t="inlineStr">
        <is>
          <t>Medium</t>
        </is>
      </c>
      <c r="H179" s="19" t="inlineStr">
        <is>
          <t>Package policy with two insurers.</t>
        </is>
      </c>
      <c r="I179" s="19" t="inlineStr">
        <is>
          <t>1. Endorse the burglary section sum insured.</t>
        </is>
      </c>
      <c r="J179" s="19" t="inlineStr">
        <is>
          <t>Burglary +PHP 200,000.00</t>
        </is>
      </c>
      <c r="K179" s="19" t="inlineStr">
        <is>
          <t>Additional premium billed and due to the burglary insurer only.</t>
        </is>
      </c>
      <c r="L179" s="19" t="inlineStr">
        <is>
          <t>As expected.</t>
        </is>
      </c>
      <c r="M179" s="19" t="inlineStr">
        <is>
          <t>Pass</t>
        </is>
      </c>
      <c r="N179" s="19" t="inlineStr"/>
      <c r="O179" s="19" t="inlineStr">
        <is>
          <t>iorta TechNXT QA</t>
        </is>
      </c>
      <c r="P179" s="19" t="inlineStr">
        <is>
          <t>03 October 2026</t>
        </is>
      </c>
      <c r="Q179" s="19" t="inlineStr"/>
      <c r="R179" s="19" t="inlineStr">
        <is>
          <t>backend/test/packages.test.js :: endorses one section: the additional premium is billed and due to that insurer only [passed]</t>
        </is>
      </c>
      <c r="S179" s="19" t="n"/>
    </row>
    <row r="180">
      <c r="A180" s="19" t="inlineStr">
        <is>
          <t>BV-END-007</t>
        </is>
      </c>
      <c r="B180" s="19" t="inlineStr">
        <is>
          <t>Endorsements and cancellations</t>
        </is>
      </c>
      <c r="C180" s="19" t="inlineStr">
        <is>
          <t>Endorsement</t>
        </is>
      </c>
      <c r="D180" s="19" t="inlineStr">
        <is>
          <t>Operations / Client Service (ana.buenaventura)</t>
        </is>
      </c>
      <c r="E180" s="19" t="inlineStr">
        <is>
          <t>Direct-bill endorsement books commission due from insurer</t>
        </is>
      </c>
      <c r="F180" s="19" t="inlineStr">
        <is>
          <t>Accounting</t>
        </is>
      </c>
      <c r="G180" s="19" t="inlineStr">
        <is>
          <t>Medium</t>
        </is>
      </c>
      <c r="H180" s="19" t="inlineStr">
        <is>
          <t>Direct-bill policy.</t>
        </is>
      </c>
      <c r="I180" s="19" t="inlineStr">
        <is>
          <t>1. Endorse a premium increase.</t>
        </is>
      </c>
      <c r="J180" s="19" t="inlineStr">
        <is>
          <t>Direct-bill motor policy</t>
        </is>
      </c>
      <c r="K180" s="19" t="inlineStr">
        <is>
          <t>No client bill; commission due from the insurer booked. Return premium reverses it.</t>
        </is>
      </c>
      <c r="L180" s="19" t="inlineStr">
        <is>
          <t>As expected.</t>
        </is>
      </c>
      <c r="M180" s="19" t="inlineStr">
        <is>
          <t>Pass</t>
        </is>
      </c>
      <c r="N180" s="19" t="inlineStr"/>
      <c r="O180" s="19" t="inlineStr">
        <is>
          <t>iorta TechNXT QA</t>
        </is>
      </c>
      <c r="P180" s="19" t="inlineStr">
        <is>
          <t>03 October 2026</t>
        </is>
      </c>
      <c r="Q180" s="19" t="inlineStr"/>
      <c r="R180" s="19" t="inlineStr">
        <is>
          <t>backend/test/endorsements.test.js :: a premium change marked direct bill books the commission due from the insurer instead of a client bill [passed]
backend/test/direct-bill.test.js :: a return premium on a direct-bill policy returns the commission (reverse booking) [passed]</t>
        </is>
      </c>
      <c r="S180" s="19" t="n"/>
    </row>
    <row r="181">
      <c r="A181" s="19" t="inlineStr">
        <is>
          <t>BV-END-008</t>
        </is>
      </c>
      <c r="B181" s="19" t="inlineStr">
        <is>
          <t>Endorsements and cancellations</t>
        </is>
      </c>
      <c r="C181" s="19" t="inlineStr">
        <is>
          <t>Endorsement</t>
        </is>
      </c>
      <c r="D181" s="19" t="inlineStr">
        <is>
          <t>Operations / Client Service (ana.buenaventura)</t>
        </is>
      </c>
      <c r="E181" s="19" t="inlineStr">
        <is>
          <t>Endorsement list, permissions and numbering</t>
        </is>
      </c>
      <c r="F181" s="19" t="inlineStr">
        <is>
          <t>Functional</t>
        </is>
      </c>
      <c r="G181" s="19" t="inlineStr">
        <is>
          <t>Low</t>
        </is>
      </c>
      <c r="H181" s="19" t="inlineStr">
        <is>
          <t>Endorsements exist.</t>
        </is>
      </c>
      <c r="I181" s="19" t="inlineStr">
        <is>
          <t>1. List endorsements by policy and by client.
2. As carlo.estrada try to create one.</t>
        </is>
      </c>
      <c r="J181" s="19" t="inlineStr">
        <is>
          <t>Policy MC-2026-xxxxx</t>
        </is>
      </c>
      <c r="K181" s="19" t="inlineStr">
        <is>
          <t>Lists show the endorsements; claims user refused; number taken inside the transaction.</t>
        </is>
      </c>
      <c r="L181" s="19" t="inlineStr">
        <is>
          <t>As expected.</t>
        </is>
      </c>
      <c r="M181" s="19" t="inlineStr">
        <is>
          <t>Pass</t>
        </is>
      </c>
      <c r="N181" s="19" t="inlineStr"/>
      <c r="O181" s="19" t="inlineStr">
        <is>
          <t>iorta TechNXT QA</t>
        </is>
      </c>
      <c r="P181" s="19" t="inlineStr">
        <is>
          <t>03 October 2026</t>
        </is>
      </c>
      <c r="Q181" s="19" t="inlineStr"/>
      <c r="R181" s="19" t="inlineStr">
        <is>
          <t>backend/test/endorsements.test.js :: reads back and lists (by policy and client) [passed]
backend/test/endorsements.test.js :: validates and enforces permissions [passed]
backend/test/numbering.test.js :: endorsements take their number inside the transaction [passed]</t>
        </is>
      </c>
      <c r="S181" s="19" t="n"/>
    </row>
    <row r="182">
      <c r="A182" s="19" t="inlineStr">
        <is>
          <t>BV-END-009</t>
        </is>
      </c>
      <c r="B182" s="19" t="inlineStr">
        <is>
          <t>Endorsements and cancellations</t>
        </is>
      </c>
      <c r="C182" s="19" t="inlineStr">
        <is>
          <t>Endorsement</t>
        </is>
      </c>
      <c r="D182" s="19" t="inlineStr">
        <is>
          <t>Operations / Client Service (ana.buenaventura)</t>
        </is>
      </c>
      <c r="E182" s="19" t="inlineStr">
        <is>
          <t>Endorsement booked on its issue date</t>
        </is>
      </c>
      <c r="F182" s="19" t="inlineStr">
        <is>
          <t>Accounting</t>
        </is>
      </c>
      <c r="G182" s="19" t="inlineStr">
        <is>
          <t>Low</t>
        </is>
      </c>
      <c r="H182" s="19" t="inlineStr">
        <is>
          <t>Endorsement completed.</t>
        </is>
      </c>
      <c r="I182" s="19" t="inlineStr">
        <is>
          <t>1. Open its journal.</t>
        </is>
      </c>
      <c r="J182" s="19" t="inlineStr">
        <is>
          <t>Issued 15 August 2026</t>
        </is>
      </c>
      <c r="K182" s="19" t="inlineStr">
        <is>
          <t>Journal dated on the endorsement issue date.</t>
        </is>
      </c>
      <c r="L182" s="19" t="inlineStr">
        <is>
          <t>As expected.</t>
        </is>
      </c>
      <c r="M182" s="19" t="inlineStr">
        <is>
          <t>Pass</t>
        </is>
      </c>
      <c r="N182" s="19" t="inlineStr"/>
      <c r="O182" s="19" t="inlineStr">
        <is>
          <t>iorta TechNXT QA</t>
        </is>
      </c>
      <c r="P182" s="19" t="inlineStr">
        <is>
          <t>03 October 2026</t>
        </is>
      </c>
      <c r="Q182" s="19" t="inlineStr"/>
      <c r="R182" s="19" t="inlineStr">
        <is>
          <t>backend/test/uat-disconnects.test.js :: books an endorsement premium on the endorsement issue date [passed]</t>
        </is>
      </c>
      <c r="S182" s="19" t="n"/>
    </row>
    <row r="183">
      <c r="A183" s="19" t="inlineStr">
        <is>
          <t>BV-END-010</t>
        </is>
      </c>
      <c r="B183" s="19" t="inlineStr">
        <is>
          <t>Endorsements and cancellations</t>
        </is>
      </c>
      <c r="C183" s="19" t="inlineStr">
        <is>
          <t>Endorsement</t>
        </is>
      </c>
      <c r="D183" s="19" t="inlineStr">
        <is>
          <t>Sales / Account Executive (maria.rivera)</t>
        </is>
      </c>
      <c r="E183" s="19" t="inlineStr">
        <is>
          <t>Agent endorses own policies only</t>
        </is>
      </c>
      <c r="F183" s="19" t="inlineStr">
        <is>
          <t>Role access</t>
        </is>
      </c>
      <c r="G183" s="19" t="inlineStr">
        <is>
          <t>Medium</t>
        </is>
      </c>
      <c r="H183" s="19" t="inlineStr">
        <is>
          <t>Scoped sales role.</t>
        </is>
      </c>
      <c r="I183" s="19" t="inlineStr">
        <is>
          <t>1. Try to endorse a policy of another agent.</t>
        </is>
      </c>
      <c r="J183" s="19" t="inlineStr">
        <is>
          <t>Policy of paolo.dizon</t>
        </is>
      </c>
      <c r="K183" s="19" t="inlineStr">
        <is>
          <t>Refused.</t>
        </is>
      </c>
      <c r="L183" s="19" t="inlineStr">
        <is>
          <t>As expected.</t>
        </is>
      </c>
      <c r="M183" s="19" t="inlineStr">
        <is>
          <t>Pass</t>
        </is>
      </c>
      <c r="N183" s="19" t="inlineStr"/>
      <c r="O183" s="19" t="inlineStr">
        <is>
          <t>iorta TechNXT QA</t>
        </is>
      </c>
      <c r="P183" s="19" t="inlineStr">
        <is>
          <t>03 October 2026</t>
        </is>
      </c>
      <c r="Q183" s="19" t="inlineStr"/>
      <c r="R183" s="19" t="inlineStr">
        <is>
          <t>backend/test/scope.test.js :: endorsements: agents endorse their own policies only [passed]</t>
        </is>
      </c>
      <c r="S183" s="19" t="n"/>
    </row>
    <row r="184">
      <c r="A184" s="19" t="inlineStr">
        <is>
          <t>BV-END-011</t>
        </is>
      </c>
      <c r="B184" s="19" t="inlineStr">
        <is>
          <t>Endorsements and cancellations</t>
        </is>
      </c>
      <c r="C184" s="19" t="inlineStr">
        <is>
          <t>Cancellation</t>
        </is>
      </c>
      <c r="D184" s="19" t="inlineStr">
        <is>
          <t>Operations / Client Service (ana.buenaventura)</t>
        </is>
      </c>
      <c r="E184" s="19" t="inlineStr">
        <is>
          <t>Cancel a policy at the client request with pro-rata return</t>
        </is>
      </c>
      <c r="F184" s="19" t="inlineStr">
        <is>
          <t>Functional</t>
        </is>
      </c>
      <c r="G184" s="19" t="inlineStr">
        <is>
          <t>High</t>
        </is>
      </c>
      <c r="H184" s="19" t="inlineStr">
        <is>
          <t>Fully paid PA policy.</t>
        </is>
      </c>
      <c r="I184" s="19" t="inlineStr">
        <is>
          <t>1. Start a cancellation endorsement (full).
2. Initiate cancel, upload document, complete.</t>
        </is>
      </c>
      <c r="J184" s="19" t="inlineStr">
        <is>
          <t>Remarks: Client moved abroad; return 50% of gross</t>
        </is>
      </c>
      <c r="K184" s="19" t="inlineStr">
        <is>
          <t>Status Cancelled; refund payable raised and paid by cheque.</t>
        </is>
      </c>
      <c r="L184" s="19" t="inlineStr">
        <is>
          <t>As expected.</t>
        </is>
      </c>
      <c r="M184" s="19" t="inlineStr">
        <is>
          <t>Pass</t>
        </is>
      </c>
      <c r="N184" s="19" t="inlineStr"/>
      <c r="O184" s="19" t="inlineStr">
        <is>
          <t>iorta TechNXT QA</t>
        </is>
      </c>
      <c r="P184" s="19" t="inlineStr">
        <is>
          <t>04 October 2026</t>
        </is>
      </c>
      <c r="Q184" s="19" t="inlineStr"/>
      <c r="R184" s="19" t="inlineStr">
        <is>
          <t>backend/test/endorsements.test.js :: cancels a policy through a cancellation endorsement [passed]
UAT cycle 03-04 October 2026, phase Servicing: endorsements, renewals, claims (31 passed, 0 failed)</t>
        </is>
      </c>
      <c r="S184" s="19" t="n"/>
    </row>
    <row r="185">
      <c r="A185" s="19" t="inlineStr">
        <is>
          <t>BV-END-012</t>
        </is>
      </c>
      <c r="B185" s="19" t="inlineStr">
        <is>
          <t>Endorsements and cancellations</t>
        </is>
      </c>
      <c r="C185" s="19" t="inlineStr">
        <is>
          <t>Cancellation</t>
        </is>
      </c>
      <c r="D185" s="19" t="inlineStr">
        <is>
          <t>Operations / Client Service (ana.buenaventura)</t>
        </is>
      </c>
      <c r="E185" s="19" t="inlineStr">
        <is>
          <t>Cancellation without return reverses the open bill</t>
        </is>
      </c>
      <c r="F185" s="19" t="inlineStr">
        <is>
          <t>Accounting</t>
        </is>
      </c>
      <c r="G185" s="19" t="inlineStr">
        <is>
          <t>Medium</t>
        </is>
      </c>
      <c r="H185" s="19" t="inlineStr">
        <is>
          <t>Unpaid policy.</t>
        </is>
      </c>
      <c r="I185" s="19" t="inlineStr">
        <is>
          <t>1. Cancel with no return amount.</t>
        </is>
      </c>
      <c r="J185" s="19" t="inlineStr">
        <is>
          <t>Unpaid policy</t>
        </is>
      </c>
      <c r="K185" s="19" t="inlineStr">
        <is>
          <t>Open bill reversed exactly as booked.</t>
        </is>
      </c>
      <c r="L185" s="19" t="inlineStr">
        <is>
          <t>As expected.</t>
        </is>
      </c>
      <c r="M185" s="19" t="inlineStr">
        <is>
          <t>Pass</t>
        </is>
      </c>
      <c r="N185" s="19" t="inlineStr"/>
      <c r="O185" s="19" t="inlineStr">
        <is>
          <t>iorta TechNXT QA</t>
        </is>
      </c>
      <c r="P185" s="19" t="inlineStr">
        <is>
          <t>03 October 2026</t>
        </is>
      </c>
      <c r="Q185" s="19" t="inlineStr"/>
      <c r="R185" s="19" t="inlineStr">
        <is>
          <t>backend/test/posting-rules.test.js :: cancellation without a return amount reverses the open bill exactly as booked [passed]</t>
        </is>
      </c>
      <c r="S185" s="19" t="n"/>
    </row>
    <row r="186">
      <c r="A186" s="19" t="inlineStr">
        <is>
          <t>BV-END-013</t>
        </is>
      </c>
      <c r="B186" s="19" t="inlineStr">
        <is>
          <t>Endorsements and cancellations</t>
        </is>
      </c>
      <c r="C186" s="19" t="inlineStr">
        <is>
          <t>Cancellation</t>
        </is>
      </c>
      <c r="D186" s="19" t="inlineStr">
        <is>
          <t>Operations / Client Service (ana.buenaventura)</t>
        </is>
      </c>
      <c r="E186" s="19" t="inlineStr">
        <is>
          <t>Cancellation for non-payment from credit control</t>
        </is>
      </c>
      <c r="F186" s="19" t="inlineStr">
        <is>
          <t>Integration</t>
        </is>
      </c>
      <c r="G186" s="19" t="inlineStr">
        <is>
          <t>High</t>
        </is>
      </c>
      <c r="H186" s="19" t="inlineStr">
        <is>
          <t>Accounting raised a cancellation request on a warranty breach.</t>
        </is>
      </c>
      <c r="I186" s="19" t="inlineStr">
        <is>
          <t>1. Open the request from the notification.
2. Initiate cancel and complete.</t>
        </is>
      </c>
      <c r="J186" s="19" t="inlineStr">
        <is>
          <t>Notes: Two reminders unanswered; premium warranty breached</t>
        </is>
      </c>
      <c r="K186" s="19" t="inlineStr">
        <is>
          <t>Policy Cancelled.</t>
        </is>
      </c>
      <c r="L186" s="19" t="inlineStr">
        <is>
          <t>As expected.</t>
        </is>
      </c>
      <c r="M186" s="19" t="inlineStr">
        <is>
          <t>Pass</t>
        </is>
      </c>
      <c r="N186" s="19" t="inlineStr"/>
      <c r="O186" s="19" t="inlineStr">
        <is>
          <t>iorta TechNXT QA</t>
        </is>
      </c>
      <c r="P186" s="19" t="inlineStr">
        <is>
          <t>04 October 2026</t>
        </is>
      </c>
      <c r="Q186" s="19" t="inlineStr"/>
      <c r="R186" s="19" t="inlineStr">
        <is>
          <t>backend/test/credit-control.test.js :: raises a cancellation request for Operations without cancelling the policy [passed]
UAT cycle 03-04 October 2026, phase Billing and collection (61 passed, 0 failed)</t>
        </is>
      </c>
      <c r="S186" s="19" t="n"/>
    </row>
    <row r="187">
      <c r="A187" s="19" t="inlineStr">
        <is>
          <t>BV-CLM-001</t>
        </is>
      </c>
      <c r="B187" s="19" t="inlineStr">
        <is>
          <t>Claims</t>
        </is>
      </c>
      <c r="C187" s="19" t="inlineStr">
        <is>
          <t>Register claim</t>
        </is>
      </c>
      <c r="D187" s="19" t="inlineStr">
        <is>
          <t>Claims Officer (carlo.estrada)</t>
        </is>
      </c>
      <c r="E187" s="19" t="inlineStr">
        <is>
          <t>Register a motor claim with documents</t>
        </is>
      </c>
      <c r="F187" s="19" t="inlineStr">
        <is>
          <t>Functional</t>
        </is>
      </c>
      <c r="G187" s="19" t="inlineStr">
        <is>
          <t>High</t>
        </is>
      </c>
      <c r="H187" s="19" t="inlineStr">
        <is>
          <t>Active paid motor policy.</t>
        </is>
      </c>
      <c r="I187" s="19" t="inlineStr">
        <is>
          <t>1. Open Operations &gt; Claims and start a new claim.
2. Enter policy, date and time of loss, place, cause, estimate, driver.
3. Attach notice of loss PDF.
4. Submit.</t>
        </is>
      </c>
      <c r="J187" s="19" t="inlineStr">
        <is>
          <t>Collision; loss 12 July 2026 18:30; Makati; estimate PHP 85,000.00</t>
        </is>
      </c>
      <c r="K187" s="19" t="inlineStr">
        <is>
          <t>Claim numbered; Preliminary Loss Advice sent; handler and owner notified.</t>
        </is>
      </c>
      <c r="L187" s="19" t="inlineStr">
        <is>
          <t>8 claims notified.</t>
        </is>
      </c>
      <c r="M187" s="19" t="inlineStr">
        <is>
          <t>Pass</t>
        </is>
      </c>
      <c r="N187" s="19" t="inlineStr"/>
      <c r="O187" s="19" t="inlineStr">
        <is>
          <t>iorta TechNXT QA</t>
        </is>
      </c>
      <c r="P187" s="19" t="inlineStr">
        <is>
          <t>04 October 2026</t>
        </is>
      </c>
      <c r="Q187" s="19" t="inlineStr"/>
      <c r="R187" s="19" t="inlineStr">
        <is>
          <t>backend/test/claims.test.js :: registers a claim (multipart), sends the Preliminary Loss Advice and notifies the handler and policy owner [passed]
UAT cycle 03-04 October 2026, phase Servicing: endorsements, renewals, claims (31 passed, 0 failed)
Screen check /agent/claim: opened clean</t>
        </is>
      </c>
      <c r="S187" s="19" t="n"/>
    </row>
    <row r="188">
      <c r="A188" s="19" t="inlineStr">
        <is>
          <t>BV-CLM-002</t>
        </is>
      </c>
      <c r="B188" s="19" t="inlineStr">
        <is>
          <t>Claims</t>
        </is>
      </c>
      <c r="C188" s="19" t="inlineStr">
        <is>
          <t>Register claim</t>
        </is>
      </c>
      <c r="D188" s="19" t="inlineStr">
        <is>
          <t>Claims Officer (carlo.estrada)</t>
        </is>
      </c>
      <c r="E188" s="19" t="inlineStr">
        <is>
          <t>Loss date outside the policy period refused</t>
        </is>
      </c>
      <c r="F188" s="19" t="inlineStr">
        <is>
          <t>Negative</t>
        </is>
      </c>
      <c r="G188" s="19" t="inlineStr">
        <is>
          <t>High</t>
        </is>
      </c>
      <c r="H188" s="19" t="inlineStr">
        <is>
          <t>Policy inception 01 June 2026.</t>
        </is>
      </c>
      <c r="I188" s="19" t="inlineStr">
        <is>
          <t>1. Register a claim with loss date 15 May 2026.</t>
        </is>
      </c>
      <c r="J188" s="19" t="inlineStr">
        <is>
          <t>Loss 15 May 2026</t>
        </is>
      </c>
      <c r="K188" s="19" t="inlineStr">
        <is>
          <t>Refused with a period message.</t>
        </is>
      </c>
      <c r="L188" s="19" t="inlineStr">
        <is>
          <t>As expected.</t>
        </is>
      </c>
      <c r="M188" s="19" t="inlineStr">
        <is>
          <t>Pass</t>
        </is>
      </c>
      <c r="N188" s="19" t="inlineStr"/>
      <c r="O188" s="19" t="inlineStr">
        <is>
          <t>iorta TechNXT QA</t>
        </is>
      </c>
      <c r="P188" s="19" t="inlineStr">
        <is>
          <t>03 October 2026</t>
        </is>
      </c>
      <c r="Q188" s="19" t="inlineStr"/>
      <c r="R188" s="19" t="inlineStr">
        <is>
          <t>backend/test/claims.test.js :: rejects invalid registrations (validation, loss date outside the period, unpaid premium) and honours the setting [passed]</t>
        </is>
      </c>
      <c r="S188" s="19" t="n"/>
    </row>
    <row r="189">
      <c r="A189" s="19" t="inlineStr">
        <is>
          <t>BV-CLM-003</t>
        </is>
      </c>
      <c r="B189" s="19" t="inlineStr">
        <is>
          <t>Claims</t>
        </is>
      </c>
      <c r="C189" s="19" t="inlineStr">
        <is>
          <t>Register claim</t>
        </is>
      </c>
      <c r="D189" s="19" t="inlineStr">
        <is>
          <t>Claims Officer (carlo.estrada)</t>
        </is>
      </c>
      <c r="E189" s="19" t="inlineStr">
        <is>
          <t>Claim refused while premium unpaid (rule on)</t>
        </is>
      </c>
      <c r="F189" s="19" t="inlineStr">
        <is>
          <t>Negative</t>
        </is>
      </c>
      <c r="G189" s="19" t="inlineStr">
        <is>
          <t>High</t>
        </is>
      </c>
      <c r="H189" s="19" t="inlineStr">
        <is>
          <t>Unpaid policy; claims require paid premium setting on.</t>
        </is>
      </c>
      <c r="I189" s="19" t="inlineStr">
        <is>
          <t>1. Register a claim.</t>
        </is>
      </c>
      <c r="J189" s="19" t="inlineStr">
        <is>
          <t>Unpaid fire policy</t>
        </is>
      </c>
      <c r="K189" s="19" t="inlineStr">
        <is>
          <t>Refused; with the setting off it is accepted.</t>
        </is>
      </c>
      <c r="L189" s="19" t="inlineStr">
        <is>
          <t>As expected.</t>
        </is>
      </c>
      <c r="M189" s="19" t="inlineStr">
        <is>
          <t>Pass</t>
        </is>
      </c>
      <c r="N189" s="19" t="inlineStr"/>
      <c r="O189" s="19" t="inlineStr">
        <is>
          <t>iorta TechNXT QA</t>
        </is>
      </c>
      <c r="P189" s="19" t="inlineStr">
        <is>
          <t>03 October 2026</t>
        </is>
      </c>
      <c r="Q189" s="19" t="inlineStr"/>
      <c r="R189" s="19" t="inlineStr">
        <is>
          <t>backend/test/claims.test.js :: rejects invalid registrations (validation, loss date outside the period, unpaid premium) and honours the setting [passed]</t>
        </is>
      </c>
      <c r="S189" s="19" t="n"/>
    </row>
    <row r="190">
      <c r="A190" s="19" t="inlineStr">
        <is>
          <t>BV-CLM-004</t>
        </is>
      </c>
      <c r="B190" s="19" t="inlineStr">
        <is>
          <t>Claims</t>
        </is>
      </c>
      <c r="C190" s="19" t="inlineStr">
        <is>
          <t>Register claim</t>
        </is>
      </c>
      <c r="D190" s="19" t="inlineStr">
        <is>
          <t>Claims Officer (carlo.estrada)</t>
        </is>
      </c>
      <c r="E190" s="19" t="inlineStr">
        <is>
          <t>Reported date before the date of loss refused</t>
        </is>
      </c>
      <c r="F190" s="19" t="inlineStr">
        <is>
          <t>Validation</t>
        </is>
      </c>
      <c r="G190" s="19" t="inlineStr">
        <is>
          <t>Medium</t>
        </is>
      </c>
      <c r="H190" s="19" t="inlineStr">
        <is>
          <t>New claim form.</t>
        </is>
      </c>
      <c r="I190" s="19" t="inlineStr">
        <is>
          <t>1. Enter reported date earlier than loss date; save. Repeat on update.</t>
        </is>
      </c>
      <c r="J190" s="19" t="inlineStr">
        <is>
          <t>Loss 12 July; reported 10 July</t>
        </is>
      </c>
      <c r="K190" s="19" t="inlineStr">
        <is>
          <t>Refused on registration and update.</t>
        </is>
      </c>
      <c r="L190" s="19" t="inlineStr">
        <is>
          <t>As expected.</t>
        </is>
      </c>
      <c r="M190" s="19" t="inlineStr">
        <is>
          <t>Pass</t>
        </is>
      </c>
      <c r="N190" s="19" t="inlineStr"/>
      <c r="O190" s="19" t="inlineStr">
        <is>
          <t>iorta TechNXT QA</t>
        </is>
      </c>
      <c r="P190" s="19" t="inlineStr">
        <is>
          <t>03 October 2026</t>
        </is>
      </c>
      <c r="Q190" s="19" t="inlineStr"/>
      <c r="R190" s="19" t="inlineStr">
        <is>
          <t>backend/test/role-access.test.js :: refuses a reported date before the date of loss, on registration and on update [passed]</t>
        </is>
      </c>
      <c r="S190" s="19" t="n"/>
    </row>
    <row r="191">
      <c r="A191" s="19" t="inlineStr">
        <is>
          <t>BV-CLM-005</t>
        </is>
      </c>
      <c r="B191" s="19" t="inlineStr">
        <is>
          <t>Claims</t>
        </is>
      </c>
      <c r="C191" s="19" t="inlineStr">
        <is>
          <t>Review</t>
        </is>
      </c>
      <c r="D191" s="19" t="inlineStr">
        <is>
          <t>Claims Officer (carlo.estrada)</t>
        </is>
      </c>
      <c r="E191" s="19" t="inlineStr">
        <is>
          <t>Review with insurer claim number and adjuster report</t>
        </is>
      </c>
      <c r="F191" s="19" t="inlineStr">
        <is>
          <t>Functional</t>
        </is>
      </c>
      <c r="G191" s="19" t="inlineStr">
        <is>
          <t>High</t>
        </is>
      </c>
      <c r="H191" s="19" t="inlineStr">
        <is>
          <t>Claim registered.</t>
        </is>
      </c>
      <c r="I191" s="19" t="inlineStr">
        <is>
          <t>1. Set status Processing.
2. Enter insurer claim number and adjuster, upload adjuster report.</t>
        </is>
      </c>
      <c r="J191" s="19" t="inlineStr">
        <is>
          <t>PCIC-CL-xxxxxx; Cordillera Adjusters Inc.</t>
        </is>
      </c>
      <c r="K191" s="19" t="inlineStr">
        <is>
          <t>Status Processing; documents listed; history shows user and time.</t>
        </is>
      </c>
      <c r="L191" s="19" t="inlineStr">
        <is>
          <t>As expected.</t>
        </is>
      </c>
      <c r="M191" s="19" t="inlineStr">
        <is>
          <t>Pass</t>
        </is>
      </c>
      <c r="N191" s="19" t="inlineStr"/>
      <c r="O191" s="19" t="inlineStr">
        <is>
          <t>iorta TechNXT QA</t>
        </is>
      </c>
      <c r="P191" s="19" t="inlineStr">
        <is>
          <t>04 October 2026</t>
        </is>
      </c>
      <c r="Q191" s="19" t="inlineStr"/>
      <c r="R191" s="19" t="inlineStr">
        <is>
          <t>backend/test/claims.test.js :: moves through review, adjuster report, settlement maker-checker to settled and closed [passed]
UAT cycle 03-04 October 2026, phase Servicing: endorsements, renewals, claims (31 passed, 0 failed)</t>
        </is>
      </c>
      <c r="S191" s="19" t="n"/>
    </row>
    <row r="192">
      <c r="A192" s="19" t="inlineStr">
        <is>
          <t>BV-CLM-006</t>
        </is>
      </c>
      <c r="B192" s="19" t="inlineStr">
        <is>
          <t>Claims</t>
        </is>
      </c>
      <c r="C192" s="19" t="inlineStr">
        <is>
          <t>Settlement</t>
        </is>
      </c>
      <c r="D192" s="19" t="inlineStr">
        <is>
          <t>Claims Officer (joy.macaraeg)</t>
        </is>
      </c>
      <c r="E192" s="19" t="inlineStr">
        <is>
          <t>Settlement needs a second claims user</t>
        </is>
      </c>
      <c r="F192" s="19" t="inlineStr">
        <is>
          <t>Negative</t>
        </is>
      </c>
      <c r="G192" s="19" t="inlineStr">
        <is>
          <t>High</t>
        </is>
      </c>
      <c r="H192" s="19" t="inlineStr">
        <is>
          <t>Settlement entered by carlo.estrada.</t>
        </is>
      </c>
      <c r="I192" s="19" t="inlineStr">
        <is>
          <t>1. As carlo.estrada try Approve Settlement.
2. As joy.macaraeg approve.</t>
        </is>
      </c>
      <c r="J192" s="19" t="inlineStr">
        <is>
          <t>Settlement PHP 72,500.00 Repair Shop</t>
        </is>
      </c>
      <c r="K192" s="19" t="inlineStr">
        <is>
          <t>Maker refused; checker approves; status Settled.</t>
        </is>
      </c>
      <c r="L192" s="19" t="inlineStr">
        <is>
          <t>4 claims settled and closed.</t>
        </is>
      </c>
      <c r="M192" s="19" t="inlineStr">
        <is>
          <t>Pass</t>
        </is>
      </c>
      <c r="N192" s="19" t="inlineStr"/>
      <c r="O192" s="19" t="inlineStr">
        <is>
          <t>iorta TechNXT QA</t>
        </is>
      </c>
      <c r="P192" s="19" t="inlineStr">
        <is>
          <t>04 October 2026</t>
        </is>
      </c>
      <c r="Q192" s="19" t="inlineStr"/>
      <c r="R192" s="19" t="inlineStr">
        <is>
          <t>backend/test/claims.test.js :: moves through review, adjuster report, settlement maker-checker to settled and closed [passed]
UAT cycle 03-04 October 2026, phase Servicing: endorsements, renewals, claims (31 passed, 0 failed)</t>
        </is>
      </c>
      <c r="S192" s="19" t="n"/>
    </row>
    <row r="193">
      <c r="A193" s="19" t="inlineStr">
        <is>
          <t>BV-CLM-007</t>
        </is>
      </c>
      <c r="B193" s="19" t="inlineStr">
        <is>
          <t>Claims</t>
        </is>
      </c>
      <c r="C193" s="19" t="inlineStr">
        <is>
          <t>Settlement</t>
        </is>
      </c>
      <c r="D193" s="19" t="inlineStr">
        <is>
          <t>Claims Officer (carlo.estrada)</t>
        </is>
      </c>
      <c r="E193" s="19" t="inlineStr">
        <is>
          <t>Settlement type outside the master refused</t>
        </is>
      </c>
      <c r="F193" s="19" t="inlineStr">
        <is>
          <t>Validation</t>
        </is>
      </c>
      <c r="G193" s="19" t="inlineStr">
        <is>
          <t>Medium</t>
        </is>
      </c>
      <c r="H193" s="19" t="inlineStr">
        <is>
          <t>Settlement form.</t>
        </is>
      </c>
      <c r="I193" s="19" t="inlineStr">
        <is>
          <t>1. Open the settlement of a claim.
2. Send a settlement type that is not in the claim masters.</t>
        </is>
      </c>
      <c r="J193" s="19" t="inlineStr">
        <is>
          <t>Settlement type: Cash on delivery</t>
        </is>
      </c>
      <c r="K193" s="19" t="inlineStr">
        <is>
          <t>Refused; only master values (Repair Shop, Bank Transfer, Paid through broker) are accepted.</t>
        </is>
      </c>
      <c r="L193" s="19" t="inlineStr">
        <is>
          <t>As expected.</t>
        </is>
      </c>
      <c r="M193" s="19" t="inlineStr">
        <is>
          <t>Pass</t>
        </is>
      </c>
      <c r="N193" s="19" t="inlineStr"/>
      <c r="O193" s="19" t="inlineStr">
        <is>
          <t>iorta TechNXT QA</t>
        </is>
      </c>
      <c r="P193" s="19" t="inlineStr">
        <is>
          <t>03 October 2026</t>
        </is>
      </c>
      <c r="Q193" s="19" t="inlineStr"/>
      <c r="R193" s="19" t="inlineStr">
        <is>
          <t>backend/test/claims.test.js :: serves the claim masters and rejects a settlement type outside the master [passed]</t>
        </is>
      </c>
      <c r="S193" s="19" t="n"/>
    </row>
    <row r="194">
      <c r="A194" s="19" t="inlineStr">
        <is>
          <t>BV-CLM-008</t>
        </is>
      </c>
      <c r="B194" s="19" t="inlineStr">
        <is>
          <t>Claims</t>
        </is>
      </c>
      <c r="C194" s="19" t="inlineStr">
        <is>
          <t>Settlement</t>
        </is>
      </c>
      <c r="D194" s="19" t="inlineStr">
        <is>
          <t>Claims Officer (carlo.estrada)</t>
        </is>
      </c>
      <c r="E194" s="19" t="inlineStr">
        <is>
          <t>Settle date before issue date refused on screen</t>
        </is>
      </c>
      <c r="F194" s="19" t="inlineStr">
        <is>
          <t>Validation</t>
        </is>
      </c>
      <c r="G194" s="19" t="inlineStr">
        <is>
          <t>Low</t>
        </is>
      </c>
      <c r="H194" s="19" t="inlineStr">
        <is>
          <t>Settlement form.</t>
        </is>
      </c>
      <c r="I194" s="19" t="inlineStr">
        <is>
          <t>1. Enter issue date 20 August 2026 and settle date 18 August 2026.
2. Click Submit.</t>
        </is>
      </c>
      <c r="J194" s="19" t="inlineStr">
        <is>
          <t>Issue 20 August 2026; settle 18 August 2026</t>
        </is>
      </c>
      <c r="K194" s="19" t="inlineStr">
        <is>
          <t>Message "Settle date cannot be before the issue date". Nothing saved.</t>
        </is>
      </c>
      <c r="L194" s="19" t="inlineStr"/>
      <c r="M194" s="19" t="inlineStr">
        <is>
          <t>Not Run</t>
        </is>
      </c>
      <c r="N194" s="19" t="inlineStr"/>
      <c r="O194" s="19" t="inlineStr">
        <is>
          <t>iorta TechNXT QA</t>
        </is>
      </c>
      <c r="P194" s="19" t="inlineStr"/>
      <c r="Q194" s="19" t="inlineStr">
        <is>
          <t>Screen-only rule; not covered by the backend run. Planned for the next manual cycle.</t>
        </is>
      </c>
      <c r="R194" s="19" t="inlineStr"/>
      <c r="S194" s="19" t="n"/>
    </row>
    <row r="195">
      <c r="A195" s="19" t="inlineStr">
        <is>
          <t>BV-CLM-009</t>
        </is>
      </c>
      <c r="B195" s="19" t="inlineStr">
        <is>
          <t>Claims</t>
        </is>
      </c>
      <c r="C195" s="19" t="inlineStr">
        <is>
          <t>Settlement</t>
        </is>
      </c>
      <c r="D195" s="19" t="inlineStr">
        <is>
          <t>Accounting Officer (liza.quiambao)</t>
        </is>
      </c>
      <c r="E195" s="19" t="inlineStr">
        <is>
          <t>Settlement paid through the broker</t>
        </is>
      </c>
      <c r="F195" s="19" t="inlineStr">
        <is>
          <t>Accounting</t>
        </is>
      </c>
      <c r="G195" s="19" t="inlineStr">
        <is>
          <t>High</t>
        </is>
      </c>
      <c r="H195" s="19" t="inlineStr">
        <is>
          <t>Fire claim settled PHP 980,000.00 Paid through broker.</t>
        </is>
      </c>
      <c r="I195" s="19" t="inlineStr">
        <is>
          <t>1. Record funds received from the insurer to BDO-OPS.
2. Record payment to the claimant by cheque.
3. Try amounts above due and payable.</t>
        </is>
      </c>
      <c r="J195" s="19" t="inlineStr">
        <is>
          <t>Funds PHP 980,000.00; cheque CHK xxxxxxx</t>
        </is>
      </c>
      <c r="K195" s="19" t="inlineStr">
        <is>
          <t>Journals posted on the settlement date; amounts above due or payable refused.</t>
        </is>
      </c>
      <c r="L195" s="19" t="inlineStr">
        <is>
          <t>As expected.</t>
        </is>
      </c>
      <c r="M195" s="19" t="inlineStr">
        <is>
          <t>Pass</t>
        </is>
      </c>
      <c r="N195" s="19" t="inlineStr"/>
      <c r="O195" s="19" t="inlineStr">
        <is>
          <t>iorta TechNXT QA</t>
        </is>
      </c>
      <c r="P195" s="19" t="inlineStr">
        <is>
          <t>04 October 2026</t>
        </is>
      </c>
      <c r="Q195" s="19" t="inlineStr"/>
      <c r="R195" s="19" t="inlineStr">
        <is>
          <t>backend/test/accounting-followups.test.js :: books the settlement through the broker [passed]
backend/test/accounting-followups.test.js :: records funds received from the insurer into a bank account (claim.funds_received), never more than due [passed]
backend/test/accounting-followups.test.js :: records the payment to the claimant (claim.paid_to_claimant), never more than payable [passed]
backend/test/uat-disconnects.test.js :: the claim is settled on its settlement date and the broker settlement journal is dated with it [passed]
UAT cycle 03-04 October 2026, phase Servicing: endorsements, renewals, claims (31 passed, 0 failed)</t>
        </is>
      </c>
      <c r="S195" s="19" t="n"/>
    </row>
    <row r="196">
      <c r="A196" s="19" t="inlineStr">
        <is>
          <t>BV-CLM-010</t>
        </is>
      </c>
      <c r="B196" s="19" t="inlineStr">
        <is>
          <t>Claims</t>
        </is>
      </c>
      <c r="C196" s="19" t="inlineStr">
        <is>
          <t>Reject / close</t>
        </is>
      </c>
      <c r="D196" s="19" t="inlineStr">
        <is>
          <t>Claims Officer (carlo.estrada)</t>
        </is>
      </c>
      <c r="E196" s="19" t="inlineStr">
        <is>
          <t>Reject a claim and close without payment</t>
        </is>
      </c>
      <c r="F196" s="19" t="inlineStr">
        <is>
          <t>Functional</t>
        </is>
      </c>
      <c r="G196" s="19" t="inlineStr">
        <is>
          <t>Medium</t>
        </is>
      </c>
      <c r="H196" s="19" t="inlineStr">
        <is>
          <t>Home typhoon claim.</t>
        </is>
      </c>
      <c r="I196" s="19" t="inlineStr">
        <is>
          <t>1. Reject with reason.
2. Close with remarks.</t>
        </is>
      </c>
      <c r="J196" s="19" t="inlineStr">
        <is>
          <t>Reason: Loss below the deductible (2% of the sum insured)</t>
        </is>
      </c>
      <c r="K196" s="19" t="inlineStr">
        <is>
          <t>Status Rejected then Closed; field-level audit trail available.</t>
        </is>
      </c>
      <c r="L196" s="19" t="inlineStr">
        <is>
          <t>As expected.</t>
        </is>
      </c>
      <c r="M196" s="19" t="inlineStr">
        <is>
          <t>Pass</t>
        </is>
      </c>
      <c r="N196" s="19" t="inlineStr"/>
      <c r="O196" s="19" t="inlineStr">
        <is>
          <t>iorta TechNXT QA</t>
        </is>
      </c>
      <c r="P196" s="19" t="inlineStr">
        <is>
          <t>04 October 2026</t>
        </is>
      </c>
      <c r="Q196" s="19" t="inlineStr"/>
      <c r="R196" s="19" t="inlineStr">
        <is>
          <t>backend/test/claims.test.js :: rejects a claim and returns the field-level audit trail [passed]
UAT cycle 03-04 October 2026, phase Servicing: endorsements, renewals, claims (31 passed, 0 failed)</t>
        </is>
      </c>
      <c r="S196" s="19" t="n"/>
    </row>
    <row r="197">
      <c r="A197" s="19" t="inlineStr">
        <is>
          <t>BV-CLM-011</t>
        </is>
      </c>
      <c r="B197" s="19" t="inlineStr">
        <is>
          <t>Claims</t>
        </is>
      </c>
      <c r="C197" s="19" t="inlineStr">
        <is>
          <t>Claims list</t>
        </is>
      </c>
      <c r="D197" s="19" t="inlineStr">
        <is>
          <t>Claims Officer (carlo.estrada)</t>
        </is>
      </c>
      <c r="E197" s="19" t="inlineStr">
        <is>
          <t>Find a claim by search and status</t>
        </is>
      </c>
      <c r="F197" s="19" t="inlineStr">
        <is>
          <t>Functional</t>
        </is>
      </c>
      <c r="G197" s="19" t="inlineStr">
        <is>
          <t>Low</t>
        </is>
      </c>
      <c r="H197" s="19" t="inlineStr">
        <is>
          <t>Claims exist.</t>
        </is>
      </c>
      <c r="I197" s="19" t="inlineStr">
        <is>
          <t>1. Search by policy number.
2. Filter Open.</t>
        </is>
      </c>
      <c r="J197" s="19" t="inlineStr">
        <is>
          <t>Status Open</t>
        </is>
      </c>
      <c r="K197" s="19" t="inlineStr">
        <is>
          <t>Claim found.</t>
        </is>
      </c>
      <c r="L197" s="19" t="inlineStr">
        <is>
          <t>As expected.</t>
        </is>
      </c>
      <c r="M197" s="19" t="inlineStr">
        <is>
          <t>Pass</t>
        </is>
      </c>
      <c r="N197" s="19" t="inlineStr"/>
      <c r="O197" s="19" t="inlineStr">
        <is>
          <t>iorta TechNXT QA</t>
        </is>
      </c>
      <c r="P197" s="19" t="inlineStr">
        <is>
          <t>03 October 2026</t>
        </is>
      </c>
      <c r="Q197" s="19" t="inlineStr"/>
      <c r="R197" s="19" t="inlineStr">
        <is>
          <t>backend/test/claims.test.js :: reads the claim back and finds it in the list by search and status [passed]</t>
        </is>
      </c>
      <c r="S197" s="19" t="n"/>
    </row>
    <row r="198">
      <c r="A198" s="19" t="inlineStr">
        <is>
          <t>BV-CLM-012</t>
        </is>
      </c>
      <c r="B198" s="19" t="inlineStr">
        <is>
          <t>Claims</t>
        </is>
      </c>
      <c r="C198" s="19" t="inlineStr">
        <is>
          <t>Claims report</t>
        </is>
      </c>
      <c r="D198" s="19" t="inlineStr">
        <is>
          <t>Claims Officer (carlo.estrada)</t>
        </is>
      </c>
      <c r="E198" s="19" t="inlineStr">
        <is>
          <t>Claims dashboard report and Excel download</t>
        </is>
      </c>
      <c r="F198" s="19" t="inlineStr">
        <is>
          <t>Report</t>
        </is>
      </c>
      <c r="G198" s="19" t="inlineStr">
        <is>
          <t>Medium</t>
        </is>
      </c>
      <c r="H198" s="19" t="inlineStr">
        <is>
          <t>Claims exist.</t>
        </is>
      </c>
      <c r="I198" s="19" t="inlineStr">
        <is>
          <t>1. Open Dashboard &gt; Claims Dashboard.
2. Download the Excel.</t>
        </is>
      </c>
      <c r="J198" s="19" t="inlineStr">
        <is>
          <t>May to October 2026</t>
        </is>
      </c>
      <c r="K198" s="19" t="inlineStr">
        <is>
          <t>Counts by status match the register; file downloads.</t>
        </is>
      </c>
      <c r="L198" s="19" t="inlineStr">
        <is>
          <t>As expected.</t>
        </is>
      </c>
      <c r="M198" s="19" t="inlineStr">
        <is>
          <t>Pass</t>
        </is>
      </c>
      <c r="N198" s="19" t="inlineStr"/>
      <c r="O198" s="19" t="inlineStr">
        <is>
          <t>iorta TechNXT QA</t>
        </is>
      </c>
      <c r="P198" s="19" t="inlineStr">
        <is>
          <t>04 October 2026</t>
        </is>
      </c>
      <c r="Q198" s="19" t="inlineStr"/>
      <c r="R198" s="19" t="inlineStr">
        <is>
          <t>backend/test/claims.test.js :: builds the dashboard report and the Excel downloads [passed]
UAT cycle 03-04 October 2026, phase Reports and dashboards (58 passed, 0 failed)
Screen check /claims/dashboard: opened clean</t>
        </is>
      </c>
      <c r="S198" s="19" t="n"/>
    </row>
    <row r="199">
      <c r="A199" s="19" t="inlineStr">
        <is>
          <t>BV-CLM-013</t>
        </is>
      </c>
      <c r="B199" s="19" t="inlineStr">
        <is>
          <t>Claims</t>
        </is>
      </c>
      <c r="C199" s="19" t="inlineStr">
        <is>
          <t>Permissions</t>
        </is>
      </c>
      <c r="D199" s="19" t="inlineStr">
        <is>
          <t>Sales / Account Executive (maria.rivera)</t>
        </is>
      </c>
      <c r="E199" s="19" t="inlineStr">
        <is>
          <t>Agent registers FNOL on own policies; decisions need claims role</t>
        </is>
      </c>
      <c r="F199" s="19" t="inlineStr">
        <is>
          <t>Role access</t>
        </is>
      </c>
      <c r="G199" s="19" t="inlineStr">
        <is>
          <t>High</t>
        </is>
      </c>
      <c r="H199" s="19" t="inlineStr">
        <is>
          <t>Scoped sales role.</t>
        </is>
      </c>
      <c r="I199" s="19" t="inlineStr">
        <is>
          <t>1. Register FNOL on own policy.
2. Try on another agent's policy.
3. Try to approve a settlement.</t>
        </is>
      </c>
      <c r="J199" s="19" t="inlineStr">
        <is>
          <t>Own and other policies</t>
        </is>
      </c>
      <c r="K199" s="19" t="inlineStr">
        <is>
          <t>Own accepted; other refused; decision refused.</t>
        </is>
      </c>
      <c r="L199" s="19" t="inlineStr">
        <is>
          <t>As expected.</t>
        </is>
      </c>
      <c r="M199" s="19" t="inlineStr">
        <is>
          <t>Pass</t>
        </is>
      </c>
      <c r="N199" s="19" t="inlineStr"/>
      <c r="O199" s="19" t="inlineStr">
        <is>
          <t>iorta TechNXT QA</t>
        </is>
      </c>
      <c r="P199" s="19" t="inlineStr">
        <is>
          <t>03 October 2026</t>
        </is>
      </c>
      <c r="Q199" s="19" t="inlineStr"/>
      <c r="R199" s="19" t="inlineStr">
        <is>
          <t>backend/test/scope.test.js :: claims: agents register first notice of loss on their own policies only and see only those claims [passed]
backend/test/scope.test.js :: agents may update their claim but claim decisions need the claims (or admin) role [passed]
backend/test/claims.test.js :: enforces permissions per persona [passed]</t>
        </is>
      </c>
      <c r="S199" s="19" t="n"/>
    </row>
    <row r="200">
      <c r="A200" s="19" t="inlineStr">
        <is>
          <t>BV-CLM-014</t>
        </is>
      </c>
      <c r="B200" s="19" t="inlineStr">
        <is>
          <t>Claims</t>
        </is>
      </c>
      <c r="C200" s="19" t="inlineStr">
        <is>
          <t>Data quality</t>
        </is>
      </c>
      <c r="D200" s="19" t="inlineStr">
        <is>
          <t>Claims Officer (carlo.estrada)</t>
        </is>
      </c>
      <c r="E200" s="19" t="inlineStr">
        <is>
          <t>No seeded claim is reported before its loss</t>
        </is>
      </c>
      <c r="F200" s="19" t="inlineStr">
        <is>
          <t>Validation</t>
        </is>
      </c>
      <c r="G200" s="19" t="inlineStr">
        <is>
          <t>Low</t>
        </is>
      </c>
      <c r="H200" s="19" t="inlineStr">
        <is>
          <t>Seeded data.</t>
        </is>
      </c>
      <c r="I200" s="19" t="inlineStr">
        <is>
          <t>1. Run the Claims Position report.</t>
        </is>
      </c>
      <c r="J200" s="19" t="inlineStr">
        <is>
          <t>All claims</t>
        </is>
      </c>
      <c r="K200" s="19" t="inlineStr">
        <is>
          <t>No claim has reported date before loss date.</t>
        </is>
      </c>
      <c r="L200" s="19" t="inlineStr">
        <is>
          <t>As expected.</t>
        </is>
      </c>
      <c r="M200" s="19" t="inlineStr">
        <is>
          <t>Pass</t>
        </is>
      </c>
      <c r="N200" s="19" t="inlineStr"/>
      <c r="O200" s="19" t="inlineStr">
        <is>
          <t>iorta TechNXT QA</t>
        </is>
      </c>
      <c r="P200" s="19" t="inlineStr">
        <is>
          <t>03 October 2026</t>
        </is>
      </c>
      <c r="Q200" s="19" t="inlineStr"/>
      <c r="R200" s="19" t="inlineStr">
        <is>
          <t>backend/test/role-access.test.js :: no seeded claim is reported before its loss [passed]</t>
        </is>
      </c>
      <c r="S200" s="19" t="n"/>
    </row>
    <row r="201">
      <c r="A201" s="19" t="inlineStr">
        <is>
          <t>BV-CLM-015</t>
        </is>
      </c>
      <c r="B201" s="19" t="inlineStr">
        <is>
          <t>Claims</t>
        </is>
      </c>
      <c r="C201" s="19" t="inlineStr">
        <is>
          <t>Co-insured claims</t>
        </is>
      </c>
      <c r="D201" s="19" t="inlineStr">
        <is>
          <t>Claims Officer (carlo.estrada)</t>
        </is>
      </c>
      <c r="E201" s="19" t="inlineStr">
        <is>
          <t>Claims show participants and their shares</t>
        </is>
      </c>
      <c r="F201" s="19" t="inlineStr">
        <is>
          <t>Functional</t>
        </is>
      </c>
      <c r="G201" s="19" t="inlineStr">
        <is>
          <t>Low</t>
        </is>
      </c>
      <c r="H201" s="19" t="inlineStr">
        <is>
          <t>Claim on a co-insured fire policy.</t>
        </is>
      </c>
      <c r="I201" s="19" t="inlineStr">
        <is>
          <t>1. Open the claim.</t>
        </is>
      </c>
      <c r="J201" s="19" t="inlineStr">
        <is>
          <t>Shares 60 / 40</t>
        </is>
      </c>
      <c r="K201" s="19" t="inlineStr">
        <is>
          <t>Each insurer and its share shown.</t>
        </is>
      </c>
      <c r="L201" s="19" t="inlineStr">
        <is>
          <t>As expected.</t>
        </is>
      </c>
      <c r="M201" s="19" t="inlineStr">
        <is>
          <t>Pass</t>
        </is>
      </c>
      <c r="N201" s="19" t="inlineStr"/>
      <c r="O201" s="19" t="inlineStr">
        <is>
          <t>iorta TechNXT QA</t>
        </is>
      </c>
      <c r="P201" s="19" t="inlineStr">
        <is>
          <t>03 October 2026</t>
        </is>
      </c>
      <c r="Q201" s="19" t="inlineStr"/>
      <c r="R201" s="19" t="inlineStr">
        <is>
          <t>backend/test/posting-rules.test.js :: collections and claims show the participants and their shares [passed]</t>
        </is>
      </c>
      <c r="S201" s="19" t="n"/>
    </row>
    <row r="202">
      <c r="A202" s="19" t="inlineStr">
        <is>
          <t>BV-REN-001</t>
        </is>
      </c>
      <c r="B202" s="19" t="inlineStr">
        <is>
          <t>Renewals</t>
        </is>
      </c>
      <c r="C202" s="19" t="inlineStr">
        <is>
          <t>Renewal Policy</t>
        </is>
      </c>
      <c r="D202" s="19" t="inlineStr">
        <is>
          <t>Processing Team (jose.bernardo)</t>
        </is>
      </c>
      <c r="E202" s="19" t="inlineStr">
        <is>
          <t>Put an expiring policy into the renewal pipeline</t>
        </is>
      </c>
      <c r="F202" s="19" t="inlineStr">
        <is>
          <t>Functional</t>
        </is>
      </c>
      <c r="G202" s="19" t="inlineStr">
        <is>
          <t>High</t>
        </is>
      </c>
      <c r="H202" s="19" t="inlineStr">
        <is>
          <t>Migrated motor policy expiring within 60 days.</t>
        </is>
      </c>
      <c r="I202" s="19" t="inlineStr">
        <is>
          <t>1. Open Operations &gt; Renewals &gt; Renewal Policy.
2. Select the policy and start the renewal.</t>
        </is>
      </c>
      <c r="J202" s="19" t="inlineStr">
        <is>
          <t>OLD-MC-2025-xxxxx expiring 25 November 2026</t>
        </is>
      </c>
      <c r="K202" s="19" t="inlineStr">
        <is>
          <t>Renewal created and listed for the client.</t>
        </is>
      </c>
      <c r="L202" s="19" t="inlineStr">
        <is>
          <t>As expected.</t>
        </is>
      </c>
      <c r="M202" s="19" t="inlineStr">
        <is>
          <t>Pass</t>
        </is>
      </c>
      <c r="N202" s="19" t="inlineStr"/>
      <c r="O202" s="19" t="inlineStr">
        <is>
          <t>iorta TechNXT QA</t>
        </is>
      </c>
      <c r="P202" s="19" t="inlineStr">
        <is>
          <t>04 October 2026</t>
        </is>
      </c>
      <c r="Q202" s="19" t="inlineStr"/>
      <c r="R202" s="19" t="inlineStr">
        <is>
          <t>backend/test/renewals.test.js :: puts a policy into the pipeline and lists it for the client [passed]
UAT cycle 03-04 October 2026, phase Servicing: endorsements, renewals, claims (31 passed, 0 failed)
Screen check /agent/expired-policies: opened clean</t>
        </is>
      </c>
      <c r="S202" s="19" t="n"/>
    </row>
    <row r="203">
      <c r="A203" s="19" t="inlineStr">
        <is>
          <t>BV-REN-002</t>
        </is>
      </c>
      <c r="B203" s="19" t="inlineStr">
        <is>
          <t>Renewals</t>
        </is>
      </c>
      <c r="C203" s="19" t="inlineStr">
        <is>
          <t>Notices</t>
        </is>
      </c>
      <c r="D203" s="19" t="inlineStr">
        <is>
          <t>Processing Team (jose.bernardo)</t>
        </is>
      </c>
      <c r="E203" s="19" t="inlineStr">
        <is>
          <t>Renewal notices strictly in order with e-mail to the client</t>
        </is>
      </c>
      <c r="F203" s="19" t="inlineStr">
        <is>
          <t>Functional</t>
        </is>
      </c>
      <c r="G203" s="19" t="inlineStr">
        <is>
          <t>Medium</t>
        </is>
      </c>
      <c r="H203" s="19" t="inlineStr">
        <is>
          <t>Renewal in pipeline.</t>
        </is>
      </c>
      <c r="I203" s="19" t="inlineStr">
        <is>
          <t>1. Send notice stage 2 first.
2. Send stage 1, then stage 2.</t>
        </is>
      </c>
      <c r="J203" s="19" t="inlineStr">
        <is>
          <t>Stages 1, 2</t>
        </is>
      </c>
      <c r="K203" s="19" t="inlineStr">
        <is>
          <t>Out-of-order notice refused; in order accepted and e-mailed (queued when sending is off).</t>
        </is>
      </c>
      <c r="L203" s="19" t="inlineStr">
        <is>
          <t>11 renewal notices sent.</t>
        </is>
      </c>
      <c r="M203" s="19" t="inlineStr">
        <is>
          <t>Pass</t>
        </is>
      </c>
      <c r="N203" s="19" t="inlineStr"/>
      <c r="O203" s="19" t="inlineStr">
        <is>
          <t>iorta TechNXT QA</t>
        </is>
      </c>
      <c r="P203" s="19" t="inlineStr">
        <is>
          <t>04 October 2026</t>
        </is>
      </c>
      <c r="Q203" s="19" t="inlineStr"/>
      <c r="R203" s="19" t="inlineStr">
        <is>
          <t>backend/test/renewals.test.js :: sends notices strictly in order and e-mails the client [passed]
UAT cycle 03-04 October 2026, phase Servicing: endorsements, renewals, claims (31 passed, 0 failed)</t>
        </is>
      </c>
      <c r="S203" s="19" t="n"/>
    </row>
    <row r="204">
      <c r="A204" s="19" t="inlineStr">
        <is>
          <t>BV-REN-003</t>
        </is>
      </c>
      <c r="B204" s="19" t="inlineStr">
        <is>
          <t>Renewals</t>
        </is>
      </c>
      <c r="C204" s="19" t="inlineStr">
        <is>
          <t>Renewal quote</t>
        </is>
      </c>
      <c r="D204" s="19" t="inlineStr">
        <is>
          <t>Processing Team (jose.bernardo)</t>
        </is>
      </c>
      <c r="E204" s="19" t="inlineStr">
        <is>
          <t>Re-rate the renewal at current rates with claims loading</t>
        </is>
      </c>
      <c r="F204" s="19" t="inlineStr">
        <is>
          <t>Functional</t>
        </is>
      </c>
      <c r="G204" s="19" t="inlineStr">
        <is>
          <t>High</t>
        </is>
      </c>
      <c r="H204" s="19" t="inlineStr">
        <is>
          <t>Policy with a paid claim.</t>
        </is>
      </c>
      <c r="I204" s="19" t="inlineStr">
        <is>
          <t>1. Click Generate Quote in the renewal.
2. Read premium and variance.</t>
        </is>
      </c>
      <c r="J204" s="19" t="inlineStr">
        <is>
          <t>Claims loading per setting</t>
        </is>
      </c>
      <c r="K204" s="19" t="inlineStr">
        <is>
          <t>Premium at current rates plus loading, taxes and variance shown.</t>
        </is>
      </c>
      <c r="L204" s="19" t="inlineStr">
        <is>
          <t>As expected.</t>
        </is>
      </c>
      <c r="M204" s="19" t="inlineStr">
        <is>
          <t>Pass</t>
        </is>
      </c>
      <c r="N204" s="19" t="inlineStr"/>
      <c r="O204" s="19" t="inlineStr">
        <is>
          <t>iorta TechNXT QA</t>
        </is>
      </c>
      <c r="P204" s="19" t="inlineStr">
        <is>
          <t>03 October 2026</t>
        </is>
      </c>
      <c r="Q204" s="19" t="inlineStr"/>
      <c r="R204" s="19" t="inlineStr">
        <is>
          <t>backend/test/renewals.test.js :: re-rates the renewal at current rates with claims loading, taxes and premium variance [passed]</t>
        </is>
      </c>
      <c r="S204" s="19" t="n"/>
    </row>
    <row r="205">
      <c r="A205" s="19" t="inlineStr">
        <is>
          <t>BV-REN-004</t>
        </is>
      </c>
      <c r="B205" s="19" t="inlineStr">
        <is>
          <t>Renewals</t>
        </is>
      </c>
      <c r="C205" s="19" t="inlineStr">
        <is>
          <t>Renewal quote</t>
        </is>
      </c>
      <c r="D205" s="19" t="inlineStr">
        <is>
          <t>Processing Team (jose.bernardo)</t>
        </is>
      </c>
      <c r="E205" s="19" t="inlineStr">
        <is>
          <t>Wizard prefilled from the expiring policy</t>
        </is>
      </c>
      <c r="F205" s="19" t="inlineStr">
        <is>
          <t>Functional</t>
        </is>
      </c>
      <c r="G205" s="19" t="inlineStr">
        <is>
          <t>Medium</t>
        </is>
      </c>
      <c r="H205" s="19" t="inlineStr">
        <is>
          <t>Expiring policy with and without a quotation.</t>
        </is>
      </c>
      <c r="I205" s="19" t="inlineStr">
        <is>
          <t>1. Open the renewal quote wizard.</t>
        </is>
      </c>
      <c r="J205" s="19" t="inlineStr">
        <is>
          <t>Two policies</t>
        </is>
      </c>
      <c r="K205" s="19" t="inlineStr">
        <is>
          <t>Data from the expiring policy (blank accessories); policy without quotation prefilled from the policy row.</t>
        </is>
      </c>
      <c r="L205" s="19" t="inlineStr">
        <is>
          <t>As expected.</t>
        </is>
      </c>
      <c r="M205" s="19" t="inlineStr">
        <is>
          <t>Pass</t>
        </is>
      </c>
      <c r="N205" s="19" t="inlineStr"/>
      <c r="O205" s="19" t="inlineStr">
        <is>
          <t>iorta TechNXT QA</t>
        </is>
      </c>
      <c r="P205" s="19" t="inlineStr">
        <is>
          <t>03 October 2026</t>
        </is>
      </c>
      <c r="Q205" s="19" t="inlineStr"/>
      <c r="R205" s="19" t="inlineStr">
        <is>
          <t>backend/test/renewals.test.js :: prefills the wizard from the expiring policy only (quotation data; blank accessories) [passed]
backend/test/renewals.test.js :: prefills a policy without a quotation from the policy row (sum insured, insurer, client) [passed]</t>
        </is>
      </c>
      <c r="S205" s="19" t="n"/>
    </row>
    <row r="206">
      <c r="A206" s="19" t="inlineStr">
        <is>
          <t>BV-REN-005</t>
        </is>
      </c>
      <c r="B206" s="19" t="inlineStr">
        <is>
          <t>Renewals</t>
        </is>
      </c>
      <c r="C206" s="19" t="inlineStr">
        <is>
          <t>Approval</t>
        </is>
      </c>
      <c r="D206" s="19" t="inlineStr">
        <is>
          <t>Processing Team (rica.fernandez)</t>
        </is>
      </c>
      <c r="E206" s="19" t="inlineStr">
        <is>
          <t>Renewal needs approval by a different user</t>
        </is>
      </c>
      <c r="F206" s="19" t="inlineStr">
        <is>
          <t>Negative</t>
        </is>
      </c>
      <c r="G206" s="19" t="inlineStr">
        <is>
          <t>High</t>
        </is>
      </c>
      <c r="H206" s="19" t="inlineStr">
        <is>
          <t>Renewal submitted by jose.bernardo.</t>
        </is>
      </c>
      <c r="I206" s="19" t="inlineStr">
        <is>
          <t>1. As jose.bernardo approve.
2. As rica.fernandez approve and complete.</t>
        </is>
      </c>
      <c r="J206" s="19" t="inlineStr">
        <is>
          <t>Note: Same terms; loyalty discount applied</t>
        </is>
      </c>
      <c r="K206" s="19" t="inlineStr">
        <is>
          <t>Maker refused; checker approves; new policy term issued; old term Renewed.</t>
        </is>
      </c>
      <c r="L206" s="19" t="inlineStr">
        <is>
          <t>As expected.</t>
        </is>
      </c>
      <c r="M206" s="19" t="inlineStr">
        <is>
          <t>Pass</t>
        </is>
      </c>
      <c r="N206" s="19" t="inlineStr"/>
      <c r="O206" s="19" t="inlineStr">
        <is>
          <t>iorta TechNXT QA</t>
        </is>
      </c>
      <c r="P206" s="19" t="inlineStr">
        <is>
          <t>04 October 2026</t>
        </is>
      </c>
      <c r="Q206" s="19" t="inlineStr"/>
      <c r="R206" s="19" t="inlineStr">
        <is>
          <t>backend/test/renewals.test.js :: requires checker approval by a different user and then renews into a new policy term [passed]
UAT cycle 03-04 October 2026, phase Servicing: endorsements, renewals, claims (31 passed, 0 failed)</t>
        </is>
      </c>
      <c r="S206" s="19" t="n"/>
    </row>
    <row r="207">
      <c r="A207" s="19" t="inlineStr">
        <is>
          <t>BV-REN-006</t>
        </is>
      </c>
      <c r="B207" s="19" t="inlineStr">
        <is>
          <t>Renewals</t>
        </is>
      </c>
      <c r="C207" s="19" t="inlineStr">
        <is>
          <t>Renewal quotation</t>
        </is>
      </c>
      <c r="D207" s="19" t="inlineStr">
        <is>
          <t>Processing Team (jose.bernardo)</t>
        </is>
      </c>
      <c r="E207" s="19" t="inlineStr">
        <is>
          <t>Renewal through a renewal quotation (motor)</t>
        </is>
      </c>
      <c r="F207" s="19" t="inlineStr">
        <is>
          <t>Functional</t>
        </is>
      </c>
      <c r="G207" s="19" t="inlineStr">
        <is>
          <t>High</t>
        </is>
      </c>
      <c r="H207" s="19" t="inlineStr">
        <is>
          <t>Expired migrated motor policy within grace window.</t>
        </is>
      </c>
      <c r="I207" s="19" t="inlineStr">
        <is>
          <t>1. Create the renewal quotation.
2. Record customer acceptance.
3. Convert to policy.</t>
        </is>
      </c>
      <c r="J207" s="19" t="inlineStr">
        <is>
          <t>OD 90% of last year SI; BI/PD PHP 200,000.00</t>
        </is>
      </c>
      <c r="K207" s="19" t="inlineStr">
        <is>
          <t>Quotation linked to expiring policy; new term issued with bill, balanced journal and commission; old policy Renewed.</t>
        </is>
      </c>
      <c r="L207" s="19" t="inlineStr">
        <is>
          <t>6 renewals completed.</t>
        </is>
      </c>
      <c r="M207" s="19" t="inlineStr">
        <is>
          <t>Pass</t>
        </is>
      </c>
      <c r="N207" s="19" t="inlineStr"/>
      <c r="O207" s="19" t="inlineStr">
        <is>
          <t>iorta TechNXT QA</t>
        </is>
      </c>
      <c r="P207" s="19" t="inlineStr">
        <is>
          <t>04 October 2026</t>
        </is>
      </c>
      <c r="Q207" s="19" t="inlineStr"/>
      <c r="R207" s="19" t="inlineStr">
        <is>
          <t>backend/test/renewals.test.js :: creates the renewal quotation linked to the expiring policy (insurer, client, lead, vehicle, product carried) [passed]
backend/test/renewals.test.js :: issues the accepted renewal quotation as the new term: old policy renewed, receivable and balanced journal, commission [passed]
UAT cycle 03-04 October 2026, phase Servicing: endorsements, renewals, claims (31 passed, 0 failed)</t>
        </is>
      </c>
      <c r="S207" s="19" t="n"/>
    </row>
    <row r="208">
      <c r="A208" s="19" t="inlineStr">
        <is>
          <t>BV-REN-007</t>
        </is>
      </c>
      <c r="B208" s="19" t="inlineStr">
        <is>
          <t>Renewals</t>
        </is>
      </c>
      <c r="C208" s="19" t="inlineStr">
        <is>
          <t>Renewal quotation</t>
        </is>
      </c>
      <c r="D208" s="19" t="inlineStr">
        <is>
          <t>Processing Team (jose.bernardo)</t>
        </is>
      </c>
      <c r="E208" s="19" t="inlineStr">
        <is>
          <t>Fire renewal priced on the expiring net premium</t>
        </is>
      </c>
      <c r="F208" s="19" t="inlineStr">
        <is>
          <t>Functional</t>
        </is>
      </c>
      <c r="G208" s="19" t="inlineStr">
        <is>
          <t>Medium</t>
        </is>
      </c>
      <c r="H208" s="19" t="inlineStr">
        <is>
          <t>Expiring fire policy.</t>
        </is>
      </c>
      <c r="I208" s="19" t="inlineStr">
        <is>
          <t>1. Create renewal quotation.
2. Try to send a quotation with no premium.</t>
        </is>
      </c>
      <c r="J208" s="19" t="inlineStr">
        <is>
          <t>Net premium +3%</t>
        </is>
      </c>
      <c r="K208" s="19" t="inlineStr">
        <is>
          <t>Priced on expiring net premium; quotation without premium not sent.</t>
        </is>
      </c>
      <c r="L208" s="19" t="inlineStr">
        <is>
          <t>As expected.</t>
        </is>
      </c>
      <c r="M208" s="19" t="inlineStr">
        <is>
          <t>Pass</t>
        </is>
      </c>
      <c r="N208" s="19" t="inlineStr"/>
      <c r="O208" s="19" t="inlineStr">
        <is>
          <t>iorta TechNXT QA</t>
        </is>
      </c>
      <c r="P208" s="19" t="inlineStr">
        <is>
          <t>03 October 2026</t>
        </is>
      </c>
      <c r="Q208" s="19" t="inlineStr"/>
      <c r="R208" s="19" t="inlineStr">
        <is>
          <t>backend/test/uat-disconnects.test.js :: a renewal quotation of a fire policy is priced on the expiring net premium; a quotation without premium is not sent [passed]</t>
        </is>
      </c>
      <c r="S208" s="19" t="n"/>
    </row>
    <row r="209">
      <c r="A209" s="19" t="inlineStr">
        <is>
          <t>BV-REN-008</t>
        </is>
      </c>
      <c r="B209" s="19" t="inlineStr">
        <is>
          <t>Renewals</t>
        </is>
      </c>
      <c r="C209" s="19" t="inlineStr">
        <is>
          <t>Renewal Queue</t>
        </is>
      </c>
      <c r="D209" s="19" t="inlineStr">
        <is>
          <t>Processing Team (jose.bernardo)</t>
        </is>
      </c>
      <c r="E209" s="19" t="inlineStr">
        <is>
          <t>Renewal completed in the workspace carries bill and commission</t>
        </is>
      </c>
      <c r="F209" s="19" t="inlineStr">
        <is>
          <t>Accounting</t>
        </is>
      </c>
      <c r="G209" s="19" t="inlineStr">
        <is>
          <t>Medium</t>
        </is>
      </c>
      <c r="H209" s="19" t="inlineStr">
        <is>
          <t>Renewal approved in workspace.</t>
        </is>
      </c>
      <c r="I209" s="19" t="inlineStr">
        <is>
          <t>1. Complete.
2. Open the new policy and its journal.</t>
        </is>
      </c>
      <c r="J209" s="19" t="inlineStr">
        <is>
          <t>New term</t>
        </is>
      </c>
      <c r="K209" s="19" t="inlineStr">
        <is>
          <t>Full policy term with issue date, line, insured, net premium, bill and producer commission.</t>
        </is>
      </c>
      <c r="L209" s="19" t="inlineStr">
        <is>
          <t>As expected.</t>
        </is>
      </c>
      <c r="M209" s="19" t="inlineStr">
        <is>
          <t>Pass</t>
        </is>
      </c>
      <c r="N209" s="19" t="inlineStr"/>
      <c r="O209" s="19" t="inlineStr">
        <is>
          <t>iorta TechNXT QA</t>
        </is>
      </c>
      <c r="P209" s="19" t="inlineStr">
        <is>
          <t>04 October 2026</t>
        </is>
      </c>
      <c r="Q209" s="19" t="inlineStr"/>
      <c r="R209" s="19" t="inlineStr">
        <is>
          <t>backend/test/uat-disconnects.test.js :: a renewal completed in the renewal workspace is a full policy term with its bill and the producer's commission [passed]
UAT cycle 03-04 October 2026, phase Servicing: endorsements, renewals, claims (31 passed, 0 failed)</t>
        </is>
      </c>
      <c r="S209" s="19" t="n"/>
    </row>
    <row r="210">
      <c r="A210" s="19" t="inlineStr">
        <is>
          <t>BV-REN-009</t>
        </is>
      </c>
      <c r="B210" s="19" t="inlineStr">
        <is>
          <t>Renewals</t>
        </is>
      </c>
      <c r="C210" s="19" t="inlineStr">
        <is>
          <t>Lapse</t>
        </is>
      </c>
      <c r="D210" s="19" t="inlineStr">
        <is>
          <t>Processing Team (jose.bernardo)</t>
        </is>
      </c>
      <c r="E210" s="19" t="inlineStr">
        <is>
          <t>Lapse with a reason and reinstate</t>
        </is>
      </c>
      <c r="F210" s="19" t="inlineStr">
        <is>
          <t>Functional</t>
        </is>
      </c>
      <c r="G210" s="19" t="inlineStr">
        <is>
          <t>Medium</t>
        </is>
      </c>
      <c r="H210" s="19" t="inlineStr">
        <is>
          <t>Renewal in pipeline.</t>
        </is>
      </c>
      <c r="I210" s="19" t="inlineStr">
        <is>
          <t>1. Open Lapse Management, lapse without reason.
2. Lapse with reason.
3. Reinstate.</t>
        </is>
      </c>
      <c r="J210" s="19" t="inlineStr">
        <is>
          <t>Reason: Client sold the vehicle</t>
        </is>
      </c>
      <c r="K210" s="19" t="inlineStr">
        <is>
          <t>Without reason refused; lapsed; reinstated.</t>
        </is>
      </c>
      <c r="L210" s="19" t="inlineStr">
        <is>
          <t>As expected.</t>
        </is>
      </c>
      <c r="M210" s="19" t="inlineStr">
        <is>
          <t>Pass</t>
        </is>
      </c>
      <c r="N210" s="19" t="inlineStr"/>
      <c r="O210" s="19" t="inlineStr">
        <is>
          <t>iorta TechNXT QA</t>
        </is>
      </c>
      <c r="P210" s="19" t="inlineStr">
        <is>
          <t>04 October 2026</t>
        </is>
      </c>
      <c r="Q210" s="19" t="inlineStr"/>
      <c r="R210" s="19" t="inlineStr">
        <is>
          <t>backend/test/renewals.test.js :: lapses and reinstates a renewal; validates the lapse reason [passed]
UAT cycle 03-04 October 2026, phase Servicing: endorsements, renewals, claims (31 passed, 0 failed)
Screen check /renewal/lapse-management: opened clean</t>
        </is>
      </c>
      <c r="S210" s="19" t="n"/>
    </row>
    <row r="211">
      <c r="A211" s="19" t="inlineStr">
        <is>
          <t>BV-REN-010</t>
        </is>
      </c>
      <c r="B211" s="19" t="inlineStr">
        <is>
          <t>Renewals</t>
        </is>
      </c>
      <c r="C211" s="19" t="inlineStr">
        <is>
          <t>Window</t>
        </is>
      </c>
      <c r="D211" s="19" t="inlineStr">
        <is>
          <t>Processing Team (jose.bernardo)</t>
        </is>
      </c>
      <c r="E211" s="19" t="inlineStr">
        <is>
          <t>Renewal of a policy expired beyond grace plus lapsed window refused</t>
        </is>
      </c>
      <c r="F211" s="19" t="inlineStr">
        <is>
          <t>Negative</t>
        </is>
      </c>
      <c r="G211" s="19" t="inlineStr">
        <is>
          <t>High</t>
        </is>
      </c>
      <c r="H211" s="19" t="inlineStr">
        <is>
          <t>Migrated policy expired more than grace + lapsed-renewal days ago.</t>
        </is>
      </c>
      <c r="I211" s="19" t="inlineStr">
        <is>
          <t>1. Start a renewal of the policy.</t>
        </is>
      </c>
      <c r="J211" s="19" t="inlineStr">
        <is>
          <t>OLD-MC-2025-xxxxx expired 140 days ago</t>
        </is>
      </c>
      <c r="K211" s="19" t="inlineStr">
        <is>
          <t>Refused (quote as new business instead).</t>
        </is>
      </c>
      <c r="L211" s="19" t="inlineStr">
        <is>
          <t>3 renewals refused after the window (422), by design.</t>
        </is>
      </c>
      <c r="M211" s="19" t="inlineStr">
        <is>
          <t>Pass</t>
        </is>
      </c>
      <c r="N211" s="19" t="inlineStr">
        <is>
          <t>BV-OBS-005</t>
        </is>
      </c>
      <c r="O211" s="19" t="inlineStr">
        <is>
          <t>iorta TechNXT QA</t>
        </is>
      </c>
      <c r="P211" s="19" t="inlineStr">
        <is>
          <t>04 October 2026</t>
        </is>
      </c>
      <c r="Q211" s="19" t="inlineStr">
        <is>
          <t>Recorded as observation: behaviour by design; users quote these as new business.</t>
        </is>
      </c>
      <c r="R211" s="19" t="inlineStr">
        <is>
          <t>UAT cycle 03-04 October 2026, phase Servicing: endorsements, renewals, claims (31 passed, 0 failed)</t>
        </is>
      </c>
      <c r="S211" s="19" t="n"/>
    </row>
    <row r="212">
      <c r="A212" s="19" t="inlineStr">
        <is>
          <t>BV-REN-011</t>
        </is>
      </c>
      <c r="B212" s="19" t="inlineStr">
        <is>
          <t>Renewals</t>
        </is>
      </c>
      <c r="C212" s="19" t="inlineStr">
        <is>
          <t>Renewal Batch</t>
        </is>
      </c>
      <c r="D212" s="19" t="inlineStr">
        <is>
          <t>Processing Team (jose.bernardo)</t>
        </is>
      </c>
      <c r="E212" s="19" t="inlineStr">
        <is>
          <t>Batch renewal run with retry</t>
        </is>
      </c>
      <c r="F212" s="19" t="inlineStr">
        <is>
          <t>Functional</t>
        </is>
      </c>
      <c r="G212" s="19" t="inlineStr">
        <is>
          <t>Medium</t>
        </is>
      </c>
      <c r="H212" s="19" t="inlineStr">
        <is>
          <t>Policies expiring next month.</t>
        </is>
      </c>
      <c r="I212" s="19" t="inlineStr">
        <is>
          <t>1. Open Operations &gt; Renewals &gt; Renewal Batch.
2. Click Create Batch and Generate policy list.
3. Run the batch.</t>
        </is>
      </c>
      <c r="J212" s="19" t="inlineStr">
        <is>
          <t>Expiring November 2026</t>
        </is>
      </c>
      <c r="K212" s="19" t="inlineStr">
        <is>
          <t>Batch shows sent, failed, retry and a report.</t>
        </is>
      </c>
      <c r="L212" s="19" t="inlineStr">
        <is>
          <t>As expected.</t>
        </is>
      </c>
      <c r="M212" s="19" t="inlineStr">
        <is>
          <t>Pass</t>
        </is>
      </c>
      <c r="N212" s="19" t="inlineStr"/>
      <c r="O212" s="19" t="inlineStr">
        <is>
          <t>iorta TechNXT QA</t>
        </is>
      </c>
      <c r="P212" s="19" t="inlineStr">
        <is>
          <t>03 October 2026</t>
        </is>
      </c>
      <c r="Q212" s="19" t="inlineStr"/>
      <c r="R212" s="19" t="inlineStr">
        <is>
          <t>backend/test/renewals.test.js :: runs a renewal batch through the PostgreSQL job queue (sent, failed, retry, report) [passed]
Screen check /agent/renewal-batch: opened clean</t>
        </is>
      </c>
      <c r="S212" s="19" t="n"/>
    </row>
    <row r="213">
      <c r="A213" s="19" t="inlineStr">
        <is>
          <t>BV-REN-012</t>
        </is>
      </c>
      <c r="B213" s="19" t="inlineStr">
        <is>
          <t>Renewals</t>
        </is>
      </c>
      <c r="C213" s="19" t="inlineStr">
        <is>
          <t>Workspace</t>
        </is>
      </c>
      <c r="D213" s="19" t="inlineStr">
        <is>
          <t>Processing Team (jose.bernardo)</t>
        </is>
      </c>
      <c r="E213" s="19" t="inlineStr">
        <is>
          <t>Renewal queue, at-risk, negotiations, performance</t>
        </is>
      </c>
      <c r="F213" s="19" t="inlineStr">
        <is>
          <t>Functional</t>
        </is>
      </c>
      <c r="G213" s="19" t="inlineStr">
        <is>
          <t>Medium</t>
        </is>
      </c>
      <c r="H213" s="19" t="inlineStr">
        <is>
          <t>Renewals exist.</t>
        </is>
      </c>
      <c r="I213" s="19" t="inlineStr">
        <is>
          <t>1. Open Renewal Queue, At-Risk Policies, Negotiations, Performance, Retention Analytics.</t>
        </is>
      </c>
      <c r="J213" s="19" t="inlineStr">
        <is>
          <t>None</t>
        </is>
      </c>
      <c r="K213" s="19" t="inlineStr">
        <is>
          <t>Each screen lists the renewals of the cycle.</t>
        </is>
      </c>
      <c r="L213" s="19" t="inlineStr">
        <is>
          <t>As expected.</t>
        </is>
      </c>
      <c r="M213" s="19" t="inlineStr">
        <is>
          <t>Pass</t>
        </is>
      </c>
      <c r="N213" s="19" t="inlineStr"/>
      <c r="O213" s="19" t="inlineStr">
        <is>
          <t>iorta TechNXT QA</t>
        </is>
      </c>
      <c r="P213" s="19" t="inlineStr">
        <is>
          <t>04 October 2026</t>
        </is>
      </c>
      <c r="Q213" s="19" t="inlineStr"/>
      <c r="R213" s="19" t="inlineStr">
        <is>
          <t>backend/test/renewals.test.js :: serves the workspace read models (queue, at-risk, negotiations, performance, campaigns) [passed]
UAT cycle 03-04 October 2026, phase Reports and dashboards (58 passed, 0 failed)
Screen check /renewal/queue: opened clean
Screen check /renewal/at-risk: opened clean
Screen check /renewal/negotiations: opened clean
Screen check /renewal/performance: opened clean
Screen check /renewal/analytics: opened clean</t>
        </is>
      </c>
      <c r="S213" s="19" t="n"/>
    </row>
    <row r="214">
      <c r="A214" s="19" t="inlineStr">
        <is>
          <t>BV-REN-013</t>
        </is>
      </c>
      <c r="B214" s="19" t="inlineStr">
        <is>
          <t>Renewals</t>
        </is>
      </c>
      <c r="C214" s="19" t="inlineStr">
        <is>
          <t>Package renewal</t>
        </is>
      </c>
      <c r="D214" s="19" t="inlineStr">
        <is>
          <t>Processing Team (jose.bernardo)</t>
        </is>
      </c>
      <c r="E214" s="19" t="inlineStr">
        <is>
          <t>Renew a whole package</t>
        </is>
      </c>
      <c r="F214" s="19" t="inlineStr">
        <is>
          <t>Functional</t>
        </is>
      </c>
      <c r="G214" s="19" t="inlineStr">
        <is>
          <t>Low</t>
        </is>
      </c>
      <c r="H214" s="19" t="inlineStr">
        <is>
          <t>Expiring package policy.</t>
        </is>
      </c>
      <c r="I214" s="19" t="inlineStr">
        <is>
          <t>1. Renew into a quotation; issue.</t>
        </is>
      </c>
      <c r="J214" s="19" t="inlineStr">
        <is>
          <t>SME package</t>
        </is>
      </c>
      <c r="K214" s="19" t="inlineStr">
        <is>
          <t>Quotation for the next term; old policy Renewed on issue.</t>
        </is>
      </c>
      <c r="L214" s="19" t="inlineStr">
        <is>
          <t>As expected.</t>
        </is>
      </c>
      <c r="M214" s="19" t="inlineStr">
        <is>
          <t>Pass</t>
        </is>
      </c>
      <c r="N214" s="19" t="inlineStr"/>
      <c r="O214" s="19" t="inlineStr">
        <is>
          <t>iorta TechNXT QA</t>
        </is>
      </c>
      <c r="P214" s="19" t="inlineStr">
        <is>
          <t>03 October 2026</t>
        </is>
      </c>
      <c r="Q214" s="19" t="inlineStr"/>
      <c r="R214" s="19" t="inlineStr">
        <is>
          <t>backend/test/packages.test.js :: renews the whole package into a quotation for the next term and marks the policy renewed on issue [passed]</t>
        </is>
      </c>
      <c r="S214" s="19" t="n"/>
    </row>
    <row r="215">
      <c r="A215" s="19" t="inlineStr">
        <is>
          <t>BV-REN-014</t>
        </is>
      </c>
      <c r="B215" s="19" t="inlineStr">
        <is>
          <t>Renewals</t>
        </is>
      </c>
      <c r="C215" s="19" t="inlineStr">
        <is>
          <t>Seeded renewal</t>
        </is>
      </c>
      <c r="D215" s="19" t="inlineStr">
        <is>
          <t>Processing Team (jose.bernardo)</t>
        </is>
      </c>
      <c r="E215" s="19" t="inlineStr">
        <is>
          <t>Renew a policy without quotation or prospect</t>
        </is>
      </c>
      <c r="F215" s="19" t="inlineStr">
        <is>
          <t>Functional</t>
        </is>
      </c>
      <c r="G215" s="19" t="inlineStr">
        <is>
          <t>Low</t>
        </is>
      </c>
      <c r="H215" s="19" t="inlineStr">
        <is>
          <t>Policy with no quotation.</t>
        </is>
      </c>
      <c r="I215" s="19" t="inlineStr">
        <is>
          <t>1. Renew it.</t>
        </is>
      </c>
      <c r="J215" s="19" t="inlineStr">
        <is>
          <t>Seeded policy</t>
        </is>
      </c>
      <c r="K215" s="19" t="inlineStr">
        <is>
          <t>Renewal uses client e-mail and client-based conversion.</t>
        </is>
      </c>
      <c r="L215" s="19" t="inlineStr">
        <is>
          <t>As expected.</t>
        </is>
      </c>
      <c r="M215" s="19" t="inlineStr">
        <is>
          <t>Pass</t>
        </is>
      </c>
      <c r="N215" s="19" t="inlineStr"/>
      <c r="O215" s="19" t="inlineStr">
        <is>
          <t>iorta TechNXT QA</t>
        </is>
      </c>
      <c r="P215" s="19" t="inlineStr">
        <is>
          <t>03 October 2026</t>
        </is>
      </c>
      <c r="Q215" s="19" t="inlineStr"/>
      <c r="R215" s="19" t="inlineStr">
        <is>
          <t>backend/test/renewals.test.js :: renews a seeded policy without quotation or lead (client e-mail, client-based conversion) [passed]</t>
        </is>
      </c>
      <c r="S215" s="19" t="n"/>
    </row>
    <row r="216">
      <c r="A216" s="19" t="inlineStr">
        <is>
          <t>BV-REN-015</t>
        </is>
      </c>
      <c r="B216" s="19" t="inlineStr">
        <is>
          <t>Renewals</t>
        </is>
      </c>
      <c r="C216" s="19" t="inlineStr">
        <is>
          <t>Permissions</t>
        </is>
      </c>
      <c r="D216" s="19" t="inlineStr">
        <is>
          <t>Sales / Account Executive (maria.rivera)</t>
        </is>
      </c>
      <c r="E216" s="19" t="inlineStr">
        <is>
          <t>Renewal permissions per persona</t>
        </is>
      </c>
      <c r="F216" s="19" t="inlineStr">
        <is>
          <t>Role access</t>
        </is>
      </c>
      <c r="G216" s="19" t="inlineStr">
        <is>
          <t>Medium</t>
        </is>
      </c>
      <c r="H216" s="19" t="inlineStr">
        <is>
          <t>Personas.</t>
        </is>
      </c>
      <c r="I216" s="19" t="inlineStr">
        <is>
          <t>1. As maria.rivera open own renewal wizard and another agent's.
2. As liza.quiambao open Renewals.</t>
        </is>
      </c>
      <c r="J216" s="19" t="inlineStr">
        <is>
          <t>Policies of two agents</t>
        </is>
      </c>
      <c r="K216" s="19" t="inlineStr">
        <is>
          <t>Own saves; other answers not found; accounting has no renewal workspace.</t>
        </is>
      </c>
      <c r="L216" s="19" t="inlineStr">
        <is>
          <t>As expected.</t>
        </is>
      </c>
      <c r="M216" s="19" t="inlineStr">
        <is>
          <t>Pass</t>
        </is>
      </c>
      <c r="N216" s="19" t="inlineStr"/>
      <c r="O216" s="19" t="inlineStr">
        <is>
          <t>iorta TechNXT QA</t>
        </is>
      </c>
      <c r="P216" s="19" t="inlineStr">
        <is>
          <t>03 October 2026</t>
        </is>
      </c>
      <c r="Q216" s="19" t="inlineStr"/>
      <c r="R216" s="19" t="inlineStr">
        <is>
          <t>backend/test/renewals.test.js :: enforces permissions per persona [passed]
backend/test/role-access.test.js :: prefills and saves the renewal wizard of an own policy; another agent's policy answers 404 [passed]
brokerverse/src/utils/menuPermissions.test.js :: operations and processing get the renewals workspace; accounting does not [passed]</t>
        </is>
      </c>
      <c r="S216" s="19" t="n"/>
    </row>
    <row r="217">
      <c r="A217" s="19" t="inlineStr">
        <is>
          <t>BV-REN-016</t>
        </is>
      </c>
      <c r="B217" s="19" t="inlineStr">
        <is>
          <t>Renewals</t>
        </is>
      </c>
      <c r="C217" s="19" t="inlineStr">
        <is>
          <t>Reminder job</t>
        </is>
      </c>
      <c r="D217" s="19" t="inlineStr">
        <is>
          <t>System Administrator (BrokerVerse)</t>
        </is>
      </c>
      <c r="E217" s="19" t="inlineStr">
        <is>
          <t>Renewal notice job follows the reminder setting and Manila date</t>
        </is>
      </c>
      <c r="F217" s="19" t="inlineStr">
        <is>
          <t>Integration</t>
        </is>
      </c>
      <c r="G217" s="19" t="inlineStr">
        <is>
          <t>Low</t>
        </is>
      </c>
      <c r="H217" s="19" t="inlineStr">
        <is>
          <t>notification.renewal_reminder on.</t>
        </is>
      </c>
      <c r="I217" s="19" t="inlineStr">
        <is>
          <t>1. Run the renewal notice job from Schedules.</t>
        </is>
      </c>
      <c r="J217" s="19" t="inlineStr">
        <is>
          <t>None</t>
        </is>
      </c>
      <c r="K217" s="19" t="inlineStr">
        <is>
          <t>Notices queued per the setting using the Manila business date.</t>
        </is>
      </c>
      <c r="L217" s="19" t="inlineStr">
        <is>
          <t>As expected.</t>
        </is>
      </c>
      <c r="M217" s="19" t="inlineStr">
        <is>
          <t>Pass</t>
        </is>
      </c>
      <c r="N217" s="19" t="inlineStr"/>
      <c r="O217" s="19" t="inlineStr">
        <is>
          <t>iorta TechNXT QA</t>
        </is>
      </c>
      <c r="P217" s="19" t="inlineStr">
        <is>
          <t>03 October 2026</t>
        </is>
      </c>
      <c r="Q217" s="19" t="inlineStr"/>
      <c r="R217" s="19" t="inlineStr">
        <is>
          <t>backend/test/configuration.test.js :: the renewal notice job honours notification.renewal_reminder [passed]
backend/test/operations.test.js :: uses the Manila business date, not the database current_date, in the expiry and renewal-notice jobs [passed]</t>
        </is>
      </c>
      <c r="S217" s="19" t="n"/>
    </row>
    <row r="218">
      <c r="A218" s="19" t="inlineStr">
        <is>
          <t>BV-PAY-001</t>
        </is>
      </c>
      <c r="B218" s="19" t="inlineStr">
        <is>
          <t>Open items and payments</t>
        </is>
      </c>
      <c r="C218" s="19" t="inlineStr">
        <is>
          <t>Payments</t>
        </is>
      </c>
      <c r="D218" s="19" t="inlineStr">
        <is>
          <t>Sales / Account Executive (maria.rivera)</t>
        </is>
      </c>
      <c r="E218" s="19" t="inlineStr">
        <is>
          <t>Sales captures a client bank transfer for verification</t>
        </is>
      </c>
      <c r="F218" s="19" t="inlineStr">
        <is>
          <t>Functional</t>
        </is>
      </c>
      <c r="G218" s="19" t="inlineStr">
        <is>
          <t>High</t>
        </is>
      </c>
      <c r="H218" s="19" t="inlineStr">
        <is>
          <t>Policy with an open bill.</t>
        </is>
      </c>
      <c r="I218" s="19" t="inlineStr">
        <is>
          <t>1. Open Operations &gt; Payments.
2. Open the policy and record the payment: mode, reference, amount, date, proof.
3. Save.</t>
        </is>
      </c>
      <c r="J218" s="19" t="inlineStr">
        <is>
          <t>BPI-xxxxxxxxx; PHP 39,872.15; 05 August 2026; deposit-slip.png</t>
        </is>
      </c>
      <c r="K218" s="19" t="inlineStr">
        <is>
          <t>Capture recorded with an acknowledgement receipt number; no official receipt and no journal yet; Accounting notified.</t>
        </is>
      </c>
      <c r="L218" s="19" t="inlineStr">
        <is>
          <t>18 captures by sales confirmed by accounting.</t>
        </is>
      </c>
      <c r="M218" s="19" t="inlineStr">
        <is>
          <t>Pass</t>
        </is>
      </c>
      <c r="N218" s="19" t="inlineStr"/>
      <c r="O218" s="19" t="inlineStr">
        <is>
          <t>iorta TechNXT QA</t>
        </is>
      </c>
      <c r="P218" s="19" t="inlineStr">
        <is>
          <t>04 October 2026</t>
        </is>
      </c>
      <c r="Q218" s="19" t="inlineStr"/>
      <c r="R218" s="19" t="inlineStr">
        <is>
          <t>backend/test/policy-payments.test.js :: a non-finance user's capture is recorded for verification and posts no receipt or journal [passed]
backend/test/policy-payments.test.js :: every capture has an acknowledgement receipt number and a printable acknowledgement receipt [passed]
backend/test/payment-segregation.test.js :: sales, underwriting and agents record a pending payment (no receipt, no journal); finance verifies it [passed]
UAT cycle 03-04 October 2026, phase Billing and collection (61 passed, 0 failed)
Screen check /agent/payments: opened clean</t>
        </is>
      </c>
      <c r="S218" s="19" t="n"/>
    </row>
    <row r="219">
      <c r="A219" s="19" t="inlineStr">
        <is>
          <t>BV-PAY-002</t>
        </is>
      </c>
      <c r="B219" s="19" t="inlineStr">
        <is>
          <t>Open items and payments</t>
        </is>
      </c>
      <c r="C219" s="19" t="inlineStr">
        <is>
          <t>Payments</t>
        </is>
      </c>
      <c r="D219" s="19" t="inlineStr">
        <is>
          <t>Accounting Officer (liza.quiambao)</t>
        </is>
      </c>
      <c r="E219" s="19" t="inlineStr">
        <is>
          <t>Accounting confirms a captured payment</t>
        </is>
      </c>
      <c r="F219" s="19" t="inlineStr">
        <is>
          <t>Accounting</t>
        </is>
      </c>
      <c r="G219" s="19" t="inlineStr">
        <is>
          <t>High</t>
        </is>
      </c>
      <c r="H219" s="19" t="inlineStr">
        <is>
          <t>Capture pending.</t>
        </is>
      </c>
      <c r="I219" s="19" t="inlineStr">
        <is>
          <t>1. Open the capture from the notification.
2. Confirm.</t>
        </is>
      </c>
      <c r="J219" s="19" t="inlineStr">
        <is>
          <t>Capture of previous case</t>
        </is>
      </c>
      <c r="K219" s="19" t="inlineStr">
        <is>
          <t>Official receipt against the bill; journal Dr Cash / Cr Premium receivable; policy Completed.</t>
        </is>
      </c>
      <c r="L219" s="19" t="inlineStr">
        <is>
          <t>As expected.</t>
        </is>
      </c>
      <c r="M219" s="19" t="inlineStr">
        <is>
          <t>Pass</t>
        </is>
      </c>
      <c r="N219" s="19" t="inlineStr"/>
      <c r="O219" s="19" t="inlineStr">
        <is>
          <t>iorta TechNXT QA</t>
        </is>
      </c>
      <c r="P219" s="19" t="inlineStr">
        <is>
          <t>04 October 2026</t>
        </is>
      </c>
      <c r="Q219" s="19" t="inlineStr"/>
      <c r="R219" s="19" t="inlineStr">
        <is>
          <t>backend/test/policy-payments.test.js :: finance confirms the capture: official receipt against the bill, journal posted, policy Completed [passed]
UAT cycle 03-04 October 2026, phase Billing and collection (61 passed, 0 failed)</t>
        </is>
      </c>
      <c r="S219" s="19" t="n"/>
    </row>
    <row r="220">
      <c r="A220" s="19" t="inlineStr">
        <is>
          <t>BV-PAY-003</t>
        </is>
      </c>
      <c r="B220" s="19" t="inlineStr">
        <is>
          <t>Open items and payments</t>
        </is>
      </c>
      <c r="C220" s="19" t="inlineStr">
        <is>
          <t>Payments</t>
        </is>
      </c>
      <c r="D220" s="19" t="inlineStr">
        <is>
          <t>Accounting Officer (liza.quiambao)</t>
        </is>
      </c>
      <c r="E220" s="19" t="inlineStr">
        <is>
          <t>Accounting rejects a capture</t>
        </is>
      </c>
      <c r="F220" s="19" t="inlineStr">
        <is>
          <t>Functional</t>
        </is>
      </c>
      <c r="G220" s="19" t="inlineStr">
        <is>
          <t>Medium</t>
        </is>
      </c>
      <c r="H220" s="19" t="inlineStr">
        <is>
          <t>Capture pending.</t>
        </is>
      </c>
      <c r="I220" s="19" t="inlineStr">
        <is>
          <t>1. Open the capture and reject with a reason.</t>
        </is>
      </c>
      <c r="J220" s="19" t="inlineStr">
        <is>
          <t>Reason: Deposit not found in the bank</t>
        </is>
      </c>
      <c r="K220" s="19" t="inlineStr">
        <is>
          <t>Capture Rejected; bill stays open. A capture by finance is confirmed at once.</t>
        </is>
      </c>
      <c r="L220" s="19" t="inlineStr">
        <is>
          <t>As expected.</t>
        </is>
      </c>
      <c r="M220" s="19" t="inlineStr">
        <is>
          <t>Pass</t>
        </is>
      </c>
      <c r="N220" s="19" t="inlineStr"/>
      <c r="O220" s="19" t="inlineStr">
        <is>
          <t>iorta TechNXT QA</t>
        </is>
      </c>
      <c r="P220" s="19" t="inlineStr">
        <is>
          <t>03 October 2026</t>
        </is>
      </c>
      <c r="Q220" s="19" t="inlineStr"/>
      <c r="R220" s="19" t="inlineStr">
        <is>
          <t>backend/test/policy-payments.test.js :: finance can reject a capture; a finance capture is confirmed at once [passed]</t>
        </is>
      </c>
      <c r="S220" s="19" t="n"/>
    </row>
    <row r="221">
      <c r="A221" s="19" t="inlineStr">
        <is>
          <t>BV-PAY-004</t>
        </is>
      </c>
      <c r="B221" s="19" t="inlineStr">
        <is>
          <t>Open items and payments</t>
        </is>
      </c>
      <c r="C221" s="19" t="inlineStr">
        <is>
          <t>Payments</t>
        </is>
      </c>
      <c r="D221" s="19" t="inlineStr">
        <is>
          <t>Sales / Account Executive (maria.rivera)</t>
        </is>
      </c>
      <c r="E221" s="19" t="inlineStr">
        <is>
          <t>Capture validation: reference, amount within balance, date</t>
        </is>
      </c>
      <c r="F221" s="19" t="inlineStr">
        <is>
          <t>Validation</t>
        </is>
      </c>
      <c r="G221" s="19" t="inlineStr">
        <is>
          <t>High</t>
        </is>
      </c>
      <c r="H221" s="19" t="inlineStr">
        <is>
          <t>Open bill PHP 39,872.15.</t>
        </is>
      </c>
      <c r="I221" s="19" t="inlineStr">
        <is>
          <t>1. Save without reference.
2. Enter PHP 45,000.00.
3. Enter a payment date tomorrow.</t>
        </is>
      </c>
      <c r="J221" s="19" t="inlineStr">
        <is>
          <t>Amount PHP 45,000.00</t>
        </is>
      </c>
      <c r="K221" s="19" t="inlineStr">
        <is>
          <t>Each refused with a message.</t>
        </is>
      </c>
      <c r="L221" s="19" t="inlineStr">
        <is>
          <t>As expected.</t>
        </is>
      </c>
      <c r="M221" s="19" t="inlineStr">
        <is>
          <t>Pass</t>
        </is>
      </c>
      <c r="N221" s="19" t="inlineStr"/>
      <c r="O221" s="19" t="inlineStr">
        <is>
          <t>iorta TechNXT QA</t>
        </is>
      </c>
      <c r="P221" s="19" t="inlineStr">
        <is>
          <t>03 October 2026</t>
        </is>
      </c>
      <c r="Q221" s="19" t="inlineStr"/>
      <c r="R221" s="19" t="inlineStr">
        <is>
          <t>backend/test/policy-payments.test.js :: validates the capture: reference, amount within the balance, date not in the future [passed]</t>
        </is>
      </c>
      <c r="S221" s="19" t="n"/>
    </row>
    <row r="222">
      <c r="A222" s="19" t="inlineStr">
        <is>
          <t>BV-PAY-005</t>
        </is>
      </c>
      <c r="B222" s="19" t="inlineStr">
        <is>
          <t>Open items and payments</t>
        </is>
      </c>
      <c r="C222" s="19" t="inlineStr">
        <is>
          <t>Payments</t>
        </is>
      </c>
      <c r="D222" s="19" t="inlineStr">
        <is>
          <t>Sales / Account Executive (maria.rivera)</t>
        </is>
      </c>
      <c r="E222" s="19" t="inlineStr">
        <is>
          <t>Bill stays open until payment confirmed</t>
        </is>
      </c>
      <c r="F222" s="19" t="inlineStr">
        <is>
          <t>Validation</t>
        </is>
      </c>
      <c r="G222" s="19" t="inlineStr">
        <is>
          <t>Medium</t>
        </is>
      </c>
      <c r="H222" s="19" t="inlineStr">
        <is>
          <t>Policy issued.</t>
        </is>
      </c>
      <c r="I222" s="19" t="inlineStr">
        <is>
          <t>1. Open the payment screen after capture but before confirmation.</t>
        </is>
      </c>
      <c r="J222" s="19" t="inlineStr">
        <is>
          <t>Policy with capture pending</t>
        </is>
      </c>
      <c r="K222" s="19" t="inlineStr">
        <is>
          <t>Bill still open with status Reviewing.</t>
        </is>
      </c>
      <c r="L222" s="19" t="inlineStr">
        <is>
          <t>As expected.</t>
        </is>
      </c>
      <c r="M222" s="19" t="inlineStr">
        <is>
          <t>Pass</t>
        </is>
      </c>
      <c r="N222" s="19" t="inlineStr"/>
      <c r="O222" s="19" t="inlineStr">
        <is>
          <t>iorta TechNXT QA</t>
        </is>
      </c>
      <c r="P222" s="19" t="inlineStr">
        <is>
          <t>03 October 2026</t>
        </is>
      </c>
      <c r="Q222" s="19" t="inlineStr"/>
      <c r="R222" s="19" t="inlineStr">
        <is>
          <t>backend/test/policy-payments.test.js :: the bill raised at issuance stays open until a payment is confirmed [passed]</t>
        </is>
      </c>
      <c r="S222" s="19" t="n"/>
    </row>
    <row r="223">
      <c r="A223" s="19" t="inlineStr">
        <is>
          <t>BV-PAY-006</t>
        </is>
      </c>
      <c r="B223" s="19" t="inlineStr">
        <is>
          <t>Open items and payments</t>
        </is>
      </c>
      <c r="C223" s="19" t="inlineStr">
        <is>
          <t>Payments</t>
        </is>
      </c>
      <c r="D223" s="19" t="inlineStr">
        <is>
          <t>Sales / Account Executive (maria.rivera)</t>
        </is>
      </c>
      <c r="E223" s="19" t="inlineStr">
        <is>
          <t>Sales cannot post receipts or change payment status</t>
        </is>
      </c>
      <c r="F223" s="19" t="inlineStr">
        <is>
          <t>Role access</t>
        </is>
      </c>
      <c r="G223" s="19" t="inlineStr">
        <is>
          <t>High</t>
        </is>
      </c>
      <c r="H223" s="19" t="inlineStr">
        <is>
          <t>Signed in as maria.rivera.</t>
        </is>
      </c>
      <c r="I223" s="19" t="inlineStr">
        <is>
          <t>1. Try to open Accounts &gt; Receipts.
2. Try to change payment status of a policy.</t>
        </is>
      </c>
      <c r="J223" s="19" t="inlineStr">
        <is>
          <t>None</t>
        </is>
      </c>
      <c r="K223" s="19" t="inlineStr">
        <is>
          <t>Refused (403); only Accounting and the System Administrator hold write:receipts.</t>
        </is>
      </c>
      <c r="L223" s="19" t="inlineStr">
        <is>
          <t>As expected.</t>
        </is>
      </c>
      <c r="M223" s="19" t="inlineStr">
        <is>
          <t>Pass</t>
        </is>
      </c>
      <c r="N223" s="19" t="inlineStr"/>
      <c r="O223" s="19" t="inlineStr">
        <is>
          <t>iorta TechNXT QA</t>
        </is>
      </c>
      <c r="P223" s="19" t="inlineStr">
        <is>
          <t>03 October 2026</t>
        </is>
      </c>
      <c r="Q223" s="19" t="inlineStr"/>
      <c r="R223" s="19" t="inlineStr">
        <is>
          <t>backend/test/payment-segregation.test.js :: sales, underwriting, customer services and agents get 403 on POST /receipts; finance posts it [passed]
backend/test/payment-segregation.test.js :: payment-entries, PATCH payment-status and PUT paymentStatus are refused to sales, underwriting, customer services and agents [passed]
backend/test/payment-segregation.test.js :: only Accounting (and the System Administrator) hold write:receipts; migration 0084 revokes it from sales on existing databases [passed]</t>
        </is>
      </c>
      <c r="S223" s="19" t="n"/>
    </row>
    <row r="224">
      <c r="A224" s="19" t="inlineStr">
        <is>
          <t>BV-PAY-007</t>
        </is>
      </c>
      <c r="B224" s="19" t="inlineStr">
        <is>
          <t>Open items and payments</t>
        </is>
      </c>
      <c r="C224" s="19" t="inlineStr">
        <is>
          <t>Payments</t>
        </is>
      </c>
      <c r="D224" s="19" t="inlineStr">
        <is>
          <t>Sales / Account Executive (maria.rivera)</t>
        </is>
      </c>
      <c r="E224" s="19" t="inlineStr">
        <is>
          <t>Endorsement bill paid through a capture</t>
        </is>
      </c>
      <c r="F224" s="19" t="inlineStr">
        <is>
          <t>Integration</t>
        </is>
      </c>
      <c r="G224" s="19" t="inlineStr">
        <is>
          <t>Medium</t>
        </is>
      </c>
      <c r="H224" s="19" t="inlineStr">
        <is>
          <t>Endorsement bill open.</t>
        </is>
      </c>
      <c r="I224" s="19" t="inlineStr">
        <is>
          <t>1. Capture the payment against the endorsement bill.
2. Accounting confirms.</t>
        </is>
      </c>
      <c r="J224" s="19" t="inlineStr">
        <is>
          <t>Endorsement bill PHP 4,994.40</t>
        </is>
      </c>
      <c r="K224" s="19" t="inlineStr">
        <is>
          <t>Bill paid after verification.</t>
        </is>
      </c>
      <c r="L224" s="19" t="inlineStr">
        <is>
          <t>As expected.</t>
        </is>
      </c>
      <c r="M224" s="19" t="inlineStr">
        <is>
          <t>Pass</t>
        </is>
      </c>
      <c r="N224" s="19" t="inlineStr"/>
      <c r="O224" s="19" t="inlineStr">
        <is>
          <t>iorta TechNXT QA</t>
        </is>
      </c>
      <c r="P224" s="19" t="inlineStr">
        <is>
          <t>04 October 2026</t>
        </is>
      </c>
      <c r="Q224" s="19" t="inlineStr"/>
      <c r="R224" s="19" t="inlineStr">
        <is>
          <t>backend/test/payment-segregation.test.js :: the endorsement bill is paid through a pending capture that finance verifies [passed]
UAT cycle 03-04 October 2026, phase Servicing: endorsements, renewals, claims (31 passed, 0 failed)</t>
        </is>
      </c>
      <c r="S224" s="19" t="n"/>
    </row>
    <row r="225">
      <c r="A225" s="19" t="inlineStr">
        <is>
          <t>BV-PAY-008</t>
        </is>
      </c>
      <c r="B225" s="19" t="inlineStr">
        <is>
          <t>Open items and payments</t>
        </is>
      </c>
      <c r="C225" s="19" t="inlineStr">
        <is>
          <t>Payment links</t>
        </is>
      </c>
      <c r="D225" s="19" t="inlineStr">
        <is>
          <t>Sales / Account Executive (maria.rivera)</t>
        </is>
      </c>
      <c r="E225" s="19" t="inlineStr">
        <is>
          <t>Payment link held when amount differs; cancel a link</t>
        </is>
      </c>
      <c r="F225" s="19" t="inlineStr">
        <is>
          <t>Negative</t>
        </is>
      </c>
      <c r="G225" s="19" t="inlineStr">
        <is>
          <t>Medium</t>
        </is>
      </c>
      <c r="H225" s="19" t="inlineStr">
        <is>
          <t>Payment link issued.</t>
        </is>
      </c>
      <c r="I225" s="19" t="inlineStr">
        <is>
          <t>1. Pay a different amount in the sandbox.
2. Cancel another pending link.</t>
        </is>
      </c>
      <c r="J225" s="19" t="inlineStr">
        <is>
          <t>Amount differs by PHP 50.00</t>
        </is>
      </c>
      <c r="K225" s="19" t="inlineStr">
        <is>
          <t>Payment held for review; cancelled link not payable; links listed.</t>
        </is>
      </c>
      <c r="L225" s="19" t="inlineStr">
        <is>
          <t>As expected.</t>
        </is>
      </c>
      <c r="M225" s="19" t="inlineStr">
        <is>
          <t>Pass</t>
        </is>
      </c>
      <c r="N225" s="19" t="inlineStr"/>
      <c r="O225" s="19" t="inlineStr">
        <is>
          <t>iorta TechNXT QA</t>
        </is>
      </c>
      <c r="P225" s="19" t="inlineStr">
        <is>
          <t>03 October 2026</t>
        </is>
      </c>
      <c r="Q225" s="19" t="inlineStr"/>
      <c r="R225" s="19" t="inlineStr">
        <is>
          <t>backend/test/payments.test.js :: holds a payment whose amount differs for review [passed]
backend/test/payments.test.js :: cancels a pending link and lists links [passed]</t>
        </is>
      </c>
      <c r="S225" s="19" t="n"/>
    </row>
    <row r="226">
      <c r="A226" s="19" t="inlineStr">
        <is>
          <t>BV-PAY-009</t>
        </is>
      </c>
      <c r="B226" s="19" t="inlineStr">
        <is>
          <t>Open items and payments</t>
        </is>
      </c>
      <c r="C226" s="19" t="inlineStr">
        <is>
          <t>Payment Gateways</t>
        </is>
      </c>
      <c r="D226" s="19" t="inlineStr">
        <is>
          <t>System Administrator (BrokerVerse)</t>
        </is>
      </c>
      <c r="E226" s="19" t="inlineStr">
        <is>
          <t>Gateways listed without secrets; live needs credentials</t>
        </is>
      </c>
      <c r="F226" s="19" t="inlineStr">
        <is>
          <t>Role access</t>
        </is>
      </c>
      <c r="G226" s="19" t="inlineStr">
        <is>
          <t>Medium</t>
        </is>
      </c>
      <c r="H226" s="19" t="inlineStr">
        <is>
          <t>Master &gt; Finance &gt; Payment Gateways.</t>
        </is>
      </c>
      <c r="I226" s="19" t="inlineStr">
        <is>
          <t>1. Open the screen as administrator and as accounting.
2. Switch to live without credentials.</t>
        </is>
      </c>
      <c r="J226" s="19" t="inlineStr">
        <is>
          <t>PayMongo, Dragonpay</t>
        </is>
      </c>
      <c r="K226" s="19" t="inlineStr">
        <is>
          <t>No secrets shown; only the administrator changes them; live refused without credentials.</t>
        </is>
      </c>
      <c r="L226" s="19" t="inlineStr">
        <is>
          <t>As expected.</t>
        </is>
      </c>
      <c r="M226" s="19" t="inlineStr">
        <is>
          <t>Pass</t>
        </is>
      </c>
      <c r="N226" s="19" t="inlineStr"/>
      <c r="O226" s="19" t="inlineStr">
        <is>
          <t>iorta TechNXT QA</t>
        </is>
      </c>
      <c r="P226" s="19" t="inlineStr">
        <is>
          <t>03 October 2026</t>
        </is>
      </c>
      <c r="Q226" s="19" t="inlineStr"/>
      <c r="R226" s="19" t="inlineStr">
        <is>
          <t>backend/test/payments.test.js :: lists the gateways without secrets; only the administrator changes them and live needs credentials [passed]
Screen check /master/finance/payment-gateways: opened clean</t>
        </is>
      </c>
      <c r="S226" s="19" t="n"/>
    </row>
    <row r="227">
      <c r="A227" s="19" t="inlineStr">
        <is>
          <t>BV-PAY-010</t>
        </is>
      </c>
      <c r="B227" s="19" t="inlineStr">
        <is>
          <t>Open items and payments</t>
        </is>
      </c>
      <c r="C227" s="19" t="inlineStr">
        <is>
          <t>Open Items</t>
        </is>
      </c>
      <c r="D227" s="19" t="inlineStr">
        <is>
          <t>Operations / Client Service (ana.buenaventura)</t>
        </is>
      </c>
      <c r="E227" s="19" t="inlineStr">
        <is>
          <t>Open items list of expiring policies and pending quotations</t>
        </is>
      </c>
      <c r="F227" s="19" t="inlineStr">
        <is>
          <t>Functional</t>
        </is>
      </c>
      <c r="G227" s="19" t="inlineStr">
        <is>
          <t>Medium</t>
        </is>
      </c>
      <c r="H227" s="19" t="inlineStr">
        <is>
          <t>Data from the cycle.</t>
        </is>
      </c>
      <c r="I227" s="19" t="inlineStr">
        <is>
          <t>1. Open Operations &gt; Open Items.
2. Filter by type.</t>
        </is>
      </c>
      <c r="J227" s="19" t="inlineStr">
        <is>
          <t>October 2026</t>
        </is>
      </c>
      <c r="K227" s="19" t="inlineStr">
        <is>
          <t>Lists match the policies and quotations in the period.</t>
        </is>
      </c>
      <c r="L227" s="19" t="inlineStr">
        <is>
          <t>As expected.</t>
        </is>
      </c>
      <c r="M227" s="19" t="inlineStr">
        <is>
          <t>Pass</t>
        </is>
      </c>
      <c r="N227" s="19" t="inlineStr"/>
      <c r="O227" s="19" t="inlineStr">
        <is>
          <t>iorta TechNXT QA</t>
        </is>
      </c>
      <c r="P227" s="19" t="inlineStr">
        <is>
          <t>03 October 2026</t>
        </is>
      </c>
      <c r="Q227" s="19" t="inlineStr"/>
      <c r="R227" s="19" t="inlineStr">
        <is>
          <t>Screen check /agent/openitemslistdata: opened clean</t>
        </is>
      </c>
      <c r="S227" s="19" t="n"/>
    </row>
    <row r="228">
      <c r="A228" s="19" t="inlineStr">
        <is>
          <t>BV-RCT-001</t>
        </is>
      </c>
      <c r="B228" s="19" t="inlineStr">
        <is>
          <t>Billing and receipts</t>
        </is>
      </c>
      <c r="C228" s="19" t="inlineStr">
        <is>
          <t>Receipts</t>
        </is>
      </c>
      <c r="D228" s="19" t="inlineStr">
        <is>
          <t>Accounting Officer (liza.quiambao)</t>
        </is>
      </c>
      <c r="E228" s="19" t="inlineStr">
        <is>
          <t>Official receipt for a full payment</t>
        </is>
      </c>
      <c r="F228" s="19" t="inlineStr">
        <is>
          <t>Accounting</t>
        </is>
      </c>
      <c r="G228" s="19" t="inlineStr">
        <is>
          <t>High</t>
        </is>
      </c>
      <c r="H228" s="19" t="inlineStr">
        <is>
          <t>Policy bill open PHP 39,872.15.</t>
        </is>
      </c>
      <c r="I228" s="19" t="inlineStr">
        <is>
          <t>1. Open Accounts &gt; Receipts.
2. Click Add Receipt.
3. Select the bill, mode bank transfer, reference, date, bank account BDO-OPS.
4. Save.</t>
        </is>
      </c>
      <c r="J228" s="19" t="inlineStr">
        <is>
          <t>Reference BDO-xxxxxxxxx; 08 August 2026; BDO-OPS</t>
        </is>
      </c>
      <c r="K228" s="19" t="inlineStr">
        <is>
          <t>Receipt saved with the next OR number; bill Paid; journal Dr Cash in bank (1102001) / Cr Premium receivable; Collections updated.</t>
        </is>
      </c>
      <c r="L228" s="19" t="inlineStr">
        <is>
          <t>40 receipts entered by accounting in the cycle.</t>
        </is>
      </c>
      <c r="M228" s="19" t="inlineStr">
        <is>
          <t>Pass</t>
        </is>
      </c>
      <c r="N228" s="19" t="inlineStr"/>
      <c r="O228" s="19" t="inlineStr">
        <is>
          <t>iorta TechNXT QA</t>
        </is>
      </c>
      <c r="P228" s="19" t="inlineStr">
        <is>
          <t>04 October 2026</t>
        </is>
      </c>
      <c r="Q228" s="19" t="inlineStr"/>
      <c r="R228" s="19" t="inlineStr">
        <is>
          <t>backend/test/receipts.test.js :: official receipt against a receivable: partial then full payment, overpayment rejected [passed]
backend/test/uat-disconnects.test.js :: a receipt deposited to a bank account linked for reconciliation debits that GL account [passed]
UAT cycle 03-04 October 2026, phase Billing and collection (61 passed, 0 failed)
Screen check /accounts/receipts: opened clean</t>
        </is>
      </c>
      <c r="S228" s="19" t="n"/>
    </row>
    <row r="229">
      <c r="A229" s="19" t="inlineStr">
        <is>
          <t>BV-RCT-002</t>
        </is>
      </c>
      <c r="B229" s="19" t="inlineStr">
        <is>
          <t>Billing and receipts</t>
        </is>
      </c>
      <c r="C229" s="19" t="inlineStr">
        <is>
          <t>Receipts</t>
        </is>
      </c>
      <c r="D229" s="19" t="inlineStr">
        <is>
          <t>Accounting Officer (liza.quiambao)</t>
        </is>
      </c>
      <c r="E229" s="19" t="inlineStr">
        <is>
          <t>Partial payment then the balance</t>
        </is>
      </c>
      <c r="F229" s="19" t="inlineStr">
        <is>
          <t>Accounting</t>
        </is>
      </c>
      <c r="G229" s="19" t="inlineStr">
        <is>
          <t>High</t>
        </is>
      </c>
      <c r="H229" s="19" t="inlineStr">
        <is>
          <t>Endorsement bill open PHP 5,010.00.</t>
        </is>
      </c>
      <c r="I229" s="19" t="inlineStr">
        <is>
          <t>1. Add Receipt for PHP 2,000.00.
2. Add Receipt for PHP 3,010.00.</t>
        </is>
      </c>
      <c r="J229" s="19" t="inlineStr">
        <is>
          <t>PHP 2,000.00; PHP 3,010.00</t>
        </is>
      </c>
      <c r="K229" s="19" t="inlineStr">
        <is>
          <t>Bill Partial after the first, Paid after the second; journals balanced.</t>
        </is>
      </c>
      <c r="L229" s="19" t="inlineStr">
        <is>
          <t>As expected.</t>
        </is>
      </c>
      <c r="M229" s="19" t="inlineStr">
        <is>
          <t>Pass</t>
        </is>
      </c>
      <c r="N229" s="19" t="inlineStr"/>
      <c r="O229" s="19" t="inlineStr">
        <is>
          <t>iorta TechNXT QA</t>
        </is>
      </c>
      <c r="P229" s="19" t="inlineStr">
        <is>
          <t>04 October 2026</t>
        </is>
      </c>
      <c r="Q229" s="19" t="inlineStr"/>
      <c r="R229" s="19" t="inlineStr">
        <is>
          <t>backend/test/receipts.test.js :: add receipt against an open endorsement bill: open-receivables lists it, partial 2,000 then 3,010, excess refused, journals balanced [passed]
UAT cycle 03-04 October 2026, phase Billing and collection (61 passed, 0 failed)</t>
        </is>
      </c>
      <c r="S229" s="19" t="n"/>
    </row>
    <row r="230">
      <c r="A230" s="19" t="inlineStr">
        <is>
          <t>BV-RCT-003</t>
        </is>
      </c>
      <c r="B230" s="19" t="inlineStr">
        <is>
          <t>Billing and receipts</t>
        </is>
      </c>
      <c r="C230" s="19" t="inlineStr">
        <is>
          <t>Receipts</t>
        </is>
      </c>
      <c r="D230" s="19" t="inlineStr">
        <is>
          <t>Accounting Officer (liza.quiambao)</t>
        </is>
      </c>
      <c r="E230" s="19" t="inlineStr">
        <is>
          <t>Overpayment refused</t>
        </is>
      </c>
      <c r="F230" s="19" t="inlineStr">
        <is>
          <t>Negative</t>
        </is>
      </c>
      <c r="G230" s="19" t="inlineStr">
        <is>
          <t>High</t>
        </is>
      </c>
      <c r="H230" s="19" t="inlineStr">
        <is>
          <t>Bill balance PHP 3,010.00.</t>
        </is>
      </c>
      <c r="I230" s="19" t="inlineStr">
        <is>
          <t>1. Add Receipt for PHP 3,500.00.</t>
        </is>
      </c>
      <c r="J230" s="19" t="inlineStr">
        <is>
          <t>PHP 3,500.00</t>
        </is>
      </c>
      <c r="K230" s="19" t="inlineStr">
        <is>
          <t>Refused: amount exceeds the open balance.</t>
        </is>
      </c>
      <c r="L230" s="19" t="inlineStr">
        <is>
          <t>As expected.</t>
        </is>
      </c>
      <c r="M230" s="19" t="inlineStr">
        <is>
          <t>Pass</t>
        </is>
      </c>
      <c r="N230" s="19" t="inlineStr"/>
      <c r="O230" s="19" t="inlineStr">
        <is>
          <t>iorta TechNXT QA</t>
        </is>
      </c>
      <c r="P230" s="19" t="inlineStr">
        <is>
          <t>03 October 2026</t>
        </is>
      </c>
      <c r="Q230" s="19" t="inlineStr"/>
      <c r="R230" s="19" t="inlineStr">
        <is>
          <t>backend/test/receipts.test.js :: official receipt against a receivable: partial then full payment, overpayment rejected [passed]
backend/test/receipts.test.js :: add receipt against an open endorsement bill: open-receivables lists it, partial 2,000 then 3,010, excess refused, journals balanced [passed]</t>
        </is>
      </c>
      <c r="S230" s="19" t="n"/>
    </row>
    <row r="231">
      <c r="A231" s="19" t="inlineStr">
        <is>
          <t>BV-RCT-004</t>
        </is>
      </c>
      <c r="B231" s="19" t="inlineStr">
        <is>
          <t>Billing and receipts</t>
        </is>
      </c>
      <c r="C231" s="19" t="inlineStr">
        <is>
          <t>Receipts</t>
        </is>
      </c>
      <c r="D231" s="19" t="inlineStr">
        <is>
          <t>Accounting Officer (liza.quiambao)</t>
        </is>
      </c>
      <c r="E231" s="19" t="inlineStr">
        <is>
          <t>Receipt printing</t>
        </is>
      </c>
      <c r="F231" s="19" t="inlineStr">
        <is>
          <t>Functional</t>
        </is>
      </c>
      <c r="G231" s="19" t="inlineStr">
        <is>
          <t>Medium</t>
        </is>
      </c>
      <c r="H231" s="19" t="inlineStr">
        <is>
          <t>Receipt saved.</t>
        </is>
      </c>
      <c r="I231" s="19" t="inlineStr">
        <is>
          <t>1. Open the receipt.
2. Click Print receipt; then Print All / Print Selected.</t>
        </is>
      </c>
      <c r="J231" s="19" t="inlineStr">
        <is>
          <t>OR of previous case</t>
        </is>
      </c>
      <c r="K231" s="19" t="inlineStr">
        <is>
          <t>PDF prints in full: numbers, dates and amounts in words.</t>
        </is>
      </c>
      <c r="L231" s="19" t="inlineStr">
        <is>
          <t>As expected.</t>
        </is>
      </c>
      <c r="M231" s="19" t="inlineStr">
        <is>
          <t>Pass</t>
        </is>
      </c>
      <c r="N231" s="19" t="inlineStr"/>
      <c r="O231" s="19" t="inlineStr">
        <is>
          <t>iorta TechNXT QA</t>
        </is>
      </c>
      <c r="P231" s="19" t="inlineStr">
        <is>
          <t>03 October 2026</t>
        </is>
      </c>
      <c r="Q231" s="19" t="inlineStr"/>
      <c r="R231" s="19" t="inlineStr">
        <is>
          <t>backend/test/receipts.test.js :: add-payment appends a paid line; search, print and bulk upload work [passed]
backend/test/printing.test.js :: humanises keys and writes amounts in words [passed]</t>
        </is>
      </c>
      <c r="S231" s="19" t="n"/>
    </row>
    <row r="232">
      <c r="A232" s="19" t="inlineStr">
        <is>
          <t>BV-RCT-005</t>
        </is>
      </c>
      <c r="B232" s="19" t="inlineStr">
        <is>
          <t>Billing and receipts</t>
        </is>
      </c>
      <c r="C232" s="19" t="inlineStr">
        <is>
          <t>Receipts</t>
        </is>
      </c>
      <c r="D232" s="19" t="inlineStr">
        <is>
          <t>Accounting Officer (liza.quiambao)</t>
        </is>
      </c>
      <c r="E232" s="19" t="inlineStr">
        <is>
          <t>Pay-later draft receipt approved</t>
        </is>
      </c>
      <c r="F232" s="19" t="inlineStr">
        <is>
          <t>Accounting</t>
        </is>
      </c>
      <c r="G232" s="19" t="inlineStr">
        <is>
          <t>Medium</t>
        </is>
      </c>
      <c r="H232" s="19" t="inlineStr">
        <is>
          <t>Policy pay later.</t>
        </is>
      </c>
      <c r="I232" s="19" t="inlineStr">
        <is>
          <t>1. Create a draft receipt (pay later).
2. Approve it.</t>
        </is>
      </c>
      <c r="J232" s="19" t="inlineStr">
        <is>
          <t>Draft receipt</t>
        </is>
      </c>
      <c r="K232" s="19" t="inlineStr">
        <is>
          <t>Draft bills the policy; approval collects it and posts Dr Cash / Cr Premium receivable.</t>
        </is>
      </c>
      <c r="L232" s="19" t="inlineStr">
        <is>
          <t>As expected.</t>
        </is>
      </c>
      <c r="M232" s="19" t="inlineStr">
        <is>
          <t>Pass</t>
        </is>
      </c>
      <c r="N232" s="19" t="inlineStr"/>
      <c r="O232" s="19" t="inlineStr">
        <is>
          <t>iorta TechNXT QA</t>
        </is>
      </c>
      <c r="P232" s="19" t="inlineStr">
        <is>
          <t>03 October 2026</t>
        </is>
      </c>
      <c r="Q232" s="19" t="inlineStr"/>
      <c r="R232" s="19" t="inlineStr">
        <is>
          <t>backend/test/receipts.test.js :: pay-later draft receipt bills the policy, then approval (PUT) collects it and posts Dr Cash / Cr Premium Receivable [passed]</t>
        </is>
      </c>
      <c r="S232" s="19" t="n"/>
    </row>
    <row r="233">
      <c r="A233" s="19" t="inlineStr">
        <is>
          <t>BV-RCT-006</t>
        </is>
      </c>
      <c r="B233" s="19" t="inlineStr">
        <is>
          <t>Billing and receipts</t>
        </is>
      </c>
      <c r="C233" s="19" t="inlineStr">
        <is>
          <t>Receipts</t>
        </is>
      </c>
      <c r="D233" s="19" t="inlineStr">
        <is>
          <t>Accounting Officer (liza.quiambao)</t>
        </is>
      </c>
      <c r="E233" s="19" t="inlineStr">
        <is>
          <t>Receipt validation and permissions</t>
        </is>
      </c>
      <c r="F233" s="19" t="inlineStr">
        <is>
          <t>Validation</t>
        </is>
      </c>
      <c r="G233" s="19" t="inlineStr">
        <is>
          <t>Medium</t>
        </is>
      </c>
      <c r="H233" s="19" t="inlineStr">
        <is>
          <t>Add Receipt form.</t>
        </is>
      </c>
      <c r="I233" s="19" t="inlineStr">
        <is>
          <t>1. Save without amount.
2. As ana.buenaventura open the receipt register.</t>
        </is>
      </c>
      <c r="J233" s="19" t="inlineStr">
        <is>
          <t>Blank amount</t>
        </is>
      </c>
      <c r="K233" s="19" t="inlineStr">
        <is>
          <t>Validation message; operations user cannot read the register.</t>
        </is>
      </c>
      <c r="L233" s="19" t="inlineStr">
        <is>
          <t>As expected.</t>
        </is>
      </c>
      <c r="M233" s="19" t="inlineStr">
        <is>
          <t>Pass</t>
        </is>
      </c>
      <c r="N233" s="19" t="inlineStr"/>
      <c r="O233" s="19" t="inlineStr">
        <is>
          <t>iorta TechNXT QA</t>
        </is>
      </c>
      <c r="P233" s="19" t="inlineStr">
        <is>
          <t>03 October 2026</t>
        </is>
      </c>
      <c r="Q233" s="19" t="inlineStr"/>
      <c r="R233" s="19" t="inlineStr">
        <is>
          <t>backend/test/receipts.test.js :: validates input and enforces permissions [passed]
backend/test/hardening.test.js :: claims officers do not list leads; sales and operations do not read the receipt register [passed]</t>
        </is>
      </c>
      <c r="S233" s="19" t="n"/>
    </row>
    <row r="234">
      <c r="A234" s="19" t="inlineStr">
        <is>
          <t>BV-RCT-007</t>
        </is>
      </c>
      <c r="B234" s="19" t="inlineStr">
        <is>
          <t>Billing and receipts</t>
        </is>
      </c>
      <c r="C234" s="19" t="inlineStr">
        <is>
          <t>Receipts</t>
        </is>
      </c>
      <c r="D234" s="19" t="inlineStr">
        <is>
          <t>Accounting Officer (liza.quiambao)</t>
        </is>
      </c>
      <c r="E234" s="19" t="inlineStr">
        <is>
          <t>Search and bulk upload receipts</t>
        </is>
      </c>
      <c r="F234" s="19" t="inlineStr">
        <is>
          <t>Functional</t>
        </is>
      </c>
      <c r="G234" s="19" t="inlineStr">
        <is>
          <t>Low</t>
        </is>
      </c>
      <c r="H234" s="19" t="inlineStr">
        <is>
          <t>Receipts exist.</t>
        </is>
      </c>
      <c r="I234" s="19" t="inlineStr">
        <is>
          <t>1. Search by customer code.
2. Bulk upload 2 receipts.</t>
        </is>
      </c>
      <c r="J234" s="19" t="inlineStr">
        <is>
          <t>Customer code CL-xxxxx</t>
        </is>
      </c>
      <c r="K234" s="19" t="inlineStr">
        <is>
          <t>Search finds them; upload creates them.</t>
        </is>
      </c>
      <c r="L234" s="19" t="inlineStr">
        <is>
          <t>As expected.</t>
        </is>
      </c>
      <c r="M234" s="19" t="inlineStr">
        <is>
          <t>Pass</t>
        </is>
      </c>
      <c r="N234" s="19" t="inlineStr"/>
      <c r="O234" s="19" t="inlineStr">
        <is>
          <t>iorta TechNXT QA</t>
        </is>
      </c>
      <c r="P234" s="19" t="inlineStr">
        <is>
          <t>03 October 2026</t>
        </is>
      </c>
      <c r="Q234" s="19" t="inlineStr"/>
      <c r="R234" s="19" t="inlineStr">
        <is>
          <t>backend/test/receipts.test.js :: add-payment appends a paid line; search, print and bulk upload work [passed]
backend/test/receipts.test.js :: lists seeded receipts with pagination [passed]</t>
        </is>
      </c>
      <c r="S234" s="19" t="n"/>
    </row>
    <row r="235">
      <c r="A235" s="19" t="inlineStr">
        <is>
          <t>BV-RCT-008</t>
        </is>
      </c>
      <c r="B235" s="19" t="inlineStr">
        <is>
          <t>Billing and receipts</t>
        </is>
      </c>
      <c r="C235" s="19" t="inlineStr">
        <is>
          <t>Returned cheque</t>
        </is>
      </c>
      <c r="D235" s="19" t="inlineStr">
        <is>
          <t>Accounting Officer (liza.quiambao)</t>
        </is>
      </c>
      <c r="E235" s="19" t="inlineStr">
        <is>
          <t>Returned cheque cancels the OR and reopens the bill</t>
        </is>
      </c>
      <c r="F235" s="19" t="inlineStr">
        <is>
          <t>Accounting</t>
        </is>
      </c>
      <c r="G235" s="19" t="inlineStr">
        <is>
          <t>High</t>
        </is>
      </c>
      <c r="H235" s="19" t="inlineStr">
        <is>
          <t>OR paid by cheque, bank statement debit RETURNED CHECK.</t>
        </is>
      </c>
      <c r="I235" s="19" t="inlineStr">
        <is>
          <t>1. In bank reconciliation, mark the bank debit as a returned cheque.</t>
        </is>
      </c>
      <c r="J235" s="19" t="inlineStr">
        <is>
          <t>Cheque SECB CHK xxxxxxx PHP 125,400.00</t>
        </is>
      </c>
      <c r="K235" s="19" t="inlineStr">
        <is>
          <t>OR cancelled; receivable reopened; reversal matched to the bank debit.</t>
        </is>
      </c>
      <c r="L235" s="19" t="inlineStr">
        <is>
          <t>As expected.</t>
        </is>
      </c>
      <c r="M235" s="19" t="inlineStr">
        <is>
          <t>Pass</t>
        </is>
      </c>
      <c r="N235" s="19" t="inlineStr"/>
      <c r="O235" s="19" t="inlineStr">
        <is>
          <t>iorta TechNXT QA</t>
        </is>
      </c>
      <c r="P235" s="19" t="inlineStr">
        <is>
          <t>03 October 2026</t>
        </is>
      </c>
      <c r="Q235" s="19" t="inlineStr"/>
      <c r="R235" s="19" t="inlineStr">
        <is>
          <t>backend/test/bank-reconciliation.test.js :: a returned cheque cancels the official receipt, re-opens the receivable and matches the reversal to the bank debit [passed]</t>
        </is>
      </c>
      <c r="S235" s="19" t="n"/>
    </row>
    <row r="236">
      <c r="A236" s="19" t="inlineStr">
        <is>
          <t>BV-RCT-009</t>
        </is>
      </c>
      <c r="B236" s="19" t="inlineStr">
        <is>
          <t>Billing and receipts</t>
        </is>
      </c>
      <c r="C236" s="19" t="inlineStr">
        <is>
          <t>Write-off</t>
        </is>
      </c>
      <c r="D236" s="19" t="inlineStr">
        <is>
          <t>Accounting Officer (liza.quiambao)</t>
        </is>
      </c>
      <c r="E236" s="19" t="inlineStr">
        <is>
          <t>Write-off with a reason code</t>
        </is>
      </c>
      <c r="F236" s="19" t="inlineStr">
        <is>
          <t>Accounting</t>
        </is>
      </c>
      <c r="G236" s="19" t="inlineStr">
        <is>
          <t>Medium</t>
        </is>
      </c>
      <c r="H236" s="19" t="inlineStr">
        <is>
          <t>Small balance left on a bill.</t>
        </is>
      </c>
      <c r="I236" s="19" t="inlineStr">
        <is>
          <t>1. Write off the balance with a reason code.</t>
        </is>
      </c>
      <c r="J236" s="19" t="inlineStr">
        <is>
          <t>Balance PHP 0.85; reason Small balance</t>
        </is>
      </c>
      <c r="K236" s="19" t="inlineStr">
        <is>
          <t>Posts to the reason account; bill closed.</t>
        </is>
      </c>
      <c r="L236" s="19" t="inlineStr">
        <is>
          <t>As expected.</t>
        </is>
      </c>
      <c r="M236" s="19" t="inlineStr">
        <is>
          <t>Pass</t>
        </is>
      </c>
      <c r="N236" s="19" t="inlineStr"/>
      <c r="O236" s="19" t="inlineStr">
        <is>
          <t>iorta TechNXT QA</t>
        </is>
      </c>
      <c r="P236" s="19" t="inlineStr">
        <is>
          <t>03 October 2026</t>
        </is>
      </c>
      <c r="Q236" s="19" t="inlineStr"/>
      <c r="R236" s="19" t="inlineStr">
        <is>
          <t>backend/test/posting-rules.test.js :: write-off with a reason code posts to the reason account and closes the bill [passed]</t>
        </is>
      </c>
      <c r="S236" s="19" t="n"/>
    </row>
    <row r="237">
      <c r="A237" s="19" t="inlineStr">
        <is>
          <t>BV-RCT-010</t>
        </is>
      </c>
      <c r="B237" s="19" t="inlineStr">
        <is>
          <t>Billing and receipts</t>
        </is>
      </c>
      <c r="C237" s="19" t="inlineStr">
        <is>
          <t>Billing statement</t>
        </is>
      </c>
      <c r="D237" s="19" t="inlineStr">
        <is>
          <t>Accounting Officer (liza.quiambao)</t>
        </is>
      </c>
      <c r="E237" s="19" t="inlineStr">
        <is>
          <t>Billing statement PDF for a policy</t>
        </is>
      </c>
      <c r="F237" s="19" t="inlineStr">
        <is>
          <t>Report</t>
        </is>
      </c>
      <c r="G237" s="19" t="inlineStr">
        <is>
          <t>Medium</t>
        </is>
      </c>
      <c r="H237" s="19" t="inlineStr">
        <is>
          <t>Policy with bills.</t>
        </is>
      </c>
      <c r="I237" s="19" t="inlineStr">
        <is>
          <t>1. Open the policy and print the billing statement.</t>
        </is>
      </c>
      <c r="J237" s="19" t="inlineStr">
        <is>
          <t>Motor policy</t>
        </is>
      </c>
      <c r="K237" s="19" t="inlineStr">
        <is>
          <t>Statement shows bills, payments and balance on the letterhead.</t>
        </is>
      </c>
      <c r="L237" s="19" t="inlineStr">
        <is>
          <t>As expected.</t>
        </is>
      </c>
      <c r="M237" s="19" t="inlineStr">
        <is>
          <t>Pass</t>
        </is>
      </c>
      <c r="N237" s="19" t="inlineStr"/>
      <c r="O237" s="19" t="inlineStr">
        <is>
          <t>iorta TechNXT QA</t>
        </is>
      </c>
      <c r="P237" s="19" t="inlineStr">
        <is>
          <t>03 October 2026</t>
        </is>
      </c>
      <c r="Q237" s="19" t="inlineStr"/>
      <c r="R237" s="19" t="inlineStr">
        <is>
          <t>backend/test/receipts.test.js :: billing statement PDF for a policy [passed]</t>
        </is>
      </c>
      <c r="S237" s="19" t="n"/>
    </row>
    <row r="238">
      <c r="A238" s="19" t="inlineStr">
        <is>
          <t>BV-RCT-011</t>
        </is>
      </c>
      <c r="B238" s="19" t="inlineStr">
        <is>
          <t>Billing and receipts</t>
        </is>
      </c>
      <c r="C238" s="19" t="inlineStr">
        <is>
          <t>Instalments</t>
        </is>
      </c>
      <c r="D238" s="19" t="inlineStr">
        <is>
          <t>Accounting Officer (liza.quiambao)</t>
        </is>
      </c>
      <c r="E238" s="19" t="inlineStr">
        <is>
          <t>Instalment plan: even instalments, down payment first</t>
        </is>
      </c>
      <c r="F238" s="19" t="inlineStr">
        <is>
          <t>Accounting</t>
        </is>
      </c>
      <c r="G238" s="19" t="inlineStr">
        <is>
          <t>High</t>
        </is>
      </c>
      <c r="H238" s="19" t="inlineStr">
        <is>
          <t>Corporate policy PHP 1,250,000.00.</t>
        </is>
      </c>
      <c r="I238" s="19" t="inlineStr">
        <is>
          <t>1. Open Accounts &gt; Credit Control &gt; Instalment Plans.
2. Preview quarterly, 4 instalments, first due on inception.
3. Save.</t>
        </is>
      </c>
      <c r="J238" s="19" t="inlineStr">
        <is>
          <t>Quarterly x 4</t>
        </is>
      </c>
      <c r="K238" s="19" t="inlineStr">
        <is>
          <t>Even amounts, rounding on the first, due on month ends; payments applied in order; bill due on first unpaid.</t>
        </is>
      </c>
      <c r="L238" s="19" t="inlineStr">
        <is>
          <t>4 instalment plans; 4 instalments paid.</t>
        </is>
      </c>
      <c r="M238" s="19" t="inlineStr">
        <is>
          <t>Pass</t>
        </is>
      </c>
      <c r="N238" s="19" t="inlineStr"/>
      <c r="O238" s="19" t="inlineStr">
        <is>
          <t>iorta TechNXT QA</t>
        </is>
      </c>
      <c r="P238" s="19" t="inlineStr">
        <is>
          <t>04 October 2026</t>
        </is>
      </c>
      <c r="Q238" s="19" t="inlineStr"/>
      <c r="R238" s="19" t="inlineStr">
        <is>
          <t>backend/test/credit-control.test.js :: generates even instalments (down payment first, rounding on the first instalment) on month ends [passed]
UAT cycle 03-04 October 2026, phase Billing and collection (61 passed, 0 failed)
Screen check /accounts/credit-control/instalments: opened clean</t>
        </is>
      </c>
      <c r="S238" s="19" t="n"/>
    </row>
    <row r="239">
      <c r="A239" s="19" t="inlineStr">
        <is>
          <t>BV-RCT-012</t>
        </is>
      </c>
      <c r="B239" s="19" t="inlineStr">
        <is>
          <t>Billing and receipts</t>
        </is>
      </c>
      <c r="C239" s="19" t="inlineStr">
        <is>
          <t>Instalments</t>
        </is>
      </c>
      <c r="D239" s="19" t="inlineStr">
        <is>
          <t>Accounting Officer (liza.quiambao)</t>
        </is>
      </c>
      <c r="E239" s="19" t="inlineStr">
        <is>
          <t>Edited schedule must add up to the bill</t>
        </is>
      </c>
      <c r="F239" s="19" t="inlineStr">
        <is>
          <t>Validation</t>
        </is>
      </c>
      <c r="G239" s="19" t="inlineStr">
        <is>
          <t>Medium</t>
        </is>
      </c>
      <c r="H239" s="19" t="inlineStr">
        <is>
          <t>Plan open.</t>
        </is>
      </c>
      <c r="I239" s="19" t="inlineStr">
        <is>
          <t>1. Change one instalment so the total differs.
2. Save.</t>
        </is>
      </c>
      <c r="J239" s="19" t="inlineStr">
        <is>
          <t>Total off by PHP 1,000.00</t>
        </is>
      </c>
      <c r="K239" s="19" t="inlineStr">
        <is>
          <t>Refused; ageing of instalments shown.</t>
        </is>
      </c>
      <c r="L239" s="19" t="inlineStr">
        <is>
          <t>As expected.</t>
        </is>
      </c>
      <c r="M239" s="19" t="inlineStr">
        <is>
          <t>Pass</t>
        </is>
      </c>
      <c r="N239" s="19" t="inlineStr"/>
      <c r="O239" s="19" t="inlineStr">
        <is>
          <t>iorta TechNXT QA</t>
        </is>
      </c>
      <c r="P239" s="19" t="inlineStr">
        <is>
          <t>03 October 2026</t>
        </is>
      </c>
      <c r="Q239" s="19" t="inlineStr"/>
      <c r="R239" s="19" t="inlineStr">
        <is>
          <t>backend/test/credit-control.test.js :: edits the schedule (must add up to the bill) and ages the instalments [passed]</t>
        </is>
      </c>
      <c r="S239" s="19" t="n"/>
    </row>
    <row r="240">
      <c r="A240" s="19" t="inlineStr">
        <is>
          <t>BV-RCT-013</t>
        </is>
      </c>
      <c r="B240" s="19" t="inlineStr">
        <is>
          <t>Billing and receipts</t>
        </is>
      </c>
      <c r="C240" s="19" t="inlineStr">
        <is>
          <t>Receipts</t>
        </is>
      </c>
      <c r="D240" s="19" t="inlineStr">
        <is>
          <t>Accounting Officer (liza.quiambao)</t>
        </is>
      </c>
      <c r="E240" s="19" t="inlineStr">
        <is>
          <t>Payment entries book once with the receipt flow</t>
        </is>
      </c>
      <c r="F240" s="19" t="inlineStr">
        <is>
          <t>Accounting</t>
        </is>
      </c>
      <c r="G240" s="19" t="inlineStr">
        <is>
          <t>Medium</t>
        </is>
      </c>
      <c r="H240" s="19" t="inlineStr">
        <is>
          <t>Receipt saved.</t>
        </is>
      </c>
      <c r="I240" s="19" t="inlineStr">
        <is>
          <t>1. Post the payment entry again for the same receipt.</t>
        </is>
      </c>
      <c r="J240" s="19" t="inlineStr">
        <is>
          <t>Same receipt</t>
        </is>
      </c>
      <c r="K240" s="19" t="inlineStr">
        <is>
          <t>No second booking.</t>
        </is>
      </c>
      <c r="L240" s="19" t="inlineStr">
        <is>
          <t>As expected.</t>
        </is>
      </c>
      <c r="M240" s="19" t="inlineStr">
        <is>
          <t>Pass</t>
        </is>
      </c>
      <c r="N240" s="19" t="inlineStr"/>
      <c r="O240" s="19" t="inlineStr">
        <is>
          <t>iorta TechNXT QA</t>
        </is>
      </c>
      <c r="P240" s="19" t="inlineStr">
        <is>
          <t>03 October 2026</t>
        </is>
      </c>
      <c r="Q240" s="19" t="inlineStr"/>
      <c r="R240" s="19" t="inlineStr">
        <is>
          <t>backend/test/accounting.test.js :: payment-entries books and collects once (idempotent with the receipt flow) [passed]</t>
        </is>
      </c>
      <c r="S240" s="19" t="n"/>
    </row>
    <row r="241">
      <c r="A241" s="19" t="inlineStr">
        <is>
          <t>BV-COL-001</t>
        </is>
      </c>
      <c r="B241" s="19" t="inlineStr">
        <is>
          <t>Collections and credit control</t>
        </is>
      </c>
      <c r="C241" s="19" t="inlineStr">
        <is>
          <t>Collections</t>
        </is>
      </c>
      <c r="D241" s="19" t="inlineStr">
        <is>
          <t>Accounting Officer (liza.quiambao)</t>
        </is>
      </c>
      <c r="E241" s="19" t="inlineStr">
        <is>
          <t>Collections list built from receivables</t>
        </is>
      </c>
      <c r="F241" s="19" t="inlineStr">
        <is>
          <t>Functional</t>
        </is>
      </c>
      <c r="G241" s="19" t="inlineStr">
        <is>
          <t>High</t>
        </is>
      </c>
      <c r="H241" s="19" t="inlineStr">
        <is>
          <t>Bills open.</t>
        </is>
      </c>
      <c r="I241" s="19" t="inlineStr">
        <is>
          <t>1. Open Accounts &gt; Collections.
2. Filter by status and level; sort by days overdue.</t>
        </is>
      </c>
      <c r="J241" s="19" t="inlineStr">
        <is>
          <t>Status Overdue</t>
        </is>
      </c>
      <c r="K241" s="19" t="inlineStr">
        <is>
          <t>Every open receivable has a collection item; filters and sort work.</t>
        </is>
      </c>
      <c r="L241" s="19" t="inlineStr">
        <is>
          <t>As expected.</t>
        </is>
      </c>
      <c r="M241" s="19" t="inlineStr">
        <is>
          <t>Pass</t>
        </is>
      </c>
      <c r="N241" s="19" t="inlineStr"/>
      <c r="O241" s="19" t="inlineStr">
        <is>
          <t>iorta TechNXT QA</t>
        </is>
      </c>
      <c r="P241" s="19" t="inlineStr">
        <is>
          <t>04 October 2026</t>
        </is>
      </c>
      <c r="Q241" s="19" t="inlineStr"/>
      <c r="R241" s="19" t="inlineStr">
        <is>
          <t>backend/test/collections.test.js :: sync builds items from receivables (and books receivables created elsewhere) [passed]
backend/test/collections.test.js :: filters by status / level, sorts and pages [passed]
UAT cycle 03-04 October 2026, phase Billing and collection (61 passed, 0 failed)
Screen check /agent/collections: opened clean</t>
        </is>
      </c>
      <c r="S241" s="19" t="n"/>
    </row>
    <row r="242">
      <c r="A242" s="19" t="inlineStr">
        <is>
          <t>BV-COL-002</t>
        </is>
      </c>
      <c r="B242" s="19" t="inlineStr">
        <is>
          <t>Collections and credit control</t>
        </is>
      </c>
      <c r="C242" s="19" t="inlineStr">
        <is>
          <t>Collections</t>
        </is>
      </c>
      <c r="D242" s="19" t="inlineStr">
        <is>
          <t>Accounting Officer (liza.quiambao)</t>
        </is>
      </c>
      <c r="E242" s="19" t="inlineStr">
        <is>
          <t>Follow-up, commitment and reminder e-mail</t>
        </is>
      </c>
      <c r="F242" s="19" t="inlineStr">
        <is>
          <t>Functional</t>
        </is>
      </c>
      <c r="G242" s="19" t="inlineStr">
        <is>
          <t>Medium</t>
        </is>
      </c>
      <c r="H242" s="19" t="inlineStr">
        <is>
          <t>Overdue item.</t>
        </is>
      </c>
      <c r="I242" s="19" t="inlineStr">
        <is>
          <t>1. Open the item.
2. Click Add Note.
3. Record a promise to pay.
4. Click Send Email.</t>
        </is>
      </c>
      <c r="J242" s="19" t="inlineStr">
        <is>
          <t>Promise: PHP 50,000.00 on 15 October 2026</t>
        </is>
      </c>
      <c r="K242" s="19" t="inlineStr">
        <is>
          <t>History shows note, commitment, e-mail and payments.</t>
        </is>
      </c>
      <c r="L242" s="19" t="inlineStr">
        <is>
          <t>As expected.</t>
        </is>
      </c>
      <c r="M242" s="19" t="inlineStr">
        <is>
          <t>Pass</t>
        </is>
      </c>
      <c r="N242" s="19" t="inlineStr"/>
      <c r="O242" s="19" t="inlineStr">
        <is>
          <t>iorta TechNXT QA</t>
        </is>
      </c>
      <c r="P242" s="19" t="inlineStr">
        <is>
          <t>03 October 2026</t>
        </is>
      </c>
      <c r="Q242" s="19" t="inlineStr"/>
      <c r="R242" s="19" t="inlineStr">
        <is>
          <t>backend/test/collections.test.js :: detail, follow-up, commitment, e-mail and payment history [passed]</t>
        </is>
      </c>
      <c r="S242" s="19" t="n"/>
    </row>
    <row r="243">
      <c r="A243" s="19" t="inlineStr">
        <is>
          <t>BV-COL-003</t>
        </is>
      </c>
      <c r="B243" s="19" t="inlineStr">
        <is>
          <t>Collections and credit control</t>
        </is>
      </c>
      <c r="C243" s="19" t="inlineStr">
        <is>
          <t>Collections</t>
        </is>
      </c>
      <c r="D243" s="19" t="inlineStr">
        <is>
          <t>Accounting Officer (liza.quiambao)</t>
        </is>
      </c>
      <c r="E243" s="19" t="inlineStr">
        <is>
          <t>Ageing report, dashboard and due-date reminders</t>
        </is>
      </c>
      <c r="F243" s="19" t="inlineStr">
        <is>
          <t>Report</t>
        </is>
      </c>
      <c r="G243" s="19" t="inlineStr">
        <is>
          <t>High</t>
        </is>
      </c>
      <c r="H243" s="19" t="inlineStr">
        <is>
          <t>Open receivables.</t>
        </is>
      </c>
      <c r="I243" s="19" t="inlineStr">
        <is>
          <t>1. Open the ageing view and dashboard stats.
2. Click Send Payment Reminders Now.</t>
        </is>
      </c>
      <c r="J243" s="19" t="inlineStr">
        <is>
          <t>As of 04 October 2026</t>
        </is>
      </c>
      <c r="K243" s="19" t="inlineStr">
        <is>
          <t>Buckets Current, 1-30, 31-60, 61-90, over 90; total outstanding &gt; 0; reminders queued.</t>
        </is>
      </c>
      <c r="L243" s="19" t="inlineStr">
        <is>
          <t>As expected.</t>
        </is>
      </c>
      <c r="M243" s="19" t="inlineStr">
        <is>
          <t>Pass</t>
        </is>
      </c>
      <c r="N243" s="19" t="inlineStr"/>
      <c r="O243" s="19" t="inlineStr">
        <is>
          <t>iorta TechNXT QA</t>
        </is>
      </c>
      <c r="P243" s="19" t="inlineStr">
        <is>
          <t>04 October 2026</t>
        </is>
      </c>
      <c r="Q243" s="19" t="inlineStr"/>
      <c r="R243" s="19" t="inlineStr">
        <is>
          <t>backend/test/collections.test.js :: aging report, dashboard stats and due-date reminders [passed]
UAT cycle 03-04 October 2026, phase Reports and dashboards (58 passed, 0 failed)</t>
        </is>
      </c>
      <c r="S243" s="19" t="n"/>
    </row>
    <row r="244">
      <c r="A244" s="19" t="inlineStr">
        <is>
          <t>BV-COL-004</t>
        </is>
      </c>
      <c r="B244" s="19" t="inlineStr">
        <is>
          <t>Collections and credit control</t>
        </is>
      </c>
      <c r="C244" s="19" t="inlineStr">
        <is>
          <t>Collections</t>
        </is>
      </c>
      <c r="D244" s="19" t="inlineStr">
        <is>
          <t>Sales / Account Executive (maria.rivera)</t>
        </is>
      </c>
      <c r="E244" s="19" t="inlineStr">
        <is>
          <t>Collections validation and permissions</t>
        </is>
      </c>
      <c r="F244" s="19" t="inlineStr">
        <is>
          <t>Role access</t>
        </is>
      </c>
      <c r="G244" s="19" t="inlineStr">
        <is>
          <t>Low</t>
        </is>
      </c>
      <c r="H244" s="19" t="inlineStr">
        <is>
          <t>Signed in as maria.rivera.</t>
        </is>
      </c>
      <c r="I244" s="19" t="inlineStr">
        <is>
          <t>1. Try to update a collection item.</t>
        </is>
      </c>
      <c r="J244" s="19" t="inlineStr">
        <is>
          <t>None</t>
        </is>
      </c>
      <c r="K244" s="19" t="inlineStr">
        <is>
          <t>Refused.</t>
        </is>
      </c>
      <c r="L244" s="19" t="inlineStr">
        <is>
          <t>As expected.</t>
        </is>
      </c>
      <c r="M244" s="19" t="inlineStr">
        <is>
          <t>Pass</t>
        </is>
      </c>
      <c r="N244" s="19" t="inlineStr"/>
      <c r="O244" s="19" t="inlineStr">
        <is>
          <t>iorta TechNXT QA</t>
        </is>
      </c>
      <c r="P244" s="19" t="inlineStr">
        <is>
          <t>03 October 2026</t>
        </is>
      </c>
      <c r="Q244" s="19" t="inlineStr"/>
      <c r="R244" s="19" t="inlineStr">
        <is>
          <t>backend/test/collections.test.js :: validation and permissions [passed]</t>
        </is>
      </c>
      <c r="S244" s="19" t="n"/>
    </row>
    <row r="245">
      <c r="A245" s="19" t="inlineStr">
        <is>
          <t>BV-COL-005</t>
        </is>
      </c>
      <c r="B245" s="19" t="inlineStr">
        <is>
          <t>Collections and credit control</t>
        </is>
      </c>
      <c r="C245" s="19" t="inlineStr">
        <is>
          <t>Warranty</t>
        </is>
      </c>
      <c r="D245" s="19" t="inlineStr">
        <is>
          <t>Accounting Officer (liza.quiambao)</t>
        </is>
      </c>
      <c r="E245" s="19" t="inlineStr">
        <is>
          <t>Premium warranty monitor and reminder</t>
        </is>
      </c>
      <c r="F245" s="19" t="inlineStr">
        <is>
          <t>Functional</t>
        </is>
      </c>
      <c r="G245" s="19" t="inlineStr">
        <is>
          <t>High</t>
        </is>
      </c>
      <c r="H245" s="19" t="inlineStr">
        <is>
          <t>Broker-billed policies past their warranty days.</t>
        </is>
      </c>
      <c r="I245" s="19" t="inlineStr">
        <is>
          <t>1. Open Accounts &gt; Credit Control &gt; Premium Warranty Monitor.
2. Filter Breached.
3. Send a reminder.</t>
        </is>
      </c>
      <c r="J245" s="19" t="inlineStr">
        <is>
          <t>Notes: Premium past the warranty date: please settle to keep the cover in force</t>
        </is>
      </c>
      <c r="K245" s="19" t="inlineStr">
        <is>
          <t>Breached policies listed; reminder recorded.</t>
        </is>
      </c>
      <c r="L245" s="19" t="inlineStr">
        <is>
          <t>5 breached policies; 5 reminders.</t>
        </is>
      </c>
      <c r="M245" s="19" t="inlineStr">
        <is>
          <t>Pass</t>
        </is>
      </c>
      <c r="N245" s="19" t="inlineStr"/>
      <c r="O245" s="19" t="inlineStr">
        <is>
          <t>iorta TechNXT QA</t>
        </is>
      </c>
      <c r="P245" s="19" t="inlineStr">
        <is>
          <t>04 October 2026</t>
        </is>
      </c>
      <c r="Q245" s="19" t="inlineStr"/>
      <c r="R245" s="19" t="inlineStr">
        <is>
          <t>backend/test/credit-control.test.js :: lists broker-billed policies past their premium warranty and sends a reminder [passed]
UAT cycle 03-04 October 2026, phase Billing and collection (61 passed, 0 failed)
Screen check /accounts/credit-control/warranty: opened clean</t>
        </is>
      </c>
      <c r="S245" s="19" t="n"/>
    </row>
    <row r="246">
      <c r="A246" s="19" t="inlineStr">
        <is>
          <t>BV-COL-006</t>
        </is>
      </c>
      <c r="B246" s="19" t="inlineStr">
        <is>
          <t>Collections and credit control</t>
        </is>
      </c>
      <c r="C246" s="19" t="inlineStr">
        <is>
          <t>Warranty</t>
        </is>
      </c>
      <c r="D246" s="19" t="inlineStr">
        <is>
          <t>Accounting Manager (teresa.villaroman)</t>
        </is>
      </c>
      <c r="E246" s="19" t="inlineStr">
        <is>
          <t>Warranty extension needs another user with approval right</t>
        </is>
      </c>
      <c r="F246" s="19" t="inlineStr">
        <is>
          <t>Negative</t>
        </is>
      </c>
      <c r="G246" s="19" t="inlineStr">
        <is>
          <t>High</t>
        </is>
      </c>
      <c r="H246" s="19" t="inlineStr">
        <is>
          <t>Extension requested by liza.quiambao.</t>
        </is>
      </c>
      <c r="I246" s="19" t="inlineStr">
        <is>
          <t>1. As liza.quiambao try to approve.
2. As teresa.villaroman approve.</t>
        </is>
      </c>
      <c r="J246" s="19" t="inlineStr">
        <is>
          <t>Reason: Corporate cheque in process</t>
        </is>
      </c>
      <c r="K246" s="19" t="inlineStr">
        <is>
          <t>Requester refused; manager approves; deadline moved within the maximum days.</t>
        </is>
      </c>
      <c r="L246" s="19" t="inlineStr">
        <is>
          <t>As expected.</t>
        </is>
      </c>
      <c r="M246" s="19" t="inlineStr">
        <is>
          <t>Pass</t>
        </is>
      </c>
      <c r="N246" s="19" t="inlineStr"/>
      <c r="O246" s="19" t="inlineStr">
        <is>
          <t>iorta TechNXT QA</t>
        </is>
      </c>
      <c r="P246" s="19" t="inlineStr">
        <is>
          <t>04 October 2026</t>
        </is>
      </c>
      <c r="Q246" s="19" t="inlineStr"/>
      <c r="R246" s="19" t="inlineStr">
        <is>
          <t>backend/test/credit-control.test.js :: extends the warranty only with the approval of another user holding approve:credit-control [passed]
UAT cycle 03-04 October 2026, phase Billing and collection (61 passed, 0 failed)</t>
        </is>
      </c>
      <c r="S246" s="19" t="n"/>
    </row>
    <row r="247">
      <c r="A247" s="19" t="inlineStr">
        <is>
          <t>BV-COL-007</t>
        </is>
      </c>
      <c r="B247" s="19" t="inlineStr">
        <is>
          <t>Collections and credit control</t>
        </is>
      </c>
      <c r="C247" s="19" t="inlineStr">
        <is>
          <t>Warranty</t>
        </is>
      </c>
      <c r="D247" s="19" t="inlineStr">
        <is>
          <t>Accounting Officer (liza.quiambao)</t>
        </is>
      </c>
      <c r="E247" s="19" t="inlineStr">
        <is>
          <t>Cancellation request to Operations</t>
        </is>
      </c>
      <c r="F247" s="19" t="inlineStr">
        <is>
          <t>Integration</t>
        </is>
      </c>
      <c r="G247" s="19" t="inlineStr">
        <is>
          <t>High</t>
        </is>
      </c>
      <c r="H247" s="19" t="inlineStr">
        <is>
          <t>Breached policy.</t>
        </is>
      </c>
      <c r="I247" s="19" t="inlineStr">
        <is>
          <t>1. Click cancellation request.</t>
        </is>
      </c>
      <c r="J247" s="19" t="inlineStr">
        <is>
          <t>Notes: Two reminders unanswered</t>
        </is>
      </c>
      <c r="K247" s="19" t="inlineStr">
        <is>
          <t>Request raised for Operations; policy not cancelled until Operations completes it.</t>
        </is>
      </c>
      <c r="L247" s="19" t="inlineStr">
        <is>
          <t>As expected.</t>
        </is>
      </c>
      <c r="M247" s="19" t="inlineStr">
        <is>
          <t>Pass</t>
        </is>
      </c>
      <c r="N247" s="19" t="inlineStr"/>
      <c r="O247" s="19" t="inlineStr">
        <is>
          <t>iorta TechNXT QA</t>
        </is>
      </c>
      <c r="P247" s="19" t="inlineStr">
        <is>
          <t>04 October 2026</t>
        </is>
      </c>
      <c r="Q247" s="19" t="inlineStr"/>
      <c r="R247" s="19" t="inlineStr">
        <is>
          <t>backend/test/credit-control.test.js :: raises a cancellation request for Operations without cancelling the policy [passed]
UAT cycle 03-04 October 2026, phase Billing and collection (61 passed, 0 failed)</t>
        </is>
      </c>
      <c r="S247" s="19" t="n"/>
    </row>
    <row r="248">
      <c r="A248" s="19" t="inlineStr">
        <is>
          <t>BV-COL-008</t>
        </is>
      </c>
      <c r="B248" s="19" t="inlineStr">
        <is>
          <t>Collections and credit control</t>
        </is>
      </c>
      <c r="C248" s="19" t="inlineStr">
        <is>
          <t>Credit limits</t>
        </is>
      </c>
      <c r="D248" s="19" t="inlineStr">
        <is>
          <t>Accounting Manager (teresa.villaroman)</t>
        </is>
      </c>
      <c r="E248" s="19" t="inlineStr">
        <is>
          <t>Only an approver sets a client credit limit</t>
        </is>
      </c>
      <c r="F248" s="19" t="inlineStr">
        <is>
          <t>Role access</t>
        </is>
      </c>
      <c r="G248" s="19" t="inlineStr">
        <is>
          <t>Medium</t>
        </is>
      </c>
      <c r="H248" s="19" t="inlineStr">
        <is>
          <t>Corporate clients.</t>
        </is>
      </c>
      <c r="I248" s="19" t="inlineStr">
        <is>
          <t>1. As liza.quiambao set a limit.
2. As ramon.almario set PHP 2,000,000.00.</t>
        </is>
      </c>
      <c r="J248" s="19" t="inlineStr">
        <is>
          <t>Hilaga Logistics and Warehousing Corp.</t>
        </is>
      </c>
      <c r="K248" s="19" t="inlineStr">
        <is>
          <t>Officer refused; manager saves.</t>
        </is>
      </c>
      <c r="L248" s="19" t="inlineStr">
        <is>
          <t>5 client credit limits set by the manager.</t>
        </is>
      </c>
      <c r="M248" s="19" t="inlineStr">
        <is>
          <t>Pass</t>
        </is>
      </c>
      <c r="N248" s="19" t="inlineStr"/>
      <c r="O248" s="19" t="inlineStr">
        <is>
          <t>iorta TechNXT QA</t>
        </is>
      </c>
      <c r="P248" s="19" t="inlineStr">
        <is>
          <t>04 October 2026</t>
        </is>
      </c>
      <c r="Q248" s="19" t="inlineStr"/>
      <c r="R248" s="19" t="inlineStr">
        <is>
          <t>backend/test/credit-control.test.js :: only an approver sets the limit; a broker-billed policy over it is issued with a warning [passed]
UAT cycle 03-04 October 2026, phase Billing and collection (61 passed, 0 failed)
Screen check /accounts/credit-control/limits: opened clean</t>
        </is>
      </c>
      <c r="S248" s="19" t="n"/>
    </row>
    <row r="249">
      <c r="A249" s="19" t="inlineStr">
        <is>
          <t>BV-COL-009</t>
        </is>
      </c>
      <c r="B249" s="19" t="inlineStr">
        <is>
          <t>Collections and credit control</t>
        </is>
      </c>
      <c r="C249" s="19" t="inlineStr">
        <is>
          <t>Remittance ageing</t>
        </is>
      </c>
      <c r="D249" s="19" t="inlineStr">
        <is>
          <t>Accounting Officer (liza.quiambao)</t>
        </is>
      </c>
      <c r="E249" s="19" t="inlineStr">
        <is>
          <t>Collected premium aged on insurer remittance terms</t>
        </is>
      </c>
      <c r="F249" s="19" t="inlineStr">
        <is>
          <t>Report</t>
        </is>
      </c>
      <c r="G249" s="19" t="inlineStr">
        <is>
          <t>High</t>
        </is>
      </c>
      <c r="H249" s="19" t="inlineStr">
        <is>
          <t>Collections not yet remitted.</t>
        </is>
      </c>
      <c r="I249" s="19" t="inlineStr">
        <is>
          <t>1. Open Accounts &gt; Credit Control &gt; Remittance Ageing.</t>
        </is>
      </c>
      <c r="J249" s="19" t="inlineStr">
        <is>
          <t>As of 04 October 2026</t>
        </is>
      </c>
      <c r="K249" s="19" t="inlineStr">
        <is>
          <t>Each collection aged from its receipt date on the insurer terms until the voucher is approved.</t>
        </is>
      </c>
      <c r="L249" s="19" t="inlineStr">
        <is>
          <t>72 collections PHP 6,033,429.59 before remittance; 39 PHP 3,167,534.19 after.</t>
        </is>
      </c>
      <c r="M249" s="19" t="inlineStr">
        <is>
          <t>Pass</t>
        </is>
      </c>
      <c r="N249" s="19" t="inlineStr"/>
      <c r="O249" s="19" t="inlineStr">
        <is>
          <t>iorta TechNXT QA</t>
        </is>
      </c>
      <c r="P249" s="19" t="inlineStr">
        <is>
          <t>04 October 2026</t>
        </is>
      </c>
      <c r="Q249" s="19" t="inlineStr"/>
      <c r="R249" s="19" t="inlineStr">
        <is>
          <t>backend/test/credit-control.test.js :: ages collected premium on the insurer remittance terms until the voucher is approved [passed]
backend/test/uat-disconnects.test.js :: the remittance ageing dates a collection with its receipt, not with the day it was keyed in [passed]
UAT cycle 03-04 October 2026, phase Money: remittances, commission, petty cash (27 passed, 0 failed)
Screen check /accounts/credit-control/remittance-ageing: opened clean</t>
        </is>
      </c>
      <c r="S249" s="19" t="n"/>
    </row>
    <row r="250">
      <c r="A250" s="19" t="inlineStr">
        <is>
          <t>BV-COL-010</t>
        </is>
      </c>
      <c r="B250" s="19" t="inlineStr">
        <is>
          <t>Collections and credit control</t>
        </is>
      </c>
      <c r="C250" s="19" t="inlineStr">
        <is>
          <t>Receivable due date</t>
        </is>
      </c>
      <c r="D250" s="19" t="inlineStr">
        <is>
          <t>Accounting Officer (liza.quiambao)</t>
        </is>
      </c>
      <c r="E250" s="19" t="inlineStr">
        <is>
          <t>Bill due date follows insurer warranty days</t>
        </is>
      </c>
      <c r="F250" s="19" t="inlineStr">
        <is>
          <t>Validation</t>
        </is>
      </c>
      <c r="G250" s="19" t="inlineStr">
        <is>
          <t>Medium</t>
        </is>
      </c>
      <c r="H250" s="19" t="inlineStr">
        <is>
          <t>Insurer Mindanao Shield 30 days.</t>
        </is>
      </c>
      <c r="I250" s="19" t="inlineStr">
        <is>
          <t>1. Issue a policy and read the bill due date.</t>
        </is>
      </c>
      <c r="J250" s="19" t="inlineStr">
        <is>
          <t>Issue 10 September 2026</t>
        </is>
      </c>
      <c r="K250" s="19" t="inlineStr">
        <is>
          <t>Due 10 October 2026; credit days run from issue or later inception.</t>
        </is>
      </c>
      <c r="L250" s="19" t="inlineStr">
        <is>
          <t>As expected.</t>
        </is>
      </c>
      <c r="M250" s="19" t="inlineStr">
        <is>
          <t>Pass</t>
        </is>
      </c>
      <c r="N250" s="19" t="inlineStr"/>
      <c r="O250" s="19" t="inlineStr">
        <is>
          <t>iorta TechNXT QA</t>
        </is>
      </c>
      <c r="P250" s="19" t="inlineStr">
        <is>
          <t>03 October 2026</t>
        </is>
      </c>
      <c r="Q250" s="19" t="inlineStr"/>
      <c r="R250" s="19" t="inlineStr">
        <is>
          <t>backend/test/numbering.test.js :: sets the receivable due date from the insurer premium warranty days [passed]
backend/test/uat-disconnects.test.js :: books a policy on its issue date; its credit days run from the issue (or later inception) [passed]</t>
        </is>
      </c>
      <c r="S250" s="19" t="n"/>
    </row>
    <row r="251">
      <c r="A251" s="19" t="inlineStr">
        <is>
          <t>BV-DSB-001</t>
        </is>
      </c>
      <c r="B251" s="19" t="inlineStr">
        <is>
          <t>Disbursement and payment vouchers</t>
        </is>
      </c>
      <c r="C251" s="19" t="inlineStr">
        <is>
          <t>Disbursement</t>
        </is>
      </c>
      <c r="D251" s="19" t="inlineStr">
        <is>
          <t>Accounting Officer (liza.quiambao)</t>
        </is>
      </c>
      <c r="E251" s="19" t="inlineStr">
        <is>
          <t>Create a supplier payment voucher</t>
        </is>
      </c>
      <c r="F251" s="19" t="inlineStr">
        <is>
          <t>Functional</t>
        </is>
      </c>
      <c r="G251" s="19" t="inlineStr">
        <is>
          <t>High</t>
        </is>
      </c>
      <c r="H251" s="19" t="inlineStr">
        <is>
          <t>Signed in as liza.quiambao.</t>
        </is>
      </c>
      <c r="I251" s="19" t="inlineStr">
        <is>
          <t>1. Open Accounts &gt; Disbursement.
2. Click Create Disbursement.
3. Enter payee, transaction code, amount, payable lines.
4. Click Create Voucher.</t>
        </is>
      </c>
      <c r="J251" s="19" t="inlineStr">
        <is>
          <t>Payee: Metro Survey and Adjusting Corp.; PHP 12,500.00</t>
        </is>
      </c>
      <c r="K251" s="19" t="inlineStr">
        <is>
          <t>Voucher numbered and listed as pending.</t>
        </is>
      </c>
      <c r="L251" s="19" t="inlineStr">
        <is>
          <t>As expected.</t>
        </is>
      </c>
      <c r="M251" s="19" t="inlineStr">
        <is>
          <t>Pass</t>
        </is>
      </c>
      <c r="N251" s="19" t="inlineStr"/>
      <c r="O251" s="19" t="inlineStr">
        <is>
          <t>iorta TechNXT QA</t>
        </is>
      </c>
      <c r="P251" s="19" t="inlineStr">
        <is>
          <t>03 October 2026</t>
        </is>
      </c>
      <c r="Q251" s="19" t="inlineStr"/>
      <c r="R251" s="19" t="inlineStr">
        <is>
          <t>backend/test/disbursements.test.js :: creates a voucher, records a payable (invoice list) and reads them back [passed]
Screen check /accounts/paymentvoucher: opened clean</t>
        </is>
      </c>
      <c r="S251" s="19" t="n"/>
    </row>
    <row r="252">
      <c r="A252" s="19" t="inlineStr">
        <is>
          <t>BV-DSB-002</t>
        </is>
      </c>
      <c r="B252" s="19" t="inlineStr">
        <is>
          <t>Disbursement and payment vouchers</t>
        </is>
      </c>
      <c r="C252" s="19" t="inlineStr">
        <is>
          <t>Disbursement</t>
        </is>
      </c>
      <c r="D252" s="19" t="inlineStr">
        <is>
          <t>Accounting Officer (nestor.pangilinan)</t>
        </is>
      </c>
      <c r="E252" s="19" t="inlineStr">
        <is>
          <t>Maker cannot approve own cheque; checker approval posts</t>
        </is>
      </c>
      <c r="F252" s="19" t="inlineStr">
        <is>
          <t>Negative</t>
        </is>
      </c>
      <c r="G252" s="19" t="inlineStr">
        <is>
          <t>High</t>
        </is>
      </c>
      <c r="H252" s="19" t="inlineStr">
        <is>
          <t>Cheque for a client refund prepared by liza.quiambao.</t>
        </is>
      </c>
      <c r="I252" s="19" t="inlineStr">
        <is>
          <t>1. As liza.quiambao approve.
2. As nestor.pangilinan approve and print.</t>
        </is>
      </c>
      <c r="J252" s="19" t="inlineStr">
        <is>
          <t>Refund cheque BDO-CB-2026</t>
        </is>
      </c>
      <c r="K252" s="19" t="inlineStr">
        <is>
          <t>Maker refused; approval posts Dr Refund payable / Cr Cash; printing pays the voucher.</t>
        </is>
      </c>
      <c r="L252" s="19" t="inlineStr">
        <is>
          <t>As expected.</t>
        </is>
      </c>
      <c r="M252" s="19" t="inlineStr">
        <is>
          <t>Pass</t>
        </is>
      </c>
      <c r="N252" s="19" t="inlineStr"/>
      <c r="O252" s="19" t="inlineStr">
        <is>
          <t>iorta TechNXT QA</t>
        </is>
      </c>
      <c r="P252" s="19" t="inlineStr">
        <is>
          <t>04 October 2026</t>
        </is>
      </c>
      <c r="Q252" s="19" t="inlineStr"/>
      <c r="R252" s="19" t="inlineStr">
        <is>
          <t>backend/test/disbursements.test.js :: cheque: maker cannot approve own cheque; checker approval posts Dr Refund Payable / Cr Cash; printing pays the voucher [passed]
UAT cycle 03-04 October 2026, phase Servicing: endorsements, renewals, claims (31 passed, 0 failed)</t>
        </is>
      </c>
      <c r="S252" s="19" t="n"/>
    </row>
    <row r="253">
      <c r="A253" s="19" t="inlineStr">
        <is>
          <t>BV-DSB-003</t>
        </is>
      </c>
      <c r="B253" s="19" t="inlineStr">
        <is>
          <t>Disbursement and payment vouchers</t>
        </is>
      </c>
      <c r="C253" s="19" t="inlineStr">
        <is>
          <t>Disbursement</t>
        </is>
      </c>
      <c r="D253" s="19" t="inlineStr">
        <is>
          <t>Accounting Officer (liza.quiambao)</t>
        </is>
      </c>
      <c r="E253" s="19" t="inlineStr">
        <is>
          <t>Insurer remittance voucher net of commission</t>
        </is>
      </c>
      <c r="F253" s="19" t="inlineStr">
        <is>
          <t>Accounting</t>
        </is>
      </c>
      <c r="G253" s="19" t="inlineStr">
        <is>
          <t>High</t>
        </is>
      </c>
      <c r="H253" s="19" t="inlineStr">
        <is>
          <t>Approved settlement.</t>
        </is>
      </c>
      <c r="I253" s="19" t="inlineStr">
        <is>
          <t>1. Open the voucher raised by the settlement.</t>
        </is>
      </c>
      <c r="J253" s="19" t="inlineStr">
        <is>
          <t>Luzon Bay September 2026</t>
        </is>
      </c>
      <c r="K253" s="19" t="inlineStr">
        <is>
          <t>Premium net of commission and VAT plus EWT; clears premium due to the insurer.</t>
        </is>
      </c>
      <c r="L253" s="19" t="inlineStr">
        <is>
          <t>As expected.</t>
        </is>
      </c>
      <c r="M253" s="19" t="inlineStr">
        <is>
          <t>Pass</t>
        </is>
      </c>
      <c r="N253" s="19" t="inlineStr"/>
      <c r="O253" s="19" t="inlineStr">
        <is>
          <t>iorta TechNXT QA</t>
        </is>
      </c>
      <c r="P253" s="19" t="inlineStr">
        <is>
          <t>04 October 2026</t>
        </is>
      </c>
      <c r="Q253" s="19" t="inlineStr"/>
      <c r="R253" s="19" t="inlineStr">
        <is>
          <t>backend/test/disbursements.test.js :: insurer remittance voucher from collected premium (net of commission) [passed]
backend/test/commission-taxes.test.js :: the insurer voucher pays the premium net of commission and VAT plus the EWT, which clears the premium due to the insurer [passed]
UAT cycle 03-04 October 2026, phase Money: remittances, commission, petty cash (27 passed, 0 failed)</t>
        </is>
      </c>
      <c r="S253" s="19" t="n"/>
    </row>
    <row r="254">
      <c r="A254" s="19" t="inlineStr">
        <is>
          <t>BV-DSB-004</t>
        </is>
      </c>
      <c r="B254" s="19" t="inlineStr">
        <is>
          <t>Disbursement and payment vouchers</t>
        </is>
      </c>
      <c r="C254" s="19" t="inlineStr">
        <is>
          <t>Disbursement</t>
        </is>
      </c>
      <c r="D254" s="19" t="inlineStr">
        <is>
          <t>Accounting Officer (liza.quiambao)</t>
        </is>
      </c>
      <c r="E254" s="19" t="inlineStr">
        <is>
          <t>Filters, print and bulk upload</t>
        </is>
      </c>
      <c r="F254" s="19" t="inlineStr">
        <is>
          <t>Functional</t>
        </is>
      </c>
      <c r="G254" s="19" t="inlineStr">
        <is>
          <t>Low</t>
        </is>
      </c>
      <c r="H254" s="19" t="inlineStr">
        <is>
          <t>Vouchers exist.</t>
        </is>
      </c>
      <c r="I254" s="19" t="inlineStr">
        <is>
          <t>1. Filter by status and payee type.
2. Print a voucher.
3. Upload a voucher file.</t>
        </is>
      </c>
      <c r="J254" s="19" t="inlineStr">
        <is>
          <t>Payee type Insurer</t>
        </is>
      </c>
      <c r="K254" s="19" t="inlineStr">
        <is>
          <t>List filtered; PDF prints; upload creates vouchers.</t>
        </is>
      </c>
      <c r="L254" s="19" t="inlineStr">
        <is>
          <t>As expected.</t>
        </is>
      </c>
      <c r="M254" s="19" t="inlineStr">
        <is>
          <t>Pass</t>
        </is>
      </c>
      <c r="N254" s="19" t="inlineStr"/>
      <c r="O254" s="19" t="inlineStr">
        <is>
          <t>iorta TechNXT QA</t>
        </is>
      </c>
      <c r="P254" s="19" t="inlineStr">
        <is>
          <t>03 October 2026</t>
        </is>
      </c>
      <c r="Q254" s="19" t="inlineStr"/>
      <c r="R254" s="19" t="inlineStr">
        <is>
          <t>backend/test/disbursements.test.js :: lists seeded vouchers with filters [passed]
backend/test/disbursements.test.js :: print and bulk upload [passed]</t>
        </is>
      </c>
      <c r="S254" s="19" t="n"/>
    </row>
    <row r="255">
      <c r="A255" s="19" t="inlineStr">
        <is>
          <t>BV-DSB-005</t>
        </is>
      </c>
      <c r="B255" s="19" t="inlineStr">
        <is>
          <t>Disbursement and payment vouchers</t>
        </is>
      </c>
      <c r="C255" s="19" t="inlineStr">
        <is>
          <t>Disbursement</t>
        </is>
      </c>
      <c r="D255" s="19" t="inlineStr">
        <is>
          <t>Sales / Account Executive (maria.rivera)</t>
        </is>
      </c>
      <c r="E255" s="19" t="inlineStr">
        <is>
          <t>Disbursement validation and permissions</t>
        </is>
      </c>
      <c r="F255" s="19" t="inlineStr">
        <is>
          <t>Role access</t>
        </is>
      </c>
      <c r="G255" s="19" t="inlineStr">
        <is>
          <t>Medium</t>
        </is>
      </c>
      <c r="H255" s="19" t="inlineStr">
        <is>
          <t>Signed in as maria.rivera.</t>
        </is>
      </c>
      <c r="I255" s="19" t="inlineStr">
        <is>
          <t>1. Open /accounts/paymentvoucher by address.</t>
        </is>
      </c>
      <c r="J255" s="19" t="inlineStr">
        <is>
          <t>None</t>
        </is>
      </c>
      <c r="K255" s="19" t="inlineStr">
        <is>
          <t>Not available.</t>
        </is>
      </c>
      <c r="L255" s="19" t="inlineStr">
        <is>
          <t>As expected.</t>
        </is>
      </c>
      <c r="M255" s="19" t="inlineStr">
        <is>
          <t>Pass</t>
        </is>
      </c>
      <c r="N255" s="19" t="inlineStr"/>
      <c r="O255" s="19" t="inlineStr">
        <is>
          <t>iorta TechNXT QA</t>
        </is>
      </c>
      <c r="P255" s="19" t="inlineStr">
        <is>
          <t>03 October 2026</t>
        </is>
      </c>
      <c r="Q255" s="19" t="inlineStr"/>
      <c r="R255" s="19" t="inlineStr">
        <is>
          <t>backend/test/disbursements.test.js :: validation and permissions [passed]</t>
        </is>
      </c>
      <c r="S255" s="19" t="n"/>
    </row>
    <row r="256">
      <c r="A256" s="19" t="inlineStr">
        <is>
          <t>BV-DSB-006</t>
        </is>
      </c>
      <c r="B256" s="19" t="inlineStr">
        <is>
          <t>Disbursement and payment vouchers</t>
        </is>
      </c>
      <c r="C256" s="19" t="inlineStr">
        <is>
          <t>Refund</t>
        </is>
      </c>
      <c r="D256" s="19" t="inlineStr">
        <is>
          <t>Accounting Officer (liza.quiambao)</t>
        </is>
      </c>
      <c r="E256" s="19" t="inlineStr">
        <is>
          <t>Refund netted against the next remittance</t>
        </is>
      </c>
      <c r="F256" s="19" t="inlineStr">
        <is>
          <t>Accounting</t>
        </is>
      </c>
      <c r="G256" s="19" t="inlineStr">
        <is>
          <t>Medium</t>
        </is>
      </c>
      <c r="H256" s="19" t="inlineStr">
        <is>
          <t>Return on premium already remitted.</t>
        </is>
      </c>
      <c r="I256" s="19" t="inlineStr">
        <is>
          <t>1. Raise the refund receivable from the insurer.
2. Prepare the next remittance voucher.</t>
        </is>
      </c>
      <c r="J256" s="19" t="inlineStr">
        <is>
          <t>Remitted share of return</t>
        </is>
      </c>
      <c r="K256" s="19" t="inlineStr">
        <is>
          <t>Refund receivable raised and netted on the next voucher.</t>
        </is>
      </c>
      <c r="L256" s="19" t="inlineStr">
        <is>
          <t>As expected.</t>
        </is>
      </c>
      <c r="M256" s="19" t="inlineStr">
        <is>
          <t>Pass</t>
        </is>
      </c>
      <c r="N256" s="19" t="inlineStr"/>
      <c r="O256" s="19" t="inlineStr">
        <is>
          <t>iorta TechNXT QA</t>
        </is>
      </c>
      <c r="P256" s="19" t="inlineStr">
        <is>
          <t>03 October 2026</t>
        </is>
      </c>
      <c r="Q256" s="19" t="inlineStr"/>
      <c r="R256" s="19" t="inlineStr">
        <is>
          <t>backend/test/accounting-followups.test.js :: raises a refund receivable for the remitted share of a return on paid premium [passed]
backend/test/accounting-followups.test.js :: nets the refund against the next remittance voucher to the insurer [passed]</t>
        </is>
      </c>
      <c r="S256" s="19" t="n"/>
    </row>
    <row r="257">
      <c r="A257" s="19" t="inlineStr">
        <is>
          <t>BV-REM-001</t>
        </is>
      </c>
      <c r="B257" s="19" t="inlineStr">
        <is>
          <t>Remittance to insurers</t>
        </is>
      </c>
      <c r="C257" s="19" t="inlineStr">
        <is>
          <t>Remittance</t>
        </is>
      </c>
      <c r="D257" s="19" t="inlineStr">
        <is>
          <t>Accounting Officer (liza.quiambao)</t>
        </is>
      </c>
      <c r="E257" s="19" t="inlineStr">
        <is>
          <t>Create and process a monthly remittance to an insurer</t>
        </is>
      </c>
      <c r="F257" s="19" t="inlineStr">
        <is>
          <t>Functional</t>
        </is>
      </c>
      <c r="G257" s="19" t="inlineStr">
        <is>
          <t>High</t>
        </is>
      </c>
      <c r="H257" s="19" t="inlineStr">
        <is>
          <t>Collections of August 2026 for Pacific Crest.</t>
        </is>
      </c>
      <c r="I257" s="19" t="inlineStr">
        <is>
          <t>1. Open Accounts &gt; Remittance &gt; Tracking.
2. Create remittance for PCIC, period 2026-08, policies.
3. Process it.</t>
        </is>
      </c>
      <c r="J257" s="19" t="inlineStr">
        <is>
          <t>PCIC; 2026-08; remittance date 10 September 2026</t>
        </is>
      </c>
      <c r="K257" s="19" t="inlineStr">
        <is>
          <t>Remittance created and sent for approval.</t>
        </is>
      </c>
      <c r="L257" s="19" t="inlineStr">
        <is>
          <t>As expected.</t>
        </is>
      </c>
      <c r="M257" s="19" t="inlineStr">
        <is>
          <t>Pass</t>
        </is>
      </c>
      <c r="N257" s="19" t="inlineStr"/>
      <c r="O257" s="19" t="inlineStr">
        <is>
          <t>iorta TechNXT QA</t>
        </is>
      </c>
      <c r="P257" s="19" t="inlineStr">
        <is>
          <t>04 October 2026</t>
        </is>
      </c>
      <c r="Q257" s="19" t="inlineStr"/>
      <c r="R257" s="19" t="inlineStr">
        <is>
          <t>backend/test/remittance.test.js :: creates a remittance, validates and processes it, and enforces maker-checker [passed]
UAT cycle 03-04 October 2026, phase Money: remittances, commission, petty cash (27 passed, 0 failed)
Screen check /finance/remittance/tracking/status: opened clean</t>
        </is>
      </c>
      <c r="S257" s="19" t="n"/>
    </row>
    <row r="258">
      <c r="A258" s="19" t="inlineStr">
        <is>
          <t>BV-REM-002</t>
        </is>
      </c>
      <c r="B258" s="19" t="inlineStr">
        <is>
          <t>Remittance to insurers</t>
        </is>
      </c>
      <c r="C258" s="19" t="inlineStr">
        <is>
          <t>Approval Workflow</t>
        </is>
      </c>
      <c r="D258" s="19" t="inlineStr">
        <is>
          <t>Accounting Officer (nestor.pangilinan)</t>
        </is>
      </c>
      <c r="E258" s="19" t="inlineStr">
        <is>
          <t>Approval levels by amount, each by a different user</t>
        </is>
      </c>
      <c r="F258" s="19" t="inlineStr">
        <is>
          <t>Negative</t>
        </is>
      </c>
      <c r="G258" s="19" t="inlineStr">
        <is>
          <t>High</t>
        </is>
      </c>
      <c r="H258" s="19" t="inlineStr">
        <is>
          <t>Remittance pending.</t>
        </is>
      </c>
      <c r="I258" s="19" t="inlineStr">
        <is>
          <t>1. As liza.quiambao approve.
2. As nestor.pangilinan, teresa.villaroman and ramon.almario approve in turn.</t>
        </is>
      </c>
      <c r="J258" s="19" t="inlineStr">
        <is>
          <t>remittance.approval_levels</t>
        </is>
      </c>
      <c r="K258" s="19" t="inlineStr">
        <is>
          <t>Maker refused; each level approved by a different user; nothing left pending.</t>
        </is>
      </c>
      <c r="L258" s="19" t="inlineStr">
        <is>
          <t>68 approvals across levels.</t>
        </is>
      </c>
      <c r="M258" s="19" t="inlineStr">
        <is>
          <t>Pass</t>
        </is>
      </c>
      <c r="N258" s="19" t="inlineStr"/>
      <c r="O258" s="19" t="inlineStr">
        <is>
          <t>iorta TechNXT QA</t>
        </is>
      </c>
      <c r="P258" s="19" t="inlineStr">
        <is>
          <t>04 October 2026</t>
        </is>
      </c>
      <c r="Q258" s="19" t="inlineStr"/>
      <c r="R258" s="19" t="inlineStr">
        <is>
          <t>backend/test/remittance.test.js :: creates a remittance, validates and processes it, and enforces maker-checker [passed]
backend/test/role-access.test.js :: GET /remittance/approvals/approvers lists the other users who may approve remittances [passed]
UAT cycle 03-04 October 2026, phase Money: remittances, commission, petty cash (27 passed, 0 failed)
Screen check /finance/remittance/approval: opened clean</t>
        </is>
      </c>
      <c r="S258" s="19" t="n"/>
    </row>
    <row r="259">
      <c r="A259" s="19" t="inlineStr">
        <is>
          <t>BV-REM-003</t>
        </is>
      </c>
      <c r="B259" s="19" t="inlineStr">
        <is>
          <t>Remittance to insurers</t>
        </is>
      </c>
      <c r="C259" s="19" t="inlineStr">
        <is>
          <t>Settlement</t>
        </is>
      </c>
      <c r="D259" s="19" t="inlineStr">
        <is>
          <t>Accounting Officer (liza.quiambao)</t>
        </is>
      </c>
      <c r="E259" s="19" t="inlineStr">
        <is>
          <t>Settlement approved by a second user raises the voucher</t>
        </is>
      </c>
      <c r="F259" s="19" t="inlineStr">
        <is>
          <t>Accounting</t>
        </is>
      </c>
      <c r="G259" s="19" t="inlineStr">
        <is>
          <t>High</t>
        </is>
      </c>
      <c r="H259" s="19" t="inlineStr">
        <is>
          <t>Approved remittance.</t>
        </is>
      </c>
      <c r="I259" s="19" t="inlineStr">
        <is>
          <t>1. Open Settlement; select available lines; submit with cheque from BDO-OPS.
2. Second user approves.</t>
        </is>
      </c>
      <c r="J259" s="19" t="inlineStr">
        <is>
          <t>Settlement period 01 to 31 August 2026</t>
        </is>
      </c>
      <c r="K259" s="19" t="inlineStr">
        <is>
          <t>Payment voucher raised for collected premium only up to period end; cheque pays the payables.</t>
        </is>
      </c>
      <c r="L259" s="19" t="inlineStr">
        <is>
          <t>16 settled and paid by cheque; 6 approved with cheque not yet released.</t>
        </is>
      </c>
      <c r="M259" s="19" t="inlineStr">
        <is>
          <t>Pass</t>
        </is>
      </c>
      <c r="N259" s="19" t="inlineStr"/>
      <c r="O259" s="19" t="inlineStr">
        <is>
          <t>iorta TechNXT QA</t>
        </is>
      </c>
      <c r="P259" s="19" t="inlineStr">
        <is>
          <t>04 October 2026</t>
        </is>
      </c>
      <c r="Q259" s="19" t="inlineStr"/>
      <c r="R259" s="19" t="inlineStr">
        <is>
          <t>backend/test/remittance.test.js :: settles through a settlement approved by a second user [passed]
backend/test/remittance.test.js :: an approved settlement raises the insurer payment voucher for the collected premium [passed]
backend/test/uat-disconnects.test.js :: a settlement voucher pays only what was collected up to the end of the settlement period; its cheque pays the voucher's payables [passed]
UAT cycle 03-04 October 2026, phase Money: remittances, commission, petty cash (27 passed, 0 failed)
Screen check /finance/remittance/settlement/process: opened clean</t>
        </is>
      </c>
      <c r="S259" s="19" t="n"/>
    </row>
    <row r="260">
      <c r="A260" s="19" t="inlineStr">
        <is>
          <t>BV-REM-004</t>
        </is>
      </c>
      <c r="B260" s="19" t="inlineStr">
        <is>
          <t>Remittance to insurers</t>
        </is>
      </c>
      <c r="C260" s="19" t="inlineStr">
        <is>
          <t>Settlement</t>
        </is>
      </c>
      <c r="D260" s="19" t="inlineStr">
        <is>
          <t>Accounting Officer (liza.quiambao)</t>
        </is>
      </c>
      <c r="E260" s="19" t="inlineStr">
        <is>
          <t>Settlement below minimum amount held</t>
        </is>
      </c>
      <c r="F260" s="19" t="inlineStr">
        <is>
          <t>Negative</t>
        </is>
      </c>
      <c r="G260" s="19" t="inlineStr">
        <is>
          <t>Medium</t>
        </is>
      </c>
      <c r="H260" s="19" t="inlineStr">
        <is>
          <t>Small collection.</t>
        </is>
      </c>
      <c r="I260" s="19" t="inlineStr">
        <is>
          <t>1. Create a settlement below the minimum.</t>
        </is>
      </c>
      <c r="J260" s="19" t="inlineStr">
        <is>
          <t>PHP 850.00</t>
        </is>
      </c>
      <c r="K260" s="19" t="inlineStr">
        <is>
          <t>Refused: below the minimum settlement amount; waits for the next settlement.</t>
        </is>
      </c>
      <c r="L260" s="19" t="inlineStr"/>
      <c r="M260" s="19" t="inlineStr">
        <is>
          <t>Not Run</t>
        </is>
      </c>
      <c r="N260" s="19" t="inlineStr"/>
      <c r="O260" s="19" t="inlineStr">
        <is>
          <t>iorta TechNXT QA</t>
        </is>
      </c>
      <c r="P260" s="19" t="inlineStr"/>
      <c r="Q260" s="19" t="inlineStr">
        <is>
          <t>No collection fell below the minimum in the cycle; run by hand with a small collection.</t>
        </is>
      </c>
      <c r="R260" s="19" t="inlineStr"/>
      <c r="S260" s="19" t="n"/>
    </row>
    <row r="261">
      <c r="A261" s="19" t="inlineStr">
        <is>
          <t>BV-REM-005</t>
        </is>
      </c>
      <c r="B261" s="19" t="inlineStr">
        <is>
          <t>Remittance to insurers</t>
        </is>
      </c>
      <c r="C261" s="19" t="inlineStr">
        <is>
          <t>Direct-bill exclusion</t>
        </is>
      </c>
      <c r="D261" s="19" t="inlineStr">
        <is>
          <t>Accounting Officer (liza.quiambao)</t>
        </is>
      </c>
      <c r="E261" s="19" t="inlineStr">
        <is>
          <t>Direct-bill policies never remitted</t>
        </is>
      </c>
      <c r="F261" s="19" t="inlineStr">
        <is>
          <t>Negative</t>
        </is>
      </c>
      <c r="G261" s="19" t="inlineStr">
        <is>
          <t>High</t>
        </is>
      </c>
      <c r="H261" s="19" t="inlineStr">
        <is>
          <t>Direct-bill policy.</t>
        </is>
      </c>
      <c r="I261" s="19" t="inlineStr">
        <is>
          <t>1. Look for the policy in remittance candidates.</t>
        </is>
      </c>
      <c r="J261" s="19" t="inlineStr">
        <is>
          <t>Direct-bill motor policy</t>
        </is>
      </c>
      <c r="K261" s="19" t="inlineStr">
        <is>
          <t>Not offered; broker-billed policies not offered for commission debit notes.</t>
        </is>
      </c>
      <c r="L261" s="19" t="inlineStr">
        <is>
          <t>As expected.</t>
        </is>
      </c>
      <c r="M261" s="19" t="inlineStr">
        <is>
          <t>Pass</t>
        </is>
      </c>
      <c r="N261" s="19" t="inlineStr"/>
      <c r="O261" s="19" t="inlineStr">
        <is>
          <t>iorta TechNXT QA</t>
        </is>
      </c>
      <c r="P261" s="19" t="inlineStr">
        <is>
          <t>03 October 2026</t>
        </is>
      </c>
      <c r="Q261" s="19" t="inlineStr"/>
      <c r="R261" s="19" t="inlineStr">
        <is>
          <t>backend/test/remittance.test.js :: direct-bill policies are never remitted to the insurer (the client paid the insurer) [passed]
backend/test/remittance.test.js :: broker-billed policies are not offered for direct-bill commission debit notes [passed]
backend/test/direct-bill.test.js :: shows no premium to collect, refuses premium capture and is never remitted to the insurer [passed]</t>
        </is>
      </c>
      <c r="S261" s="19" t="n"/>
    </row>
    <row r="262">
      <c r="A262" s="19" t="inlineStr">
        <is>
          <t>BV-REM-006</t>
        </is>
      </c>
      <c r="B262" s="19" t="inlineStr">
        <is>
          <t>Remittance to insurers</t>
        </is>
      </c>
      <c r="C262" s="19" t="inlineStr">
        <is>
          <t>Co-insurance</t>
        </is>
      </c>
      <c r="D262" s="19" t="inlineStr">
        <is>
          <t>Accounting Officer (liza.quiambao)</t>
        </is>
      </c>
      <c r="E262" s="19" t="inlineStr">
        <is>
          <t>Remit each co-insurer its share less its commission</t>
        </is>
      </c>
      <c r="F262" s="19" t="inlineStr">
        <is>
          <t>Accounting</t>
        </is>
      </c>
      <c r="G262" s="19" t="inlineStr">
        <is>
          <t>High</t>
        </is>
      </c>
      <c r="H262" s="19" t="inlineStr">
        <is>
          <t>Co-insured policy collected.</t>
        </is>
      </c>
      <c r="I262" s="19" t="inlineStr">
        <is>
          <t>1. Remit.</t>
        </is>
      </c>
      <c r="J262" s="19" t="inlineStr">
        <is>
          <t>Shares 60 / 40</t>
        </is>
      </c>
      <c r="K262" s="19" t="inlineStr">
        <is>
          <t>Each co-insurer gets its own share net of its commission.</t>
        </is>
      </c>
      <c r="L262" s="19" t="inlineStr">
        <is>
          <t>As expected.</t>
        </is>
      </c>
      <c r="M262" s="19" t="inlineStr">
        <is>
          <t>Pass</t>
        </is>
      </c>
      <c r="N262" s="19" t="inlineStr"/>
      <c r="O262" s="19" t="inlineStr">
        <is>
          <t>iorta TechNXT QA</t>
        </is>
      </c>
      <c r="P262" s="19" t="inlineStr">
        <is>
          <t>03 October 2026</t>
        </is>
      </c>
      <c r="Q262" s="19" t="inlineStr"/>
      <c r="R262" s="19" t="inlineStr">
        <is>
          <t>backend/test/posting-rules.test.js :: remits to each co-insurer its share of the premium less its own commission [passed]</t>
        </is>
      </c>
      <c r="S262" s="19" t="n"/>
    </row>
    <row r="263">
      <c r="A263" s="19" t="inlineStr">
        <is>
          <t>BV-REM-007</t>
        </is>
      </c>
      <c r="B263" s="19" t="inlineStr">
        <is>
          <t>Remittance to insurers</t>
        </is>
      </c>
      <c r="C263" s="19" t="inlineStr">
        <is>
          <t>Adjustments</t>
        </is>
      </c>
      <c r="D263" s="19" t="inlineStr">
        <is>
          <t>Accounting Officer (liza.quiambao)</t>
        </is>
      </c>
      <c r="E263" s="19" t="inlineStr">
        <is>
          <t>Remittance adjustment follows type master and approval</t>
        </is>
      </c>
      <c r="F263" s="19" t="inlineStr">
        <is>
          <t>Functional</t>
        </is>
      </c>
      <c r="G263" s="19" t="inlineStr">
        <is>
          <t>Medium</t>
        </is>
      </c>
      <c r="H263" s="19" t="inlineStr">
        <is>
          <t>Remittance open.</t>
        </is>
      </c>
      <c r="I263" s="19" t="inlineStr">
        <is>
          <t>1. Open Adjustments and Add adjustment.
2. Approve as a second user.</t>
        </is>
      </c>
      <c r="J263" s="19" t="inlineStr">
        <is>
          <t>Short remittance PHP 120.00</t>
        </is>
      </c>
      <c r="K263" s="19" t="inlineStr">
        <is>
          <t>Adjustment saved per master and approved.</t>
        </is>
      </c>
      <c r="L263" s="19" t="inlineStr">
        <is>
          <t>As expected.</t>
        </is>
      </c>
      <c r="M263" s="19" t="inlineStr">
        <is>
          <t>Pass</t>
        </is>
      </c>
      <c r="N263" s="19" t="inlineStr"/>
      <c r="O263" s="19" t="inlineStr">
        <is>
          <t>iorta TechNXT QA</t>
        </is>
      </c>
      <c r="P263" s="19" t="inlineStr">
        <is>
          <t>03 October 2026</t>
        </is>
      </c>
      <c r="Q263" s="19" t="inlineStr"/>
      <c r="R263" s="19" t="inlineStr">
        <is>
          <t>backend/test/remittance.test.js :: adjustments follow the adjustment-type master and approval [passed]
Screen check /finance/remittance/adjustments: opened clean</t>
        </is>
      </c>
      <c r="S263" s="19" t="n"/>
    </row>
    <row r="264">
      <c r="A264" s="19" t="inlineStr">
        <is>
          <t>BV-REM-008</t>
        </is>
      </c>
      <c r="B264" s="19" t="inlineStr">
        <is>
          <t>Remittance to insurers</t>
        </is>
      </c>
      <c r="C264" s="19" t="inlineStr">
        <is>
          <t>Electronic Transfer</t>
        </is>
      </c>
      <c r="D264" s="19" t="inlineStr">
        <is>
          <t>Accounting Officer (liza.quiambao)</t>
        </is>
      </c>
      <c r="E264" s="19" t="inlineStr">
        <is>
          <t>Electronic transfer limits and approval</t>
        </is>
      </c>
      <c r="F264" s="19" t="inlineStr">
        <is>
          <t>Negative</t>
        </is>
      </c>
      <c r="G264" s="19" t="inlineStr">
        <is>
          <t>Medium</t>
        </is>
      </c>
      <c r="H264" s="19" t="inlineStr">
        <is>
          <t>Transfer method limits.</t>
        </is>
      </c>
      <c r="I264" s="19" t="inlineStr">
        <is>
          <t>1. Create transfer above the method limit.
2. Execute before approval.</t>
        </is>
      </c>
      <c r="J264" s="19" t="inlineStr">
        <is>
          <t>InstaPay PHP 60,000.00</t>
        </is>
      </c>
      <c r="K264" s="19" t="inlineStr">
        <is>
          <t>Above limit refused; execution blocked until approved.</t>
        </is>
      </c>
      <c r="L264" s="19" t="inlineStr">
        <is>
          <t>As expected.</t>
        </is>
      </c>
      <c r="M264" s="19" t="inlineStr">
        <is>
          <t>Pass</t>
        </is>
      </c>
      <c r="N264" s="19" t="inlineStr"/>
      <c r="O264" s="19" t="inlineStr">
        <is>
          <t>iorta TechNXT QA</t>
        </is>
      </c>
      <c r="P264" s="19" t="inlineStr">
        <is>
          <t>03 October 2026</t>
        </is>
      </c>
      <c r="Q264" s="19" t="inlineStr"/>
      <c r="R264" s="19" t="inlineStr">
        <is>
          <t>backend/test/remittance.test.js :: electronic transfers check method limits and need approval before execution [passed]
Screen check /finance/remittance/electronictransfer: opened clean</t>
        </is>
      </c>
      <c r="S264" s="19" t="n"/>
    </row>
    <row r="265">
      <c r="A265" s="19" t="inlineStr">
        <is>
          <t>BV-REM-009</t>
        </is>
      </c>
      <c r="B265" s="19" t="inlineStr">
        <is>
          <t>Remittance to insurers</t>
        </is>
      </c>
      <c r="C265" s="19" t="inlineStr">
        <is>
          <t>Agency Bill</t>
        </is>
      </c>
      <c r="D265" s="19" t="inlineStr">
        <is>
          <t>Accounting Officer (liza.quiambao)</t>
        </is>
      </c>
      <c r="E265" s="19" t="inlineStr">
        <is>
          <t>Agency bills per agent with previous balance</t>
        </is>
      </c>
      <c r="F265" s="19" t="inlineStr">
        <is>
          <t>Functional</t>
        </is>
      </c>
      <c r="G265" s="19" t="inlineStr">
        <is>
          <t>Low</t>
        </is>
      </c>
      <c r="H265" s="19" t="inlineStr">
        <is>
          <t>Agents with collections.</t>
        </is>
      </c>
      <c r="I265" s="19" t="inlineStr">
        <is>
          <t>1. Open Agency Bill Processing and Generate bills.</t>
        </is>
      </c>
      <c r="J265" s="19" t="inlineStr">
        <is>
          <t>September 2026</t>
        </is>
      </c>
      <c r="K265" s="19" t="inlineStr">
        <is>
          <t>Bill per agent with previous balance.</t>
        </is>
      </c>
      <c r="L265" s="19" t="inlineStr">
        <is>
          <t>As expected.</t>
        </is>
      </c>
      <c r="M265" s="19" t="inlineStr">
        <is>
          <t>Pass</t>
        </is>
      </c>
      <c r="N265" s="19" t="inlineStr"/>
      <c r="O265" s="19" t="inlineStr">
        <is>
          <t>iorta TechNXT QA</t>
        </is>
      </c>
      <c r="P265" s="19" t="inlineStr">
        <is>
          <t>03 October 2026</t>
        </is>
      </c>
      <c r="Q265" s="19" t="inlineStr"/>
      <c r="R265" s="19" t="inlineStr">
        <is>
          <t>backend/test/remittance.test.js :: agency bills per agent with previous balance [passed]
Screen check /finance/remittance/agencybill: opened clean</t>
        </is>
      </c>
      <c r="S265" s="19" t="n"/>
    </row>
    <row r="266">
      <c r="A266" s="19" t="inlineStr">
        <is>
          <t>BV-REM-010</t>
        </is>
      </c>
      <c r="B266" s="19" t="inlineStr">
        <is>
          <t>Remittance to insurers</t>
        </is>
      </c>
      <c r="C266" s="19" t="inlineStr">
        <is>
          <t>Bulk Processing</t>
        </is>
      </c>
      <c r="D266" s="19" t="inlineStr">
        <is>
          <t>Accounting Officer (liza.quiambao)</t>
        </is>
      </c>
      <c r="E266" s="19" t="inlineStr">
        <is>
          <t>Bulk upload validates rows</t>
        </is>
      </c>
      <c r="F266" s="19" t="inlineStr">
        <is>
          <t>Validation</t>
        </is>
      </c>
      <c r="G266" s="19" t="inlineStr">
        <is>
          <t>Medium</t>
        </is>
      </c>
      <c r="H266" s="19" t="inlineStr">
        <is>
          <t>Template.</t>
        </is>
      </c>
      <c r="I266" s="19" t="inlineStr">
        <is>
          <t>1. Upload a file with one valid and one invalid row.</t>
        </is>
      </c>
      <c r="J266" s="19" t="inlineStr">
        <is>
          <t>2 rows</t>
        </is>
      </c>
      <c r="K266" s="19" t="inlineStr">
        <is>
          <t>Valid processed; invalid reported.</t>
        </is>
      </c>
      <c r="L266" s="19" t="inlineStr">
        <is>
          <t>As expected.</t>
        </is>
      </c>
      <c r="M266" s="19" t="inlineStr">
        <is>
          <t>Pass</t>
        </is>
      </c>
      <c r="N266" s="19" t="inlineStr"/>
      <c r="O266" s="19" t="inlineStr">
        <is>
          <t>iorta TechNXT QA</t>
        </is>
      </c>
      <c r="P266" s="19" t="inlineStr">
        <is>
          <t>03 October 2026</t>
        </is>
      </c>
      <c r="Q266" s="19" t="inlineStr"/>
      <c r="R266" s="19" t="inlineStr">
        <is>
          <t>backend/test/remittance.test.js :: bulk upload validates rows against the configuration and processes valid ones [passed]
Screen check /finance/remittance/bulkprocessing: opened clean</t>
        </is>
      </c>
      <c r="S266" s="19" t="n"/>
    </row>
    <row r="267">
      <c r="A267" s="19" t="inlineStr">
        <is>
          <t>BV-REM-011</t>
        </is>
      </c>
      <c r="B267" s="19" t="inlineStr">
        <is>
          <t>Remittance to insurers</t>
        </is>
      </c>
      <c r="C267" s="19" t="inlineStr">
        <is>
          <t>Statements and history</t>
        </is>
      </c>
      <c r="D267" s="19" t="inlineStr">
        <is>
          <t>Accounting Officer (liza.quiambao)</t>
        </is>
      </c>
      <c r="E267" s="19" t="inlineStr">
        <is>
          <t>Statements, reports, exceptions, history, analytics</t>
        </is>
      </c>
      <c r="F267" s="19" t="inlineStr">
        <is>
          <t>Report</t>
        </is>
      </c>
      <c r="G267" s="19" t="inlineStr">
        <is>
          <t>Medium</t>
        </is>
      </c>
      <c r="H267" s="19" t="inlineStr">
        <is>
          <t>Remittances exist.</t>
        </is>
      </c>
      <c r="I267" s="19" t="inlineStr">
        <is>
          <t>1. Open Statements, Exception Management, History, Analytics.</t>
        </is>
      </c>
      <c r="J267" s="19" t="inlineStr">
        <is>
          <t>May to October 2026</t>
        </is>
      </c>
      <c r="K267" s="19" t="inlineStr">
        <is>
          <t>Each screen shows the cycle remittances; analytics KPIs present.</t>
        </is>
      </c>
      <c r="L267" s="19" t="inlineStr">
        <is>
          <t>As expected.</t>
        </is>
      </c>
      <c r="M267" s="19" t="inlineStr">
        <is>
          <t>Pass</t>
        </is>
      </c>
      <c r="N267" s="19" t="inlineStr"/>
      <c r="O267" s="19" t="inlineStr">
        <is>
          <t>iorta TechNXT QA</t>
        </is>
      </c>
      <c r="P267" s="19" t="inlineStr">
        <is>
          <t>04 October 2026</t>
        </is>
      </c>
      <c r="Q267" s="19" t="inlineStr"/>
      <c r="R267" s="19" t="inlineStr">
        <is>
          <t>backend/test/remittance.test.js :: statements, reports and exceptions [passed]
backend/test/remittance.test.js :: analytics, history, audit, logs and master overview [passed]
UAT cycle 03-04 October 2026, phase Reports and dashboards (58 passed, 0 failed)
Screen check /finance/remittance/statements/generate: opened clean
Screen check /finance/remittance/exceptions: opened clean
Screen check /finance/remittance/history: opened clean
Screen check /finance/remittance/analytics: opened clean</t>
        </is>
      </c>
      <c r="S267" s="19" t="n"/>
    </row>
    <row r="268">
      <c r="A268" s="19" t="inlineStr">
        <is>
          <t>BV-REM-012</t>
        </is>
      </c>
      <c r="B268" s="19" t="inlineStr">
        <is>
          <t>Remittance to insurers</t>
        </is>
      </c>
      <c r="C268" s="19" t="inlineStr">
        <is>
          <t>Scheduling</t>
        </is>
      </c>
      <c r="D268" s="19" t="inlineStr">
        <is>
          <t>Accounting Officer (liza.quiambao)</t>
        </is>
      </c>
      <c r="E268" s="19" t="inlineStr">
        <is>
          <t>Notifications, schedules and delegations</t>
        </is>
      </c>
      <c r="F268" s="19" t="inlineStr">
        <is>
          <t>Functional</t>
        </is>
      </c>
      <c r="G268" s="19" t="inlineStr">
        <is>
          <t>Low</t>
        </is>
      </c>
      <c r="H268" s="19" t="inlineStr">
        <is>
          <t>Remittance module.</t>
        </is>
      </c>
      <c r="I268" s="19" t="inlineStr">
        <is>
          <t>1. Open Scheduling and click New schedule.
2. Open Notifications.</t>
        </is>
      </c>
      <c r="J268" s="19" t="inlineStr">
        <is>
          <t>Monthly on day 10</t>
        </is>
      </c>
      <c r="K268" s="19" t="inlineStr">
        <is>
          <t>Saved; notifications listed.</t>
        </is>
      </c>
      <c r="L268" s="19" t="inlineStr">
        <is>
          <t>As expected.</t>
        </is>
      </c>
      <c r="M268" s="19" t="inlineStr">
        <is>
          <t>Pass</t>
        </is>
      </c>
      <c r="N268" s="19" t="inlineStr"/>
      <c r="O268" s="19" t="inlineStr">
        <is>
          <t>iorta TechNXT QA</t>
        </is>
      </c>
      <c r="P268" s="19" t="inlineStr">
        <is>
          <t>03 October 2026</t>
        </is>
      </c>
      <c r="Q268" s="19" t="inlineStr"/>
      <c r="R268" s="19" t="inlineStr">
        <is>
          <t>backend/test/remittance.test.js :: notifications, schedules and delegations [passed]
Screen check /finance/remittance/scheduling: opened clean
Screen check /finance/remittance/notifications: opened clean</t>
        </is>
      </c>
      <c r="S268" s="19" t="n"/>
    </row>
    <row r="269">
      <c r="A269" s="19" t="inlineStr">
        <is>
          <t>BV-REM-013</t>
        </is>
      </c>
      <c r="B269" s="19" t="inlineStr">
        <is>
          <t>Remittance to insurers</t>
        </is>
      </c>
      <c r="C269" s="19" t="inlineStr">
        <is>
          <t>Reconciliation</t>
        </is>
      </c>
      <c r="D269" s="19" t="inlineStr">
        <is>
          <t>Accounting Officer (liza.quiambao)</t>
        </is>
      </c>
      <c r="E269" s="19" t="inlineStr">
        <is>
          <t>Remittance reconciliation with partial match and exception</t>
        </is>
      </c>
      <c r="F269" s="19" t="inlineStr">
        <is>
          <t>Functional</t>
        </is>
      </c>
      <c r="G269" s="19" t="inlineStr">
        <is>
          <t>Medium</t>
        </is>
      </c>
      <c r="H269" s="19" t="inlineStr">
        <is>
          <t>Bank lines exist.</t>
        </is>
      </c>
      <c r="I269" s="19" t="inlineStr">
        <is>
          <t>1. Open Remittance &gt; Reconciliation.
2. Auto match; manual partial match with exception; unmatch.</t>
        </is>
      </c>
      <c r="J269" s="19" t="inlineStr">
        <is>
          <t>Remittance cheque lines</t>
        </is>
      </c>
      <c r="K269" s="19" t="inlineStr">
        <is>
          <t>Matches recorded; exception noted.</t>
        </is>
      </c>
      <c r="L269" s="19" t="inlineStr">
        <is>
          <t>As expected.</t>
        </is>
      </c>
      <c r="M269" s="19" t="inlineStr">
        <is>
          <t>Pass</t>
        </is>
      </c>
      <c r="N269" s="19" t="inlineStr"/>
      <c r="O269" s="19" t="inlineStr">
        <is>
          <t>iorta TechNXT QA</t>
        </is>
      </c>
      <c r="P269" s="19" t="inlineStr">
        <is>
          <t>03 October 2026</t>
        </is>
      </c>
      <c r="Q269" s="19" t="inlineStr"/>
      <c r="R269" s="19" t="inlineStr">
        <is>
          <t>backend/test/remittance.test.js :: bank reconciliation: auto-match, manual partial match with exception, unmatch [passed]
backend/test/bank-reconciliation.test.js :: the remittance reconciliation reads the bank statement line table and keeps its API [passed]
Screen check /finance/remittance/reconciliation: opened clean</t>
        </is>
      </c>
      <c r="S269" s="19" t="n"/>
    </row>
    <row r="270">
      <c r="A270" s="19" t="inlineStr">
        <is>
          <t>BV-REM-014</t>
        </is>
      </c>
      <c r="B270" s="19" t="inlineStr">
        <is>
          <t>Remittance to insurers</t>
        </is>
      </c>
      <c r="C270" s="19" t="inlineStr">
        <is>
          <t>Permissions</t>
        </is>
      </c>
      <c r="D270" s="19" t="inlineStr">
        <is>
          <t>Claims Officer (carlo.estrada)</t>
        </is>
      </c>
      <c r="E270" s="19" t="inlineStr">
        <is>
          <t>Users without remittance permission refused</t>
        </is>
      </c>
      <c r="F270" s="19" t="inlineStr">
        <is>
          <t>Role access</t>
        </is>
      </c>
      <c r="G270" s="19" t="inlineStr">
        <is>
          <t>Medium</t>
        </is>
      </c>
      <c r="H270" s="19" t="inlineStr">
        <is>
          <t>Signed in as carlo.estrada.</t>
        </is>
      </c>
      <c r="I270" s="19" t="inlineStr">
        <is>
          <t>1. Open a remittance screen by address.</t>
        </is>
      </c>
      <c r="J270" s="19" t="inlineStr">
        <is>
          <t>None</t>
        </is>
      </c>
      <c r="K270" s="19" t="inlineStr">
        <is>
          <t>Refused.</t>
        </is>
      </c>
      <c r="L270" s="19" t="inlineStr">
        <is>
          <t>As expected.</t>
        </is>
      </c>
      <c r="M270" s="19" t="inlineStr">
        <is>
          <t>Pass</t>
        </is>
      </c>
      <c r="N270" s="19" t="inlineStr"/>
      <c r="O270" s="19" t="inlineStr">
        <is>
          <t>iorta TechNXT QA</t>
        </is>
      </c>
      <c r="P270" s="19" t="inlineStr">
        <is>
          <t>03 October 2026</t>
        </is>
      </c>
      <c r="Q270" s="19" t="inlineStr"/>
      <c r="R270" s="19" t="inlineStr">
        <is>
          <t>backend/test/remittance.test.js :: denies users without remittance permission [passed]</t>
        </is>
      </c>
      <c r="S270" s="19" t="n"/>
    </row>
    <row r="271">
      <c r="A271" s="19" t="inlineStr">
        <is>
          <t>BV-REM-015</t>
        </is>
      </c>
      <c r="B271" s="19" t="inlineStr">
        <is>
          <t>Remittance to insurers</t>
        </is>
      </c>
      <c r="C271" s="19" t="inlineStr">
        <is>
          <t>Due date</t>
        </is>
      </c>
      <c r="D271" s="19" t="inlineStr">
        <is>
          <t>Accounting Officer (liza.quiambao)</t>
        </is>
      </c>
      <c r="E271" s="19" t="inlineStr">
        <is>
          <t>New remittance dated on insurer terms</t>
        </is>
      </c>
      <c r="F271" s="19" t="inlineStr">
        <is>
          <t>Validation</t>
        </is>
      </c>
      <c r="G271" s="19" t="inlineStr">
        <is>
          <t>Low</t>
        </is>
      </c>
      <c r="H271" s="19" t="inlineStr">
        <is>
          <t>Insurer without terms.</t>
        </is>
      </c>
      <c r="I271" s="19" t="inlineStr">
        <is>
          <t>1. Create a remittance.</t>
        </is>
      </c>
      <c r="J271" s="19" t="inlineStr">
        <is>
          <t>remittance.default_due_days</t>
        </is>
      </c>
      <c r="K271" s="19" t="inlineStr">
        <is>
          <t>Due date from insurer terms else the default.</t>
        </is>
      </c>
      <c r="L271" s="19" t="inlineStr">
        <is>
          <t>As expected.</t>
        </is>
      </c>
      <c r="M271" s="19" t="inlineStr">
        <is>
          <t>Pass</t>
        </is>
      </c>
      <c r="N271" s="19" t="inlineStr"/>
      <c r="O271" s="19" t="inlineStr">
        <is>
          <t>iorta TechNXT QA</t>
        </is>
      </c>
      <c r="P271" s="19" t="inlineStr">
        <is>
          <t>03 October 2026</t>
        </is>
      </c>
      <c r="Q271" s="19" t="inlineStr"/>
      <c r="R271" s="19" t="inlineStr">
        <is>
          <t>backend/test/credit-control.test.js :: dates a new remittance on the insurer remittance terms, else remittance.default_due_days [passed]</t>
        </is>
      </c>
      <c r="S271" s="19" t="n"/>
    </row>
    <row r="272">
      <c r="A272" s="19" t="inlineStr">
        <is>
          <t>BV-DBL-001</t>
        </is>
      </c>
      <c r="B272" s="19" t="inlineStr">
        <is>
          <t>Direct bill</t>
        </is>
      </c>
      <c r="C272" s="19" t="inlineStr">
        <is>
          <t>Direct bill booking</t>
        </is>
      </c>
      <c r="D272" s="19" t="inlineStr">
        <is>
          <t>Accounting Officer (liza.quiambao)</t>
        </is>
      </c>
      <c r="E272" s="19" t="inlineStr">
        <is>
          <t>Direct-bill policy books commission receivable only</t>
        </is>
      </c>
      <c r="F272" s="19" t="inlineStr">
        <is>
          <t>Accounting</t>
        </is>
      </c>
      <c r="G272" s="19" t="inlineStr">
        <is>
          <t>High</t>
        </is>
      </c>
      <c r="H272" s="19" t="inlineStr">
        <is>
          <t>Direct-bill policy issued.</t>
        </is>
      </c>
      <c r="I272" s="19" t="inlineStr">
        <is>
          <t>1. Open the policy journal.</t>
        </is>
      </c>
      <c r="J272" s="19" t="inlineStr">
        <is>
          <t>Pacific Crest motor, commission 20%</t>
        </is>
      </c>
      <c r="K272" s="19" t="inlineStr">
        <is>
          <t>Dr Commission receivable / Cr Commission income and output VAT; no premium receivable or payable; dated on issue.</t>
        </is>
      </c>
      <c r="L272" s="19" t="inlineStr">
        <is>
          <t>As expected.</t>
        </is>
      </c>
      <c r="M272" s="19" t="inlineStr">
        <is>
          <t>Pass</t>
        </is>
      </c>
      <c r="N272" s="19" t="inlineStr"/>
      <c r="O272" s="19" t="inlineStr">
        <is>
          <t>iorta TechNXT QA</t>
        </is>
      </c>
      <c r="P272" s="19" t="inlineStr">
        <is>
          <t>04 October 2026</t>
        </is>
      </c>
      <c r="Q272" s="19" t="inlineStr"/>
      <c r="R272" s="19" t="inlineStr">
        <is>
          <t>backend/test/direct-bill.test.js :: books commission receivable / commission income / output VAT and no premium receivable or payable [passed]
backend/test/uat-disconnects.test.js :: books the commission of a direct-bill policy on its issue date [passed]
UAT cycle 03-04 October 2026, phase Billing and collection (61 passed, 0 failed)</t>
        </is>
      </c>
      <c r="S272" s="19" t="n"/>
    </row>
    <row r="273">
      <c r="A273" s="19" t="inlineStr">
        <is>
          <t>BV-DBL-002</t>
        </is>
      </c>
      <c r="B273" s="19" t="inlineStr">
        <is>
          <t>Direct bill</t>
        </is>
      </c>
      <c r="C273" s="19" t="inlineStr">
        <is>
          <t>Client payment</t>
        </is>
      </c>
      <c r="D273" s="19" t="inlineStr">
        <is>
          <t>Accounting Officer (liza.quiambao)</t>
        </is>
      </c>
      <c r="E273" s="19" t="inlineStr">
        <is>
          <t>Record the client payment to the insurer</t>
        </is>
      </c>
      <c r="F273" s="19" t="inlineStr">
        <is>
          <t>Functional</t>
        </is>
      </c>
      <c r="G273" s="19" t="inlineStr">
        <is>
          <t>High</t>
        </is>
      </c>
      <c r="H273" s="19" t="inlineStr">
        <is>
          <t>Direct-bill policy.</t>
        </is>
      </c>
      <c r="I273" s="19" t="inlineStr">
        <is>
          <t>1. Open Accounts &gt; Remittance &gt; Direct Bill Processing.
2. Record client payment with insurer OR and proof.</t>
        </is>
      </c>
      <c r="J273" s="19" t="inlineStr">
        <is>
          <t>PCIC-OR-xxxxxxx; bank transfer; insurer-official-receipt.pdf</t>
        </is>
      </c>
      <c r="K273" s="19" t="inlineStr">
        <is>
          <t>Payment recorded without posting; payment status shown.</t>
        </is>
      </c>
      <c r="L273" s="19" t="inlineStr">
        <is>
          <t>6 client payments recorded.</t>
        </is>
      </c>
      <c r="M273" s="19" t="inlineStr">
        <is>
          <t>Pass</t>
        </is>
      </c>
      <c r="N273" s="19" t="inlineStr"/>
      <c r="O273" s="19" t="inlineStr">
        <is>
          <t>iorta TechNXT QA</t>
        </is>
      </c>
      <c r="P273" s="19" t="inlineStr">
        <is>
          <t>04 October 2026</t>
        </is>
      </c>
      <c r="Q273" s="19" t="inlineStr"/>
      <c r="R273" s="19" t="inlineStr">
        <is>
          <t>backend/test/direct-bill-client-payments.test.js :: records a payment with the insurer reference and proof, without posting anything, and shows the payment status [passed]
backend/test/direct-bill-client-payments.test.js :: validates the entry [passed]
UAT cycle 03-04 October 2026, phase Billing and collection (61 passed, 0 failed)
Screen check /finance/remittance/directbill: opened clean</t>
        </is>
      </c>
      <c r="S273" s="19" t="n"/>
    </row>
    <row r="274">
      <c r="A274" s="19" t="inlineStr">
        <is>
          <t>BV-DBL-003</t>
        </is>
      </c>
      <c r="B274" s="19" t="inlineStr">
        <is>
          <t>Direct bill</t>
        </is>
      </c>
      <c r="C274" s="19" t="inlineStr">
        <is>
          <t>Client payment</t>
        </is>
      </c>
      <c r="D274" s="19" t="inlineStr">
        <is>
          <t>Accounting Officer (liza.quiambao)</t>
        </is>
      </c>
      <c r="E274" s="19" t="inlineStr">
        <is>
          <t>Debit note waits for full client payment when set to full</t>
        </is>
      </c>
      <c r="F274" s="19" t="inlineStr">
        <is>
          <t>Validation</t>
        </is>
      </c>
      <c r="G274" s="19" t="inlineStr">
        <is>
          <t>Medium</t>
        </is>
      </c>
      <c r="H274" s="19" t="inlineStr">
        <is>
          <t>client_payment_required = full.</t>
        </is>
      </c>
      <c r="I274" s="19" t="inlineStr">
        <is>
          <t>1. Raise a debit note for a partly paid policy.
2. Void a recorded payment under "any".</t>
        </is>
      </c>
      <c r="J274" s="19" t="inlineStr">
        <is>
          <t>Partial client payment</t>
        </is>
      </c>
      <c r="K274" s="19" t="inlineStr">
        <is>
          <t>Note waits until paid in full; voided payment no longer counts.</t>
        </is>
      </c>
      <c r="L274" s="19" t="inlineStr">
        <is>
          <t>As expected.</t>
        </is>
      </c>
      <c r="M274" s="19" t="inlineStr">
        <is>
          <t>Pass</t>
        </is>
      </c>
      <c r="N274" s="19" t="inlineStr"/>
      <c r="O274" s="19" t="inlineStr">
        <is>
          <t>iorta TechNXT QA</t>
        </is>
      </c>
      <c r="P274" s="19" t="inlineStr">
        <is>
          <t>03 October 2026</t>
        </is>
      </c>
      <c r="Q274" s="19" t="inlineStr"/>
      <c r="R274" s="19" t="inlineStr">
        <is>
          <t>backend/test/direct-bill-client-payments.test.js :: with client_payment_required = full a debit note waits until its policies are paid in full [passed]
backend/test/direct-bill-client-payments.test.js :: with any, one recorded payment is enough; a voided payment no longer counts [passed]</t>
        </is>
      </c>
      <c r="S274" s="19" t="n"/>
    </row>
    <row r="275">
      <c r="A275" s="19" t="inlineStr">
        <is>
          <t>BV-DBL-004</t>
        </is>
      </c>
      <c r="B275" s="19" t="inlineStr">
        <is>
          <t>Direct bill</t>
        </is>
      </c>
      <c r="C275" s="19" t="inlineStr">
        <is>
          <t>Debit note</t>
        </is>
      </c>
      <c r="D275" s="19" t="inlineStr">
        <is>
          <t>Accounting Officer (nestor.pangilinan)</t>
        </is>
      </c>
      <c r="E275" s="19" t="inlineStr">
        <is>
          <t>Commission debit note with maker-checker</t>
        </is>
      </c>
      <c r="F275" s="19" t="inlineStr">
        <is>
          <t>Negative</t>
        </is>
      </c>
      <c r="G275" s="19" t="inlineStr">
        <is>
          <t>High</t>
        </is>
      </c>
      <c r="H275" s="19" t="inlineStr">
        <is>
          <t>Unbilled direct-bill commission.</t>
        </is>
      </c>
      <c r="I275" s="19" t="inlineStr">
        <is>
          <t>1. List unbilled items for the insurer.
2. Raise and submit the debit note.
3. As maker approve; as nestor.pangilinan approve; then reject another.</t>
        </is>
      </c>
      <c r="J275" s="19" t="inlineStr">
        <is>
          <t>Insurer PCIC</t>
        </is>
      </c>
      <c r="K275" s="19" t="inlineStr">
        <is>
          <t>Items listed with product, commission, VAT, total due and EWT; maker refused; approve without a second posting; rejected note releases items.</t>
        </is>
      </c>
      <c r="L275" s="19" t="inlineStr">
        <is>
          <t>4 debit notes approved.</t>
        </is>
      </c>
      <c r="M275" s="19" t="inlineStr">
        <is>
          <t>Pass</t>
        </is>
      </c>
      <c r="N275" s="19" t="inlineStr"/>
      <c r="O275" s="19" t="inlineStr">
        <is>
          <t>iorta TechNXT QA</t>
        </is>
      </c>
      <c r="P275" s="19" t="inlineStr">
        <is>
          <t>04 October 2026</t>
        </is>
      </c>
      <c r="Q275" s="19" t="inlineStr"/>
      <c r="R275" s="19" t="inlineStr">
        <is>
          <t>backend/test/direct-bill.test.js :: lists unbilled commission insurer-wise with product, commission, VAT, total due and EWT [passed]
backend/test/direct-bill.test.js :: raise, maker-checker, reject (items released) and approve without a second posting [passed]
UAT cycle 03-04 October 2026, phase Billing and collection (61 passed, 0 failed)</t>
        </is>
      </c>
      <c r="S275" s="19" t="n"/>
    </row>
    <row r="276">
      <c r="A276" s="19" t="inlineStr">
        <is>
          <t>BV-DBL-005</t>
        </is>
      </c>
      <c r="B276" s="19" t="inlineStr">
        <is>
          <t>Direct bill</t>
        </is>
      </c>
      <c r="C276" s="19" t="inlineStr">
        <is>
          <t>Debit note</t>
        </is>
      </c>
      <c r="D276" s="19" t="inlineStr">
        <is>
          <t>Accounting Officer (liza.quiambao)</t>
        </is>
      </c>
      <c r="E276" s="19" t="inlineStr">
        <is>
          <t>Print and send the debit note</t>
        </is>
      </c>
      <c r="F276" s="19" t="inlineStr">
        <is>
          <t>Functional</t>
        </is>
      </c>
      <c r="G276" s="19" t="inlineStr">
        <is>
          <t>Medium</t>
        </is>
      </c>
      <c r="H276" s="19" t="inlineStr">
        <is>
          <t>Approved note.</t>
        </is>
      </c>
      <c r="I276" s="19" t="inlineStr">
        <is>
          <t>1. Print and send.</t>
        </is>
      </c>
      <c r="J276" s="19" t="inlineStr">
        <is>
          <t>Debit note PCIC</t>
        </is>
      </c>
      <c r="K276" s="19" t="inlineStr">
        <is>
          <t>PDF prints; e-mail queued.</t>
        </is>
      </c>
      <c r="L276" s="19" t="inlineStr">
        <is>
          <t>As expected.</t>
        </is>
      </c>
      <c r="M276" s="19" t="inlineStr">
        <is>
          <t>Pass</t>
        </is>
      </c>
      <c r="N276" s="19" t="inlineStr"/>
      <c r="O276" s="19" t="inlineStr">
        <is>
          <t>iorta TechNXT QA</t>
        </is>
      </c>
      <c r="P276" s="19" t="inlineStr">
        <is>
          <t>03 October 2026</t>
        </is>
      </c>
      <c r="Q276" s="19" t="inlineStr"/>
      <c r="R276" s="19" t="inlineStr">
        <is>
          <t>backend/test/direct-bill.test.js :: prints and sends the debit note [passed]</t>
        </is>
      </c>
      <c r="S276" s="19" t="n"/>
    </row>
    <row r="277">
      <c r="A277" s="19" t="inlineStr">
        <is>
          <t>BV-DBL-006</t>
        </is>
      </c>
      <c r="B277" s="19" t="inlineStr">
        <is>
          <t>Direct bill</t>
        </is>
      </c>
      <c r="C277" s="19" t="inlineStr">
        <is>
          <t>Collection</t>
        </is>
      </c>
      <c r="D277" s="19" t="inlineStr">
        <is>
          <t>Accounting Officer (liza.quiambao)</t>
        </is>
      </c>
      <c r="E277" s="19" t="inlineStr">
        <is>
          <t>Collect partial and full commission with CWT</t>
        </is>
      </c>
      <c r="F277" s="19" t="inlineStr">
        <is>
          <t>Accounting</t>
        </is>
      </c>
      <c r="G277" s="19" t="inlineStr">
        <is>
          <t>High</t>
        </is>
      </c>
      <c r="H277" s="19" t="inlineStr">
        <is>
          <t>Approved note.</t>
        </is>
      </c>
      <c r="I277" s="19" t="inlineStr">
        <is>
          <t>1. Record a partial then the rest, with Form 2307 number.</t>
        </is>
      </c>
      <c r="J277" s="19" t="inlineStr">
        <is>
          <t>Cash = net payable; EWT = expected EWT; 2307-xxxxxx</t>
        </is>
      </c>
      <c r="K277" s="19" t="inlineStr">
        <is>
          <t>Note collected; CWT recorded.</t>
        </is>
      </c>
      <c r="L277" s="19" t="inlineStr">
        <is>
          <t>2 debit notes collected.</t>
        </is>
      </c>
      <c r="M277" s="19" t="inlineStr">
        <is>
          <t>Pass</t>
        </is>
      </c>
      <c r="N277" s="19" t="inlineStr"/>
      <c r="O277" s="19" t="inlineStr">
        <is>
          <t>iorta TechNXT QA</t>
        </is>
      </c>
      <c r="P277" s="19" t="inlineStr">
        <is>
          <t>04 October 2026</t>
        </is>
      </c>
      <c r="Q277" s="19" t="inlineStr"/>
      <c r="R277" s="19" t="inlineStr">
        <is>
          <t>backend/test/direct-bill.test.js :: partial and full collection from the insurer with creditable withholding tax [passed]
UAT cycle 03-04 October 2026, phase Billing and collection (61 passed, 0 failed)</t>
        </is>
      </c>
      <c r="S277" s="19" t="n"/>
    </row>
    <row r="278">
      <c r="A278" s="19" t="inlineStr">
        <is>
          <t>BV-DBL-007</t>
        </is>
      </c>
      <c r="B278" s="19" t="inlineStr">
        <is>
          <t>Direct bill</t>
        </is>
      </c>
      <c r="C278" s="19" t="inlineStr">
        <is>
          <t>Collection</t>
        </is>
      </c>
      <c r="D278" s="19" t="inlineStr">
        <is>
          <t>Accounting Officer (liza.quiambao)</t>
        </is>
      </c>
      <c r="E278" s="19" t="inlineStr">
        <is>
          <t>Reverse a collection entered in error</t>
        </is>
      </c>
      <c r="F278" s="19" t="inlineStr">
        <is>
          <t>Accounting</t>
        </is>
      </c>
      <c r="G278" s="19" t="inlineStr">
        <is>
          <t>Medium</t>
        </is>
      </c>
      <c r="H278" s="19" t="inlineStr">
        <is>
          <t>Collected note.</t>
        </is>
      </c>
      <c r="I278" s="19" t="inlineStr">
        <is>
          <t>1. Reverse the collection.</t>
        </is>
      </c>
      <c r="J278" s="19" t="inlineStr">
        <is>
          <t>Wrong amount</t>
        </is>
      </c>
      <c r="K278" s="19" t="inlineStr">
        <is>
          <t>Collection reversed; note reopens.</t>
        </is>
      </c>
      <c r="L278" s="19" t="inlineStr">
        <is>
          <t>As expected.</t>
        </is>
      </c>
      <c r="M278" s="19" t="inlineStr">
        <is>
          <t>Pass</t>
        </is>
      </c>
      <c r="N278" s="19" t="inlineStr"/>
      <c r="O278" s="19" t="inlineStr">
        <is>
          <t>iorta TechNXT QA</t>
        </is>
      </c>
      <c r="P278" s="19" t="inlineStr">
        <is>
          <t>03 October 2026</t>
        </is>
      </c>
      <c r="Q278" s="19" t="inlineStr"/>
      <c r="R278" s="19" t="inlineStr">
        <is>
          <t>backend/test/direct-bill.test.js :: a collection entered in error is reversed and the note reopens [passed]</t>
        </is>
      </c>
      <c r="S278" s="19" t="n"/>
    </row>
    <row r="279">
      <c r="A279" s="19" t="inlineStr">
        <is>
          <t>BV-DBL-008</t>
        </is>
      </c>
      <c r="B279" s="19" t="inlineStr">
        <is>
          <t>Direct bill</t>
        </is>
      </c>
      <c r="C279" s="19" t="inlineStr">
        <is>
          <t>VAT settings</t>
        </is>
      </c>
      <c r="D279" s="19" t="inlineStr">
        <is>
          <t>Accounting Officer (liza.quiambao)</t>
        </is>
      </c>
      <c r="E279" s="19" t="inlineStr">
        <is>
          <t>VAT inclusive commission and non-VAT broker</t>
        </is>
      </c>
      <c r="F279" s="19" t="inlineStr">
        <is>
          <t>Validation</t>
        </is>
      </c>
      <c r="G279" s="19" t="inlineStr">
        <is>
          <t>Medium</t>
        </is>
      </c>
      <c r="H279" s="19" t="inlineStr">
        <is>
          <t>Settings changed for test.</t>
        </is>
      </c>
      <c r="I279" s="19" t="inlineStr">
        <is>
          <t>1. Switch to VAT-inclusive commission.
2. Switch to broker not VAT-registered.</t>
        </is>
      </c>
      <c r="J279" s="19" t="inlineStr">
        <is>
          <t>Settings</t>
        </is>
      </c>
      <c r="K279" s="19" t="inlineStr">
        <is>
          <t>Booking follows settings.</t>
        </is>
      </c>
      <c r="L279" s="19" t="inlineStr">
        <is>
          <t>As expected.</t>
        </is>
      </c>
      <c r="M279" s="19" t="inlineStr">
        <is>
          <t>Pass</t>
        </is>
      </c>
      <c r="N279" s="19" t="inlineStr"/>
      <c r="O279" s="19" t="inlineStr">
        <is>
          <t>iorta TechNXT QA</t>
        </is>
      </c>
      <c r="P279" s="19" t="inlineStr">
        <is>
          <t>03 October 2026</t>
        </is>
      </c>
      <c r="Q279" s="19" t="inlineStr"/>
      <c r="R279" s="19" t="inlineStr">
        <is>
          <t>backend/test/direct-bill.test.js :: VAT follows the settings: inclusive commission, broker not VAT-registered [passed]</t>
        </is>
      </c>
      <c r="S279" s="19" t="n"/>
    </row>
    <row r="280">
      <c r="A280" s="19" t="inlineStr">
        <is>
          <t>BV-DBL-009</t>
        </is>
      </c>
      <c r="B280" s="19" t="inlineStr">
        <is>
          <t>Direct bill</t>
        </is>
      </c>
      <c r="C280" s="19" t="inlineStr">
        <is>
          <t>Reports</t>
        </is>
      </c>
      <c r="D280" s="19" t="inlineStr">
        <is>
          <t>Accounting Officer (liza.quiambao)</t>
        </is>
      </c>
      <c r="E280" s="19" t="inlineStr">
        <is>
          <t>Commission receivable report and trial balance</t>
        </is>
      </c>
      <c r="F280" s="19" t="inlineStr">
        <is>
          <t>Report</t>
        </is>
      </c>
      <c r="G280" s="19" t="inlineStr">
        <is>
          <t>Medium</t>
        </is>
      </c>
      <c r="H280" s="19" t="inlineStr">
        <is>
          <t>Direct-bill notes open.</t>
        </is>
      </c>
      <c r="I280" s="19" t="inlineStr">
        <is>
          <t>1. Run Commission Receivable - Direct Bill.
2. Run Trial Balance.</t>
        </is>
      </c>
      <c r="J280" s="19" t="inlineStr">
        <is>
          <t>May to October 2026</t>
        </is>
      </c>
      <c r="K280" s="19" t="inlineStr">
        <is>
          <t>Due from insurer shown; dashboards count commission receivable, not premium receivable.</t>
        </is>
      </c>
      <c r="L280" s="19" t="inlineStr">
        <is>
          <t>As expected.</t>
        </is>
      </c>
      <c r="M280" s="19" t="inlineStr">
        <is>
          <t>Pass</t>
        </is>
      </c>
      <c r="N280" s="19" t="inlineStr"/>
      <c r="O280" s="19" t="inlineStr">
        <is>
          <t>iorta TechNXT QA</t>
        </is>
      </c>
      <c r="P280" s="19" t="inlineStr">
        <is>
          <t>04 October 2026</t>
        </is>
      </c>
      <c r="Q280" s="19" t="inlineStr"/>
      <c r="R280" s="19" t="inlineStr">
        <is>
          <t>backend/test/direct-bill.test.js :: commission receivable report and trial balance show it as due from the insurer [passed]
backend/test/direct-bill.test.js :: dashboards count it as commission receivable from the insurer, not premium receivable from the client [passed]
UAT cycle 03-04 October 2026, phase Reports and dashboards (58 passed, 0 failed)</t>
        </is>
      </c>
      <c r="S280" s="19" t="n"/>
    </row>
    <row r="281">
      <c r="A281" s="19" t="inlineStr">
        <is>
          <t>BV-DBL-010</t>
        </is>
      </c>
      <c r="B281" s="19" t="inlineStr">
        <is>
          <t>Direct bill</t>
        </is>
      </c>
      <c r="C281" s="19" t="inlineStr">
        <is>
          <t>Co-insurance</t>
        </is>
      </c>
      <c r="D281" s="19" t="inlineStr">
        <is>
          <t>Accounting Officer (liza.quiambao)</t>
        </is>
      </c>
      <c r="E281" s="19" t="inlineStr">
        <is>
          <t>Direct-bill commission per co-insurer</t>
        </is>
      </c>
      <c r="F281" s="19" t="inlineStr">
        <is>
          <t>Accounting</t>
        </is>
      </c>
      <c r="G281" s="19" t="inlineStr">
        <is>
          <t>Low</t>
        </is>
      </c>
      <c r="H281" s="19" t="inlineStr">
        <is>
          <t>Co-insured direct-bill policy.</t>
        </is>
      </c>
      <c r="I281" s="19" t="inlineStr">
        <is>
          <t>1. Raise debit notes.</t>
        </is>
      </c>
      <c r="J281" s="19" t="inlineStr">
        <is>
          <t>Two co-insurers</t>
        </is>
      </c>
      <c r="K281" s="19" t="inlineStr">
        <is>
          <t>Each co-insurer gets its own debit note.</t>
        </is>
      </c>
      <c r="L281" s="19" t="inlineStr">
        <is>
          <t>As expected.</t>
        </is>
      </c>
      <c r="M281" s="19" t="inlineStr">
        <is>
          <t>Pass</t>
        </is>
      </c>
      <c r="N281" s="19" t="inlineStr"/>
      <c r="O281" s="19" t="inlineStr">
        <is>
          <t>iorta TechNXT QA</t>
        </is>
      </c>
      <c r="P281" s="19" t="inlineStr">
        <is>
          <t>03 October 2026</t>
        </is>
      </c>
      <c r="Q281" s="19" t="inlineStr"/>
      <c r="R281" s="19" t="inlineStr">
        <is>
          <t>backend/test/posting-rules.test.js :: books direct-bill commission per co-insurer so each gets its own debit note [passed]</t>
        </is>
      </c>
      <c r="S281" s="19" t="n"/>
    </row>
    <row r="282">
      <c r="A282" s="19" t="inlineStr">
        <is>
          <t>BV-COM-001</t>
        </is>
      </c>
      <c r="B282" s="19" t="inlineStr">
        <is>
          <t>Commission and referrers</t>
        </is>
      </c>
      <c r="C282" s="19" t="inlineStr">
        <is>
          <t>Referrers</t>
        </is>
      </c>
      <c r="D282" s="19" t="inlineStr">
        <is>
          <t>Accounting Officer (liza.quiambao)</t>
        </is>
      </c>
      <c r="E282" s="19" t="inlineStr">
        <is>
          <t>Create a referrer account</t>
        </is>
      </c>
      <c r="F282" s="19" t="inlineStr">
        <is>
          <t>Functional</t>
        </is>
      </c>
      <c r="G282" s="19" t="inlineStr">
        <is>
          <t>High</t>
        </is>
      </c>
      <c r="H282" s="19" t="inlineStr">
        <is>
          <t>Signed in as liza.quiambao.</t>
        </is>
      </c>
      <c r="I282" s="19" t="inlineStr">
        <is>
          <t>1. Open Commission &gt; Agents/Referrer Accounts.
2. Add a referrer with type, level, bank, TIN, e-mail, phone.
3. Save.</t>
        </is>
      </c>
      <c r="J282" s="19" t="inlineStr">
        <is>
          <t>Rolando Tiu (dealer F&amp;I officer); Sub-agent; L1; BPI 3179-0412-88; TIN 214-558-902-000</t>
        </is>
      </c>
      <c r="K282" s="19" t="inlineStr">
        <is>
          <t>Referrer saved and listed; WHT rate shown.</t>
        </is>
      </c>
      <c r="L282" s="19" t="inlineStr">
        <is>
          <t>As expected.</t>
        </is>
      </c>
      <c r="M282" s="19" t="inlineStr">
        <is>
          <t>Pass</t>
        </is>
      </c>
      <c r="N282" s="19" t="inlineStr"/>
      <c r="O282" s="19" t="inlineStr">
        <is>
          <t>iorta TechNXT QA</t>
        </is>
      </c>
      <c r="P282" s="19" t="inlineStr">
        <is>
          <t>04 October 2026</t>
        </is>
      </c>
      <c r="Q282" s="19" t="inlineStr"/>
      <c r="R282" s="19" t="inlineStr">
        <is>
          <t>backend/test/commission.test.js :: creates a referrer and accrues lines from policy commission details [passed]
UAT cycle 03-04 October 2026, phase Set-up (46 passed, 0 failed)
Screen check /commission/referrer-accounts: opened clean</t>
        </is>
      </c>
      <c r="S282" s="19" t="n"/>
    </row>
    <row r="283">
      <c r="A283" s="19" t="inlineStr">
        <is>
          <t>BV-COM-002</t>
        </is>
      </c>
      <c r="B283" s="19" t="inlineStr">
        <is>
          <t>Commission and referrers</t>
        </is>
      </c>
      <c r="C283" s="19" t="inlineStr">
        <is>
          <t>Referrers</t>
        </is>
      </c>
      <c r="D283" s="19" t="inlineStr">
        <is>
          <t>Accounting Officer (liza.quiambao)</t>
        </is>
      </c>
      <c r="E283" s="19" t="inlineStr">
        <is>
          <t>Referrer without bank account cannot be approved or paid</t>
        </is>
      </c>
      <c r="F283" s="19" t="inlineStr">
        <is>
          <t>Negative</t>
        </is>
      </c>
      <c r="G283" s="19" t="inlineStr">
        <is>
          <t>Medium</t>
        </is>
      </c>
      <c r="H283" s="19" t="inlineStr">
        <is>
          <t>Referrer with no bank account.</t>
        </is>
      </c>
      <c r="I283" s="19" t="inlineStr">
        <is>
          <t>1. Try approve and pay.</t>
        </is>
      </c>
      <c r="J283" s="19" t="inlineStr">
        <is>
          <t>Referrer without bank</t>
        </is>
      </c>
      <c r="K283" s="19" t="inlineStr">
        <is>
          <t>Refused.</t>
        </is>
      </c>
      <c r="L283" s="19" t="inlineStr">
        <is>
          <t>As expected.</t>
        </is>
      </c>
      <c r="M283" s="19" t="inlineStr">
        <is>
          <t>Pass</t>
        </is>
      </c>
      <c r="N283" s="19" t="inlineStr"/>
      <c r="O283" s="19" t="inlineStr">
        <is>
          <t>iorta TechNXT QA</t>
        </is>
      </c>
      <c r="P283" s="19" t="inlineStr">
        <is>
          <t>03 October 2026</t>
        </is>
      </c>
      <c r="Q283" s="19" t="inlineStr"/>
      <c r="R283" s="19" t="inlineStr">
        <is>
          <t>backend/test/policy-payments.test.js :: a referrer without a bank account cannot be approved or paid out; the account shows the configured WHT rate [passed]</t>
        </is>
      </c>
      <c r="S283" s="19" t="n"/>
    </row>
    <row r="284">
      <c r="A284" s="19" t="inlineStr">
        <is>
          <t>BV-COM-003</t>
        </is>
      </c>
      <c r="B284" s="19" t="inlineStr">
        <is>
          <t>Commission and referrers</t>
        </is>
      </c>
      <c r="C284" s="19" t="inlineStr">
        <is>
          <t>Eligibility</t>
        </is>
      </c>
      <c r="D284" s="19" t="inlineStr">
        <is>
          <t>Accounting Officer (liza.quiambao)</t>
        </is>
      </c>
      <c r="E284" s="19" t="inlineStr">
        <is>
          <t>Lines eligible only after premium collected</t>
        </is>
      </c>
      <c r="F284" s="19" t="inlineStr">
        <is>
          <t>Negative</t>
        </is>
      </c>
      <c r="G284" s="19" t="inlineStr">
        <is>
          <t>High</t>
        </is>
      </c>
      <c r="H284" s="19" t="inlineStr">
        <is>
          <t>Commission line on a policy with open premium.</t>
        </is>
      </c>
      <c r="I284" s="19" t="inlineStr">
        <is>
          <t>1. Mark eligible.
2. Collect the premium in full and check again.</t>
        </is>
      </c>
      <c r="J284" s="19" t="inlineStr">
        <is>
          <t>Policy with sub-agent Rolando Tiu</t>
        </is>
      </c>
      <c r="K284" s="19" t="inlineStr">
        <is>
          <t>Mark eligible refused while premium open; lines become eligible on the last payment.</t>
        </is>
      </c>
      <c r="L284" s="19" t="inlineStr">
        <is>
          <t>As expected.</t>
        </is>
      </c>
      <c r="M284" s="19" t="inlineStr">
        <is>
          <t>Pass</t>
        </is>
      </c>
      <c r="N284" s="19" t="inlineStr"/>
      <c r="O284" s="19" t="inlineStr">
        <is>
          <t>iorta TechNXT QA</t>
        </is>
      </c>
      <c r="P284" s="19" t="inlineStr">
        <is>
          <t>04 October 2026</t>
        </is>
      </c>
      <c r="Q284" s="19" t="inlineStr"/>
      <c r="R284" s="19" t="inlineStr">
        <is>
          <t>backend/test/commission.test.js :: eligibility requires collected premium; payment makes lines eligible automatically [passed]
UAT cycle 03-04 October 2026, phase Money: remittances, commission, petty cash (27 passed, 0 failed)</t>
        </is>
      </c>
      <c r="S284" s="19" t="n"/>
    </row>
    <row r="285">
      <c r="A285" s="19" t="inlineStr">
        <is>
          <t>BV-COM-004</t>
        </is>
      </c>
      <c r="B285" s="19" t="inlineStr">
        <is>
          <t>Commission and referrers</t>
        </is>
      </c>
      <c r="C285" s="19" t="inlineStr">
        <is>
          <t>Approval and payout</t>
        </is>
      </c>
      <c r="D285" s="19" t="inlineStr">
        <is>
          <t>Accounting Officer (nestor.pangilinan)</t>
        </is>
      </c>
      <c r="E285" s="19" t="inlineStr">
        <is>
          <t>Approve (maker-checker), bulk disburse and pay</t>
        </is>
      </c>
      <c r="F285" s="19" t="inlineStr">
        <is>
          <t>Accounting</t>
        </is>
      </c>
      <c r="G285" s="19" t="inlineStr">
        <is>
          <t>High</t>
        </is>
      </c>
      <c r="H285" s="19" t="inlineStr">
        <is>
          <t>Eligible lines.</t>
        </is>
      </c>
      <c r="I285" s="19" t="inlineStr">
        <is>
          <t>1. As nestor.pangilinan approve the lines.
2. As liza.quiambao bulk disburse (COMSUB).
3. As nestor.pangilinan approve the payout.</t>
        </is>
      </c>
      <c r="J285" s="19" t="inlineStr">
        <is>
          <t>Transaction code COMSUB</t>
        </is>
      </c>
      <c r="K285" s="19" t="inlineStr">
        <is>
          <t>Approval posts the accrual; payout voucher paid; WHT deducted.</t>
        </is>
      </c>
      <c r="L285" s="19" t="inlineStr">
        <is>
          <t>5 lines approved; 2 payouts.</t>
        </is>
      </c>
      <c r="M285" s="19" t="inlineStr">
        <is>
          <t>Pass</t>
        </is>
      </c>
      <c r="N285" s="19" t="inlineStr"/>
      <c r="O285" s="19" t="inlineStr">
        <is>
          <t>iorta TechNXT QA</t>
        </is>
      </c>
      <c r="P285" s="19" t="inlineStr">
        <is>
          <t>04 October 2026</t>
        </is>
      </c>
      <c r="Q285" s="19" t="inlineStr"/>
      <c r="R285" s="19" t="inlineStr">
        <is>
          <t>backend/test/commission.test.js :: approval is maker-checker; approved lines post the accrual and can be bulk-disbursed and paid [passed]
backend/test/accounting-followups.test.js :: prepares a paid and an approved comsub line [passed]
UAT cycle 03-04 October 2026, phase Money: remittances, commission, petty cash (27 passed, 0 failed)</t>
        </is>
      </c>
      <c r="S285" s="19" t="n"/>
    </row>
    <row r="286">
      <c r="A286" s="19" t="inlineStr">
        <is>
          <t>BV-COM-005</t>
        </is>
      </c>
      <c r="B286" s="19" t="inlineStr">
        <is>
          <t>Commission and referrers</t>
        </is>
      </c>
      <c r="C286" s="19" t="inlineStr">
        <is>
          <t>WHT</t>
        </is>
      </c>
      <c r="D286" s="19" t="inlineStr">
        <is>
          <t>Accounting Officer (liza.quiambao)</t>
        </is>
      </c>
      <c r="E286" s="19" t="inlineStr">
        <is>
          <t>WHT toggle and clawback after payment</t>
        </is>
      </c>
      <c r="F286" s="19" t="inlineStr">
        <is>
          <t>Accounting</t>
        </is>
      </c>
      <c r="G286" s="19" t="inlineStr">
        <is>
          <t>Medium</t>
        </is>
      </c>
      <c r="H286" s="19" t="inlineStr">
        <is>
          <t>Open and paid lines.</t>
        </is>
      </c>
      <c r="I286" s="19" t="inlineStr">
        <is>
          <t>1. Toggle WHT on an open line.
2. Reverse a paid line.
3. Pay a single line.</t>
        </is>
      </c>
      <c r="J286" s="19" t="inlineStr">
        <is>
          <t>WHT 10%</t>
        </is>
      </c>
      <c r="K286" s="19" t="inlineStr">
        <is>
          <t>Open lines recomputed; reversal after payment is a clawback.</t>
        </is>
      </c>
      <c r="L286" s="19" t="inlineStr">
        <is>
          <t>As expected.</t>
        </is>
      </c>
      <c r="M286" s="19" t="inlineStr">
        <is>
          <t>Pass</t>
        </is>
      </c>
      <c r="N286" s="19" t="inlineStr"/>
      <c r="O286" s="19" t="inlineStr">
        <is>
          <t>iorta TechNXT QA</t>
        </is>
      </c>
      <c r="P286" s="19" t="inlineStr">
        <is>
          <t>03 October 2026</t>
        </is>
      </c>
      <c r="Q286" s="19" t="inlineStr"/>
      <c r="R286" s="19" t="inlineStr">
        <is>
          <t>backend/test/commission.test.js :: WHT toggle recomputes open lines; reversal after payment is a clawback; single-line pay [passed]</t>
        </is>
      </c>
      <c r="S286" s="19" t="n"/>
    </row>
    <row r="287">
      <c r="A287" s="19" t="inlineStr">
        <is>
          <t>BV-COM-006</t>
        </is>
      </c>
      <c r="B287" s="19" t="inlineStr">
        <is>
          <t>Commission and referrers</t>
        </is>
      </c>
      <c r="C287" s="19" t="inlineStr">
        <is>
          <t>Dashboard</t>
        </is>
      </c>
      <c r="D287" s="19" t="inlineStr">
        <is>
          <t>Sales / Account Executive (maria.rivera)</t>
        </is>
      </c>
      <c r="E287" s="19" t="inlineStr">
        <is>
          <t>Commission dashboard and agents ready to pay</t>
        </is>
      </c>
      <c r="F287" s="19" t="inlineStr">
        <is>
          <t>Report</t>
        </is>
      </c>
      <c r="G287" s="19" t="inlineStr">
        <is>
          <t>Medium</t>
        </is>
      </c>
      <c r="H287" s="19" t="inlineStr">
        <is>
          <t>Lines exist.</t>
        </is>
      </c>
      <c r="I287" s="19" t="inlineStr">
        <is>
          <t>1. Open Commission &gt; Commission Dashboard.</t>
        </is>
      </c>
      <c r="J287" s="19" t="inlineStr">
        <is>
          <t>None</t>
        </is>
      </c>
      <c r="K287" s="19" t="inlineStr">
        <is>
          <t>Totals and agents ready to pay shown.</t>
        </is>
      </c>
      <c r="L287" s="19" t="inlineStr">
        <is>
          <t>As expected.</t>
        </is>
      </c>
      <c r="M287" s="19" t="inlineStr">
        <is>
          <t>Pass</t>
        </is>
      </c>
      <c r="N287" s="19" t="inlineStr"/>
      <c r="O287" s="19" t="inlineStr">
        <is>
          <t>iorta TechNXT QA</t>
        </is>
      </c>
      <c r="P287" s="19" t="inlineStr">
        <is>
          <t>04 October 2026</t>
        </is>
      </c>
      <c r="Q287" s="19" t="inlineStr"/>
      <c r="R287" s="19" t="inlineStr">
        <is>
          <t>backend/test/commission.test.js :: dashboard, referrer list and agents ready to pay (seeded data) [passed]
UAT cycle 03-04 October 2026, phase Reports and dashboards (58 passed, 0 failed)
Screen check /commission/dashboard: opened clean</t>
        </is>
      </c>
      <c r="S287" s="19" t="n"/>
    </row>
    <row r="288">
      <c r="A288" s="19" t="inlineStr">
        <is>
          <t>BV-COM-007</t>
        </is>
      </c>
      <c r="B288" s="19" t="inlineStr">
        <is>
          <t>Commission and referrers</t>
        </is>
      </c>
      <c r="C288" s="19" t="inlineStr">
        <is>
          <t>Commission taxes</t>
        </is>
      </c>
      <c r="D288" s="19" t="inlineStr">
        <is>
          <t>Accounting Officer (liza.quiambao)</t>
        </is>
      </c>
      <c r="E288" s="19" t="inlineStr">
        <is>
          <t>Commission taxes set-up and simulation</t>
        </is>
      </c>
      <c r="F288" s="19" t="inlineStr">
        <is>
          <t>Accounting</t>
        </is>
      </c>
      <c r="G288" s="19" t="inlineStr">
        <is>
          <t>High</t>
        </is>
      </c>
      <c r="H288" s="19" t="inlineStr">
        <is>
          <t>Master &gt; Finance &gt; Account Determination.</t>
        </is>
      </c>
      <c r="I288" s="19" t="inlineStr">
        <is>
          <t>1. Open commission taxes; read VAT12-OUT and WC139.
2. Simulate a booking.</t>
        </is>
      </c>
      <c r="J288" s="19" t="inlineStr">
        <is>
          <t>VAT 12%; EWT WC139</t>
        </is>
      </c>
      <c r="K288" s="19" t="inlineStr">
        <is>
          <t>Tax lines shown; rates and GL from tax codes; change goes through approval.</t>
        </is>
      </c>
      <c r="L288" s="19" t="inlineStr">
        <is>
          <t>As expected.</t>
        </is>
      </c>
      <c r="M288" s="19" t="inlineStr">
        <is>
          <t>Pass</t>
        </is>
      </c>
      <c r="N288" s="19" t="inlineStr"/>
      <c r="O288" s="19" t="inlineStr">
        <is>
          <t>iorta TechNXT QA</t>
        </is>
      </c>
      <c r="P288" s="19" t="inlineStr">
        <is>
          <t>03 October 2026</t>
        </is>
      </c>
      <c r="Q288" s="19" t="inlineStr"/>
      <c r="R288" s="19" t="inlineStr">
        <is>
          <t>backend/test/commission-taxes.test.js :: simulate shows the tax lines; rates and GL accounts follow the tax codes master [passed]
backend/test/commission-taxes.test.js :: the set-up screen reads and changes the switches and tax codes [passed]
backend/test/configuration-controls.test.js :: maps and commission taxes too; the generic settings screens cannot bypass it [passed]</t>
        </is>
      </c>
      <c r="S288" s="19" t="n"/>
    </row>
    <row r="289">
      <c r="A289" s="19" t="inlineStr">
        <is>
          <t>BV-COM-008</t>
        </is>
      </c>
      <c r="B289" s="19" t="inlineStr">
        <is>
          <t>Commission and referrers</t>
        </is>
      </c>
      <c r="C289" s="19" t="inlineStr">
        <is>
          <t>Commission taxes</t>
        </is>
      </c>
      <c r="D289" s="19" t="inlineStr">
        <is>
          <t>Accounting Officer (liza.quiambao)</t>
        </is>
      </c>
      <c r="E289" s="19" t="inlineStr">
        <is>
          <t>Co-insured: VAT and EWT per insurer commission</t>
        </is>
      </c>
      <c r="F289" s="19" t="inlineStr">
        <is>
          <t>Accounting</t>
        </is>
      </c>
      <c r="G289" s="19" t="inlineStr">
        <is>
          <t>Medium</t>
        </is>
      </c>
      <c r="H289" s="19" t="inlineStr">
        <is>
          <t>Co-insured policy.</t>
        </is>
      </c>
      <c r="I289" s="19" t="inlineStr">
        <is>
          <t>1. Open the booking.</t>
        </is>
      </c>
      <c r="J289" s="19" t="inlineStr">
        <is>
          <t>Shares 60 / 40</t>
        </is>
      </c>
      <c r="K289" s="19" t="inlineStr">
        <is>
          <t>Each insurer billed VAT on and withholds EWT from its own commission.</t>
        </is>
      </c>
      <c r="L289" s="19" t="inlineStr">
        <is>
          <t>As expected.</t>
        </is>
      </c>
      <c r="M289" s="19" t="inlineStr">
        <is>
          <t>Pass</t>
        </is>
      </c>
      <c r="N289" s="19" t="inlineStr"/>
      <c r="O289" s="19" t="inlineStr">
        <is>
          <t>iorta TechNXT QA</t>
        </is>
      </c>
      <c r="P289" s="19" t="inlineStr">
        <is>
          <t>03 October 2026</t>
        </is>
      </c>
      <c r="Q289" s="19" t="inlineStr"/>
      <c r="R289" s="19" t="inlineStr">
        <is>
          <t>backend/test/commission-taxes.test.js :: co-insured: each insurer is billed VAT on, and withholds EWT from, its own commission [passed]</t>
        </is>
      </c>
      <c r="S289" s="19" t="n"/>
    </row>
    <row r="290">
      <c r="A290" s="19" t="inlineStr">
        <is>
          <t>BV-COM-009</t>
        </is>
      </c>
      <c r="B290" s="19" t="inlineStr">
        <is>
          <t>Commission and referrers</t>
        </is>
      </c>
      <c r="C290" s="19" t="inlineStr">
        <is>
          <t>Order summary</t>
        </is>
      </c>
      <c r="D290" s="19" t="inlineStr">
        <is>
          <t>Sales / Account Executive (maria.rivera)</t>
        </is>
      </c>
      <c r="E290" s="19" t="inlineStr">
        <is>
          <t>Commission split on the order summary</t>
        </is>
      </c>
      <c r="F290" s="19" t="inlineStr">
        <is>
          <t>Functional</t>
        </is>
      </c>
      <c r="G290" s="19" t="inlineStr">
        <is>
          <t>Medium</t>
        </is>
      </c>
      <c r="H290" s="19" t="inlineStr">
        <is>
          <t>Motor quotation with a referrer.</t>
        </is>
      </c>
      <c r="I290" s="19" t="inlineStr">
        <is>
          <t>1. Open the order summary.</t>
        </is>
      </c>
      <c r="J290" s="19" t="inlineStr">
        <is>
          <t>Brokerage 20%; comsub 5% to Rolando Tiu</t>
        </is>
      </c>
      <c r="K290" s="19" t="inlineStr">
        <is>
          <t>Brokerage % of the commission rule booked; referrer split shown.</t>
        </is>
      </c>
      <c r="L290" s="19" t="inlineStr">
        <is>
          <t>As expected.</t>
        </is>
      </c>
      <c r="M290" s="19" t="inlineStr">
        <is>
          <t>Pass</t>
        </is>
      </c>
      <c r="N290" s="19" t="inlineStr"/>
      <c r="O290" s="19" t="inlineStr">
        <is>
          <t>iorta TechNXT QA</t>
        </is>
      </c>
      <c r="P290" s="19" t="inlineStr">
        <is>
          <t>04 October 2026</t>
        </is>
      </c>
      <c r="Q290" s="19" t="inlineStr"/>
      <c r="R290" s="19" t="inlineStr">
        <is>
          <t>backend/test/motor-tariff.test.js :: books the brokerage % of the commission rule shown on the order summary [passed]
UAT cycle 03-04 October 2026, phase Retail package business (84 passed, 0 failed)</t>
        </is>
      </c>
      <c r="S290" s="19" t="n"/>
    </row>
    <row r="291">
      <c r="A291" s="19" t="inlineStr">
        <is>
          <t>BV-COM-010</t>
        </is>
      </c>
      <c r="B291" s="19" t="inlineStr">
        <is>
          <t>Commission and referrers</t>
        </is>
      </c>
      <c r="C291" s="19" t="inlineStr">
        <is>
          <t>Permissions</t>
        </is>
      </c>
      <c r="D291" s="19" t="inlineStr">
        <is>
          <t>Sales / Account Executive (maria.rivera)</t>
        </is>
      </c>
      <c r="E291" s="19" t="inlineStr">
        <is>
          <t>Commission validation and permissions</t>
        </is>
      </c>
      <c r="F291" s="19" t="inlineStr">
        <is>
          <t>Role access</t>
        </is>
      </c>
      <c r="G291" s="19" t="inlineStr">
        <is>
          <t>Low</t>
        </is>
      </c>
      <c r="H291" s="19" t="inlineStr">
        <is>
          <t>Signed in as maria.rivera.</t>
        </is>
      </c>
      <c r="I291" s="19" t="inlineStr">
        <is>
          <t>1. Open Agents/Referrer Accounts by address.</t>
        </is>
      </c>
      <c r="J291" s="19" t="inlineStr">
        <is>
          <t>None</t>
        </is>
      </c>
      <c r="K291" s="19" t="inlineStr">
        <is>
          <t>Not available to Sales.</t>
        </is>
      </c>
      <c r="L291" s="19" t="inlineStr">
        <is>
          <t>As expected.</t>
        </is>
      </c>
      <c r="M291" s="19" t="inlineStr">
        <is>
          <t>Pass</t>
        </is>
      </c>
      <c r="N291" s="19" t="inlineStr"/>
      <c r="O291" s="19" t="inlineStr">
        <is>
          <t>iorta TechNXT QA</t>
        </is>
      </c>
      <c r="P291" s="19" t="inlineStr">
        <is>
          <t>03 October 2026</t>
        </is>
      </c>
      <c r="Q291" s="19" t="inlineStr"/>
      <c r="R291" s="19" t="inlineStr">
        <is>
          <t>backend/test/commission.test.js :: validation and permissions [passed]</t>
        </is>
      </c>
      <c r="S291" s="19" t="n"/>
    </row>
    <row r="292">
      <c r="A292" s="19" t="inlineStr">
        <is>
          <t>BV-PCH-001</t>
        </is>
      </c>
      <c r="B292" s="19" t="inlineStr">
        <is>
          <t>Petty cash</t>
        </is>
      </c>
      <c r="C292" s="19" t="inlineStr">
        <is>
          <t>Initiate</t>
        </is>
      </c>
      <c r="D292" s="19" t="inlineStr">
        <is>
          <t>Accounting Officer (liza.quiambao)</t>
        </is>
      </c>
      <c r="E292" s="19" t="inlineStr">
        <is>
          <t>Set up a petty cash fund</t>
        </is>
      </c>
      <c r="F292" s="19" t="inlineStr">
        <is>
          <t>Functional</t>
        </is>
      </c>
      <c r="G292" s="19" t="inlineStr">
        <is>
          <t>High</t>
        </is>
      </c>
      <c r="H292" s="19" t="inlineStr">
        <is>
          <t>Signed in as liza.quiambao.</t>
        </is>
      </c>
      <c r="I292" s="19" t="inlineStr">
        <is>
          <t>1. Open Accounts &gt; Petty Cash &gt; Initiate.
2. Click Add Petty Cash.
3. Enter code, description, fund size, max limit, minimum cashbox, bank account.
4. Save.</t>
        </is>
      </c>
      <c r="J292" s="19" t="inlineStr">
        <is>
          <t>PCF-MKT; Makati head office petty cash; PHP 20,000.00; max PHP 5,000.00; minimum PHP 3,000.00; BDO-OPS</t>
        </is>
      </c>
      <c r="K292" s="19" t="inlineStr">
        <is>
          <t>Fund created.</t>
        </is>
      </c>
      <c r="L292" s="19" t="inlineStr">
        <is>
          <t>1 fund created.</t>
        </is>
      </c>
      <c r="M292" s="19" t="inlineStr">
        <is>
          <t>Pass</t>
        </is>
      </c>
      <c r="N292" s="19" t="inlineStr"/>
      <c r="O292" s="19" t="inlineStr">
        <is>
          <t>iorta TechNXT QA</t>
        </is>
      </c>
      <c r="P292" s="19" t="inlineStr">
        <is>
          <t>04 October 2026</t>
        </is>
      </c>
      <c r="Q292" s="19" t="inlineStr"/>
      <c r="R292" s="19" t="inlineStr">
        <is>
          <t>UAT cycle 03-04 October 2026, phase Money: remittances, commission, petty cash (27 passed, 0 failed)
Screen check /accounts/pettycash/pettycashcodeinitiate: opened clean</t>
        </is>
      </c>
      <c r="S292" s="19" t="n"/>
    </row>
    <row r="293">
      <c r="A293" s="19" t="inlineStr">
        <is>
          <t>BV-PCH-002</t>
        </is>
      </c>
      <c r="B293" s="19" t="inlineStr">
        <is>
          <t>Petty cash</t>
        </is>
      </c>
      <c r="C293" s="19" t="inlineStr">
        <is>
          <t>Request</t>
        </is>
      </c>
      <c r="D293" s="19" t="inlineStr">
        <is>
          <t>Accounting Officer (nestor.pangilinan)</t>
        </is>
      </c>
      <c r="E293" s="19" t="inlineStr">
        <is>
          <t>Petty cash request approved by a second user</t>
        </is>
      </c>
      <c r="F293" s="19" t="inlineStr">
        <is>
          <t>Functional</t>
        </is>
      </c>
      <c r="G293" s="19" t="inlineStr">
        <is>
          <t>High</t>
        </is>
      </c>
      <c r="H293" s="19" t="inlineStr">
        <is>
          <t>Fund PCF-MKT.</t>
        </is>
      </c>
      <c r="I293" s="19" t="inlineStr">
        <is>
          <t>1. Open Request; Add Request with two lines; Submit.
2. As nestor.pangilinan Approve.</t>
        </is>
      </c>
      <c r="J293" s="19" t="inlineStr">
        <is>
          <t>LBC courier PHP 850.00; notarial fees PHP 600.00; account 4401001</t>
        </is>
      </c>
      <c r="K293" s="19" t="inlineStr">
        <is>
          <t>Request approved.</t>
        </is>
      </c>
      <c r="L293" s="19" t="inlineStr">
        <is>
          <t>3 requests approved and paid.</t>
        </is>
      </c>
      <c r="M293" s="19" t="inlineStr">
        <is>
          <t>Pass</t>
        </is>
      </c>
      <c r="N293" s="19" t="inlineStr"/>
      <c r="O293" s="19" t="inlineStr">
        <is>
          <t>iorta TechNXT QA</t>
        </is>
      </c>
      <c r="P293" s="19" t="inlineStr">
        <is>
          <t>04 October 2026</t>
        </is>
      </c>
      <c r="Q293" s="19" t="inlineStr"/>
      <c r="R293" s="19" t="inlineStr">
        <is>
          <t>UAT cycle 03-04 October 2026, phase Money: remittances, commission, petty cash (27 passed, 0 failed)
Screen check /accounts/pettycash/pettycashrequest: opened clean</t>
        </is>
      </c>
      <c r="S293" s="19" t="n"/>
    </row>
    <row r="294">
      <c r="A294" s="19" t="inlineStr">
        <is>
          <t>BV-PCH-003</t>
        </is>
      </c>
      <c r="B294" s="19" t="inlineStr">
        <is>
          <t>Petty cash</t>
        </is>
      </c>
      <c r="C294" s="19" t="inlineStr">
        <is>
          <t>Disbursement</t>
        </is>
      </c>
      <c r="D294" s="19" t="inlineStr">
        <is>
          <t>Accounting Officer (liza.quiambao)</t>
        </is>
      </c>
      <c r="E294" s="19" t="inlineStr">
        <is>
          <t>Disburse with input VAT</t>
        </is>
      </c>
      <c r="F294" s="19" t="inlineStr">
        <is>
          <t>Accounting</t>
        </is>
      </c>
      <c r="G294" s="19" t="inlineStr">
        <is>
          <t>High</t>
        </is>
      </c>
      <c r="H294" s="19" t="inlineStr">
        <is>
          <t>Approved request.</t>
        </is>
      </c>
      <c r="I294" s="19" t="inlineStr">
        <is>
          <t>1. Open Disbursement; Add Disbursement for PHP 1,450.00 with VAT 91.07.</t>
        </is>
      </c>
      <c r="J294" s="19" t="inlineStr">
        <is>
          <t>PHP 1,450.00; VAT PHP 91.07</t>
        </is>
      </c>
      <c r="K294" s="19" t="inlineStr">
        <is>
          <t>Expense and input VAT booked; fund balance reduced.</t>
        </is>
      </c>
      <c r="L294" s="19" t="inlineStr">
        <is>
          <t>As expected.</t>
        </is>
      </c>
      <c r="M294" s="19" t="inlineStr">
        <is>
          <t>Pass</t>
        </is>
      </c>
      <c r="N294" s="19" t="inlineStr"/>
      <c r="O294" s="19" t="inlineStr">
        <is>
          <t>iorta TechNXT QA</t>
        </is>
      </c>
      <c r="P294" s="19" t="inlineStr">
        <is>
          <t>04 October 2026</t>
        </is>
      </c>
      <c r="Q294" s="19" t="inlineStr"/>
      <c r="R294" s="19" t="inlineStr">
        <is>
          <t>UAT cycle 03-04 October 2026, phase Money: remittances, commission, petty cash (27 passed, 0 failed)
Screen check /accounts/pettycash/disbursement: opened clean</t>
        </is>
      </c>
      <c r="S294" s="19" t="n"/>
    </row>
    <row r="295">
      <c r="A295" s="19" t="inlineStr">
        <is>
          <t>BV-PCH-004</t>
        </is>
      </c>
      <c r="B295" s="19" t="inlineStr">
        <is>
          <t>Petty cash</t>
        </is>
      </c>
      <c r="C295" s="19" t="inlineStr">
        <is>
          <t>Replenish</t>
        </is>
      </c>
      <c r="D295" s="19" t="inlineStr">
        <is>
          <t>Accounting Officer (liza.quiambao)</t>
        </is>
      </c>
      <c r="E295" s="19" t="inlineStr">
        <is>
          <t>Replenish the fund</t>
        </is>
      </c>
      <c r="F295" s="19" t="inlineStr">
        <is>
          <t>Accounting</t>
        </is>
      </c>
      <c r="G295" s="19" t="inlineStr">
        <is>
          <t>Medium</t>
        </is>
      </c>
      <c r="H295" s="19" t="inlineStr">
        <is>
          <t>Fund below size.</t>
        </is>
      </c>
      <c r="I295" s="19" t="inlineStr">
        <is>
          <t>1. Open Replenish; Add Replenish.</t>
        </is>
      </c>
      <c r="J295" s="19" t="inlineStr">
        <is>
          <t>Replenishment 2026-09</t>
        </is>
      </c>
      <c r="K295" s="19" t="inlineStr">
        <is>
          <t>Fund back to PHP 20,000.00; cash journal posted.</t>
        </is>
      </c>
      <c r="L295" s="19" t="inlineStr">
        <is>
          <t>As expected.</t>
        </is>
      </c>
      <c r="M295" s="19" t="inlineStr">
        <is>
          <t>Pass</t>
        </is>
      </c>
      <c r="N295" s="19" t="inlineStr"/>
      <c r="O295" s="19" t="inlineStr">
        <is>
          <t>iorta TechNXT QA</t>
        </is>
      </c>
      <c r="P295" s="19" t="inlineStr">
        <is>
          <t>04 October 2026</t>
        </is>
      </c>
      <c r="Q295" s="19" t="inlineStr"/>
      <c r="R295" s="19" t="inlineStr">
        <is>
          <t>UAT cycle 03-04 October 2026, phase Money: remittances, commission, petty cash (27 passed, 0 failed)
Screen check /accounts/pettycash/replenish: opened clean</t>
        </is>
      </c>
      <c r="S295" s="19" t="n"/>
    </row>
    <row r="296">
      <c r="A296" s="19" t="inlineStr">
        <is>
          <t>BV-PCH-005</t>
        </is>
      </c>
      <c r="B296" s="19" t="inlineStr">
        <is>
          <t>Petty cash</t>
        </is>
      </c>
      <c r="C296" s="19" t="inlineStr">
        <is>
          <t>Reversal</t>
        </is>
      </c>
      <c r="D296" s="19" t="inlineStr">
        <is>
          <t>Accounting Officer (liza.quiambao)</t>
        </is>
      </c>
      <c r="E296" s="19" t="inlineStr">
        <is>
          <t>Petty cash reversal keeps the ledger balanced</t>
        </is>
      </c>
      <c r="F296" s="19" t="inlineStr">
        <is>
          <t>Accounting</t>
        </is>
      </c>
      <c r="G296" s="19" t="inlineStr">
        <is>
          <t>Medium</t>
        </is>
      </c>
      <c r="H296" s="19" t="inlineStr">
        <is>
          <t>Posted disbursement.</t>
        </is>
      </c>
      <c r="I296" s="19" t="inlineStr">
        <is>
          <t>1. Reverse it.</t>
        </is>
      </c>
      <c r="J296" s="19" t="inlineStr">
        <is>
          <t>Disbursement PHP 1,450.00</t>
        </is>
      </c>
      <c r="K296" s="19" t="inlineStr">
        <is>
          <t>Reversal balanced.</t>
        </is>
      </c>
      <c r="L296" s="19" t="inlineStr">
        <is>
          <t>As expected.</t>
        </is>
      </c>
      <c r="M296" s="19" t="inlineStr">
        <is>
          <t>Pass</t>
        </is>
      </c>
      <c r="N296" s="19" t="inlineStr"/>
      <c r="O296" s="19" t="inlineStr">
        <is>
          <t>iorta TechNXT QA</t>
        </is>
      </c>
      <c r="P296" s="19" t="inlineStr">
        <is>
          <t>03 October 2026</t>
        </is>
      </c>
      <c r="Q296" s="19" t="inlineStr"/>
      <c r="R296" s="19" t="inlineStr">
        <is>
          <t>backend/test/posting-rules.test.js :: remittance adjustments, petty cash reversal and the ledger stay balanced [passed]</t>
        </is>
      </c>
      <c r="S296" s="19" t="n"/>
    </row>
    <row r="297">
      <c r="A297" s="19" t="inlineStr">
        <is>
          <t>BV-PCH-006</t>
        </is>
      </c>
      <c r="B297" s="19" t="inlineStr">
        <is>
          <t>Petty cash</t>
        </is>
      </c>
      <c r="C297" s="19" t="inlineStr">
        <is>
          <t>Limit</t>
        </is>
      </c>
      <c r="D297" s="19" t="inlineStr">
        <is>
          <t>Accounting Officer (liza.quiambao)</t>
        </is>
      </c>
      <c r="E297" s="19" t="inlineStr">
        <is>
          <t>Request above the max limit</t>
        </is>
      </c>
      <c r="F297" s="19" t="inlineStr">
        <is>
          <t>Negative</t>
        </is>
      </c>
      <c r="G297" s="19" t="inlineStr">
        <is>
          <t>Medium</t>
        </is>
      </c>
      <c r="H297" s="19" t="inlineStr">
        <is>
          <t>Max limit PHP 5,000.00.</t>
        </is>
      </c>
      <c r="I297" s="19" t="inlineStr">
        <is>
          <t>1. Add Request for PHP 6,500.00.</t>
        </is>
      </c>
      <c r="J297" s="19" t="inlineStr">
        <is>
          <t>PHP 6,500.00</t>
        </is>
      </c>
      <c r="K297" s="19" t="inlineStr">
        <is>
          <t>Refused with the limit.</t>
        </is>
      </c>
      <c r="L297" s="19" t="inlineStr"/>
      <c r="M297" s="19" t="inlineStr">
        <is>
          <t>Not Run</t>
        </is>
      </c>
      <c r="N297" s="19" t="inlineStr"/>
      <c r="O297" s="19" t="inlineStr">
        <is>
          <t>iorta TechNXT QA</t>
        </is>
      </c>
      <c r="P297" s="19" t="inlineStr"/>
      <c r="Q297" s="19" t="inlineStr">
        <is>
          <t>Limit check not covered by the backend run or the cycle; to be run by hand.</t>
        </is>
      </c>
      <c r="R297" s="19" t="inlineStr"/>
      <c r="S297" s="19" t="n"/>
    </row>
    <row r="298">
      <c r="A298" s="19" t="inlineStr">
        <is>
          <t>BV-PCH-007</t>
        </is>
      </c>
      <c r="B298" s="19" t="inlineStr">
        <is>
          <t>Petty cash</t>
        </is>
      </c>
      <c r="C298" s="19" t="inlineStr">
        <is>
          <t>Master</t>
        </is>
      </c>
      <c r="D298" s="19" t="inlineStr">
        <is>
          <t>Accounting Officer (liza.quiambao)</t>
        </is>
      </c>
      <c r="E298" s="19" t="inlineStr">
        <is>
          <t>Petty cash master and receipts screen open</t>
        </is>
      </c>
      <c r="F298" s="19" t="inlineStr">
        <is>
          <t>Functional</t>
        </is>
      </c>
      <c r="G298" s="19" t="inlineStr">
        <is>
          <t>Low</t>
        </is>
      </c>
      <c r="H298" s="19" t="inlineStr">
        <is>
          <t>Fund exists.</t>
        </is>
      </c>
      <c r="I298" s="19" t="inlineStr">
        <is>
          <t>1. Open Master &gt; Finance &gt; Petty Cash.
2. Open Accounts &gt; Petty Cash &gt; Receipts.</t>
        </is>
      </c>
      <c r="J298" s="19" t="inlineStr">
        <is>
          <t>PCF-MKT</t>
        </is>
      </c>
      <c r="K298" s="19" t="inlineStr">
        <is>
          <t>Both screens list the fund.</t>
        </is>
      </c>
      <c r="L298" s="19" t="inlineStr">
        <is>
          <t>As expected.</t>
        </is>
      </c>
      <c r="M298" s="19" t="inlineStr">
        <is>
          <t>Pass</t>
        </is>
      </c>
      <c r="N298" s="19" t="inlineStr"/>
      <c r="O298" s="19" t="inlineStr">
        <is>
          <t>iorta TechNXT QA</t>
        </is>
      </c>
      <c r="P298" s="19" t="inlineStr">
        <is>
          <t>03 October 2026</t>
        </is>
      </c>
      <c r="Q298" s="19" t="inlineStr"/>
      <c r="R298" s="19" t="inlineStr">
        <is>
          <t>Screen check /master/finance/pettycash: opened clean
Screen check /accounts/pettycash/receipts: opened clean</t>
        </is>
      </c>
      <c r="S298" s="19" t="n"/>
    </row>
    <row r="299">
      <c r="A299" s="19" t="inlineStr">
        <is>
          <t>BV-JNL-001</t>
        </is>
      </c>
      <c r="B299" s="19" t="inlineStr">
        <is>
          <t>Journal vouchers and ledger</t>
        </is>
      </c>
      <c r="C299" s="19" t="inlineStr">
        <is>
          <t>Journal Voucher</t>
        </is>
      </c>
      <c r="D299" s="19" t="inlineStr">
        <is>
          <t>Accounting Officer (liza.quiambao)</t>
        </is>
      </c>
      <c r="E299" s="19" t="inlineStr">
        <is>
          <t>Manual journal voucher with maker-checker</t>
        </is>
      </c>
      <c r="F299" s="19" t="inlineStr">
        <is>
          <t>Accounting</t>
        </is>
      </c>
      <c r="G299" s="19" t="inlineStr">
        <is>
          <t>High</t>
        </is>
      </c>
      <c r="H299" s="19" t="inlineStr">
        <is>
          <t>Signed in as liza.quiambao.</t>
        </is>
      </c>
      <c r="I299" s="19" t="inlineStr">
        <is>
          <t>1. Open Accounts &gt; Journal Voucher.
2. Click Add Journal Voucher.
3. Enter lines Dr 1102001 / Cr 5101001.
4. Submit.
5. As maker approve; as teresa.villaroman approve.</t>
        </is>
      </c>
      <c r="J299" s="19" t="inlineStr">
        <is>
          <t>JV01; Go-live: balance of the BDO operating account; PHP 3,500,000.00; dated 30 April 2026</t>
        </is>
      </c>
      <c r="K299" s="19" t="inlineStr">
        <is>
          <t>Voucher pending; maker refused; checker approves and it posts; Journal register shows it; trial balance balanced.</t>
        </is>
      </c>
      <c r="L299" s="19" t="inlineStr">
        <is>
          <t>As expected.</t>
        </is>
      </c>
      <c r="M299" s="19" t="inlineStr">
        <is>
          <t>Pass</t>
        </is>
      </c>
      <c r="N299" s="19" t="inlineStr"/>
      <c r="O299" s="19" t="inlineStr">
        <is>
          <t>iorta TechNXT QA</t>
        </is>
      </c>
      <c r="P299" s="19" t="inlineStr">
        <is>
          <t>04 October 2026</t>
        </is>
      </c>
      <c r="Q299" s="19" t="inlineStr"/>
      <c r="R299" s="19" t="inlineStr">
        <is>
          <t>backend/test/journal.test.js :: maker creates a voucher for approval; maker cannot approve; checker approves and it posts [passed]
UAT cycle 03-04 October 2026, phase Reconciliation: bank and insurer statements (10 passed, 0 failed)
Screen check /accounts/journalvoucher: opened clean</t>
        </is>
      </c>
      <c r="S299" s="19" t="n"/>
    </row>
    <row r="300">
      <c r="A300" s="19" t="inlineStr">
        <is>
          <t>BV-JNL-002</t>
        </is>
      </c>
      <c r="B300" s="19" t="inlineStr">
        <is>
          <t>Journal vouchers and ledger</t>
        </is>
      </c>
      <c r="C300" s="19" t="inlineStr">
        <is>
          <t>Journal Voucher</t>
        </is>
      </c>
      <c r="D300" s="19" t="inlineStr">
        <is>
          <t>Accounting Officer (liza.quiambao)</t>
        </is>
      </c>
      <c r="E300" s="19" t="inlineStr">
        <is>
          <t>Unbalanced or unknown account refused</t>
        </is>
      </c>
      <c r="F300" s="19" t="inlineStr">
        <is>
          <t>Negative</t>
        </is>
      </c>
      <c r="G300" s="19" t="inlineStr">
        <is>
          <t>High</t>
        </is>
      </c>
      <c r="H300" s="19" t="inlineStr">
        <is>
          <t>Add Journal Voucher.</t>
        </is>
      </c>
      <c r="I300" s="19" t="inlineStr">
        <is>
          <t>1. Enter Dr PHP 1,000.00 / Cr PHP 900.00.
2. Use account 9999999.</t>
        </is>
      </c>
      <c r="J300" s="19" t="inlineStr">
        <is>
          <t>Unbalanced by PHP 100.00</t>
        </is>
      </c>
      <c r="K300" s="19" t="inlineStr">
        <is>
          <t>Both refused.</t>
        </is>
      </c>
      <c r="L300" s="19" t="inlineStr">
        <is>
          <t>As expected.</t>
        </is>
      </c>
      <c r="M300" s="19" t="inlineStr">
        <is>
          <t>Pass</t>
        </is>
      </c>
      <c r="N300" s="19" t="inlineStr"/>
      <c r="O300" s="19" t="inlineStr">
        <is>
          <t>iorta TechNXT QA</t>
        </is>
      </c>
      <c r="P300" s="19" t="inlineStr">
        <is>
          <t>03 October 2026</t>
        </is>
      </c>
      <c r="Q300" s="19" t="inlineStr"/>
      <c r="R300" s="19" t="inlineStr">
        <is>
          <t>backend/test/journal.test.js :: foreign currency lines convert at the master rate; unbalanced or unknown accounts are rejected [passed]</t>
        </is>
      </c>
      <c r="S300" s="19" t="n"/>
    </row>
    <row r="301">
      <c r="A301" s="19" t="inlineStr">
        <is>
          <t>BV-JNL-003</t>
        </is>
      </c>
      <c r="B301" s="19" t="inlineStr">
        <is>
          <t>Journal vouchers and ledger</t>
        </is>
      </c>
      <c r="C301" s="19" t="inlineStr">
        <is>
          <t>Journal Voucher</t>
        </is>
      </c>
      <c r="D301" s="19" t="inlineStr">
        <is>
          <t>Accounting Officer (liza.quiambao)</t>
        </is>
      </c>
      <c r="E301" s="19" t="inlineStr">
        <is>
          <t>Foreign currency line converts at master rate</t>
        </is>
      </c>
      <c r="F301" s="19" t="inlineStr">
        <is>
          <t>Accounting</t>
        </is>
      </c>
      <c r="G301" s="19" t="inlineStr">
        <is>
          <t>Medium</t>
        </is>
      </c>
      <c r="H301" s="19" t="inlineStr">
        <is>
          <t>USD rate in master.</t>
        </is>
      </c>
      <c r="I301" s="19" t="inlineStr">
        <is>
          <t>1. Enter a USD line.</t>
        </is>
      </c>
      <c r="J301" s="19" t="inlineStr">
        <is>
          <t>USD 1,000.00 at PHP 57.25</t>
        </is>
      </c>
      <c r="K301" s="19" t="inlineStr">
        <is>
          <t>PHP 57,250.00 booked.</t>
        </is>
      </c>
      <c r="L301" s="19" t="inlineStr">
        <is>
          <t>As expected.</t>
        </is>
      </c>
      <c r="M301" s="19" t="inlineStr">
        <is>
          <t>Pass</t>
        </is>
      </c>
      <c r="N301" s="19" t="inlineStr"/>
      <c r="O301" s="19" t="inlineStr">
        <is>
          <t>iorta TechNXT QA</t>
        </is>
      </c>
      <c r="P301" s="19" t="inlineStr">
        <is>
          <t>03 October 2026</t>
        </is>
      </c>
      <c r="Q301" s="19" t="inlineStr"/>
      <c r="R301" s="19" t="inlineStr">
        <is>
          <t>backend/test/journal.test.js :: foreign currency lines convert at the master rate; unbalanced or unknown accounts are rejected [passed]</t>
        </is>
      </c>
      <c r="S301" s="19" t="n"/>
    </row>
    <row r="302">
      <c r="A302" s="19" t="inlineStr">
        <is>
          <t>BV-JNL-004</t>
        </is>
      </c>
      <c r="B302" s="19" t="inlineStr">
        <is>
          <t>Journal vouchers and ledger</t>
        </is>
      </c>
      <c r="C302" s="19" t="inlineStr">
        <is>
          <t>Journal Voucher</t>
        </is>
      </c>
      <c r="D302" s="19" t="inlineStr">
        <is>
          <t>Accounting Manager (teresa.villaroman)</t>
        </is>
      </c>
      <c r="E302" s="19" t="inlineStr">
        <is>
          <t>Checker rejects with a reason</t>
        </is>
      </c>
      <c r="F302" s="19" t="inlineStr">
        <is>
          <t>Functional</t>
        </is>
      </c>
      <c r="G302" s="19" t="inlineStr">
        <is>
          <t>Medium</t>
        </is>
      </c>
      <c r="H302" s="19" t="inlineStr">
        <is>
          <t>Pending voucher.</t>
        </is>
      </c>
      <c r="I302" s="19" t="inlineStr">
        <is>
          <t>1. Reject with reason.</t>
        </is>
      </c>
      <c r="J302" s="19" t="inlineStr">
        <is>
          <t>Reason: Wrong cost centre</t>
        </is>
      </c>
      <c r="K302" s="19" t="inlineStr">
        <is>
          <t>Status Rejected; reason recorded.</t>
        </is>
      </c>
      <c r="L302" s="19" t="inlineStr">
        <is>
          <t>As expected.</t>
        </is>
      </c>
      <c r="M302" s="19" t="inlineStr">
        <is>
          <t>Pass</t>
        </is>
      </c>
      <c r="N302" s="19" t="inlineStr"/>
      <c r="O302" s="19" t="inlineStr">
        <is>
          <t>iorta TechNXT QA</t>
        </is>
      </c>
      <c r="P302" s="19" t="inlineStr">
        <is>
          <t>03 October 2026</t>
        </is>
      </c>
      <c r="Q302" s="19" t="inlineStr"/>
      <c r="R302" s="19" t="inlineStr">
        <is>
          <t>backend/test/journal.test.js :: checker rejects with a reason [passed]</t>
        </is>
      </c>
      <c r="S302" s="19" t="n"/>
    </row>
    <row r="303">
      <c r="A303" s="19" t="inlineStr">
        <is>
          <t>BV-JNL-005</t>
        </is>
      </c>
      <c r="B303" s="19" t="inlineStr">
        <is>
          <t>Journal vouchers and ledger</t>
        </is>
      </c>
      <c r="C303" s="19" t="inlineStr">
        <is>
          <t>Correction JV</t>
        </is>
      </c>
      <c r="D303" s="19" t="inlineStr">
        <is>
          <t>Accounting Officer (liza.quiambao)</t>
        </is>
      </c>
      <c r="E303" s="19" t="inlineStr">
        <is>
          <t>Correction JV reverses the original and posts corrected lines</t>
        </is>
      </c>
      <c r="F303" s="19" t="inlineStr">
        <is>
          <t>Accounting</t>
        </is>
      </c>
      <c r="G303" s="19" t="inlineStr">
        <is>
          <t>High</t>
        </is>
      </c>
      <c r="H303" s="19" t="inlineStr">
        <is>
          <t>Posted voucher with wrong account.</t>
        </is>
      </c>
      <c r="I303" s="19" t="inlineStr">
        <is>
          <t>1. Open Accounts &gt; Correction JV.
2. Select the voucher; enter corrected lines; submit.
3. Second user approves.</t>
        </is>
      </c>
      <c r="J303" s="19" t="inlineStr">
        <is>
          <t>Expense posted to 4401001 instead of 4402001</t>
        </is>
      </c>
      <c r="K303" s="19" t="inlineStr">
        <is>
          <t>On approval the original is reversed and corrected lines post.</t>
        </is>
      </c>
      <c r="L303" s="19" t="inlineStr">
        <is>
          <t>As expected.</t>
        </is>
      </c>
      <c r="M303" s="19" t="inlineStr">
        <is>
          <t>Pass</t>
        </is>
      </c>
      <c r="N303" s="19" t="inlineStr"/>
      <c r="O303" s="19" t="inlineStr">
        <is>
          <t>iorta TechNXT QA</t>
        </is>
      </c>
      <c r="P303" s="19" t="inlineStr">
        <is>
          <t>03 October 2026</t>
        </is>
      </c>
      <c r="Q303" s="19" t="inlineStr"/>
      <c r="R303" s="19" t="inlineStr">
        <is>
          <t>backend/test/journal.test.js :: correction JV reverses the original and posts corrected lines on approval; reversal JV of the correction [passed]
Screen check /accounts/correctionsjv/correctionsjvdetails: opened clean</t>
        </is>
      </c>
      <c r="S303" s="19" t="n"/>
    </row>
    <row r="304">
      <c r="A304" s="19" t="inlineStr">
        <is>
          <t>BV-JNL-006</t>
        </is>
      </c>
      <c r="B304" s="19" t="inlineStr">
        <is>
          <t>Journal vouchers and ledger</t>
        </is>
      </c>
      <c r="C304" s="19" t="inlineStr">
        <is>
          <t>Reversal JV</t>
        </is>
      </c>
      <c r="D304" s="19" t="inlineStr">
        <is>
          <t>Accounting Officer (liza.quiambao)</t>
        </is>
      </c>
      <c r="E304" s="19" t="inlineStr">
        <is>
          <t>Reversal JV of a correction</t>
        </is>
      </c>
      <c r="F304" s="19" t="inlineStr">
        <is>
          <t>Accounting</t>
        </is>
      </c>
      <c r="G304" s="19" t="inlineStr">
        <is>
          <t>Medium</t>
        </is>
      </c>
      <c r="H304" s="19" t="inlineStr">
        <is>
          <t>Approved correction.</t>
        </is>
      </c>
      <c r="I304" s="19" t="inlineStr">
        <is>
          <t>1. Open Accounts &gt; Reversal JV; reverse it; approve.</t>
        </is>
      </c>
      <c r="J304" s="19" t="inlineStr">
        <is>
          <t>Correction of previous case</t>
        </is>
      </c>
      <c r="K304" s="19" t="inlineStr">
        <is>
          <t>Reversal posts; ledger balanced.</t>
        </is>
      </c>
      <c r="L304" s="19" t="inlineStr">
        <is>
          <t>As expected.</t>
        </is>
      </c>
      <c r="M304" s="19" t="inlineStr">
        <is>
          <t>Pass</t>
        </is>
      </c>
      <c r="N304" s="19" t="inlineStr"/>
      <c r="O304" s="19" t="inlineStr">
        <is>
          <t>iorta TechNXT QA</t>
        </is>
      </c>
      <c r="P304" s="19" t="inlineStr">
        <is>
          <t>03 October 2026</t>
        </is>
      </c>
      <c r="Q304" s="19" t="inlineStr"/>
      <c r="R304" s="19" t="inlineStr">
        <is>
          <t>backend/test/journal.test.js :: correction JV reverses the original and posts corrected lines on approval; reversal JV of the correction [passed]
backend/test/accounting.test.js :: transactions: post a pending journal, reverse it, cancel another [passed]
Screen check /accounts/reversaljv/reversaljvdetails: opened clean</t>
        </is>
      </c>
      <c r="S304" s="19" t="n"/>
    </row>
    <row r="305">
      <c r="A305" s="19" t="inlineStr">
        <is>
          <t>BV-JNL-007</t>
        </is>
      </c>
      <c r="B305" s="19" t="inlineStr">
        <is>
          <t>Journal vouchers and ledger</t>
        </is>
      </c>
      <c r="C305" s="19" t="inlineStr">
        <is>
          <t>Journal Voucher</t>
        </is>
      </c>
      <c r="D305" s="19" t="inlineStr">
        <is>
          <t>Sales / Account Executive (maria.rivera)</t>
        </is>
      </c>
      <c r="E305" s="19" t="inlineStr">
        <is>
          <t>Journal permissions</t>
        </is>
      </c>
      <c r="F305" s="19" t="inlineStr">
        <is>
          <t>Role access</t>
        </is>
      </c>
      <c r="G305" s="19" t="inlineStr">
        <is>
          <t>Medium</t>
        </is>
      </c>
      <c r="H305" s="19" t="inlineStr">
        <is>
          <t>Signed in as maria.rivera.</t>
        </is>
      </c>
      <c r="I305" s="19" t="inlineStr">
        <is>
          <t>1. Open /accounts/journalvoucher by address.</t>
        </is>
      </c>
      <c r="J305" s="19" t="inlineStr">
        <is>
          <t>None</t>
        </is>
      </c>
      <c r="K305" s="19" t="inlineStr">
        <is>
          <t>Not available.</t>
        </is>
      </c>
      <c r="L305" s="19" t="inlineStr">
        <is>
          <t>As expected.</t>
        </is>
      </c>
      <c r="M305" s="19" t="inlineStr">
        <is>
          <t>Pass</t>
        </is>
      </c>
      <c r="N305" s="19" t="inlineStr"/>
      <c r="O305" s="19" t="inlineStr">
        <is>
          <t>iorta TechNXT QA</t>
        </is>
      </c>
      <c r="P305" s="19" t="inlineStr">
        <is>
          <t>03 October 2026</t>
        </is>
      </c>
      <c r="Q305" s="19" t="inlineStr"/>
      <c r="R305" s="19" t="inlineStr">
        <is>
          <t>backend/test/journal.test.js :: permissions [passed]
backend/test/accounting.test.js :: permissions [passed]</t>
        </is>
      </c>
      <c r="S305" s="19" t="n"/>
    </row>
    <row r="306">
      <c r="A306" s="19" t="inlineStr">
        <is>
          <t>BV-JNL-008</t>
        </is>
      </c>
      <c r="B306" s="19" t="inlineStr">
        <is>
          <t>Journal vouchers and ledger</t>
        </is>
      </c>
      <c r="C306" s="19" t="inlineStr">
        <is>
          <t>Accounting Query</t>
        </is>
      </c>
      <c r="D306" s="19" t="inlineStr">
        <is>
          <t>Accounting Officer (liza.quiambao)</t>
        </is>
      </c>
      <c r="E306" s="19" t="inlineStr">
        <is>
          <t>Search entries, client ledger and export</t>
        </is>
      </c>
      <c r="F306" s="19" t="inlineStr">
        <is>
          <t>Functional</t>
        </is>
      </c>
      <c r="G306" s="19" t="inlineStr">
        <is>
          <t>Medium</t>
        </is>
      </c>
      <c r="H306" s="19" t="inlineStr">
        <is>
          <t>Postings exist.</t>
        </is>
      </c>
      <c r="I306" s="19" t="inlineStr">
        <is>
          <t>1. Open Accounts &gt; Accounting Query; search a policy.
2. Open All Clients Accounting.
3. Export.</t>
        </is>
      </c>
      <c r="J306" s="19" t="inlineStr">
        <is>
          <t>Policy MC-2026-xxxxx</t>
        </is>
      </c>
      <c r="K306" s="19" t="inlineStr">
        <is>
          <t>Entries listed; client ledger and all-clients view; export downloads.</t>
        </is>
      </c>
      <c r="L306" s="19" t="inlineStr">
        <is>
          <t>As expected.</t>
        </is>
      </c>
      <c r="M306" s="19" t="inlineStr">
        <is>
          <t>Pass</t>
        </is>
      </c>
      <c r="N306" s="19" t="inlineStr"/>
      <c r="O306" s="19" t="inlineStr">
        <is>
          <t>iorta TechNXT QA</t>
        </is>
      </c>
      <c r="P306" s="19" t="inlineStr">
        <is>
          <t>03 October 2026</t>
        </is>
      </c>
      <c r="Q306" s="19" t="inlineStr"/>
      <c r="R306" s="19" t="inlineStr">
        <is>
          <t>backend/test/accounting.test.js :: entries search, client ledger, all-clients view and export [passed]
Screen check /agent/accounting/query: opened clean
Screen check /agent/accounting/all-clients-details: opened clean</t>
        </is>
      </c>
      <c r="S306" s="19" t="n"/>
    </row>
    <row r="307">
      <c r="A307" s="19" t="inlineStr">
        <is>
          <t>BV-JNL-009</t>
        </is>
      </c>
      <c r="B307" s="19" t="inlineStr">
        <is>
          <t>Journal vouchers and ledger</t>
        </is>
      </c>
      <c r="C307" s="19" t="inlineStr">
        <is>
          <t>Open Entry Matching</t>
        </is>
      </c>
      <c r="D307" s="19" t="inlineStr">
        <is>
          <t>Accounting Officer (liza.quiambao)</t>
        </is>
      </c>
      <c r="E307" s="19" t="inlineStr">
        <is>
          <t>Match and unmatch open entries</t>
        </is>
      </c>
      <c r="F307" s="19" t="inlineStr">
        <is>
          <t>Accounting</t>
        </is>
      </c>
      <c r="G307" s="19" t="inlineStr">
        <is>
          <t>Medium</t>
        </is>
      </c>
      <c r="H307" s="19" t="inlineStr">
        <is>
          <t>Open debit and credit entries.</t>
        </is>
      </c>
      <c r="I307" s="19" t="inlineStr">
        <is>
          <t>1. Open Open Entry Matching; match two entries.
2. Open Open Entry Unmatching; unmatch.</t>
        </is>
      </c>
      <c r="J307" s="19" t="inlineStr">
        <is>
          <t>Receivable and unapplied cash PHP 12,000.00</t>
        </is>
      </c>
      <c r="K307" s="19" t="inlineStr">
        <is>
          <t>Match recorded and reversed.</t>
        </is>
      </c>
      <c r="L307" s="19" t="inlineStr">
        <is>
          <t>As expected.</t>
        </is>
      </c>
      <c r="M307" s="19" t="inlineStr">
        <is>
          <t>Pass</t>
        </is>
      </c>
      <c r="N307" s="19" t="inlineStr"/>
      <c r="O307" s="19" t="inlineStr">
        <is>
          <t>iorta TechNXT QA</t>
        </is>
      </c>
      <c r="P307" s="19" t="inlineStr">
        <is>
          <t>03 October 2026</t>
        </is>
      </c>
      <c r="Q307" s="19" t="inlineStr"/>
      <c r="R307" s="19" t="inlineStr">
        <is>
          <t>backend/test/accounting.test.js :: open-entry matching and unmatching (POST and GET) [passed]
Screen check /accounts/open-entry-matching: opened clean
Screen check /accounts/open-entry-unmatching: opened clean</t>
        </is>
      </c>
      <c r="S307" s="19" t="n"/>
    </row>
    <row r="308">
      <c r="A308" s="19" t="inlineStr">
        <is>
          <t>BV-JNL-010</t>
        </is>
      </c>
      <c r="B308" s="19" t="inlineStr">
        <is>
          <t>Journal vouchers and ledger</t>
        </is>
      </c>
      <c r="C308" s="19" t="inlineStr">
        <is>
          <t>Ledger integrity</t>
        </is>
      </c>
      <c r="D308" s="19" t="inlineStr">
        <is>
          <t>Accounting Officer (liza.quiambao)</t>
        </is>
      </c>
      <c r="E308" s="19" t="inlineStr">
        <is>
          <t>Seeded ledger balanced; every event balances</t>
        </is>
      </c>
      <c r="F308" s="19" t="inlineStr">
        <is>
          <t>Accounting</t>
        </is>
      </c>
      <c r="G308" s="19" t="inlineStr">
        <is>
          <t>High</t>
        </is>
      </c>
      <c r="H308" s="19" t="inlineStr">
        <is>
          <t>Fresh database and after the cycle.</t>
        </is>
      </c>
      <c r="I308" s="19" t="inlineStr">
        <is>
          <t>1. Run the trial balance.
2. Simulate every posting event.</t>
        </is>
      </c>
      <c r="J308" s="19" t="inlineStr">
        <is>
          <t>All events, single insurer and co-insured</t>
        </is>
      </c>
      <c r="K308" s="19" t="inlineStr">
        <is>
          <t>Trial balance balanced; every event balances.</t>
        </is>
      </c>
      <c r="L308" s="19" t="inlineStr">
        <is>
          <t>As expected.</t>
        </is>
      </c>
      <c r="M308" s="19" t="inlineStr">
        <is>
          <t>Pass</t>
        </is>
      </c>
      <c r="N308" s="19" t="inlineStr"/>
      <c r="O308" s="19" t="inlineStr">
        <is>
          <t>iorta TechNXT QA</t>
        </is>
      </c>
      <c r="P308" s="19" t="inlineStr">
        <is>
          <t>04 October 2026</t>
        </is>
      </c>
      <c r="Q308" s="19" t="inlineStr"/>
      <c r="R308" s="19" t="inlineStr">
        <is>
          <t>backend/test/accounting.test.js :: seeded ledger is balanced and the trial balance agrees [passed]
backend/test/posting-rules.test.js :: every event balances on its sample context, single insurer and co-insured [passed]
UAT cycle 03-04 October 2026, phase Reports and dashboards (58 passed, 0 failed)</t>
        </is>
      </c>
      <c r="S308" s="19" t="n"/>
    </row>
    <row r="309">
      <c r="A309" s="19" t="inlineStr">
        <is>
          <t>BV-JNL-011</t>
        </is>
      </c>
      <c r="B309" s="19" t="inlineStr">
        <is>
          <t>Journal vouchers and ledger</t>
        </is>
      </c>
      <c r="C309" s="19" t="inlineStr">
        <is>
          <t>Posting Rules</t>
        </is>
      </c>
      <c r="D309" s="19" t="inlineStr">
        <is>
          <t>Accounting Manager (teresa.villaroman)</t>
        </is>
      </c>
      <c r="E309" s="19" t="inlineStr">
        <is>
          <t>New posting rule version pending until approved</t>
        </is>
      </c>
      <c r="F309" s="19" t="inlineStr">
        <is>
          <t>Accounting</t>
        </is>
      </c>
      <c r="G309" s="19" t="inlineStr">
        <is>
          <t>High</t>
        </is>
      </c>
      <c r="H309" s="19" t="inlineStr">
        <is>
          <t>Master &gt; Finance &gt; Posting Rules.</t>
        </is>
      </c>
      <c r="I309" s="19" t="inlineStr">
        <is>
          <t>1. Create a new version of the receipt rule.
2. Approve as another user; reject another version.</t>
        </is>
      </c>
      <c r="J309" s="19" t="inlineStr">
        <is>
          <t>Receipt rule v3</t>
        </is>
      </c>
      <c r="K309" s="19" t="inlineStr">
        <is>
          <t>Version pending never posts until approved; rejection leaves the version in force.</t>
        </is>
      </c>
      <c r="L309" s="19" t="inlineStr">
        <is>
          <t>As expected.</t>
        </is>
      </c>
      <c r="M309" s="19" t="inlineStr">
        <is>
          <t>Pass</t>
        </is>
      </c>
      <c r="N309" s="19" t="inlineStr"/>
      <c r="O309" s="19" t="inlineStr">
        <is>
          <t>iorta TechNXT QA</t>
        </is>
      </c>
      <c r="P309" s="19" t="inlineStr">
        <is>
          <t>03 October 2026</t>
        </is>
      </c>
      <c r="Q309" s="19" t="inlineStr"/>
      <c r="R309" s="19" t="inlineStr">
        <is>
          <t>backend/test/configuration-controls.test.js :: a new version is pending and never posts until approved; rejecting leaves the version in force [passed]
backend/test/posting-rules.test.js :: lists events and rules, simulates, and validates new versions [passed]
Screen check /master/finance/posting-rules: opened clean
Screen check /master/finance/configuration-approvals: opened clean</t>
        </is>
      </c>
      <c r="S309" s="19" t="n"/>
    </row>
    <row r="310">
      <c r="A310" s="19" t="inlineStr">
        <is>
          <t>BV-JNL-012</t>
        </is>
      </c>
      <c r="B310" s="19" t="inlineStr">
        <is>
          <t>Journal vouchers and ledger</t>
        </is>
      </c>
      <c r="C310" s="19" t="inlineStr">
        <is>
          <t>Account Determination</t>
        </is>
      </c>
      <c r="D310" s="19" t="inlineStr">
        <is>
          <t>Accounting Manager (teresa.villaroman)</t>
        </is>
      </c>
      <c r="E310" s="19" t="inlineStr">
        <is>
          <t>Account determination edits the role map</t>
        </is>
      </c>
      <c r="F310" s="19" t="inlineStr">
        <is>
          <t>Accounting</t>
        </is>
      </c>
      <c r="G310" s="19" t="inlineStr">
        <is>
          <t>Medium</t>
        </is>
      </c>
      <c r="H310" s="19" t="inlineStr">
        <is>
          <t>Master &gt; Finance &gt; Account Determination.</t>
        </is>
      </c>
      <c r="I310" s="19" t="inlineStr">
        <is>
          <t>1. Change the GL of a role; approve.</t>
        </is>
      </c>
      <c r="J310" s="19" t="inlineStr">
        <is>
          <t>Bank charges GL</t>
        </is>
      </c>
      <c r="K310" s="19" t="inlineStr">
        <is>
          <t>Postings use the new GL after approval.</t>
        </is>
      </c>
      <c r="L310" s="19" t="inlineStr">
        <is>
          <t>As expected.</t>
        </is>
      </c>
      <c r="M310" s="19" t="inlineStr">
        <is>
          <t>Pass</t>
        </is>
      </c>
      <c r="N310" s="19" t="inlineStr"/>
      <c r="O310" s="19" t="inlineStr">
        <is>
          <t>iorta TechNXT QA</t>
        </is>
      </c>
      <c r="P310" s="19" t="inlineStr">
        <is>
          <t>03 October 2026</t>
        </is>
      </c>
      <c r="Q310" s="19" t="inlineStr"/>
      <c r="R310" s="19" t="inlineStr">
        <is>
          <t>backend/test/posting-rules.test.js :: Account Determination edits the role map posting uses [passed]
Screen check /master/finance/account-determination: opened clean</t>
        </is>
      </c>
      <c r="S310" s="19" t="n"/>
    </row>
    <row r="311">
      <c r="A311" s="19" t="inlineStr">
        <is>
          <t>BV-JNL-013</t>
        </is>
      </c>
      <c r="B311" s="19" t="inlineStr">
        <is>
          <t>Journal vouchers and ledger</t>
        </is>
      </c>
      <c r="C311" s="19" t="inlineStr">
        <is>
          <t>Accounting Flow</t>
        </is>
      </c>
      <c r="D311" s="19" t="inlineStr">
        <is>
          <t>Accounting Officer (liza.quiambao)</t>
        </is>
      </c>
      <c r="E311" s="19" t="inlineStr">
        <is>
          <t>Accounting flow lists every event with GL lines</t>
        </is>
      </c>
      <c r="F311" s="19" t="inlineStr">
        <is>
          <t>Report</t>
        </is>
      </c>
      <c r="G311" s="19" t="inlineStr">
        <is>
          <t>Low</t>
        </is>
      </c>
      <c r="H311" s="19" t="inlineStr">
        <is>
          <t>Master &gt; Finance &gt; Accounting Flow.</t>
        </is>
      </c>
      <c r="I311" s="19" t="inlineStr">
        <is>
          <t>1. Open the screen.</t>
        </is>
      </c>
      <c r="J311" s="19" t="inlineStr">
        <is>
          <t>None</t>
        </is>
      </c>
      <c r="K311" s="19" t="inlineStr">
        <is>
          <t>Every event with trigger, approval, debit and credit lines and GL accounts; follows rule changes.</t>
        </is>
      </c>
      <c r="L311" s="19" t="inlineStr">
        <is>
          <t>As expected.</t>
        </is>
      </c>
      <c r="M311" s="19" t="inlineStr">
        <is>
          <t>Pass</t>
        </is>
      </c>
      <c r="N311" s="19" t="inlineStr"/>
      <c r="O311" s="19" t="inlineStr">
        <is>
          <t>iorta TechNXT QA</t>
        </is>
      </c>
      <c r="P311" s="19" t="inlineStr">
        <is>
          <t>03 October 2026</t>
        </is>
      </c>
      <c r="Q311" s="19" t="inlineStr"/>
      <c r="R311" s="19" t="inlineStr">
        <is>
          <t>backend/test/accounting-flow.test.js :: documents the trigger and approval of every event [passed]
backend/test/accounting-flow.test.js :: lists every event with the debit and credit lines of the rule in force and their GL accounts [passed]
backend/test/accounting-flow.test.js :: follows a rule change [passed]
Screen check /master/finance/accounting-flow: opened clean</t>
        </is>
      </c>
      <c r="S311" s="19" t="n"/>
    </row>
    <row r="312">
      <c r="A312" s="19" t="inlineStr">
        <is>
          <t>BV-JNL-014</t>
        </is>
      </c>
      <c r="B312" s="19" t="inlineStr">
        <is>
          <t>Journal vouchers and ledger</t>
        </is>
      </c>
      <c r="C312" s="19" t="inlineStr">
        <is>
          <t>Control accounts</t>
        </is>
      </c>
      <c r="D312" s="19" t="inlineStr">
        <is>
          <t>Accounting Manager (teresa.villaroman)</t>
        </is>
      </c>
      <c r="E312" s="19" t="inlineStr">
        <is>
          <t>Sub-ledger tie-out reports a manual journal on a control account</t>
        </is>
      </c>
      <c r="F312" s="19" t="inlineStr">
        <is>
          <t>Accounting</t>
        </is>
      </c>
      <c r="G312" s="19" t="inlineStr">
        <is>
          <t>Medium</t>
        </is>
      </c>
      <c r="H312" s="19" t="inlineStr">
        <is>
          <t>Manual JV to a control account.</t>
        </is>
      </c>
      <c r="I312" s="19" t="inlineStr">
        <is>
          <t>1. Run the month-end checklist.</t>
        </is>
      </c>
      <c r="J312" s="19" t="inlineStr">
        <is>
          <t>JV to premium receivable control</t>
        </is>
      </c>
      <c r="K312" s="19" t="inlineStr">
        <is>
          <t>Tie-out flags it.</t>
        </is>
      </c>
      <c r="L312" s="19" t="inlineStr">
        <is>
          <t>As expected.</t>
        </is>
      </c>
      <c r="M312" s="19" t="inlineStr">
        <is>
          <t>Pass</t>
        </is>
      </c>
      <c r="N312" s="19" t="inlineStr"/>
      <c r="O312" s="19" t="inlineStr">
        <is>
          <t>iorta TechNXT QA</t>
        </is>
      </c>
      <c r="P312" s="19" t="inlineStr">
        <is>
          <t>04 October 2026</t>
        </is>
      </c>
      <c r="Q312" s="19" t="inlineStr"/>
      <c r="R312" s="19" t="inlineStr">
        <is>
          <t>backend/test/configuration-controls.test.js :: ties out after operations and reports a manual journal on a control account [passed]
UAT cycle 03-04 October 2026, phase Reports and dashboards (58 passed, 0 failed)</t>
        </is>
      </c>
      <c r="S312" s="19" t="n"/>
    </row>
    <row r="313">
      <c r="A313" s="19" t="inlineStr">
        <is>
          <t>BV-JNL-015</t>
        </is>
      </c>
      <c r="B313" s="19" t="inlineStr">
        <is>
          <t>Journal vouchers and ledger</t>
        </is>
      </c>
      <c r="C313" s="19" t="inlineStr">
        <is>
          <t>Posting</t>
        </is>
      </c>
      <c r="D313" s="19" t="inlineStr">
        <is>
          <t>Accounting Officer (liza.quiambao)</t>
        </is>
      </c>
      <c r="E313" s="19" t="inlineStr">
        <is>
          <t>Receipt debits the GL of the chosen bank account</t>
        </is>
      </c>
      <c r="F313" s="19" t="inlineStr">
        <is>
          <t>Accounting</t>
        </is>
      </c>
      <c r="G313" s="19" t="inlineStr">
        <is>
          <t>Medium</t>
        </is>
      </c>
      <c r="H313" s="19" t="inlineStr">
        <is>
          <t>Two bank accounts.</t>
        </is>
      </c>
      <c r="I313" s="19" t="inlineStr">
        <is>
          <t>1. Receipt to MBT-COL.</t>
        </is>
      </c>
      <c r="J313" s="19" t="inlineStr">
        <is>
          <t>MBT-COL GL 1102003</t>
        </is>
      </c>
      <c r="K313" s="19" t="inlineStr">
        <is>
          <t>Debit to 1102003.</t>
        </is>
      </c>
      <c r="L313" s="19" t="inlineStr">
        <is>
          <t>As expected.</t>
        </is>
      </c>
      <c r="M313" s="19" t="inlineStr">
        <is>
          <t>Pass</t>
        </is>
      </c>
      <c r="N313" s="19" t="inlineStr"/>
      <c r="O313" s="19" t="inlineStr">
        <is>
          <t>iorta TechNXT QA</t>
        </is>
      </c>
      <c r="P313" s="19" t="inlineStr">
        <is>
          <t>03 October 2026</t>
        </is>
      </c>
      <c r="Q313" s="19" t="inlineStr"/>
      <c r="R313" s="19" t="inlineStr">
        <is>
          <t>backend/test/posting-rules.test.js :: debits the GL account of the chosen bank account [passed]</t>
        </is>
      </c>
      <c r="S313" s="19" t="n"/>
    </row>
    <row r="314">
      <c r="A314" s="19" t="inlineStr">
        <is>
          <t>BV-JNL-016</t>
        </is>
      </c>
      <c r="B314" s="19" t="inlineStr">
        <is>
          <t>Journal vouchers and ledger</t>
        </is>
      </c>
      <c r="C314" s="19" t="inlineStr">
        <is>
          <t>Premium taxes split</t>
        </is>
      </c>
      <c r="D314" s="19" t="inlineStr">
        <is>
          <t>Accounting Officer (liza.quiambao)</t>
        </is>
      </c>
      <c r="E314" s="19" t="inlineStr">
        <is>
          <t>VAT, DST and LGT to own accounts</t>
        </is>
      </c>
      <c r="F314" s="19" t="inlineStr">
        <is>
          <t>Accounting</t>
        </is>
      </c>
      <c r="G314" s="19" t="inlineStr">
        <is>
          <t>Medium</t>
        </is>
      </c>
      <c r="H314" s="19" t="inlineStr">
        <is>
          <t>Bill with taxes.</t>
        </is>
      </c>
      <c r="I314" s="19" t="inlineStr">
        <is>
          <t>1. Open the journal.</t>
        </is>
      </c>
      <c r="J314" s="19" t="inlineStr">
        <is>
          <t>Fire bill</t>
        </is>
      </c>
      <c r="K314" s="19" t="inlineStr">
        <is>
          <t>Each tax to its own account.</t>
        </is>
      </c>
      <c r="L314" s="19" t="inlineStr">
        <is>
          <t>As expected.</t>
        </is>
      </c>
      <c r="M314" s="19" t="inlineStr">
        <is>
          <t>Pass</t>
        </is>
      </c>
      <c r="N314" s="19" t="inlineStr"/>
      <c r="O314" s="19" t="inlineStr">
        <is>
          <t>iorta TechNXT QA</t>
        </is>
      </c>
      <c r="P314" s="19" t="inlineStr">
        <is>
          <t>03 October 2026</t>
        </is>
      </c>
      <c r="Q314" s="19" t="inlineStr"/>
      <c r="R314" s="19" t="inlineStr">
        <is>
          <t>backend/test/posting-rules.test.js :: splits VAT, DST and LGT into their own accounts when the bill carries them [passed]</t>
        </is>
      </c>
      <c r="S314" s="19" t="n"/>
    </row>
    <row r="315">
      <c r="A315" s="19" t="inlineStr">
        <is>
          <t>BV-PER-001</t>
        </is>
      </c>
      <c r="B315" s="19" t="inlineStr">
        <is>
          <t>Period end</t>
        </is>
      </c>
      <c r="C315" s="19" t="inlineStr">
        <is>
          <t>Period Management</t>
        </is>
      </c>
      <c r="D315" s="19" t="inlineStr">
        <is>
          <t>Accounting Officer (liza.quiambao)</t>
        </is>
      </c>
      <c r="E315" s="19" t="inlineStr">
        <is>
          <t>Fiscal years and periods with adjustment period 13</t>
        </is>
      </c>
      <c r="F315" s="19" t="inlineStr">
        <is>
          <t>Accounting</t>
        </is>
      </c>
      <c r="G315" s="19" t="inlineStr">
        <is>
          <t>High</t>
        </is>
      </c>
      <c r="H315" s="19" t="inlineStr">
        <is>
          <t>Journals exist.</t>
        </is>
      </c>
      <c r="I315" s="19" t="inlineStr">
        <is>
          <t>1. Open Accounts &gt; Period End &gt; Period Management.</t>
        </is>
      </c>
      <c r="J315" s="19" t="inlineStr">
        <is>
          <t>Fiscal year 2026</t>
        </is>
      </c>
      <c r="K315" s="19" t="inlineStr">
        <is>
          <t>12 periods plus period 13; April-March year supported and named after its end year.</t>
        </is>
      </c>
      <c r="L315" s="19" t="inlineStr">
        <is>
          <t>As expected.</t>
        </is>
      </c>
      <c r="M315" s="19" t="inlineStr">
        <is>
          <t>Pass</t>
        </is>
      </c>
      <c r="N315" s="19" t="inlineStr"/>
      <c r="O315" s="19" t="inlineStr">
        <is>
          <t>iorta TechNXT QA</t>
        </is>
      </c>
      <c r="P315" s="19" t="inlineStr">
        <is>
          <t>03 October 2026</t>
        </is>
      </c>
      <c r="Q315" s="19" t="inlineStr"/>
      <c r="R315" s="19" t="inlineStr">
        <is>
          <t>backend/test/period-end.test.js :: generates fiscal years from the first journal with 12 periods and adjustment period 13 [passed]
backend/test/period-end-calendar.test.js :: generates April-March fiscal years named after their end year [passed]
Screen check /accounts/period-end/periods: opened clean</t>
        </is>
      </c>
      <c r="S315" s="19" t="n"/>
    </row>
    <row r="316">
      <c r="A316" s="19" t="inlineStr">
        <is>
          <t>BV-PER-002</t>
        </is>
      </c>
      <c r="B316" s="19" t="inlineStr">
        <is>
          <t>Period end</t>
        </is>
      </c>
      <c r="C316" s="19" t="inlineStr">
        <is>
          <t>Month-End Close</t>
        </is>
      </c>
      <c r="D316" s="19" t="inlineStr">
        <is>
          <t>Accounting Officer (liza.quiambao)</t>
        </is>
      </c>
      <c r="E316" s="19" t="inlineStr">
        <is>
          <t>Run the month-end close and submit</t>
        </is>
      </c>
      <c r="F316" s="19" t="inlineStr">
        <is>
          <t>Accounting</t>
        </is>
      </c>
      <c r="G316" s="19" t="inlineStr">
        <is>
          <t>High</t>
        </is>
      </c>
      <c r="H316" s="19" t="inlineStr">
        <is>
          <t>Month 2026-08.</t>
        </is>
      </c>
      <c r="I316" s="19" t="inlineStr">
        <is>
          <t>1. Open Accounts &gt; Period End &gt; Month-End Close.
2. Click New close run and Start.
3. Run checks; Sign off manual items with remarks.
4. Click Submit close (Close).</t>
        </is>
      </c>
      <c r="J316" s="19" t="inlineStr">
        <is>
          <t>Sign-off remarks: BDO operating account reconciled and approved for the month</t>
        </is>
      </c>
      <c r="K316" s="19" t="inlineStr">
        <is>
          <t>Close submitted for approval; no blocking check failed.</t>
        </is>
      </c>
      <c r="L316" s="19" t="inlineStr">
        <is>
          <t>4 months closed, 1 soft-closed.</t>
        </is>
      </c>
      <c r="M316" s="19" t="inlineStr">
        <is>
          <t>Pass</t>
        </is>
      </c>
      <c r="N316" s="19" t="inlineStr"/>
      <c r="O316" s="19" t="inlineStr">
        <is>
          <t>iorta TechNXT QA</t>
        </is>
      </c>
      <c r="P316" s="19" t="inlineStr">
        <is>
          <t>04 October 2026</t>
        </is>
      </c>
      <c r="Q316" s="19" t="inlineStr"/>
      <c r="R316" s="19" t="inlineStr">
        <is>
          <t>backend/test/period-end.test.js :: maker-checker: the preparer submits, another user with approve:period-end approves and the period closes [passed]
UAT cycle 03-04 October 2026, phase Month-end close (6 passed, 0 failed)
Screen check /accounts/period-end/close: opened clean</t>
        </is>
      </c>
      <c r="S316" s="19" t="n"/>
    </row>
    <row r="317">
      <c r="A317" s="19" t="inlineStr">
        <is>
          <t>BV-PER-003</t>
        </is>
      </c>
      <c r="B317" s="19" t="inlineStr">
        <is>
          <t>Period end</t>
        </is>
      </c>
      <c r="C317" s="19" t="inlineStr">
        <is>
          <t>Month-End Close</t>
        </is>
      </c>
      <c r="D317" s="19" t="inlineStr">
        <is>
          <t>Accounting Manager (teresa.villaroman)</t>
        </is>
      </c>
      <c r="E317" s="19" t="inlineStr">
        <is>
          <t>Approve the close; maker cannot approve</t>
        </is>
      </c>
      <c r="F317" s="19" t="inlineStr">
        <is>
          <t>Negative</t>
        </is>
      </c>
      <c r="G317" s="19" t="inlineStr">
        <is>
          <t>High</t>
        </is>
      </c>
      <c r="H317" s="19" t="inlineStr">
        <is>
          <t>Close submitted by liza.quiambao.</t>
        </is>
      </c>
      <c r="I317" s="19" t="inlineStr">
        <is>
          <t>1. As liza.quiambao click Approve close.
2. As teresa.villaroman approve.</t>
        </is>
      </c>
      <c r="J317" s="19" t="inlineStr">
        <is>
          <t>Remarks: Reviewed: trial balance, sub-ledger tie-out and reconciliations</t>
        </is>
      </c>
      <c r="K317" s="19" t="inlineStr">
        <is>
          <t>Maker refused; period Closed.</t>
        </is>
      </c>
      <c r="L317" s="19" t="inlineStr">
        <is>
          <t>As expected.</t>
        </is>
      </c>
      <c r="M317" s="19" t="inlineStr">
        <is>
          <t>Pass</t>
        </is>
      </c>
      <c r="N317" s="19" t="inlineStr"/>
      <c r="O317" s="19" t="inlineStr">
        <is>
          <t>iorta TechNXT QA</t>
        </is>
      </c>
      <c r="P317" s="19" t="inlineStr">
        <is>
          <t>04 October 2026</t>
        </is>
      </c>
      <c r="Q317" s="19" t="inlineStr"/>
      <c r="R317" s="19" t="inlineStr">
        <is>
          <t>backend/test/period-end.test.js :: maker-checker: the preparer submits, another user with approve:period-end approves and the period closes [passed]
UAT cycle 03-04 October 2026, phase Month-end close (6 passed, 0 failed)</t>
        </is>
      </c>
      <c r="S317" s="19" t="n"/>
    </row>
    <row r="318">
      <c r="A318" s="19" t="inlineStr">
        <is>
          <t>BV-PER-004</t>
        </is>
      </c>
      <c r="B318" s="19" t="inlineStr">
        <is>
          <t>Period end</t>
        </is>
      </c>
      <c r="C318" s="19" t="inlineStr">
        <is>
          <t>Month-End Close</t>
        </is>
      </c>
      <c r="D318" s="19" t="inlineStr">
        <is>
          <t>Accounting Officer (liza.quiambao)</t>
        </is>
      </c>
      <c r="E318" s="19" t="inlineStr">
        <is>
          <t>Closed period refuses postings; reopen allows them</t>
        </is>
      </c>
      <c r="F318" s="19" t="inlineStr">
        <is>
          <t>Negative</t>
        </is>
      </c>
      <c r="G318" s="19" t="inlineStr">
        <is>
          <t>High</t>
        </is>
      </c>
      <c r="H318" s="19" t="inlineStr">
        <is>
          <t>Period 2026-07 closed.</t>
        </is>
      </c>
      <c r="I318" s="19" t="inlineStr">
        <is>
          <t>1. Post a journal dated 15 July 2026.
2. Reopen with remarks (approver).
3. Post again.</t>
        </is>
      </c>
      <c r="J318" s="19" t="inlineStr">
        <is>
          <t>JV dated 15 July 2026</t>
        </is>
      </c>
      <c r="K318" s="19" t="inlineStr">
        <is>
          <t>Refused while closed; accepted after reopen.</t>
        </is>
      </c>
      <c r="L318" s="19" t="inlineStr">
        <is>
          <t>As expected.</t>
        </is>
      </c>
      <c r="M318" s="19" t="inlineStr">
        <is>
          <t>Pass</t>
        </is>
      </c>
      <c r="N318" s="19" t="inlineStr"/>
      <c r="O318" s="19" t="inlineStr">
        <is>
          <t>iorta TechNXT QA</t>
        </is>
      </c>
      <c r="P318" s="19" t="inlineStr">
        <is>
          <t>03 October 2026</t>
        </is>
      </c>
      <c r="Q318" s="19" t="inlineStr"/>
      <c r="R318" s="19" t="inlineStr">
        <is>
          <t>backend/test/accounting.test.js :: period close blocks postings into the period; reopen allows them again [passed]</t>
        </is>
      </c>
      <c r="S318" s="19" t="n"/>
    </row>
    <row r="319">
      <c r="A319" s="19" t="inlineStr">
        <is>
          <t>BV-PER-005</t>
        </is>
      </c>
      <c r="B319" s="19" t="inlineStr">
        <is>
          <t>Period end</t>
        </is>
      </c>
      <c r="C319" s="19" t="inlineStr">
        <is>
          <t>Soft close</t>
        </is>
      </c>
      <c r="D319" s="19" t="inlineStr">
        <is>
          <t>Accounting Manager (teresa.villaroman)</t>
        </is>
      </c>
      <c r="E319" s="19" t="inlineStr">
        <is>
          <t>Soft-closed period accepts manager postings only</t>
        </is>
      </c>
      <c r="F319" s="19" t="inlineStr">
        <is>
          <t>Role access</t>
        </is>
      </c>
      <c r="G319" s="19" t="inlineStr">
        <is>
          <t>High</t>
        </is>
      </c>
      <c r="H319" s="19" t="inlineStr">
        <is>
          <t>Period 2026-09 soft-closed.</t>
        </is>
      </c>
      <c r="I319" s="19" t="inlineStr">
        <is>
          <t>1. As liza.quiambao post a journal in September.
2. As teresa.villaroman post one.
3. Reopen without remarks.</t>
        </is>
      </c>
      <c r="J319" s="19" t="inlineStr">
        <is>
          <t>JV dated 30 September 2026</t>
        </is>
      </c>
      <c r="K319" s="19" t="inlineStr">
        <is>
          <t>Officer refused; manager accepted; reopening needs approve:period-end and remarks.</t>
        </is>
      </c>
      <c r="L319" s="19" t="inlineStr">
        <is>
          <t>As expected.</t>
        </is>
      </c>
      <c r="M319" s="19" t="inlineStr">
        <is>
          <t>Pass</t>
        </is>
      </c>
      <c r="N319" s="19" t="inlineStr"/>
      <c r="O319" s="19" t="inlineStr">
        <is>
          <t>iorta TechNXT QA</t>
        </is>
      </c>
      <c r="P319" s="19" t="inlineStr">
        <is>
          <t>04 October 2026</t>
        </is>
      </c>
      <c r="Q319" s="19" t="inlineStr"/>
      <c r="R319" s="19" t="inlineStr">
        <is>
          <t>backend/test/period-end.test.js :: soft-closed periods accept postings only from finance managers; reopening needs approve:period-end and remarks [passed]
backend/test/role-inheritance.test.js :: holds the finance role and permissions plus the period-end approval [passed]
backend/test/role-inheritance.test.js :: a plain finance user does not get the approval [passed]
UAT cycle 03-04 October 2026, phase Month-end close (6 passed, 0 failed)</t>
        </is>
      </c>
      <c r="S319" s="19" t="n"/>
    </row>
    <row r="320">
      <c r="A320" s="19" t="inlineStr">
        <is>
          <t>BV-PER-006</t>
        </is>
      </c>
      <c r="B320" s="19" t="inlineStr">
        <is>
          <t>Period end</t>
        </is>
      </c>
      <c r="C320" s="19" t="inlineStr">
        <is>
          <t>Blocking checks</t>
        </is>
      </c>
      <c r="D320" s="19" t="inlineStr">
        <is>
          <t>Accounting Officer (liza.quiambao)</t>
        </is>
      </c>
      <c r="E320" s="19" t="inlineStr">
        <is>
          <t>Blocking checks stop the close</t>
        </is>
      </c>
      <c r="F320" s="19" t="inlineStr">
        <is>
          <t>Negative</t>
        </is>
      </c>
      <c r="G320" s="19" t="inlineStr">
        <is>
          <t>High</t>
        </is>
      </c>
      <c r="H320" s="19" t="inlineStr">
        <is>
          <t>Unposted journal in the period.</t>
        </is>
      </c>
      <c r="I320" s="19" t="inlineStr">
        <is>
          <t>1. Run the close.</t>
        </is>
      </c>
      <c r="J320" s="19" t="inlineStr">
        <is>
          <t>Pending JV in 2026-10</t>
        </is>
      </c>
      <c r="K320" s="19" t="inlineStr">
        <is>
          <t>Close blocked naming the check.</t>
        </is>
      </c>
      <c r="L320" s="19" t="inlineStr">
        <is>
          <t>As expected.</t>
        </is>
      </c>
      <c r="M320" s="19" t="inlineStr">
        <is>
          <t>Pass</t>
        </is>
      </c>
      <c r="N320" s="19" t="inlineStr"/>
      <c r="O320" s="19" t="inlineStr">
        <is>
          <t>iorta TechNXT QA</t>
        </is>
      </c>
      <c r="P320" s="19" t="inlineStr">
        <is>
          <t>03 October 2026</t>
        </is>
      </c>
      <c r="Q320" s="19" t="inlineStr"/>
      <c r="R320" s="19" t="inlineStr">
        <is>
          <t>backend/test/period-end.test.js :: blocking checks (unposted journals, manual sign-off) block the close [passed]
backend/test/bank-reconciliation.test.js :: the unreconciled_bank check fails for accounts with activity and no approved reconciliation; blocking stops the close [passed]</t>
        </is>
      </c>
      <c r="S320" s="19" t="n"/>
    </row>
    <row r="321">
      <c r="A321" s="19" t="inlineStr">
        <is>
          <t>BV-PER-007</t>
        </is>
      </c>
      <c r="B321" s="19" t="inlineStr">
        <is>
          <t>Period end</t>
        </is>
      </c>
      <c r="C321" s="19" t="inlineStr">
        <is>
          <t>Checklist</t>
        </is>
      </c>
      <c r="D321" s="19" t="inlineStr">
        <is>
          <t>Accounting Officer (liza.quiambao)</t>
        </is>
      </c>
      <c r="E321" s="19" t="inlineStr">
        <is>
          <t>Checklist preview for the open month</t>
        </is>
      </c>
      <c r="F321" s="19" t="inlineStr">
        <is>
          <t>Functional</t>
        </is>
      </c>
      <c r="G321" s="19" t="inlineStr">
        <is>
          <t>Medium</t>
        </is>
      </c>
      <c r="H321" s="19" t="inlineStr">
        <is>
          <t>Month 2026-10 open.</t>
        </is>
      </c>
      <c r="I321" s="19" t="inlineStr">
        <is>
          <t>1. Click Preview the checklist.</t>
        </is>
      </c>
      <c r="J321" s="19" t="inlineStr">
        <is>
          <t>2026-10</t>
        </is>
      </c>
      <c r="K321" s="19" t="inlineStr">
        <is>
          <t>12 items; none failing; sub-ledger tie-out passed.</t>
        </is>
      </c>
      <c r="L321" s="19" t="inlineStr">
        <is>
          <t>As expected.</t>
        </is>
      </c>
      <c r="M321" s="19" t="inlineStr">
        <is>
          <t>Pass</t>
        </is>
      </c>
      <c r="N321" s="19" t="inlineStr"/>
      <c r="O321" s="19" t="inlineStr">
        <is>
          <t>iorta TechNXT QA</t>
        </is>
      </c>
      <c r="P321" s="19" t="inlineStr">
        <is>
          <t>04 October 2026</t>
        </is>
      </c>
      <c r="Q321" s="19" t="inlineStr"/>
      <c r="R321" s="19" t="inlineStr">
        <is>
          <t>backend/test/period-end.test.js :: the checklist master is configurable [passed]
UAT cycle 03-04 October 2026, phase Month-end close (6 passed, 0 failed)
Screen check /master/finance/close-checklist: opened clean</t>
        </is>
      </c>
      <c r="S321" s="19" t="n"/>
    </row>
    <row r="322">
      <c r="A322" s="19" t="inlineStr">
        <is>
          <t>BV-PER-008</t>
        </is>
      </c>
      <c r="B322" s="19" t="inlineStr">
        <is>
          <t>Period end</t>
        </is>
      </c>
      <c r="C322" s="19" t="inlineStr">
        <is>
          <t>Accruals</t>
        </is>
      </c>
      <c r="D322" s="19" t="inlineStr">
        <is>
          <t>Accounting Officer (liza.quiambao)</t>
        </is>
      </c>
      <c r="E322" s="19" t="inlineStr">
        <is>
          <t>Accrual templates post at period end and reverse on day 1</t>
        </is>
      </c>
      <c r="F322" s="19" t="inlineStr">
        <is>
          <t>Accounting</t>
        </is>
      </c>
      <c r="G322" s="19" t="inlineStr">
        <is>
          <t>Medium</t>
        </is>
      </c>
      <c r="H322" s="19" t="inlineStr">
        <is>
          <t>Accrual template.</t>
        </is>
      </c>
      <c r="I322" s="19" t="inlineStr">
        <is>
          <t>1. Run the close.
2. Read the next period.</t>
        </is>
      </c>
      <c r="J322" s="19" t="inlineStr">
        <is>
          <t>Audit fee accrual PHP 25,000.00</t>
        </is>
      </c>
      <c r="K322" s="19" t="inlineStr">
        <is>
          <t>Posted 31 August; reversed 01 September.</t>
        </is>
      </c>
      <c r="L322" s="19" t="inlineStr">
        <is>
          <t>As expected.</t>
        </is>
      </c>
      <c r="M322" s="19" t="inlineStr">
        <is>
          <t>Pass</t>
        </is>
      </c>
      <c r="N322" s="19" t="inlineStr"/>
      <c r="O322" s="19" t="inlineStr">
        <is>
          <t>iorta TechNXT QA</t>
        </is>
      </c>
      <c r="P322" s="19" t="inlineStr">
        <is>
          <t>03 October 2026</t>
        </is>
      </c>
      <c r="Q322" s="19" t="inlineStr"/>
      <c r="R322" s="19" t="inlineStr">
        <is>
          <t>backend/test/period-end.test.js :: accrual templates post at the period end and reverse on day 1 of the next period [passed]</t>
        </is>
      </c>
      <c r="S322" s="19" t="n"/>
    </row>
    <row r="323">
      <c r="A323" s="19" t="inlineStr">
        <is>
          <t>BV-PER-009</t>
        </is>
      </c>
      <c r="B323" s="19" t="inlineStr">
        <is>
          <t>Period end</t>
        </is>
      </c>
      <c r="C323" s="19" t="inlineStr">
        <is>
          <t>Recurring Journals</t>
        </is>
      </c>
      <c r="D323" s="19" t="inlineStr">
        <is>
          <t>Accounting Officer (liza.quiambao)</t>
        </is>
      </c>
      <c r="E323" s="19" t="inlineStr">
        <is>
          <t>Recurring journals follow schedule and stop at end date</t>
        </is>
      </c>
      <c r="F323" s="19" t="inlineStr">
        <is>
          <t>Accounting</t>
        </is>
      </c>
      <c r="G323" s="19" t="inlineStr">
        <is>
          <t>Medium</t>
        </is>
      </c>
      <c r="H323" s="19" t="inlineStr">
        <is>
          <t>Recurring template.</t>
        </is>
      </c>
      <c r="I323" s="19" t="inlineStr">
        <is>
          <t>1. Open Accounts &gt; Period End &gt; Recurring Journals; New template; Post due journals now.</t>
        </is>
      </c>
      <c r="J323" s="19" t="inlineStr">
        <is>
          <t>Office rent PHP 85,000.00 monthly to 31 December 2026</t>
        </is>
      </c>
      <c r="K323" s="19" t="inlineStr">
        <is>
          <t>Month ends kept; idempotent; stops at end date.</t>
        </is>
      </c>
      <c r="L323" s="19" t="inlineStr">
        <is>
          <t>As expected.</t>
        </is>
      </c>
      <c r="M323" s="19" t="inlineStr">
        <is>
          <t>Pass</t>
        </is>
      </c>
      <c r="N323" s="19" t="inlineStr"/>
      <c r="O323" s="19" t="inlineStr">
        <is>
          <t>iorta TechNXT QA</t>
        </is>
      </c>
      <c r="P323" s="19" t="inlineStr">
        <is>
          <t>03 October 2026</t>
        </is>
      </c>
      <c r="Q323" s="19" t="inlineStr"/>
      <c r="R323" s="19" t="inlineStr">
        <is>
          <t>backend/test/period-end.test.js :: recurring journals follow their schedule (month ends stay month ends), are idempotent and stop at the end date [passed]
Screen check /accounts/period-end/recurring: opened clean</t>
        </is>
      </c>
      <c r="S323" s="19" t="n"/>
    </row>
    <row r="324">
      <c r="A324" s="19" t="inlineStr">
        <is>
          <t>BV-PER-010</t>
        </is>
      </c>
      <c r="B324" s="19" t="inlineStr">
        <is>
          <t>Period end</t>
        </is>
      </c>
      <c r="C324" s="19" t="inlineStr">
        <is>
          <t>Commission deferral</t>
        </is>
      </c>
      <c r="D324" s="19" t="inlineStr">
        <is>
          <t>Accounting Officer (liza.quiambao)</t>
        </is>
      </c>
      <c r="E324" s="19" t="inlineStr">
        <is>
          <t>Unearned commission deferred pro rata</t>
        </is>
      </c>
      <c r="F324" s="19" t="inlineStr">
        <is>
          <t>Accounting</t>
        </is>
      </c>
      <c r="G324" s="19" t="inlineStr">
        <is>
          <t>Medium</t>
        </is>
      </c>
      <c r="H324" s="19" t="inlineStr">
        <is>
          <t>Policies with future cover.</t>
        </is>
      </c>
      <c r="I324" s="19" t="inlineStr">
        <is>
          <t>1. Run the close.</t>
        </is>
      </c>
      <c r="J324" s="19" t="inlineStr">
        <is>
          <t>GL 2209001</t>
        </is>
      </c>
      <c r="K324" s="19" t="inlineStr">
        <is>
          <t>Unearned commission moved to 2209001 by days; reversed next period.</t>
        </is>
      </c>
      <c r="L324" s="19" t="inlineStr">
        <is>
          <t>As expected.</t>
        </is>
      </c>
      <c r="M324" s="19" t="inlineStr">
        <is>
          <t>Pass</t>
        </is>
      </c>
      <c r="N324" s="19" t="inlineStr"/>
      <c r="O324" s="19" t="inlineStr">
        <is>
          <t>iorta TechNXT QA</t>
        </is>
      </c>
      <c r="P324" s="19" t="inlineStr">
        <is>
          <t>03 October 2026</t>
        </is>
      </c>
      <c r="Q324" s="19" t="inlineStr"/>
      <c r="R324" s="19" t="inlineStr">
        <is>
          <t>backend/test/period-end.test.js :: commission deferral moves unearned commission to 2209001 pro rata by days and reverses next period [passed]</t>
        </is>
      </c>
      <c r="S324" s="19" t="n"/>
    </row>
    <row r="325">
      <c r="A325" s="19" t="inlineStr">
        <is>
          <t>BV-PER-011</t>
        </is>
      </c>
      <c r="B325" s="19" t="inlineStr">
        <is>
          <t>Period end</t>
        </is>
      </c>
      <c r="C325" s="19" t="inlineStr">
        <is>
          <t>FX revaluation</t>
        </is>
      </c>
      <c r="D325" s="19" t="inlineStr">
        <is>
          <t>Accounting Officer (liza.quiambao)</t>
        </is>
      </c>
      <c r="E325" s="19" t="inlineStr">
        <is>
          <t>FX revaluation at month-end rate</t>
        </is>
      </c>
      <c r="F325" s="19" t="inlineStr">
        <is>
          <t>Accounting</t>
        </is>
      </c>
      <c r="G325" s="19" t="inlineStr">
        <is>
          <t>Low</t>
        </is>
      </c>
      <c r="H325" s="19" t="inlineStr">
        <is>
          <t>USD balance.</t>
        </is>
      </c>
      <c r="I325" s="19" t="inlineStr">
        <is>
          <t>1. Run the close twice.</t>
        </is>
      </c>
      <c r="J325" s="19" t="inlineStr">
        <is>
          <t>USD at month-end rate</t>
        </is>
      </c>
      <c r="K325" s="19" t="inlineStr">
        <is>
          <t>Restated; rerun gives the same ledger.</t>
        </is>
      </c>
      <c r="L325" s="19" t="inlineStr">
        <is>
          <t>As expected.</t>
        </is>
      </c>
      <c r="M325" s="19" t="inlineStr">
        <is>
          <t>Pass</t>
        </is>
      </c>
      <c r="N325" s="19" t="inlineStr"/>
      <c r="O325" s="19" t="inlineStr">
        <is>
          <t>iorta TechNXT QA</t>
        </is>
      </c>
      <c r="P325" s="19" t="inlineStr">
        <is>
          <t>03 October 2026</t>
        </is>
      </c>
      <c r="Q325" s="19" t="inlineStr"/>
      <c r="R325" s="19" t="inlineStr">
        <is>
          <t>backend/test/period-end.test.js :: FX revaluation restates foreign-currency balances at the month-end rate; a rerun gives the same ledger [passed]</t>
        </is>
      </c>
      <c r="S325" s="19" t="n"/>
    </row>
    <row r="326">
      <c r="A326" s="19" t="inlineStr">
        <is>
          <t>BV-PER-012</t>
        </is>
      </c>
      <c r="B326" s="19" t="inlineStr">
        <is>
          <t>Period end</t>
        </is>
      </c>
      <c r="C326" s="19" t="inlineStr">
        <is>
          <t>Financial Statements</t>
        </is>
      </c>
      <c r="D326" s="19" t="inlineStr">
        <is>
          <t>Accounting Officer (liza.quiambao)</t>
        </is>
      </c>
      <c r="E326" s="19" t="inlineStr">
        <is>
          <t>Income statement ties to TB; balance sheet balances</t>
        </is>
      </c>
      <c r="F326" s="19" t="inlineStr">
        <is>
          <t>Report</t>
        </is>
      </c>
      <c r="G326" s="19" t="inlineStr">
        <is>
          <t>High</t>
        </is>
      </c>
      <c r="H326" s="19" t="inlineStr">
        <is>
          <t>Closed months.</t>
        </is>
      </c>
      <c r="I326" s="19" t="inlineStr">
        <is>
          <t>1. Open Accounts &gt; Period End &gt; Financial Statements.</t>
        </is>
      </c>
      <c r="J326" s="19" t="inlineStr">
        <is>
          <t>Fiscal year 2026 to date</t>
        </is>
      </c>
      <c r="K326" s="19" t="inlineStr">
        <is>
          <t>Net income equals TB P&amp;L; balance sheet balances; YTD from fiscal year start.</t>
        </is>
      </c>
      <c r="L326" s="19" t="inlineStr">
        <is>
          <t>As expected.</t>
        </is>
      </c>
      <c r="M326" s="19" t="inlineStr">
        <is>
          <t>Pass</t>
        </is>
      </c>
      <c r="N326" s="19" t="inlineStr"/>
      <c r="O326" s="19" t="inlineStr">
        <is>
          <t>iorta TechNXT QA</t>
        </is>
      </c>
      <c r="P326" s="19" t="inlineStr">
        <is>
          <t>04 October 2026</t>
        </is>
      </c>
      <c r="Q326" s="19" t="inlineStr"/>
      <c r="R326" s="19" t="inlineStr">
        <is>
          <t>backend/test/period-end.test.js :: income statement net income = trial balance P&amp;L; the balance sheet balances [passed]
backend/test/period-end-calendar.test.js :: year to date of the income statement starts at the fiscal year start [passed]
UAT cycle 03-04 October 2026, phase Reports and dashboards (58 passed, 0 failed)
Screen check /accounts/period-end/statements: opened clean</t>
        </is>
      </c>
      <c r="S326" s="19" t="n"/>
    </row>
    <row r="327">
      <c r="A327" s="19" t="inlineStr">
        <is>
          <t>BV-PER-013</t>
        </is>
      </c>
      <c r="B327" s="19" t="inlineStr">
        <is>
          <t>Period end</t>
        </is>
      </c>
      <c r="C327" s="19" t="inlineStr">
        <is>
          <t>Year-End Close</t>
        </is>
      </c>
      <c r="D327" s="19" t="inlineStr">
        <is>
          <t>Accounting Manager (teresa.villaroman)</t>
        </is>
      </c>
      <c r="E327" s="19" t="inlineStr">
        <is>
          <t>Year-end close needs all twelve periods closed</t>
        </is>
      </c>
      <c r="F327" s="19" t="inlineStr">
        <is>
          <t>Negative</t>
        </is>
      </c>
      <c r="G327" s="19" t="inlineStr">
        <is>
          <t>High</t>
        </is>
      </c>
      <c r="H327" s="19" t="inlineStr">
        <is>
          <t>Fiscal year with open periods.</t>
        </is>
      </c>
      <c r="I327" s="19" t="inlineStr">
        <is>
          <t>1. Open Year-End Close; Run the pre-checks.</t>
        </is>
      </c>
      <c r="J327" s="19" t="inlineStr">
        <is>
          <t>FY 2026</t>
        </is>
      </c>
      <c r="K327" s="19" t="inlineStr">
        <is>
          <t>Pre-checks fail until all 12 periods closed.</t>
        </is>
      </c>
      <c r="L327" s="19" t="inlineStr">
        <is>
          <t>As expected.</t>
        </is>
      </c>
      <c r="M327" s="19" t="inlineStr">
        <is>
          <t>Pass</t>
        </is>
      </c>
      <c r="N327" s="19" t="inlineStr"/>
      <c r="O327" s="19" t="inlineStr">
        <is>
          <t>iorta TechNXT QA</t>
        </is>
      </c>
      <c r="P327" s="19" t="inlineStr">
        <is>
          <t>03 October 2026</t>
        </is>
      </c>
      <c r="Q327" s="19" t="inlineStr"/>
      <c r="R327" s="19" t="inlineStr">
        <is>
          <t>backend/test/period-end.test.js :: pre-checks require all twelve periods closed [passed]
Screen check /accounts/period-end/year-end: opened clean</t>
        </is>
      </c>
      <c r="S327" s="19" t="n"/>
    </row>
    <row r="328">
      <c r="A328" s="19" t="inlineStr">
        <is>
          <t>BV-PER-014</t>
        </is>
      </c>
      <c r="B328" s="19" t="inlineStr">
        <is>
          <t>Period end</t>
        </is>
      </c>
      <c r="C328" s="19" t="inlineStr">
        <is>
          <t>Year-End Close</t>
        </is>
      </c>
      <c r="D328" s="19" t="inlineStr">
        <is>
          <t>Accounting Manager (teresa.villaroman)</t>
        </is>
      </c>
      <c r="E328" s="19" t="inlineStr">
        <is>
          <t>Closing entries and opening balances of next year</t>
        </is>
      </c>
      <c r="F328" s="19" t="inlineStr">
        <is>
          <t>Accounting</t>
        </is>
      </c>
      <c r="G328" s="19" t="inlineStr">
        <is>
          <t>High</t>
        </is>
      </c>
      <c r="H328" s="19" t="inlineStr">
        <is>
          <t>All periods closed (test year).</t>
        </is>
      </c>
      <c r="I328" s="19" t="inlineStr">
        <is>
          <t>1. Click Close the year.
2. Read next year opening TB.</t>
        </is>
      </c>
      <c r="J328" s="19" t="inlineStr">
        <is>
          <t>FY 2026 into period 2026-13</t>
        </is>
      </c>
      <c r="K328" s="19" t="inlineStr">
        <is>
          <t>Income and expense zeroed to retained earnings; TB balanced; next year opening equals closing balance sheet.</t>
        </is>
      </c>
      <c r="L328" s="19" t="inlineStr">
        <is>
          <t>As expected.</t>
        </is>
      </c>
      <c r="M328" s="19" t="inlineStr">
        <is>
          <t>Pass</t>
        </is>
      </c>
      <c r="N328" s="19" t="inlineStr"/>
      <c r="O328" s="19" t="inlineStr">
        <is>
          <t>iorta TechNXT QA</t>
        </is>
      </c>
      <c r="P328" s="19" t="inlineStr">
        <is>
          <t>03 October 2026</t>
        </is>
      </c>
      <c r="Q328" s="19" t="inlineStr"/>
      <c r="R328" s="19" t="inlineStr">
        <is>
          <t>backend/test/period-end.test.js :: closing entries zero income and expense, move the result to retained earnings and keep the trial balance balanced [passed]
backend/test/period-end.test.js :: opening balances of the next year equal the closing balance-sheet balances and feed the trial balance [passed]
backend/test/period-end-calendar.test.js :: closes the April-March year into adjustment period 2026-13 [passed]</t>
        </is>
      </c>
      <c r="S328" s="19" t="n"/>
    </row>
    <row r="329">
      <c r="A329" s="19" t="inlineStr">
        <is>
          <t>BV-PER-015</t>
        </is>
      </c>
      <c r="B329" s="19" t="inlineStr">
        <is>
          <t>Period end</t>
        </is>
      </c>
      <c r="C329" s="19" t="inlineStr">
        <is>
          <t>Year-End Close</t>
        </is>
      </c>
      <c r="D329" s="19" t="inlineStr">
        <is>
          <t>Accounting Manager (teresa.villaroman)</t>
        </is>
      </c>
      <c r="E329" s="19" t="inlineStr">
        <is>
          <t>Locked year refuses postings and reopening</t>
        </is>
      </c>
      <c r="F329" s="19" t="inlineStr">
        <is>
          <t>Negative</t>
        </is>
      </c>
      <c r="G329" s="19" t="inlineStr">
        <is>
          <t>Medium</t>
        </is>
      </c>
      <c r="H329" s="19" t="inlineStr">
        <is>
          <t>Year closed.</t>
        </is>
      </c>
      <c r="I329" s="19" t="inlineStr">
        <is>
          <t>1. Post into the year.
2. Reopen a period locked by year-end.</t>
        </is>
      </c>
      <c r="J329" s="19" t="inlineStr">
        <is>
          <t>JV dated 15 March 2027</t>
        </is>
      </c>
      <c r="K329" s="19" t="inlineStr">
        <is>
          <t>Postings refused; reopen answers 409 with a clear message; close reversible until next year's first period closes.</t>
        </is>
      </c>
      <c r="L329" s="19" t="inlineStr">
        <is>
          <t>As expected.</t>
        </is>
      </c>
      <c r="M329" s="19" t="inlineStr">
        <is>
          <t>Pass</t>
        </is>
      </c>
      <c r="N329" s="19" t="inlineStr"/>
      <c r="O329" s="19" t="inlineStr">
        <is>
          <t>iorta TechNXT QA</t>
        </is>
      </c>
      <c r="P329" s="19" t="inlineStr">
        <is>
          <t>03 October 2026</t>
        </is>
      </c>
      <c r="Q329" s="19" t="inlineStr"/>
      <c r="R329" s="19" t="inlineStr">
        <is>
          <t>backend/test/period-end.test.js :: a locked year refuses postings and reopening; the close is reversible until the next year's first period closes [passed]
backend/test/period-end.test.js :: reopening a period locked by the year-end close answers 409 with a clear message [passed]</t>
        </is>
      </c>
      <c r="S329" s="19" t="n"/>
    </row>
    <row r="330">
      <c r="A330" s="19" t="inlineStr">
        <is>
          <t>BV-PER-016</t>
        </is>
      </c>
      <c r="B330" s="19" t="inlineStr">
        <is>
          <t>Period end</t>
        </is>
      </c>
      <c r="C330" s="19" t="inlineStr">
        <is>
          <t>Jobs</t>
        </is>
      </c>
      <c r="D330" s="19" t="inlineStr">
        <is>
          <t>Accounting Officer (liza.quiambao)</t>
        </is>
      </c>
      <c r="E330" s="19" t="inlineStr">
        <is>
          <t>Reminder, recurring, reversal and soft-close jobs</t>
        </is>
      </c>
      <c r="F330" s="19" t="inlineStr">
        <is>
          <t>Integration</t>
        </is>
      </c>
      <c r="G330" s="19" t="inlineStr">
        <is>
          <t>Low</t>
        </is>
      </c>
      <c r="H330" s="19" t="inlineStr">
        <is>
          <t>Schedules.</t>
        </is>
      </c>
      <c r="I330" s="19" t="inlineStr">
        <is>
          <t>1. Run each period-end job.</t>
        </is>
      </c>
      <c r="J330" s="19" t="inlineStr">
        <is>
          <t>None</t>
        </is>
      </c>
      <c r="K330" s="19" t="inlineStr">
        <is>
          <t>Each runs and records.</t>
        </is>
      </c>
      <c r="L330" s="19" t="inlineStr">
        <is>
          <t>As expected.</t>
        </is>
      </c>
      <c r="M330" s="19" t="inlineStr">
        <is>
          <t>Pass</t>
        </is>
      </c>
      <c r="N330" s="19" t="inlineStr"/>
      <c r="O330" s="19" t="inlineStr">
        <is>
          <t>iorta TechNXT QA</t>
        </is>
      </c>
      <c r="P330" s="19" t="inlineStr">
        <is>
          <t>03 October 2026</t>
        </is>
      </c>
      <c r="Q330" s="19" t="inlineStr"/>
      <c r="R330" s="19" t="inlineStr">
        <is>
          <t>backend/test/period-end.test.js :: run the reminder, recurring, reversal and auto soft-close jobs [passed]</t>
        </is>
      </c>
      <c r="S330" s="19" t="n"/>
    </row>
    <row r="331">
      <c r="A331" s="19" t="inlineStr">
        <is>
          <t>BV-BNK-001</t>
        </is>
      </c>
      <c r="B331" s="19" t="inlineStr">
        <is>
          <t>Bank reconciliation</t>
        </is>
      </c>
      <c r="C331" s="19" t="inlineStr">
        <is>
          <t>Set-up</t>
        </is>
      </c>
      <c r="D331" s="19" t="inlineStr">
        <is>
          <t>Accounting Officer (liza.quiambao)</t>
        </is>
      </c>
      <c r="E331" s="19" t="inlineStr">
        <is>
          <t>Link the bank account to its GL cash account</t>
        </is>
      </c>
      <c r="F331" s="19" t="inlineStr">
        <is>
          <t>Functional</t>
        </is>
      </c>
      <c r="G331" s="19" t="inlineStr">
        <is>
          <t>High</t>
        </is>
      </c>
      <c r="H331" s="19" t="inlineStr">
        <is>
          <t>Bank account BDO-OPS.</t>
        </is>
      </c>
      <c r="I331" s="19" t="inlineStr">
        <is>
          <t>1. Open Accounts &gt; Bank Reconciliation &gt; Reconciliation Workspace.
2. Link BDO-OPS to GL 1102001, format BDO-SAMPLE, reconcile from 01 May 2026.</t>
        </is>
      </c>
      <c r="J331" s="19" t="inlineStr">
        <is>
          <t>BDO-OPS; 1102001</t>
        </is>
      </c>
      <c r="K331" s="19" t="inlineStr">
        <is>
          <t>Linked; finance reads; agents may not.</t>
        </is>
      </c>
      <c r="L331" s="19" t="inlineStr">
        <is>
          <t>As expected.</t>
        </is>
      </c>
      <c r="M331" s="19" t="inlineStr">
        <is>
          <t>Pass</t>
        </is>
      </c>
      <c r="N331" s="19" t="inlineStr"/>
      <c r="O331" s="19" t="inlineStr">
        <is>
          <t>iorta TechNXT QA</t>
        </is>
      </c>
      <c r="P331" s="19" t="inlineStr">
        <is>
          <t>04 October 2026</t>
        </is>
      </c>
      <c r="Q331" s="19" t="inlineStr"/>
      <c r="R331" s="19" t="inlineStr">
        <is>
          <t>backend/test/bank-reconciliation.test.js :: links the bank account to its GL cash account; finance reads, agents may not [passed]
UAT cycle 03-04 October 2026, phase Set-up (46 passed, 0 failed)
Screen check /accounts/bank-reconciliation: opened clean</t>
        </is>
      </c>
      <c r="S331" s="19" t="n"/>
    </row>
    <row r="332">
      <c r="A332" s="19" t="inlineStr">
        <is>
          <t>BV-BNK-002</t>
        </is>
      </c>
      <c r="B332" s="19" t="inlineStr">
        <is>
          <t>Bank reconciliation</t>
        </is>
      </c>
      <c r="C332" s="19" t="inlineStr">
        <is>
          <t>Import</t>
        </is>
      </c>
      <c r="D332" s="19" t="inlineStr">
        <is>
          <t>Accounting Officer (liza.quiambao)</t>
        </is>
      </c>
      <c r="E332" s="19" t="inlineStr">
        <is>
          <t>Preview and import a BDO statement</t>
        </is>
      </c>
      <c r="F332" s="19" t="inlineStr">
        <is>
          <t>Functional</t>
        </is>
      </c>
      <c r="G332" s="19" t="inlineStr">
        <is>
          <t>High</t>
        </is>
      </c>
      <c r="H332" s="19" t="inlineStr">
        <is>
          <t>BDO export CSV for 2026-08.</t>
        </is>
      </c>
      <c r="I332" s="19" t="inlineStr">
        <is>
          <t>1. Click Import statement; choose BDO-SAMPLE; Preview.
2. Import with opening and closing balances.</t>
        </is>
      </c>
      <c r="J332" s="19" t="inlineStr">
        <is>
          <t>bdo-2026-08.csv; Philippine date and amount formats</t>
        </is>
      </c>
      <c r="K332" s="19" t="inlineStr">
        <is>
          <t>Preview shows lines, totals, balance check, suggested types; import auto-matches.</t>
        </is>
      </c>
      <c r="L332" s="19" t="inlineStr">
        <is>
          <t>6 statements, 78 lines; 56 matched by rules.</t>
        </is>
      </c>
      <c r="M332" s="19" t="inlineStr">
        <is>
          <t>Pass</t>
        </is>
      </c>
      <c r="N332" s="19" t="inlineStr"/>
      <c r="O332" s="19" t="inlineStr">
        <is>
          <t>iorta TechNXT QA</t>
        </is>
      </c>
      <c r="P332" s="19" t="inlineStr">
        <is>
          <t>04 October 2026</t>
        </is>
      </c>
      <c r="Q332" s="19" t="inlineStr"/>
      <c r="R332" s="19" t="inlineStr">
        <is>
          <t>backend/test/bank-reconciliation.test.js :: reads Philippine bank date and amount formats [passed]
backend/test/bank-reconciliation.test.js :: previews a file: lines, totals, balance check and suggested transaction types [passed]
backend/test/bank-reconciliation.test.js :: imports the statement and auto-matches: reference, amount + date window, 1:many, many:1 and book contra [passed]
UAT cycle 03-04 October 2026, phase Reconciliation: bank and insurer statements (10 passed, 0 failed)</t>
        </is>
      </c>
      <c r="S332" s="19" t="n"/>
    </row>
    <row r="333">
      <c r="A333" s="19" t="inlineStr">
        <is>
          <t>BV-BNK-003</t>
        </is>
      </c>
      <c r="B333" s="19" t="inlineStr">
        <is>
          <t>Bank reconciliation</t>
        </is>
      </c>
      <c r="C333" s="19" t="inlineStr">
        <is>
          <t>Import</t>
        </is>
      </c>
      <c r="D333" s="19" t="inlineStr">
        <is>
          <t>Accounting Officer (liza.quiambao)</t>
        </is>
      </c>
      <c r="E333" s="19" t="inlineStr">
        <is>
          <t>Unbalanced statement refused</t>
        </is>
      </c>
      <c r="F333" s="19" t="inlineStr">
        <is>
          <t>Negative</t>
        </is>
      </c>
      <c r="G333" s="19" t="inlineStr">
        <is>
          <t>High</t>
        </is>
      </c>
      <c r="H333" s="19" t="inlineStr">
        <is>
          <t>Statement whose running balance does not tie.</t>
        </is>
      </c>
      <c r="I333" s="19" t="inlineStr">
        <is>
          <t>1. Preview.</t>
        </is>
      </c>
      <c r="J333" s="19" t="inlineStr">
        <is>
          <t>Closing off by PHP 150.00</t>
        </is>
      </c>
      <c r="K333" s="19" t="inlineStr">
        <is>
          <t>Refused.</t>
        </is>
      </c>
      <c r="L333" s="19" t="inlineStr">
        <is>
          <t>As expected.</t>
        </is>
      </c>
      <c r="M333" s="19" t="inlineStr">
        <is>
          <t>Pass</t>
        </is>
      </c>
      <c r="N333" s="19" t="inlineStr"/>
      <c r="O333" s="19" t="inlineStr">
        <is>
          <t>iorta TechNXT QA</t>
        </is>
      </c>
      <c r="P333" s="19" t="inlineStr">
        <is>
          <t>03 October 2026</t>
        </is>
      </c>
      <c r="Q333" s="19" t="inlineStr"/>
      <c r="R333" s="19" t="inlineStr">
        <is>
          <t>backend/test/bank-reconciliation.test.js :: refuses a statement that does not balance [passed]</t>
        </is>
      </c>
      <c r="S333" s="19" t="n"/>
    </row>
    <row r="334">
      <c r="A334" s="19" t="inlineStr">
        <is>
          <t>BV-BNK-004</t>
        </is>
      </c>
      <c r="B334" s="19" t="inlineStr">
        <is>
          <t>Bank reconciliation</t>
        </is>
      </c>
      <c r="C334" s="19" t="inlineStr">
        <is>
          <t>Import</t>
        </is>
      </c>
      <c r="D334" s="19" t="inlineStr">
        <is>
          <t>Accounting Officer (liza.quiambao)</t>
        </is>
      </c>
      <c r="E334" s="19" t="inlineStr">
        <is>
          <t>Duplicate file and overlapping lines detected</t>
        </is>
      </c>
      <c r="F334" s="19" t="inlineStr">
        <is>
          <t>Negative</t>
        </is>
      </c>
      <c r="G334" s="19" t="inlineStr">
        <is>
          <t>High</t>
        </is>
      </c>
      <c r="H334" s="19" t="inlineStr">
        <is>
          <t>Statement already imported.</t>
        </is>
      </c>
      <c r="I334" s="19" t="inlineStr">
        <is>
          <t>1. Import the same file again.
2. Import an overlapping statement.</t>
        </is>
      </c>
      <c r="J334" s="19" t="inlineStr">
        <is>
          <t>bdo-2026-08.csv</t>
        </is>
      </c>
      <c r="K334" s="19" t="inlineStr">
        <is>
          <t>File imported twice detected; duplicate lines flagged.</t>
        </is>
      </c>
      <c r="L334" s="19" t="inlineStr">
        <is>
          <t>As expected.</t>
        </is>
      </c>
      <c r="M334" s="19" t="inlineStr">
        <is>
          <t>Pass</t>
        </is>
      </c>
      <c r="N334" s="19" t="inlineStr"/>
      <c r="O334" s="19" t="inlineStr">
        <is>
          <t>iorta TechNXT QA</t>
        </is>
      </c>
      <c r="P334" s="19" t="inlineStr">
        <is>
          <t>03 October 2026</t>
        </is>
      </c>
      <c r="Q334" s="19" t="inlineStr"/>
      <c r="R334" s="19" t="inlineStr">
        <is>
          <t>backend/test/bank-reconciliation.test.js :: detects a file imported twice and duplicate lines of an overlapping statement (custom format with title rows) [passed]</t>
        </is>
      </c>
      <c r="S334" s="19" t="n"/>
    </row>
    <row r="335">
      <c r="A335" s="19" t="inlineStr">
        <is>
          <t>BV-BNK-005</t>
        </is>
      </c>
      <c r="B335" s="19" t="inlineStr">
        <is>
          <t>Bank reconciliation</t>
        </is>
      </c>
      <c r="C335" s="19" t="inlineStr">
        <is>
          <t>Matching</t>
        </is>
      </c>
      <c r="D335" s="19" t="inlineStr">
        <is>
          <t>Accounting Officer (liza.quiambao)</t>
        </is>
      </c>
      <c r="E335" s="19" t="inlineStr">
        <is>
          <t>Manual match and unmatch audited</t>
        </is>
      </c>
      <c r="F335" s="19" t="inlineStr">
        <is>
          <t>Functional</t>
        </is>
      </c>
      <c r="G335" s="19" t="inlineStr">
        <is>
          <t>High</t>
        </is>
      </c>
      <c r="H335" s="19" t="inlineStr">
        <is>
          <t>Late deposit without reference.</t>
        </is>
      </c>
      <c r="I335" s="19" t="inlineStr">
        <is>
          <t>1. Select bank line and book entry; Match selected with remarks.
2. Unmatch.</t>
        </is>
      </c>
      <c r="J335" s="19" t="inlineStr">
        <is>
          <t>Remarks: Matched to the deposit slip / cheque register</t>
        </is>
      </c>
      <c r="K335" s="19" t="inlineStr">
        <is>
          <t>Recorded and audited.</t>
        </is>
      </c>
      <c r="L335" s="19" t="inlineStr">
        <is>
          <t>5 lines matched by hand.</t>
        </is>
      </c>
      <c r="M335" s="19" t="inlineStr">
        <is>
          <t>Pass</t>
        </is>
      </c>
      <c r="N335" s="19" t="inlineStr"/>
      <c r="O335" s="19" t="inlineStr">
        <is>
          <t>iorta TechNXT QA</t>
        </is>
      </c>
      <c r="P335" s="19" t="inlineStr">
        <is>
          <t>04 October 2026</t>
        </is>
      </c>
      <c r="Q335" s="19" t="inlineStr"/>
      <c r="R335" s="19" t="inlineStr">
        <is>
          <t>backend/test/bank-reconciliation.test.js :: manual match and unmatch are recorded and audited [passed]
UAT cycle 03-04 October 2026, phase Reconciliation: bank and insurer statements (10 passed, 0 failed)</t>
        </is>
      </c>
      <c r="S335" s="19" t="n"/>
    </row>
    <row r="336">
      <c r="A336" s="19" t="inlineStr">
        <is>
          <t>BV-BNK-006</t>
        </is>
      </c>
      <c r="B336" s="19" t="inlineStr">
        <is>
          <t>Bank reconciliation</t>
        </is>
      </c>
      <c r="C336" s="19" t="inlineStr">
        <is>
          <t>Adjustments</t>
        </is>
      </c>
      <c r="D336" s="19" t="inlineStr">
        <is>
          <t>Accounting Officer (liza.quiambao)</t>
        </is>
      </c>
      <c r="E336" s="19" t="inlineStr">
        <is>
          <t>Bank charge, interest and final tax adjustments</t>
        </is>
      </c>
      <c r="F336" s="19" t="inlineStr">
        <is>
          <t>Accounting</t>
        </is>
      </c>
      <c r="G336" s="19" t="inlineStr">
        <is>
          <t>High</t>
        </is>
      </c>
      <c r="H336" s="19" t="inlineStr">
        <is>
          <t>Bank-only lines.</t>
        </is>
      </c>
      <c r="I336" s="19" t="inlineStr">
        <is>
          <t>1. Click Create adjustment on SERVICE CHARGE (BCHG), INTEREST CREDIT (INT), W/TAX ON INTEREST (FTAX).</t>
        </is>
      </c>
      <c r="J336" s="19" t="inlineStr">
        <is>
          <t>BCHG PHP 150.00</t>
        </is>
      </c>
      <c r="K336" s="19" t="inlineStr">
        <is>
          <t>Balanced journals posted and matched; direction must fit the type.</t>
        </is>
      </c>
      <c r="L336" s="19" t="inlineStr">
        <is>
          <t>15 adjustments booked.</t>
        </is>
      </c>
      <c r="M336" s="19" t="inlineStr">
        <is>
          <t>Pass</t>
        </is>
      </c>
      <c r="N336" s="19" t="inlineStr"/>
      <c r="O336" s="19" t="inlineStr">
        <is>
          <t>iorta TechNXT QA</t>
        </is>
      </c>
      <c r="P336" s="19" t="inlineStr">
        <is>
          <t>04 October 2026</t>
        </is>
      </c>
      <c r="Q336" s="19" t="inlineStr"/>
      <c r="R336" s="19" t="inlineStr">
        <is>
          <t>backend/test/bank-reconciliation.test.js :: posts a balanced bank charge journal from the bank line and matches it; the direction must fit the type [passed]
backend/test/bank-reconciliation.test.js :: a difference is explained by an adjustment journal of a bank transaction type [passed]
UAT cycle 03-04 October 2026, phase Reconciliation: bank and insurer statements (10 passed, 0 failed)</t>
        </is>
      </c>
      <c r="S336" s="19" t="n"/>
    </row>
    <row r="337">
      <c r="A337" s="19" t="inlineStr">
        <is>
          <t>BV-BNK-007</t>
        </is>
      </c>
      <c r="B337" s="19" t="inlineStr">
        <is>
          <t>Bank reconciliation</t>
        </is>
      </c>
      <c r="C337" s="19" t="inlineStr">
        <is>
          <t>Adjustments</t>
        </is>
      </c>
      <c r="D337" s="19" t="inlineStr">
        <is>
          <t>Accounting Manager (teresa.villaroman)</t>
        </is>
      </c>
      <c r="E337" s="19" t="inlineStr">
        <is>
          <t>Adjustment type needing approval</t>
        </is>
      </c>
      <c r="F337" s="19" t="inlineStr">
        <is>
          <t>Negative</t>
        </is>
      </c>
      <c r="G337" s="19" t="inlineStr">
        <is>
          <t>Medium</t>
        </is>
      </c>
      <c r="H337" s="19" t="inlineStr">
        <is>
          <t>Type requires approval.</t>
        </is>
      </c>
      <c r="I337" s="19" t="inlineStr">
        <is>
          <t>1. Create adjustment; second user posts it.</t>
        </is>
      </c>
      <c r="J337" s="19" t="inlineStr">
        <is>
          <t>Type with approval</t>
        </is>
      </c>
      <c r="K337" s="19" t="inlineStr">
        <is>
          <t>Journal for approval; second user posts; matched.</t>
        </is>
      </c>
      <c r="L337" s="19" t="inlineStr">
        <is>
          <t>As expected.</t>
        </is>
      </c>
      <c r="M337" s="19" t="inlineStr">
        <is>
          <t>Pass</t>
        </is>
      </c>
      <c r="N337" s="19" t="inlineStr"/>
      <c r="O337" s="19" t="inlineStr">
        <is>
          <t>iorta TechNXT QA</t>
        </is>
      </c>
      <c r="P337" s="19" t="inlineStr">
        <is>
          <t>03 October 2026</t>
        </is>
      </c>
      <c r="Q337" s="19" t="inlineStr"/>
      <c r="R337" s="19" t="inlineStr">
        <is>
          <t>backend/test/bank-reconciliation.test.js :: a type that requires approval creates the journal for approval; a second user posts it and it is matched [passed]</t>
        </is>
      </c>
      <c r="S337" s="19" t="n"/>
    </row>
    <row r="338">
      <c r="A338" s="19" t="inlineStr">
        <is>
          <t>BV-BNK-008</t>
        </is>
      </c>
      <c r="B338" s="19" t="inlineStr">
        <is>
          <t>Bank reconciliation</t>
        </is>
      </c>
      <c r="C338" s="19" t="inlineStr">
        <is>
          <t>Statement</t>
        </is>
      </c>
      <c r="D338" s="19" t="inlineStr">
        <is>
          <t>Accounting Officer (liza.quiambao)</t>
        </is>
      </c>
      <c r="E338" s="19" t="inlineStr">
        <is>
          <t>Bank reconciliation statement agrees</t>
        </is>
      </c>
      <c r="F338" s="19" t="inlineStr">
        <is>
          <t>Accounting</t>
        </is>
      </c>
      <c r="G338" s="19" t="inlineStr">
        <is>
          <t>High</t>
        </is>
      </c>
      <c r="H338" s="19" t="inlineStr">
        <is>
          <t>Month matched.</t>
        </is>
      </c>
      <c r="I338" s="19" t="inlineStr">
        <is>
          <t>1. Click New reconciliation for 2026-08.</t>
        </is>
      </c>
      <c r="J338" s="19" t="inlineStr">
        <is>
          <t>Deposits in transit; outstanding cheques</t>
        </is>
      </c>
      <c r="K338" s="19" t="inlineStr">
        <is>
          <t>Balances agree; difference zero required to prepare.</t>
        </is>
      </c>
      <c r="L338" s="19" t="inlineStr">
        <is>
          <t>As expected.</t>
        </is>
      </c>
      <c r="M338" s="19" t="inlineStr">
        <is>
          <t>Pass</t>
        </is>
      </c>
      <c r="N338" s="19" t="inlineStr"/>
      <c r="O338" s="19" t="inlineStr">
        <is>
          <t>iorta TechNXT QA</t>
        </is>
      </c>
      <c r="P338" s="19" t="inlineStr">
        <is>
          <t>04 October 2026</t>
        </is>
      </c>
      <c r="Q338" s="19" t="inlineStr"/>
      <c r="R338" s="19" t="inlineStr">
        <is>
          <t>backend/test/bank-reconciliation.test.js :: computes the Bank Reconciliation Statement: deposits in transit, outstanding cheques, balances agree [passed]
backend/test/bank-reconciliation.test.js :: bank errors and unbooked items are reconciling items; the difference must be zero to prepare [passed]
UAT cycle 03-04 October 2026, phase Reconciliation: bank and insurer statements (10 passed, 0 failed)</t>
        </is>
      </c>
      <c r="S338" s="19" t="n"/>
    </row>
    <row r="339">
      <c r="A339" s="19" t="inlineStr">
        <is>
          <t>BV-BNK-009</t>
        </is>
      </c>
      <c r="B339" s="19" t="inlineStr">
        <is>
          <t>Bank reconciliation</t>
        </is>
      </c>
      <c r="C339" s="19" t="inlineStr">
        <is>
          <t>Approval</t>
        </is>
      </c>
      <c r="D339" s="19" t="inlineStr">
        <is>
          <t>Accounting Manager (teresa.villaroman)</t>
        </is>
      </c>
      <c r="E339" s="19" t="inlineStr">
        <is>
          <t>Prepare and approve with maker-checker; approval locks</t>
        </is>
      </c>
      <c r="F339" s="19" t="inlineStr">
        <is>
          <t>Negative</t>
        </is>
      </c>
      <c r="G339" s="19" t="inlineStr">
        <is>
          <t>High</t>
        </is>
      </c>
      <c r="H339" s="19" t="inlineStr">
        <is>
          <t>Reconciliation prepared by liza.quiambao.</t>
        </is>
      </c>
      <c r="I339" s="19" t="inlineStr">
        <is>
          <t>1. As maker approve.
2. As teresa.villaroman approve.
3. Reopen without remarks.</t>
        </is>
      </c>
      <c r="J339" s="19" t="inlineStr">
        <is>
          <t>Remarks: Reviewed with the bank statement</t>
        </is>
      </c>
      <c r="K339" s="19" t="inlineStr">
        <is>
          <t>Maker refused; approved and locked; reopen needs approver and remarks.</t>
        </is>
      </c>
      <c r="L339" s="19" t="inlineStr">
        <is>
          <t>5 reconciliations approved.</t>
        </is>
      </c>
      <c r="M339" s="19" t="inlineStr">
        <is>
          <t>Pass</t>
        </is>
      </c>
      <c r="N339" s="19" t="inlineStr"/>
      <c r="O339" s="19" t="inlineStr">
        <is>
          <t>iorta TechNXT QA</t>
        </is>
      </c>
      <c r="P339" s="19" t="inlineStr">
        <is>
          <t>04 October 2026</t>
        </is>
      </c>
      <c r="Q339" s="19" t="inlineStr"/>
      <c r="R339" s="19" t="inlineStr">
        <is>
          <t>backend/test/bank-reconciliation.test.js :: prepare -&gt; approve with maker-checker; approval locks the matches; reopen needs an approver and remarks [passed]
UAT cycle 03-04 October 2026, phase Reconciliation: bank and insurer statements (10 passed, 0 failed)
Screen check /accounts/bank-reconciliation/reconciliations: opened clean</t>
        </is>
      </c>
      <c r="S339" s="19" t="n"/>
    </row>
    <row r="340">
      <c r="A340" s="19" t="inlineStr">
        <is>
          <t>BV-BNK-010</t>
        </is>
      </c>
      <c r="B340" s="19" t="inlineStr">
        <is>
          <t>Bank reconciliation</t>
        </is>
      </c>
      <c r="C340" s="19" t="inlineStr">
        <is>
          <t>Print</t>
        </is>
      </c>
      <c r="D340" s="19" t="inlineStr">
        <is>
          <t>Accounting Officer (liza.quiambao)</t>
        </is>
      </c>
      <c r="E340" s="19" t="inlineStr">
        <is>
          <t>Print the statement as PDF</t>
        </is>
      </c>
      <c r="F340" s="19" t="inlineStr">
        <is>
          <t>Report</t>
        </is>
      </c>
      <c r="G340" s="19" t="inlineStr">
        <is>
          <t>Medium</t>
        </is>
      </c>
      <c r="H340" s="19" t="inlineStr">
        <is>
          <t>Approved reconciliation.</t>
        </is>
      </c>
      <c r="I340" s="19" t="inlineStr">
        <is>
          <t>1. Print.</t>
        </is>
      </c>
      <c r="J340" s="19" t="inlineStr">
        <is>
          <t>2026-08</t>
        </is>
      </c>
      <c r="K340" s="19" t="inlineStr">
        <is>
          <t>PDF downloads.</t>
        </is>
      </c>
      <c r="L340" s="19" t="inlineStr">
        <is>
          <t>As expected.</t>
        </is>
      </c>
      <c r="M340" s="19" t="inlineStr">
        <is>
          <t>Pass</t>
        </is>
      </c>
      <c r="N340" s="19" t="inlineStr"/>
      <c r="O340" s="19" t="inlineStr">
        <is>
          <t>iorta TechNXT QA</t>
        </is>
      </c>
      <c r="P340" s="19" t="inlineStr">
        <is>
          <t>03 October 2026</t>
        </is>
      </c>
      <c r="Q340" s="19" t="inlineStr"/>
      <c r="R340" s="19" t="inlineStr">
        <is>
          <t>backend/test/bank-reconciliation.test.js :: prints the statement as PDF [passed]</t>
        </is>
      </c>
      <c r="S340" s="19" t="n"/>
    </row>
    <row r="341">
      <c r="A341" s="19" t="inlineStr">
        <is>
          <t>BV-BNK-011</t>
        </is>
      </c>
      <c r="B341" s="19" t="inlineStr">
        <is>
          <t>Bank reconciliation</t>
        </is>
      </c>
      <c r="C341" s="19" t="inlineStr">
        <is>
          <t>Stale cheques</t>
        </is>
      </c>
      <c r="D341" s="19" t="inlineStr">
        <is>
          <t>Accounting Officer (liza.quiambao)</t>
        </is>
      </c>
      <c r="E341" s="19" t="inlineStr">
        <is>
          <t>Stale cheques flagged and cancelled</t>
        </is>
      </c>
      <c r="F341" s="19" t="inlineStr">
        <is>
          <t>Accounting</t>
        </is>
      </c>
      <c r="G341" s="19" t="inlineStr">
        <is>
          <t>Medium</t>
        </is>
      </c>
      <c r="H341" s="19" t="inlineStr">
        <is>
          <t>Cheque outstanding beyond stale period.</t>
        </is>
      </c>
      <c r="I341" s="19" t="inlineStr">
        <is>
          <t>1. Cancel it.</t>
        </is>
      </c>
      <c r="J341" s="19" t="inlineStr">
        <is>
          <t>Cheque older than 180 days</t>
        </is>
      </c>
      <c r="K341" s="19" t="inlineStr">
        <is>
          <t>Reversal posted and contra matched.</t>
        </is>
      </c>
      <c r="L341" s="19" t="inlineStr">
        <is>
          <t>As expected.</t>
        </is>
      </c>
      <c r="M341" s="19" t="inlineStr">
        <is>
          <t>Pass</t>
        </is>
      </c>
      <c r="N341" s="19" t="inlineStr"/>
      <c r="O341" s="19" t="inlineStr">
        <is>
          <t>iorta TechNXT QA</t>
        </is>
      </c>
      <c r="P341" s="19" t="inlineStr">
        <is>
          <t>03 October 2026</t>
        </is>
      </c>
      <c r="Q341" s="19" t="inlineStr"/>
      <c r="R341" s="19" t="inlineStr">
        <is>
          <t>backend/test/bank-reconciliation.test.js :: flags cheques outstanding beyond the stale period and cancels them (reversal, contra match) [passed]</t>
        </is>
      </c>
      <c r="S341" s="19" t="n"/>
    </row>
    <row r="342">
      <c r="A342" s="19" t="inlineStr">
        <is>
          <t>BV-BNK-012</t>
        </is>
      </c>
      <c r="B342" s="19" t="inlineStr">
        <is>
          <t>Bank reconciliation</t>
        </is>
      </c>
      <c r="C342" s="19" t="inlineStr">
        <is>
          <t>Reports</t>
        </is>
      </c>
      <c r="D342" s="19" t="inlineStr">
        <is>
          <t>Accounting Officer (liza.quiambao)</t>
        </is>
      </c>
      <c r="E342" s="19" t="inlineStr">
        <is>
          <t>Bank reconciliation reports</t>
        </is>
      </c>
      <c r="F342" s="19" t="inlineStr">
        <is>
          <t>Report</t>
        </is>
      </c>
      <c r="G342" s="19" t="inlineStr">
        <is>
          <t>Medium</t>
        </is>
      </c>
      <c r="H342" s="19" t="inlineStr">
        <is>
          <t>Data from the cycle.</t>
        </is>
      </c>
      <c r="I342" s="19" t="inlineStr">
        <is>
          <t>1. Open Reconciliation Statement Report, Outstanding Cheques, Deposits in Transit, Unmatched Bank Lines, Bank Book.</t>
        </is>
      </c>
      <c r="J342" s="19" t="inlineStr">
        <is>
          <t>BDO-OPS; May to October 2026</t>
        </is>
      </c>
      <c r="K342" s="19" t="inlineStr">
        <is>
          <t>Rows: statement 5, outstanding cheques 7, deposits in transit 4, unmatched 2, bank book 88.</t>
        </is>
      </c>
      <c r="L342" s="19" t="inlineStr">
        <is>
          <t>As expected.</t>
        </is>
      </c>
      <c r="M342" s="19" t="inlineStr">
        <is>
          <t>Pass</t>
        </is>
      </c>
      <c r="N342" s="19" t="inlineStr"/>
      <c r="O342" s="19" t="inlineStr">
        <is>
          <t>iorta TechNXT QA</t>
        </is>
      </c>
      <c r="P342" s="19" t="inlineStr">
        <is>
          <t>04 October 2026</t>
        </is>
      </c>
      <c r="Q342" s="19" t="inlineStr"/>
      <c r="R342" s="19" t="inlineStr">
        <is>
          <t>backend/test/bank-reconciliation.test.js :: runs the bank reconciliation reports [passed]
UAT cycle 03-04 October 2026, phase Reports and dashboards (58 passed, 0 failed)
Screen check /accounts/bank-reconciliation/reports/bank-reconciliation-statement: opened clean
Screen check /accounts/bank-reconciliation/reports/bank-outstanding-cheques: opened clean
Screen check /accounts/bank-reconciliation/reports/bank-deposits-in-transit: opened clean
Screen check /accounts/bank-reconciliation/reports/bank-unmatched-lines: opened clean
Screen check /accounts/bank-reconciliation/reports/bank-book: opened clean</t>
        </is>
      </c>
      <c r="S342" s="19" t="n"/>
    </row>
    <row r="343">
      <c r="A343" s="19" t="inlineStr">
        <is>
          <t>BV-BNK-013</t>
        </is>
      </c>
      <c r="B343" s="19" t="inlineStr">
        <is>
          <t>Bank reconciliation</t>
        </is>
      </c>
      <c r="C343" s="19" t="inlineStr">
        <is>
          <t>Close check</t>
        </is>
      </c>
      <c r="D343" s="19" t="inlineStr">
        <is>
          <t>Accounting Manager (teresa.villaroman)</t>
        </is>
      </c>
      <c r="E343" s="19" t="inlineStr">
        <is>
          <t>Unreconciled bank blocks the close</t>
        </is>
      </c>
      <c r="F343" s="19" t="inlineStr">
        <is>
          <t>Integration</t>
        </is>
      </c>
      <c r="G343" s="19" t="inlineStr">
        <is>
          <t>High</t>
        </is>
      </c>
      <c r="H343" s="19" t="inlineStr">
        <is>
          <t>Account with activity and no approved reconciliation.</t>
        </is>
      </c>
      <c r="I343" s="19" t="inlineStr">
        <is>
          <t>1. Run the month-end close.</t>
        </is>
      </c>
      <c r="J343" s="19" t="inlineStr">
        <is>
          <t>MBT-COL</t>
        </is>
      </c>
      <c r="K343" s="19" t="inlineStr">
        <is>
          <t>Check unreconciled_bank fails; blocking stops the close.</t>
        </is>
      </c>
      <c r="L343" s="19" t="inlineStr">
        <is>
          <t>As expected.</t>
        </is>
      </c>
      <c r="M343" s="19" t="inlineStr">
        <is>
          <t>Pass</t>
        </is>
      </c>
      <c r="N343" s="19" t="inlineStr"/>
      <c r="O343" s="19" t="inlineStr">
        <is>
          <t>iorta TechNXT QA</t>
        </is>
      </c>
      <c r="P343" s="19" t="inlineStr">
        <is>
          <t>03 October 2026</t>
        </is>
      </c>
      <c r="Q343" s="19" t="inlineStr"/>
      <c r="R343" s="19" t="inlineStr">
        <is>
          <t>backend/test/bank-reconciliation.test.js :: the unreconciled_bank check fails for accounts with activity and no approved reconciliation; blocking stops the close [passed]</t>
        </is>
      </c>
      <c r="S343" s="19" t="n"/>
    </row>
    <row r="344">
      <c r="A344" s="19" t="inlineStr">
        <is>
          <t>BV-BNK-014</t>
        </is>
      </c>
      <c r="B344" s="19" t="inlineStr">
        <is>
          <t>Bank reconciliation</t>
        </is>
      </c>
      <c r="C344" s="19" t="inlineStr">
        <is>
          <t>Scheduled match</t>
        </is>
      </c>
      <c r="D344" s="19" t="inlineStr">
        <is>
          <t>Accounting Officer (liza.quiambao)</t>
        </is>
      </c>
      <c r="E344" s="19" t="inlineStr">
        <is>
          <t>Scheduled auto-match job</t>
        </is>
      </c>
      <c r="F344" s="19" t="inlineStr">
        <is>
          <t>Integration</t>
        </is>
      </c>
      <c r="G344" s="19" t="inlineStr">
        <is>
          <t>Low</t>
        </is>
      </c>
      <c r="H344" s="19" t="inlineStr">
        <is>
          <t>Linked accounts.</t>
        </is>
      </c>
      <c r="I344" s="19" t="inlineStr">
        <is>
          <t>1. Run the job.</t>
        </is>
      </c>
      <c r="J344" s="19" t="inlineStr">
        <is>
          <t>BDO-OPS, MBT-COL</t>
        </is>
      </c>
      <c r="K344" s="19" t="inlineStr">
        <is>
          <t>Runs over linked accounts.</t>
        </is>
      </c>
      <c r="L344" s="19" t="inlineStr">
        <is>
          <t>As expected.</t>
        </is>
      </c>
      <c r="M344" s="19" t="inlineStr">
        <is>
          <t>Pass</t>
        </is>
      </c>
      <c r="N344" s="19" t="inlineStr"/>
      <c r="O344" s="19" t="inlineStr">
        <is>
          <t>iorta TechNXT QA</t>
        </is>
      </c>
      <c r="P344" s="19" t="inlineStr">
        <is>
          <t>03 October 2026</t>
        </is>
      </c>
      <c r="Q344" s="19" t="inlineStr"/>
      <c r="R344" s="19" t="inlineStr">
        <is>
          <t>backend/test/bank-reconciliation.test.js :: the scheduled auto-match job runs over the linked accounts [passed]</t>
        </is>
      </c>
      <c r="S344" s="19" t="n"/>
    </row>
    <row r="345">
      <c r="A345" s="19" t="inlineStr">
        <is>
          <t>BV-BNK-015</t>
        </is>
      </c>
      <c r="B345" s="19" t="inlineStr">
        <is>
          <t>Bank reconciliation</t>
        </is>
      </c>
      <c r="C345" s="19" t="inlineStr">
        <is>
          <t>Masters</t>
        </is>
      </c>
      <c r="D345" s="19" t="inlineStr">
        <is>
          <t>Accounting Officer (liza.quiambao)</t>
        </is>
      </c>
      <c r="E345" s="19" t="inlineStr">
        <is>
          <t>Bank statement formats and transaction types</t>
        </is>
      </c>
      <c r="F345" s="19" t="inlineStr">
        <is>
          <t>Functional</t>
        </is>
      </c>
      <c r="G345" s="19" t="inlineStr">
        <is>
          <t>Low</t>
        </is>
      </c>
      <c r="H345" s="19" t="inlineStr">
        <is>
          <t>Masters.</t>
        </is>
      </c>
      <c r="I345" s="19" t="inlineStr">
        <is>
          <t>1. Open Master &gt; Finance &gt; Bank Statement Formats; add a custom format with title rows.
2. Open Bank Transaction Types.</t>
        </is>
      </c>
      <c r="J345" s="19" t="inlineStr">
        <is>
          <t>Custom format</t>
        </is>
      </c>
      <c r="K345" s="19" t="inlineStr">
        <is>
          <t>Saved and used by import.</t>
        </is>
      </c>
      <c r="L345" s="19" t="inlineStr">
        <is>
          <t>As expected.</t>
        </is>
      </c>
      <c r="M345" s="19" t="inlineStr">
        <is>
          <t>Pass</t>
        </is>
      </c>
      <c r="N345" s="19" t="inlineStr"/>
      <c r="O345" s="19" t="inlineStr">
        <is>
          <t>iorta TechNXT QA</t>
        </is>
      </c>
      <c r="P345" s="19" t="inlineStr">
        <is>
          <t>03 October 2026</t>
        </is>
      </c>
      <c r="Q345" s="19" t="inlineStr"/>
      <c r="R345" s="19" t="inlineStr">
        <is>
          <t>backend/test/bank-reconciliation.test.js :: detects a file imported twice and duplicate lines of an overlapping statement (custom format with title rows) [passed]
Screen check /master/finance/bank-statement-formats: opened clean
Screen check /master/finance/bank-transaction-types: opened clean</t>
        </is>
      </c>
      <c r="S345" s="19" t="n"/>
    </row>
    <row r="346">
      <c r="A346" s="19" t="inlineStr">
        <is>
          <t>BV-INR-001</t>
        </is>
      </c>
      <c r="B346" s="19" t="inlineStr">
        <is>
          <t>Insurer reconciliation</t>
        </is>
      </c>
      <c r="C346" s="19" t="inlineStr">
        <is>
          <t>Formats</t>
        </is>
      </c>
      <c r="D346" s="19" t="inlineStr">
        <is>
          <t>Accounting Officer (liza.quiambao)</t>
        </is>
      </c>
      <c r="E346" s="19" t="inlineStr">
        <is>
          <t>Column mapping per insurer</t>
        </is>
      </c>
      <c r="F346" s="19" t="inlineStr">
        <is>
          <t>Functional</t>
        </is>
      </c>
      <c r="G346" s="19" t="inlineStr">
        <is>
          <t>High</t>
        </is>
      </c>
      <c r="H346" s="19" t="inlineStr">
        <is>
          <t>Master &gt; Finance &gt; Insurer Statement Formats.</t>
        </is>
      </c>
      <c r="I346" s="19" t="inlineStr">
        <is>
          <t>1. Add PCIC-SOA with column names and date format MM/DD/YYYY.
2. Add LUZ-SOA with DD/MM/YYYY.</t>
        </is>
      </c>
      <c r="J346" s="19" t="inlineStr">
        <is>
          <t>PCIC-SOA; LUZ-SOA</t>
        </is>
      </c>
      <c r="K346" s="19" t="inlineStr">
        <is>
          <t>Formats saved per insurer.</t>
        </is>
      </c>
      <c r="L346" s="19" t="inlineStr">
        <is>
          <t>As expected.</t>
        </is>
      </c>
      <c r="M346" s="19" t="inlineStr">
        <is>
          <t>Pass</t>
        </is>
      </c>
      <c r="N346" s="19" t="inlineStr"/>
      <c r="O346" s="19" t="inlineStr">
        <is>
          <t>iorta TechNXT QA</t>
        </is>
      </c>
      <c r="P346" s="19" t="inlineStr">
        <is>
          <t>04 October 2026</t>
        </is>
      </c>
      <c r="Q346" s="19" t="inlineStr"/>
      <c r="R346" s="19" t="inlineStr">
        <is>
          <t>backend/test/insurer-reconciliation.test.js :: keeps a column mapping per insurer [passed]
UAT cycle 03-04 October 2026, phase Set-up (46 passed, 0 failed)
Screen check /master/finance/insurer-statement-formats: opened clean</t>
        </is>
      </c>
      <c r="S346" s="19" t="n"/>
    </row>
    <row r="347">
      <c r="A347" s="19" t="inlineStr">
        <is>
          <t>BV-INR-002</t>
        </is>
      </c>
      <c r="B347" s="19" t="inlineStr">
        <is>
          <t>Insurer reconciliation</t>
        </is>
      </c>
      <c r="C347" s="19" t="inlineStr">
        <is>
          <t>Import</t>
        </is>
      </c>
      <c r="D347" s="19" t="inlineStr">
        <is>
          <t>Accounting Officer (liza.quiambao)</t>
        </is>
      </c>
      <c r="E347" s="19" t="inlineStr">
        <is>
          <t>Import insurer SOA; auto-match by policy number</t>
        </is>
      </c>
      <c r="F347" s="19" t="inlineStr">
        <is>
          <t>Functional</t>
        </is>
      </c>
      <c r="G347" s="19" t="inlineStr">
        <is>
          <t>High</t>
        </is>
      </c>
      <c r="H347" s="19" t="inlineStr">
        <is>
          <t>Insurer statement file.</t>
        </is>
      </c>
      <c r="I347" s="19" t="inlineStr">
        <is>
          <t>1. Open Accounts &gt; Insurer Reconciliation &gt; Insurer Statements.
2. Import with format.</t>
        </is>
      </c>
      <c r="J347" s="19" t="inlineStr">
        <is>
          <t>Pacific Crest SOA</t>
        </is>
      </c>
      <c r="K347" s="19" t="inlineStr">
        <is>
          <t>Unreadable rows flagged; matched by policy number; differences reported.</t>
        </is>
      </c>
      <c r="L347" s="19" t="inlineStr">
        <is>
          <t>3 statements; 17 lines; 11 matched.</t>
        </is>
      </c>
      <c r="M347" s="19" t="inlineStr">
        <is>
          <t>Pass</t>
        </is>
      </c>
      <c r="N347" s="19" t="inlineStr"/>
      <c r="O347" s="19" t="inlineStr">
        <is>
          <t>iorta TechNXT QA</t>
        </is>
      </c>
      <c r="P347" s="19" t="inlineStr">
        <is>
          <t>04 October 2026</t>
        </is>
      </c>
      <c r="Q347" s="19" t="inlineStr"/>
      <c r="R347" s="19" t="inlineStr">
        <is>
          <t>backend/test/insurer-reconciliation.test.js :: reads a file with a format and flags rows it cannot read [passed]
backend/test/insurer-reconciliation.test.js :: imports a statement, auto-matches by policy number and reports the differences [passed]
UAT cycle 03-04 October 2026, phase Reconciliation: bank and insurer statements (10 passed, 0 failed)
Screen check /accounts/insurer-reconciliation/statements: opened clean</t>
        </is>
      </c>
      <c r="S347" s="19" t="n"/>
    </row>
    <row r="348">
      <c r="A348" s="19" t="inlineStr">
        <is>
          <t>BV-INR-003</t>
        </is>
      </c>
      <c r="B348" s="19" t="inlineStr">
        <is>
          <t>Insurer reconciliation</t>
        </is>
      </c>
      <c r="C348" s="19" t="inlineStr">
        <is>
          <t>Resolve</t>
        </is>
      </c>
      <c r="D348" s="19" t="inlineStr">
        <is>
          <t>Accounting Officer (liza.quiambao)</t>
        </is>
      </c>
      <c r="E348" s="19" t="inlineStr">
        <is>
          <t>Every difference resolved before submitting</t>
        </is>
      </c>
      <c r="F348" s="19" t="inlineStr">
        <is>
          <t>Negative</t>
        </is>
      </c>
      <c r="G348" s="19" t="inlineStr">
        <is>
          <t>High</t>
        </is>
      </c>
      <c r="H348" s="19" t="inlineStr">
        <is>
          <t>Differences open.</t>
        </is>
      </c>
      <c r="I348" s="19" t="inlineStr">
        <is>
          <t>1. Submit with differences open.
2. Resolve with notes and one adjustment; submit.</t>
        </is>
      </c>
      <c r="J348" s="19" t="inlineStr">
        <is>
          <t>6 notes; 1 adjustment</t>
        </is>
      </c>
      <c r="K348" s="19" t="inlineStr">
        <is>
          <t>Refused until resolved; then submitted.</t>
        </is>
      </c>
      <c r="L348" s="19" t="inlineStr">
        <is>
          <t>As expected.</t>
        </is>
      </c>
      <c r="M348" s="19" t="inlineStr">
        <is>
          <t>Pass</t>
        </is>
      </c>
      <c r="N348" s="19" t="inlineStr"/>
      <c r="O348" s="19" t="inlineStr">
        <is>
          <t>iorta TechNXT QA</t>
        </is>
      </c>
      <c r="P348" s="19" t="inlineStr">
        <is>
          <t>04 October 2026</t>
        </is>
      </c>
      <c r="Q348" s="19" t="inlineStr"/>
      <c r="R348" s="19" t="inlineStr">
        <is>
          <t>backend/test/insurer-reconciliation.test.js :: matches by hand, and needs every difference resolved before submitting [passed]
UAT cycle 03-04 October 2026, phase Reconciliation: bank and insurer statements (10 passed, 0 failed)</t>
        </is>
      </c>
      <c r="S348" s="19" t="n"/>
    </row>
    <row r="349">
      <c r="A349" s="19" t="inlineStr">
        <is>
          <t>BV-INR-004</t>
        </is>
      </c>
      <c r="B349" s="19" t="inlineStr">
        <is>
          <t>Insurer reconciliation</t>
        </is>
      </c>
      <c r="C349" s="19" t="inlineStr">
        <is>
          <t>Approve</t>
        </is>
      </c>
      <c r="D349" s="19" t="inlineStr">
        <is>
          <t>Accounting Manager (teresa.villaroman)</t>
        </is>
      </c>
      <c r="E349" s="19" t="inlineStr">
        <is>
          <t>Approval by a different user posts the adjustment</t>
        </is>
      </c>
      <c r="F349" s="19" t="inlineStr">
        <is>
          <t>Negative</t>
        </is>
      </c>
      <c r="G349" s="19" t="inlineStr">
        <is>
          <t>High</t>
        </is>
      </c>
      <c r="H349" s="19" t="inlineStr">
        <is>
          <t>Submitted reconciliation.</t>
        </is>
      </c>
      <c r="I349" s="19" t="inlineStr">
        <is>
          <t>1. As maker approve.
2. As teresa.villaroman approve.</t>
        </is>
      </c>
      <c r="J349" s="19" t="inlineStr">
        <is>
          <t>Adjustment PHP 312.50</t>
        </is>
      </c>
      <c r="K349" s="19" t="inlineStr">
        <is>
          <t>Maker refused; approval posts through the posting rule.</t>
        </is>
      </c>
      <c r="L349" s="19" t="inlineStr">
        <is>
          <t>3 insurer reconciliations approved.</t>
        </is>
      </c>
      <c r="M349" s="19" t="inlineStr">
        <is>
          <t>Pass</t>
        </is>
      </c>
      <c r="N349" s="19" t="inlineStr"/>
      <c r="O349" s="19" t="inlineStr">
        <is>
          <t>iorta TechNXT QA</t>
        </is>
      </c>
      <c r="P349" s="19" t="inlineStr">
        <is>
          <t>04 October 2026</t>
        </is>
      </c>
      <c r="Q349" s="19" t="inlineStr"/>
      <c r="R349" s="19" t="inlineStr">
        <is>
          <t>backend/test/insurer-reconciliation.test.js :: only a different user with approve:insurer-reconciliation approves; approval posts the adjustment through the posting rule [passed]
UAT cycle 03-04 October 2026, phase Reconciliation: bank and insurer statements (10 passed, 0 failed)</t>
        </is>
      </c>
      <c r="S349" s="19" t="n"/>
    </row>
    <row r="350">
      <c r="A350" s="19" t="inlineStr">
        <is>
          <t>BV-INR-005</t>
        </is>
      </c>
      <c r="B350" s="19" t="inlineStr">
        <is>
          <t>Insurer reconciliation</t>
        </is>
      </c>
      <c r="C350" s="19" t="inlineStr">
        <is>
          <t>Export</t>
        </is>
      </c>
      <c r="D350" s="19" t="inlineStr">
        <is>
          <t>Accounting Officer (liza.quiambao)</t>
        </is>
      </c>
      <c r="E350" s="19" t="inlineStr">
        <is>
          <t>Differences report as Excel, CSV and PDF</t>
        </is>
      </c>
      <c r="F350" s="19" t="inlineStr">
        <is>
          <t>Report</t>
        </is>
      </c>
      <c r="G350" s="19" t="inlineStr">
        <is>
          <t>Medium</t>
        </is>
      </c>
      <c r="H350" s="19" t="inlineStr">
        <is>
          <t>Reconciliation with differences.</t>
        </is>
      </c>
      <c r="I350" s="19" t="inlineStr">
        <is>
          <t>1. Export each format.</t>
        </is>
      </c>
      <c r="J350" s="19" t="inlineStr">
        <is>
          <t>Pacific Crest</t>
        </is>
      </c>
      <c r="K350" s="19" t="inlineStr">
        <is>
          <t>Files download.</t>
        </is>
      </c>
      <c r="L350" s="19" t="inlineStr">
        <is>
          <t>As expected.</t>
        </is>
      </c>
      <c r="M350" s="19" t="inlineStr">
        <is>
          <t>Pass</t>
        </is>
      </c>
      <c r="N350" s="19" t="inlineStr"/>
      <c r="O350" s="19" t="inlineStr">
        <is>
          <t>iorta TechNXT QA</t>
        </is>
      </c>
      <c r="P350" s="19" t="inlineStr">
        <is>
          <t>03 October 2026</t>
        </is>
      </c>
      <c r="Q350" s="19" t="inlineStr"/>
      <c r="R350" s="19" t="inlineStr">
        <is>
          <t>backend/test/insurer-reconciliation.test.js :: exports the differences report as Excel, CSV and PDF [passed]</t>
        </is>
      </c>
      <c r="S350" s="19" t="n"/>
    </row>
    <row r="351">
      <c r="A351" s="19" t="inlineStr">
        <is>
          <t>BV-INR-006</t>
        </is>
      </c>
      <c r="B351" s="19" t="inlineStr">
        <is>
          <t>Insurer reconciliation</t>
        </is>
      </c>
      <c r="C351" s="19" t="inlineStr">
        <is>
          <t>Reinsurance reconciliation</t>
        </is>
      </c>
      <c r="D351" s="19" t="inlineStr">
        <is>
          <t>Accounting Officer (liza.quiambao)</t>
        </is>
      </c>
      <c r="E351" s="19" t="inlineStr">
        <is>
          <t>Finance works reinsurance reconciliation; treaties stay with reinsurance users</t>
        </is>
      </c>
      <c r="F351" s="19" t="inlineStr">
        <is>
          <t>Role access</t>
        </is>
      </c>
      <c r="G351" s="19" t="inlineStr">
        <is>
          <t>Medium</t>
        </is>
      </c>
      <c r="H351" s="19" t="inlineStr">
        <is>
          <t>Signed in as liza.quiambao.</t>
        </is>
      </c>
      <c r="I351" s="19" t="inlineStr">
        <is>
          <t>1. Open Reinsurance &gt; Reconciliation.
2. Open Treaty Dashboard by address.</t>
        </is>
      </c>
      <c r="J351" s="19" t="inlineStr">
        <is>
          <t>None</t>
        </is>
      </c>
      <c r="K351" s="19" t="inlineStr">
        <is>
          <t>Reconciliation available; treaties refused.</t>
        </is>
      </c>
      <c r="L351" s="19" t="inlineStr">
        <is>
          <t>As expected.</t>
        </is>
      </c>
      <c r="M351" s="19" t="inlineStr">
        <is>
          <t>Pass</t>
        </is>
      </c>
      <c r="N351" s="19" t="inlineStr"/>
      <c r="O351" s="19" t="inlineStr">
        <is>
          <t>iorta TechNXT QA</t>
        </is>
      </c>
      <c r="P351" s="19" t="inlineStr">
        <is>
          <t>03 October 2026</t>
        </is>
      </c>
      <c r="Q351" s="19" t="inlineStr"/>
      <c r="R351" s="19" t="inlineStr">
        <is>
          <t>backend/test/role-access.test.js :: finance reads and works reconciliations; treaties and cessions stay with reinsurance users [passed]
Screen check /reinsurance/reconciliation: opened clean</t>
        </is>
      </c>
      <c r="S351" s="19" t="n"/>
    </row>
    <row r="352">
      <c r="A352" s="19" t="inlineStr">
        <is>
          <t>BV-TAX-001</t>
        </is>
      </c>
      <c r="B352" s="19" t="inlineStr">
        <is>
          <t>Tax (BIR)</t>
        </is>
      </c>
      <c r="C352" s="19" t="inlineStr">
        <is>
          <t>BIR Form 2307</t>
        </is>
      </c>
      <c r="D352" s="19" t="inlineStr">
        <is>
          <t>Accounting Officer (liza.quiambao)</t>
        </is>
      </c>
      <c r="E352" s="19" t="inlineStr">
        <is>
          <t>2307 per payee per quarter by month and ATC</t>
        </is>
      </c>
      <c r="F352" s="19" t="inlineStr">
        <is>
          <t>Report</t>
        </is>
      </c>
      <c r="G352" s="19" t="inlineStr">
        <is>
          <t>High</t>
        </is>
      </c>
      <c r="H352" s="19" t="inlineStr">
        <is>
          <t>Commission collected with EWT.</t>
        </is>
      </c>
      <c r="I352" s="19" t="inlineStr">
        <is>
          <t>1. Open Accounts &gt; Tax &gt; BIR Form 2307.
2. Choose payor, quarter; Issue certificate; Print.</t>
        </is>
      </c>
      <c r="J352" s="19" t="inlineStr">
        <is>
          <t>Q3 2026; Pacific Crest; WC139</t>
        </is>
      </c>
      <c r="K352" s="19" t="inlineStr">
        <is>
          <t>Certificate sums withholding by month and ATC; prints with signatures.</t>
        </is>
      </c>
      <c r="L352" s="19" t="inlineStr">
        <is>
          <t>As expected.</t>
        </is>
      </c>
      <c r="M352" s="19" t="inlineStr">
        <is>
          <t>Pass</t>
        </is>
      </c>
      <c r="N352" s="19" t="inlineStr"/>
      <c r="O352" s="19" t="inlineStr">
        <is>
          <t>iorta TechNXT QA</t>
        </is>
      </c>
      <c r="P352" s="19" t="inlineStr">
        <is>
          <t>03 October 2026</t>
        </is>
      </c>
      <c r="Q352" s="19" t="inlineStr"/>
      <c r="R352" s="19" t="inlineStr">
        <is>
          <t>backend/test/period-end.test.js :: BIR Form 2307 per payee per quarter sums the withholding of the quarter by month and ATC [passed]
Screen check /accounts/tax/2307: opened clean</t>
        </is>
      </c>
      <c r="S352" s="19" t="n"/>
    </row>
    <row r="353">
      <c r="A353" s="19" t="inlineStr">
        <is>
          <t>BV-TAX-002</t>
        </is>
      </c>
      <c r="B353" s="19" t="inlineStr">
        <is>
          <t>Tax (BIR)</t>
        </is>
      </c>
      <c r="C353" s="19" t="inlineStr">
        <is>
          <t>VAT Summary</t>
        </is>
      </c>
      <c r="D353" s="19" t="inlineStr">
        <is>
          <t>Accounting Officer (liza.quiambao)</t>
        </is>
      </c>
      <c r="E353" s="19" t="inlineStr">
        <is>
          <t>VAT summary monthly and quarterly</t>
        </is>
      </c>
      <c r="F353" s="19" t="inlineStr">
        <is>
          <t>Report</t>
        </is>
      </c>
      <c r="G353" s="19" t="inlineStr">
        <is>
          <t>High</t>
        </is>
      </c>
      <c r="H353" s="19" t="inlineStr">
        <is>
          <t>Commission VAT booked.</t>
        </is>
      </c>
      <c r="I353" s="19" t="inlineStr">
        <is>
          <t>1. Open Accounts &gt; Tax &gt; VAT Summary.</t>
        </is>
      </c>
      <c r="J353" s="19" t="inlineStr">
        <is>
          <t>May to October 2026</t>
        </is>
      </c>
      <c r="K353" s="19" t="inlineStr">
        <is>
          <t>6 monthly rows, 3 quarterly rows; output VAT on commission matches bookings.</t>
        </is>
      </c>
      <c r="L353" s="19" t="inlineStr">
        <is>
          <t>As expected.</t>
        </is>
      </c>
      <c r="M353" s="19" t="inlineStr">
        <is>
          <t>Pass</t>
        </is>
      </c>
      <c r="N353" s="19" t="inlineStr"/>
      <c r="O353" s="19" t="inlineStr">
        <is>
          <t>iorta TechNXT QA</t>
        </is>
      </c>
      <c r="P353" s="19" t="inlineStr">
        <is>
          <t>04 October 2026</t>
        </is>
      </c>
      <c r="Q353" s="19" t="inlineStr"/>
      <c r="R353" s="19" t="inlineStr">
        <is>
          <t>backend/test/commission-taxes.test.js :: the booking journal books output VAT on the commission and the EWT the insurer withholds (rule version 2) [passed]
UAT cycle 03-04 October 2026, phase Reports and dashboards (58 passed, 0 failed)
Screen check /accounts/tax/reports/bir-vat-summary: opened clean</t>
        </is>
      </c>
      <c r="S353" s="19" t="n"/>
    </row>
    <row r="354">
      <c r="A354" s="19" t="inlineStr">
        <is>
          <t>BV-TAX-003</t>
        </is>
      </c>
      <c r="B354" s="19" t="inlineStr">
        <is>
          <t>Tax (BIR)</t>
        </is>
      </c>
      <c r="C354" s="19" t="inlineStr">
        <is>
          <t>SAWT</t>
        </is>
      </c>
      <c r="D354" s="19" t="inlineStr">
        <is>
          <t>Accounting Officer (liza.quiambao)</t>
        </is>
      </c>
      <c r="E354" s="19" t="inlineStr">
        <is>
          <t>SAWT summary</t>
        </is>
      </c>
      <c r="F354" s="19" t="inlineStr">
        <is>
          <t>Report</t>
        </is>
      </c>
      <c r="G354" s="19" t="inlineStr">
        <is>
          <t>Medium</t>
        </is>
      </c>
      <c r="H354" s="19" t="inlineStr">
        <is>
          <t>CWT received.</t>
        </is>
      </c>
      <c r="I354" s="19" t="inlineStr">
        <is>
          <t>1. Open Accounts &gt; Tax &gt; SAWT.</t>
        </is>
      </c>
      <c r="J354" s="19" t="inlineStr">
        <is>
          <t>Q3 2026</t>
        </is>
      </c>
      <c r="K354" s="19" t="inlineStr">
        <is>
          <t>2 summary rows.</t>
        </is>
      </c>
      <c r="L354" s="19" t="inlineStr">
        <is>
          <t>As expected.</t>
        </is>
      </c>
      <c r="M354" s="19" t="inlineStr">
        <is>
          <t>Pass</t>
        </is>
      </c>
      <c r="N354" s="19" t="inlineStr"/>
      <c r="O354" s="19" t="inlineStr">
        <is>
          <t>iorta TechNXT QA</t>
        </is>
      </c>
      <c r="P354" s="19" t="inlineStr">
        <is>
          <t>04 October 2026</t>
        </is>
      </c>
      <c r="Q354" s="19" t="inlineStr"/>
      <c r="R354" s="19" t="inlineStr">
        <is>
          <t>UAT cycle 03-04 October 2026, phase Reports and dashboards (58 passed, 0 failed)
Screen check /accounts/tax/reports/bir-sawt: opened clean</t>
        </is>
      </c>
      <c r="S354" s="19" t="n"/>
    </row>
    <row r="355">
      <c r="A355" s="19" t="inlineStr">
        <is>
          <t>BV-TAX-004</t>
        </is>
      </c>
      <c r="B355" s="19" t="inlineStr">
        <is>
          <t>Tax (BIR)</t>
        </is>
      </c>
      <c r="C355" s="19" t="inlineStr">
        <is>
          <t>QAP</t>
        </is>
      </c>
      <c r="D355" s="19" t="inlineStr">
        <is>
          <t>Accounting Officer (liza.quiambao)</t>
        </is>
      </c>
      <c r="E355" s="19" t="inlineStr">
        <is>
          <t>QAP summary</t>
        </is>
      </c>
      <c r="F355" s="19" t="inlineStr">
        <is>
          <t>Report</t>
        </is>
      </c>
      <c r="G355" s="19" t="inlineStr">
        <is>
          <t>Medium</t>
        </is>
      </c>
      <c r="H355" s="19" t="inlineStr">
        <is>
          <t>EWT withheld from referrers.</t>
        </is>
      </c>
      <c r="I355" s="19" t="inlineStr">
        <is>
          <t>1. Open Accounts &gt; Tax &gt; QAP.</t>
        </is>
      </c>
      <c r="J355" s="19" t="inlineStr">
        <is>
          <t>Q3 2026</t>
        </is>
      </c>
      <c r="K355" s="19" t="inlineStr">
        <is>
          <t>2 summary rows.</t>
        </is>
      </c>
      <c r="L355" s="19" t="inlineStr">
        <is>
          <t>As expected.</t>
        </is>
      </c>
      <c r="M355" s="19" t="inlineStr">
        <is>
          <t>Pass</t>
        </is>
      </c>
      <c r="N355" s="19" t="inlineStr"/>
      <c r="O355" s="19" t="inlineStr">
        <is>
          <t>iorta TechNXT QA</t>
        </is>
      </c>
      <c r="P355" s="19" t="inlineStr">
        <is>
          <t>04 October 2026</t>
        </is>
      </c>
      <c r="Q355" s="19" t="inlineStr"/>
      <c r="R355" s="19" t="inlineStr">
        <is>
          <t>UAT cycle 03-04 October 2026, phase Reports and dashboards (58 passed, 0 failed)
Screen check /accounts/tax/reports/bir-qap: opened clean</t>
        </is>
      </c>
      <c r="S355" s="19" t="n"/>
    </row>
    <row r="356">
      <c r="A356" s="19" t="inlineStr">
        <is>
          <t>BV-TAX-005</t>
        </is>
      </c>
      <c r="B356" s="19" t="inlineStr">
        <is>
          <t>Tax (BIR)</t>
        </is>
      </c>
      <c r="C356" s="19" t="inlineStr">
        <is>
          <t>SLSP</t>
        </is>
      </c>
      <c r="D356" s="19" t="inlineStr">
        <is>
          <t>Accounting Officer (liza.quiambao)</t>
        </is>
      </c>
      <c r="E356" s="19" t="inlineStr">
        <is>
          <t>SLSP sales and purchases</t>
        </is>
      </c>
      <c r="F356" s="19" t="inlineStr">
        <is>
          <t>Report</t>
        </is>
      </c>
      <c r="G356" s="19" t="inlineStr">
        <is>
          <t>Medium</t>
        </is>
      </c>
      <c r="H356" s="19" t="inlineStr">
        <is>
          <t>Sales and purchases.</t>
        </is>
      </c>
      <c r="I356" s="19" t="inlineStr">
        <is>
          <t>1. Open SLSP Sales and SLSP Purchases.</t>
        </is>
      </c>
      <c r="J356" s="19" t="inlineStr">
        <is>
          <t>Q3 2026</t>
        </is>
      </c>
      <c r="K356" s="19" t="inlineStr">
        <is>
          <t>Sales 32 rows; purchases 1 row (input VAT on petty cash).</t>
        </is>
      </c>
      <c r="L356" s="19" t="inlineStr">
        <is>
          <t>As expected.</t>
        </is>
      </c>
      <c r="M356" s="19" t="inlineStr">
        <is>
          <t>Pass</t>
        </is>
      </c>
      <c r="N356" s="19" t="inlineStr"/>
      <c r="O356" s="19" t="inlineStr">
        <is>
          <t>iorta TechNXT QA</t>
        </is>
      </c>
      <c r="P356" s="19" t="inlineStr">
        <is>
          <t>04 October 2026</t>
        </is>
      </c>
      <c r="Q356" s="19" t="inlineStr"/>
      <c r="R356" s="19" t="inlineStr">
        <is>
          <t>UAT cycle 03-04 October 2026, phase Reports and dashboards (58 passed, 0 failed)
Screen check /accounts/tax/reports/bir-slsp-sales: opened clean
Screen check /accounts/tax/reports/bir-slsp-purchases: opened clean</t>
        </is>
      </c>
      <c r="S356" s="19" t="n"/>
    </row>
    <row r="357">
      <c r="A357" s="19" t="inlineStr">
        <is>
          <t>BV-TAX-006</t>
        </is>
      </c>
      <c r="B357" s="19" t="inlineStr">
        <is>
          <t>Tax (BIR)</t>
        </is>
      </c>
      <c r="C357" s="19" t="inlineStr">
        <is>
          <t>Tax codes</t>
        </is>
      </c>
      <c r="D357" s="19" t="inlineStr">
        <is>
          <t>Accounting Officer (liza.quiambao)</t>
        </is>
      </c>
      <c r="E357" s="19" t="inlineStr">
        <is>
          <t>Tax codes editable and used by commission taxes</t>
        </is>
      </c>
      <c r="F357" s="19" t="inlineStr">
        <is>
          <t>Accounting</t>
        </is>
      </c>
      <c r="G357" s="19" t="inlineStr">
        <is>
          <t>Medium</t>
        </is>
      </c>
      <c r="H357" s="19" t="inlineStr">
        <is>
          <t>Taxation master.</t>
        </is>
      </c>
      <c r="I357" s="19" t="inlineStr">
        <is>
          <t>1. Check VAT12-OUT and WC139 active.</t>
        </is>
      </c>
      <c r="J357" s="19" t="inlineStr">
        <is>
          <t>VAT12-OUT; WC139</t>
        </is>
      </c>
      <c r="K357" s="19" t="inlineStr">
        <is>
          <t>Active; used by commission taxes.</t>
        </is>
      </c>
      <c r="L357" s="19" t="inlineStr">
        <is>
          <t>As expected.</t>
        </is>
      </c>
      <c r="M357" s="19" t="inlineStr">
        <is>
          <t>Pass</t>
        </is>
      </c>
      <c r="N357" s="19" t="inlineStr"/>
      <c r="O357" s="19" t="inlineStr">
        <is>
          <t>iorta TechNXT QA</t>
        </is>
      </c>
      <c r="P357" s="19" t="inlineStr">
        <is>
          <t>04 October 2026</t>
        </is>
      </c>
      <c r="Q357" s="19" t="inlineStr"/>
      <c r="R357" s="19" t="inlineStr">
        <is>
          <t>backend/test/commission-taxes.test.js :: simulate shows the tax lines; rates and GL accounts follow the tax codes master [passed]
UAT cycle 03-04 October 2026, phase Set-up (46 passed, 0 failed)</t>
        </is>
      </c>
      <c r="S357" s="19" t="n"/>
    </row>
    <row r="358">
      <c r="A358" s="19" t="inlineStr">
        <is>
          <t>BV-TAX-007</t>
        </is>
      </c>
      <c r="B358" s="19" t="inlineStr">
        <is>
          <t>Tax (BIR)</t>
        </is>
      </c>
      <c r="C358" s="19" t="inlineStr">
        <is>
          <t>Premium-tax products</t>
        </is>
      </c>
      <c r="D358" s="19" t="inlineStr">
        <is>
          <t>Accounting Officer (liza.quiambao)</t>
        </is>
      </c>
      <c r="E358" s="19" t="inlineStr">
        <is>
          <t>Premium tax instead of VAT; exempt products</t>
        </is>
      </c>
      <c r="F358" s="19" t="inlineStr">
        <is>
          <t>Validation</t>
        </is>
      </c>
      <c r="G358" s="19" t="inlineStr">
        <is>
          <t>Medium</t>
        </is>
      </c>
      <c r="H358" s="19" t="inlineStr">
        <is>
          <t>Products flagged premium tax or exempt.</t>
        </is>
      </c>
      <c r="I358" s="19" t="inlineStr">
        <is>
          <t>1. Quote each.</t>
        </is>
      </c>
      <c r="J358" s="19" t="inlineStr">
        <is>
          <t>Life-type premium tax product; exempt product</t>
        </is>
      </c>
      <c r="K358" s="19" t="inlineStr">
        <is>
          <t>Premium tax used instead of VAT; neither for exempt.</t>
        </is>
      </c>
      <c r="L358" s="19" t="inlineStr">
        <is>
          <t>As expected.</t>
        </is>
      </c>
      <c r="M358" s="19" t="inlineStr">
        <is>
          <t>Pass</t>
        </is>
      </c>
      <c r="N358" s="19" t="inlineStr"/>
      <c r="O358" s="19" t="inlineStr">
        <is>
          <t>iorta TechNXT QA</t>
        </is>
      </c>
      <c r="P358" s="19" t="inlineStr">
        <is>
          <t>03 October 2026</t>
        </is>
      </c>
      <c r="Q358" s="19" t="inlineStr"/>
      <c r="R358" s="19" t="inlineStr">
        <is>
          <t>backend/test/premium-charges.test.js :: uses the premium tax instead of VAT for premium-tax products and neither for exempt ones [passed]</t>
        </is>
      </c>
      <c r="S358" s="19" t="n"/>
    </row>
    <row r="359">
      <c r="A359" s="19" t="inlineStr">
        <is>
          <t>BV-TAX-008</t>
        </is>
      </c>
      <c r="B359" s="19" t="inlineStr">
        <is>
          <t>Tax (BIR)</t>
        </is>
      </c>
      <c r="C359" s="19" t="inlineStr">
        <is>
          <t>Return premium taxes</t>
        </is>
      </c>
      <c r="D359" s="19" t="inlineStr">
        <is>
          <t>Accounting Officer (liza.quiambao)</t>
        </is>
      </c>
      <c r="E359" s="19" t="inlineStr">
        <is>
          <t>Negative charges on a return premium</t>
        </is>
      </c>
      <c r="F359" s="19" t="inlineStr">
        <is>
          <t>Accounting</t>
        </is>
      </c>
      <c r="G359" s="19" t="inlineStr">
        <is>
          <t>Low</t>
        </is>
      </c>
      <c r="H359" s="19" t="inlineStr">
        <is>
          <t>Return premium endorsement.</t>
        </is>
      </c>
      <c r="I359" s="19" t="inlineStr">
        <is>
          <t>1. Read the charges.</t>
        </is>
      </c>
      <c r="J359" s="19" t="inlineStr">
        <is>
          <t>Return PHP 3,000.00</t>
        </is>
      </c>
      <c r="K359" s="19" t="inlineStr">
        <is>
          <t>Negative charges; rules outside dates skipped.</t>
        </is>
      </c>
      <c r="L359" s="19" t="inlineStr">
        <is>
          <t>As expected.</t>
        </is>
      </c>
      <c r="M359" s="19" t="inlineStr">
        <is>
          <t>Pass</t>
        </is>
      </c>
      <c r="N359" s="19" t="inlineStr"/>
      <c r="O359" s="19" t="inlineStr">
        <is>
          <t>iorta TechNXT QA</t>
        </is>
      </c>
      <c r="P359" s="19" t="inlineStr">
        <is>
          <t>03 October 2026</t>
        </is>
      </c>
      <c r="Q359" s="19" t="inlineStr"/>
      <c r="R359" s="19" t="inlineStr">
        <is>
          <t>backend/test/premium-charges.test.js :: skips rules outside their effective dates and gives negative charges on a return premium [passed]</t>
        </is>
      </c>
      <c r="S359" s="19" t="n"/>
    </row>
    <row r="360">
      <c r="A360" s="19" t="inlineStr">
        <is>
          <t>BV-TAX-009</t>
        </is>
      </c>
      <c r="B360" s="19" t="inlineStr">
        <is>
          <t>Tax (BIR)</t>
        </is>
      </c>
      <c r="C360" s="19" t="inlineStr">
        <is>
          <t>Withholding</t>
        </is>
      </c>
      <c r="D360" s="19" t="inlineStr">
        <is>
          <t>Accounting Officer (liza.quiambao)</t>
        </is>
      </c>
      <c r="E360" s="19" t="inlineStr">
        <is>
          <t>EWT withheld by insurer clears premium due</t>
        </is>
      </c>
      <c r="F360" s="19" t="inlineStr">
        <is>
          <t>Accounting</t>
        </is>
      </c>
      <c r="G360" s="19" t="inlineStr">
        <is>
          <t>Medium</t>
        </is>
      </c>
      <c r="H360" s="19" t="inlineStr">
        <is>
          <t>Insurer voucher.</t>
        </is>
      </c>
      <c r="I360" s="19" t="inlineStr">
        <is>
          <t>1. Open the voucher.</t>
        </is>
      </c>
      <c r="J360" s="19" t="inlineStr">
        <is>
          <t>EWT WC139</t>
        </is>
      </c>
      <c r="K360" s="19" t="inlineStr">
        <is>
          <t>EWT included so premium due clears.</t>
        </is>
      </c>
      <c r="L360" s="19" t="inlineStr">
        <is>
          <t>As expected.</t>
        </is>
      </c>
      <c r="M360" s="19" t="inlineStr">
        <is>
          <t>Pass</t>
        </is>
      </c>
      <c r="N360" s="19" t="inlineStr"/>
      <c r="O360" s="19" t="inlineStr">
        <is>
          <t>iorta TechNXT QA</t>
        </is>
      </c>
      <c r="P360" s="19" t="inlineStr">
        <is>
          <t>03 October 2026</t>
        </is>
      </c>
      <c r="Q360" s="19" t="inlineStr"/>
      <c r="R360" s="19" t="inlineStr">
        <is>
          <t>backend/test/commission-taxes.test.js :: the insurer voucher pays the premium net of commission and VAT plus the EWT, which clears the premium due to the insurer [passed]</t>
        </is>
      </c>
      <c r="S360" s="19" t="n"/>
    </row>
    <row r="361">
      <c r="A361" s="19" t="inlineStr">
        <is>
          <t>BV-RIN-001</t>
        </is>
      </c>
      <c r="B361" s="19" t="inlineStr">
        <is>
          <t>Reinsurance</t>
        </is>
      </c>
      <c r="C361" s="19" t="inlineStr">
        <is>
          <t>Reinsurers</t>
        </is>
      </c>
      <c r="D361" s="19" t="inlineStr">
        <is>
          <t>Processing Team (jose.bernardo)</t>
        </is>
      </c>
      <c r="E361" s="19" t="inlineStr">
        <is>
          <t>Reinsurer with rating</t>
        </is>
      </c>
      <c r="F361" s="19" t="inlineStr">
        <is>
          <t>Functional</t>
        </is>
      </c>
      <c r="G361" s="19" t="inlineStr">
        <is>
          <t>Medium</t>
        </is>
      </c>
      <c r="H361" s="19" t="inlineStr">
        <is>
          <t>Signed in as jose.bernardo.</t>
        </is>
      </c>
      <c r="I361" s="19" t="inlineStr">
        <is>
          <t>1. Create reinsurer with rating A.
2. Create one with rating XYZ.</t>
        </is>
      </c>
      <c r="J361" s="19" t="inlineStr">
        <is>
          <t>Maharlika Reinsurance Corp.; Local; A</t>
        </is>
      </c>
      <c r="K361" s="19" t="inlineStr">
        <is>
          <t>Saved; unknown rating refused; list against minimum rating.</t>
        </is>
      </c>
      <c r="L361" s="19" t="inlineStr">
        <is>
          <t>As expected.</t>
        </is>
      </c>
      <c r="M361" s="19" t="inlineStr">
        <is>
          <t>Pass</t>
        </is>
      </c>
      <c r="N361" s="19" t="inlineStr"/>
      <c r="O361" s="19" t="inlineStr">
        <is>
          <t>iorta TechNXT QA</t>
        </is>
      </c>
      <c r="P361" s="19" t="inlineStr">
        <is>
          <t>04 October 2026</t>
        </is>
      </c>
      <c r="Q361" s="19" t="inlineStr"/>
      <c r="R361" s="19" t="inlineStr">
        <is>
          <t>backend/test/reinsurance.test.js :: creates and updates a reinsurer; rejects unknown ratings [passed]
backend/test/reinsurance.test.js :: lists reinsurers against the configured minimum rating [passed]
UAT cycle 03-04 October 2026, phase Reinsurance and incentives (2 passed, 0 failed)</t>
        </is>
      </c>
      <c r="S361" s="19" t="n"/>
    </row>
    <row r="362">
      <c r="A362" s="19" t="inlineStr">
        <is>
          <t>BV-RIN-002</t>
        </is>
      </c>
      <c r="B362" s="19" t="inlineStr">
        <is>
          <t>Reinsurance</t>
        </is>
      </c>
      <c r="C362" s="19" t="inlineStr">
        <is>
          <t>Treaty</t>
        </is>
      </c>
      <c r="D362" s="19" t="inlineStr">
        <is>
          <t>Processing Team (rica.fernandez)</t>
        </is>
      </c>
      <c r="E362" s="19" t="inlineStr">
        <is>
          <t>Quota share treaty with maker-checker</t>
        </is>
      </c>
      <c r="F362" s="19" t="inlineStr">
        <is>
          <t>Negative</t>
        </is>
      </c>
      <c r="G362" s="19" t="inlineStr">
        <is>
          <t>High</t>
        </is>
      </c>
      <c r="H362" s="19" t="inlineStr">
        <is>
          <t>Reinsurer exists.</t>
        </is>
      </c>
      <c r="I362" s="19" t="inlineStr">
        <is>
          <t>1. Open Master &gt; Reinsurance Treaty; Add Treaty.
2. As maker approve; as rica.fernandez approve.</t>
        </is>
      </c>
      <c r="J362" s="19" t="inlineStr">
        <is>
          <t>QS-PROP-2026; Fire; 30% cession; capacity PHP 3,000,000,000.00; commission 25%</t>
        </is>
      </c>
      <c r="K362" s="19" t="inlineStr">
        <is>
          <t>Pending approval; maker refused; checker approves.</t>
        </is>
      </c>
      <c r="L362" s="19" t="inlineStr">
        <is>
          <t>1 treaty approved.</t>
        </is>
      </c>
      <c r="M362" s="19" t="inlineStr">
        <is>
          <t>Pass</t>
        </is>
      </c>
      <c r="N362" s="19" t="inlineStr"/>
      <c r="O362" s="19" t="inlineStr">
        <is>
          <t>iorta TechNXT QA</t>
        </is>
      </c>
      <c r="P362" s="19" t="inlineStr">
        <is>
          <t>04 October 2026</t>
        </is>
      </c>
      <c r="Q362" s="19" t="inlineStr"/>
      <c r="R362" s="19" t="inlineStr">
        <is>
          <t>backend/test/reinsurance.test.js :: creates a treaty pending approval; maker cannot approve; checker approves [passed]
UAT cycle 03-04 October 2026, phase Reinsurance and incentives (2 passed, 0 failed)
Screen check /master/reinsurance/treaty: opened clean
Screen check /reinsurance/treaties: opened clean</t>
        </is>
      </c>
      <c r="S362" s="19" t="n"/>
    </row>
    <row r="363">
      <c r="A363" s="19" t="inlineStr">
        <is>
          <t>BV-RIN-003</t>
        </is>
      </c>
      <c r="B363" s="19" t="inlineStr">
        <is>
          <t>Reinsurance</t>
        </is>
      </c>
      <c r="C363" s="19" t="inlineStr">
        <is>
          <t>Treaty</t>
        </is>
      </c>
      <c r="D363" s="19" t="inlineStr">
        <is>
          <t>Processing Team (jose.bernardo)</t>
        </is>
      </c>
      <c r="E363" s="19" t="inlineStr">
        <is>
          <t>Treaty with reinsurer below minimum rating blocked</t>
        </is>
      </c>
      <c r="F363" s="19" t="inlineStr">
        <is>
          <t>Negative</t>
        </is>
      </c>
      <c r="G363" s="19" t="inlineStr">
        <is>
          <t>Medium</t>
        </is>
      </c>
      <c r="H363" s="19" t="inlineStr">
        <is>
          <t>Reinsurer rated below minimum.</t>
        </is>
      </c>
      <c r="I363" s="19" t="inlineStr">
        <is>
          <t>1. Add treaty.</t>
        </is>
      </c>
      <c r="J363" s="19" t="inlineStr">
        <is>
          <t>Rating B</t>
        </is>
      </c>
      <c r="K363" s="19" t="inlineStr">
        <is>
          <t>Blocked.</t>
        </is>
      </c>
      <c r="L363" s="19" t="inlineStr">
        <is>
          <t>As expected.</t>
        </is>
      </c>
      <c r="M363" s="19" t="inlineStr">
        <is>
          <t>Pass</t>
        </is>
      </c>
      <c r="N363" s="19" t="inlineStr"/>
      <c r="O363" s="19" t="inlineStr">
        <is>
          <t>iorta TechNXT QA</t>
        </is>
      </c>
      <c r="P363" s="19" t="inlineStr">
        <is>
          <t>03 October 2026</t>
        </is>
      </c>
      <c r="Q363" s="19" t="inlineStr"/>
      <c r="R363" s="19" t="inlineStr">
        <is>
          <t>backend/test/reinsurance.test.js :: blocks treaties with reinsurers below the minimum rating [passed]</t>
        </is>
      </c>
      <c r="S363" s="19" t="n"/>
    </row>
    <row r="364">
      <c r="A364" s="19" t="inlineStr">
        <is>
          <t>BV-RIN-004</t>
        </is>
      </c>
      <c r="B364" s="19" t="inlineStr">
        <is>
          <t>Reinsurance</t>
        </is>
      </c>
      <c r="C364" s="19" t="inlineStr">
        <is>
          <t>Cessions</t>
        </is>
      </c>
      <c r="D364" s="19" t="inlineStr">
        <is>
          <t>Processing Team (rica.fernandez)</t>
        </is>
      </c>
      <c r="E364" s="19" t="inlineStr">
        <is>
          <t>Treaty and facultative cessions with confirmation</t>
        </is>
      </c>
      <c r="F364" s="19" t="inlineStr">
        <is>
          <t>Functional</t>
        </is>
      </c>
      <c r="G364" s="19" t="inlineStr">
        <is>
          <t>High</t>
        </is>
      </c>
      <c r="H364" s="19" t="inlineStr">
        <is>
          <t>Large fire / IAR policies.</t>
        </is>
      </c>
      <c r="I364" s="19" t="inlineStr">
        <is>
          <t>1. Open Reinsurance &gt; Cession Tracking; cede two policies to the treaty and one facultative at 20%.
2. Second user confirms.</t>
        </is>
      </c>
      <c r="J364" s="19" t="inlineStr">
        <is>
          <t>Largest corporate fire and IAR risks</t>
        </is>
      </c>
      <c r="K364" s="19" t="inlineStr">
        <is>
          <t>Share and capacity checked; facultative gate; confirmed.</t>
        </is>
      </c>
      <c r="L364" s="19" t="inlineStr">
        <is>
          <t>3 cessions confirmed.</t>
        </is>
      </c>
      <c r="M364" s="19" t="inlineStr">
        <is>
          <t>Pass</t>
        </is>
      </c>
      <c r="N364" s="19" t="inlineStr"/>
      <c r="O364" s="19" t="inlineStr">
        <is>
          <t>iorta TechNXT QA</t>
        </is>
      </c>
      <c r="P364" s="19" t="inlineStr">
        <is>
          <t>04 October 2026</t>
        </is>
      </c>
      <c r="Q364" s="19" t="inlineStr"/>
      <c r="R364" s="19" t="inlineStr">
        <is>
          <t>backend/test/reinsurance.test.js :: cessions: share, capacity check, maker-checker confirmation, facultative gate [passed]
UAT cycle 03-04 October 2026, phase Reinsurance and incentives (2 passed, 0 failed)
Screen check /reinsurance/cessions: opened clean</t>
        </is>
      </c>
      <c r="S364" s="19" t="n"/>
    </row>
    <row r="365">
      <c r="A365" s="19" t="inlineStr">
        <is>
          <t>BV-RIN-005</t>
        </is>
      </c>
      <c r="B365" s="19" t="inlineStr">
        <is>
          <t>Reinsurance</t>
        </is>
      </c>
      <c r="C365" s="19" t="inlineStr">
        <is>
          <t>Claims Recovery</t>
        </is>
      </c>
      <c r="D365" s="19" t="inlineStr">
        <is>
          <t>Claims Officer (carlo.estrada)</t>
        </is>
      </c>
      <c r="E365" s="19" t="inlineStr">
        <is>
          <t>Recovery: register, submit, settle</t>
        </is>
      </c>
      <c r="F365" s="19" t="inlineStr">
        <is>
          <t>Functional</t>
        </is>
      </c>
      <c r="G365" s="19" t="inlineStr">
        <is>
          <t>Medium</t>
        </is>
      </c>
      <c r="H365" s="19" t="inlineStr">
        <is>
          <t>Ceded policy with claim.</t>
        </is>
      </c>
      <c r="I365" s="19" t="inlineStr">
        <is>
          <t>1. Open Reinsurance &gt; Claims Recovery; register; Submit to reinsurers; settle.</t>
        </is>
      </c>
      <c r="J365" s="19" t="inlineStr">
        <is>
          <t>Fire claim PHP 980,000.00; 30%</t>
        </is>
      </c>
      <c r="K365" s="19" t="inlineStr">
        <is>
          <t>Recovery settled.</t>
        </is>
      </c>
      <c r="L365" s="19" t="inlineStr">
        <is>
          <t>As expected.</t>
        </is>
      </c>
      <c r="M365" s="19" t="inlineStr">
        <is>
          <t>Pass</t>
        </is>
      </c>
      <c r="N365" s="19" t="inlineStr"/>
      <c r="O365" s="19" t="inlineStr">
        <is>
          <t>iorta TechNXT QA</t>
        </is>
      </c>
      <c r="P365" s="19" t="inlineStr">
        <is>
          <t>03 October 2026</t>
        </is>
      </c>
      <c r="Q365" s="19" t="inlineStr"/>
      <c r="R365" s="19" t="inlineStr">
        <is>
          <t>backend/test/reinsurance.test.js :: recoveries: register, submit, settle [passed]
Screen check /reinsurance/claims: opened clean</t>
        </is>
      </c>
      <c r="S365" s="19" t="n"/>
    </row>
    <row r="366">
      <c r="A366" s="19" t="inlineStr">
        <is>
          <t>BV-RIN-006</t>
        </is>
      </c>
      <c r="B366" s="19" t="inlineStr">
        <is>
          <t>Reinsurance</t>
        </is>
      </c>
      <c r="C366" s="19" t="inlineStr">
        <is>
          <t>Reports</t>
        </is>
      </c>
      <c r="D366" s="19" t="inlineStr">
        <is>
          <t>Processing Team (jose.bernardo)</t>
        </is>
      </c>
      <c r="E366" s="19" t="inlineStr">
        <is>
          <t>Bordereaux, analytics and reports</t>
        </is>
      </c>
      <c r="F366" s="19" t="inlineStr">
        <is>
          <t>Report</t>
        </is>
      </c>
      <c r="G366" s="19" t="inlineStr">
        <is>
          <t>Medium</t>
        </is>
      </c>
      <c r="H366" s="19" t="inlineStr">
        <is>
          <t>Cessions exist.</t>
        </is>
      </c>
      <c r="I366" s="19" t="inlineStr">
        <is>
          <t>1. Generate Bordereau.
2. Open Analytics.</t>
        </is>
      </c>
      <c r="J366" s="19" t="inlineStr">
        <is>
          <t>Q3 2026</t>
        </is>
      </c>
      <c r="K366" s="19" t="inlineStr">
        <is>
          <t>Bordereau and analytics produced; Cession Register 2 rows.</t>
        </is>
      </c>
      <c r="L366" s="19" t="inlineStr">
        <is>
          <t>As expected.</t>
        </is>
      </c>
      <c r="M366" s="19" t="inlineStr">
        <is>
          <t>Pass</t>
        </is>
      </c>
      <c r="N366" s="19" t="inlineStr"/>
      <c r="O366" s="19" t="inlineStr">
        <is>
          <t>iorta TechNXT QA</t>
        </is>
      </c>
      <c r="P366" s="19" t="inlineStr">
        <is>
          <t>04 October 2026</t>
        </is>
      </c>
      <c r="Q366" s="19" t="inlineStr"/>
      <c r="R366" s="19" t="inlineStr">
        <is>
          <t>backend/test/reinsurance.test.js :: bordereaux, reconciliation, analytics and reports [passed]
backend/test/reinsurance.test.js :: seeded treaties report premium ceded, claims recovered and utilization [passed]
UAT cycle 03-04 October 2026, phase Reports and dashboards (58 passed, 0 failed)
Screen check /reinsurance/analytics: opened clean</t>
        </is>
      </c>
      <c r="S366" s="19" t="n"/>
    </row>
    <row r="367">
      <c r="A367" s="19" t="inlineStr">
        <is>
          <t>BV-RIN-007</t>
        </is>
      </c>
      <c r="B367" s="19" t="inlineStr">
        <is>
          <t>Reinsurance</t>
        </is>
      </c>
      <c r="C367" s="19" t="inlineStr">
        <is>
          <t>Permissions</t>
        </is>
      </c>
      <c r="D367" s="19" t="inlineStr">
        <is>
          <t>Sales / Account Executive (maria.rivera)</t>
        </is>
      </c>
      <c r="E367" s="19" t="inlineStr">
        <is>
          <t>Users without reinsurance permission denied</t>
        </is>
      </c>
      <c r="F367" s="19" t="inlineStr">
        <is>
          <t>Role access</t>
        </is>
      </c>
      <c r="G367" s="19" t="inlineStr">
        <is>
          <t>Medium</t>
        </is>
      </c>
      <c r="H367" s="19" t="inlineStr">
        <is>
          <t>Signed in as maria.rivera.</t>
        </is>
      </c>
      <c r="I367" s="19" t="inlineStr">
        <is>
          <t>1. Open /reinsurance/treaties.</t>
        </is>
      </c>
      <c r="J367" s="19" t="inlineStr">
        <is>
          <t>None</t>
        </is>
      </c>
      <c r="K367" s="19" t="inlineStr">
        <is>
          <t>Refused.</t>
        </is>
      </c>
      <c r="L367" s="19" t="inlineStr">
        <is>
          <t>As expected.</t>
        </is>
      </c>
      <c r="M367" s="19" t="inlineStr">
        <is>
          <t>Pass</t>
        </is>
      </c>
      <c r="N367" s="19" t="inlineStr"/>
      <c r="O367" s="19" t="inlineStr">
        <is>
          <t>iorta TechNXT QA</t>
        </is>
      </c>
      <c r="P367" s="19" t="inlineStr">
        <is>
          <t>03 October 2026</t>
        </is>
      </c>
      <c r="Q367" s="19" t="inlineStr"/>
      <c r="R367" s="19" t="inlineStr">
        <is>
          <t>backend/test/reinsurance.test.js :: denies users without reinsurance permission [passed]</t>
        </is>
      </c>
      <c r="S367" s="19" t="n"/>
    </row>
    <row r="368">
      <c r="A368" s="19" t="inlineStr">
        <is>
          <t>BV-INC-001</t>
        </is>
      </c>
      <c r="B368" s="19" t="inlineStr">
        <is>
          <t>Incentives</t>
        </is>
      </c>
      <c r="C368" s="19" t="inlineStr">
        <is>
          <t>Programs</t>
        </is>
      </c>
      <c r="D368" s="19" t="inlineStr">
        <is>
          <t>System Administrator (beatriz.lacson)</t>
        </is>
      </c>
      <c r="E368" s="19" t="inlineStr">
        <is>
          <t>Create an incentive program</t>
        </is>
      </c>
      <c r="F368" s="19" t="inlineStr">
        <is>
          <t>Functional</t>
        </is>
      </c>
      <c r="G368" s="19" t="inlineStr">
        <is>
          <t>High</t>
        </is>
      </c>
      <c r="H368" s="19" t="inlineStr">
        <is>
          <t>Signed in as beatriz.lacson.</t>
        </is>
      </c>
      <c r="I368" s="19" t="inlineStr">
        <is>
          <t>1. Open Master &gt; Incentive Programs; Add Program.
2. Enter type, target metric, frequency, base target, tiers.
3. Save.</t>
        </is>
      </c>
      <c r="J368" s="19" t="inlineStr">
        <is>
          <t>INC-NB; New Business Premium (Account Executives); target PHP 150,000.00; 1% above 100%, max PHP 15,000.00</t>
        </is>
      </c>
      <c r="K368" s="19" t="inlineStr">
        <is>
          <t>Program saved; validation on required fields; update and delete work.</t>
        </is>
      </c>
      <c r="L368" s="19" t="inlineStr">
        <is>
          <t>As expected.</t>
        </is>
      </c>
      <c r="M368" s="19" t="inlineStr">
        <is>
          <t>Pass</t>
        </is>
      </c>
      <c r="N368" s="19" t="inlineStr"/>
      <c r="O368" s="19" t="inlineStr">
        <is>
          <t>iorta TechNXT QA</t>
        </is>
      </c>
      <c r="P368" s="19" t="inlineStr">
        <is>
          <t>04 October 2026</t>
        </is>
      </c>
      <c r="Q368" s="19" t="inlineStr"/>
      <c r="R368" s="19" t="inlineStr">
        <is>
          <t>backend/test/incentive.test.js :: creates, validates, updates and deletes a program [passed]
UAT cycle 03-04 October 2026, phase Reinsurance and incentives (2 passed, 0 failed)
Screen check /master/incentive/programs/view: opened clean</t>
        </is>
      </c>
      <c r="S368" s="19" t="n"/>
    </row>
    <row r="369">
      <c r="A369" s="19" t="inlineStr">
        <is>
          <t>BV-INC-002</t>
        </is>
      </c>
      <c r="B369" s="19" t="inlineStr">
        <is>
          <t>Incentives</t>
        </is>
      </c>
      <c r="C369" s="19" t="inlineStr">
        <is>
          <t>Calculations</t>
        </is>
      </c>
      <c r="D369" s="19" t="inlineStr">
        <is>
          <t>Accounting Officer (liza.quiambao)</t>
        </is>
      </c>
      <c r="E369" s="19" t="inlineStr">
        <is>
          <t>Calculate achievement and payout</t>
        </is>
      </c>
      <c r="F369" s="19" t="inlineStr">
        <is>
          <t>Accounting</t>
        </is>
      </c>
      <c r="G369" s="19" t="inlineStr">
        <is>
          <t>High</t>
        </is>
      </c>
      <c r="H369" s="19" t="inlineStr">
        <is>
          <t>Program active; policies in the month.</t>
        </is>
      </c>
      <c r="I369" s="19" t="inlineStr">
        <is>
          <t>1. Open Accounts &gt; Incentive &gt; Calculations; New Calculation for 2026-10.</t>
        </is>
      </c>
      <c r="J369" s="19" t="inlineStr">
        <is>
          <t>Period 2026-10; program INC-NB</t>
        </is>
      </c>
      <c r="K369" s="19" t="inlineStr">
        <is>
          <t>Achievement from policies; payout from tiers.</t>
        </is>
      </c>
      <c r="L369" s="19" t="inlineStr">
        <is>
          <t>As expected.</t>
        </is>
      </c>
      <c r="M369" s="19" t="inlineStr">
        <is>
          <t>Pass</t>
        </is>
      </c>
      <c r="N369" s="19" t="inlineStr"/>
      <c r="O369" s="19" t="inlineStr">
        <is>
          <t>iorta TechNXT QA</t>
        </is>
      </c>
      <c r="P369" s="19" t="inlineStr">
        <is>
          <t>04 October 2026</t>
        </is>
      </c>
      <c r="Q369" s="19" t="inlineStr"/>
      <c r="R369" s="19" t="inlineStr">
        <is>
          <t>backend/test/incentive.test.js :: calculates achievement from policies and payout from tiers [passed]
backend/test/role-access.test.js :: finance runs a calculation and a second finance user approves it (maker-checker) [passed]
UAT cycle 03-04 October 2026, phase Reinsurance and incentives (2 passed, 0 failed)
Screen check /incentive/calculations: opened clean</t>
        </is>
      </c>
      <c r="S369" s="19" t="n"/>
    </row>
    <row r="370">
      <c r="A370" s="19" t="inlineStr">
        <is>
          <t>BV-INC-003</t>
        </is>
      </c>
      <c r="B370" s="19" t="inlineStr">
        <is>
          <t>Incentives</t>
        </is>
      </c>
      <c r="C370" s="19" t="inlineStr">
        <is>
          <t>Approvals</t>
        </is>
      </c>
      <c r="D370" s="19" t="inlineStr">
        <is>
          <t>Accounting Officer (nestor.pangilinan)</t>
        </is>
      </c>
      <c r="E370" s="19" t="inlineStr">
        <is>
          <t>Approve, reject and pay with maker-checker</t>
        </is>
      </c>
      <c r="F370" s="19" t="inlineStr">
        <is>
          <t>Negative</t>
        </is>
      </c>
      <c r="G370" s="19" t="inlineStr">
        <is>
          <t>High</t>
        </is>
      </c>
      <c r="H370" s="19" t="inlineStr">
        <is>
          <t>Batch submitted by liza.quiambao.</t>
        </is>
      </c>
      <c r="I370" s="19" t="inlineStr">
        <is>
          <t>1. As maker approve.
2. As nestor.pangilinan approve.
3. Pay with reference.</t>
        </is>
      </c>
      <c r="J370" s="19" t="inlineStr">
        <is>
          <t>PAYROLL-2026-10</t>
        </is>
      </c>
      <c r="K370" s="19" t="inlineStr">
        <is>
          <t>Maker refused; approved; paid.</t>
        </is>
      </c>
      <c r="L370" s="19" t="inlineStr">
        <is>
          <t>1 batch paid.</t>
        </is>
      </c>
      <c r="M370" s="19" t="inlineStr">
        <is>
          <t>Pass</t>
        </is>
      </c>
      <c r="N370" s="19" t="inlineStr"/>
      <c r="O370" s="19" t="inlineStr">
        <is>
          <t>iorta TechNXT QA</t>
        </is>
      </c>
      <c r="P370" s="19" t="inlineStr">
        <is>
          <t>04 October 2026</t>
        </is>
      </c>
      <c r="Q370" s="19" t="inlineStr"/>
      <c r="R370" s="19" t="inlineStr">
        <is>
          <t>backend/test/incentive.test.js :: maker-checker approval, rejection and payment [passed]
UAT cycle 03-04 October 2026, phase Reinsurance and incentives (2 passed, 0 failed)
Screen check /incentive/approvals: opened clean</t>
        </is>
      </c>
      <c r="S370" s="19" t="n"/>
    </row>
    <row r="371">
      <c r="A371" s="19" t="inlineStr">
        <is>
          <t>BV-INC-004</t>
        </is>
      </c>
      <c r="B371" s="19" t="inlineStr">
        <is>
          <t>Incentives</t>
        </is>
      </c>
      <c r="C371" s="19" t="inlineStr">
        <is>
          <t>Statement</t>
        </is>
      </c>
      <c r="D371" s="19" t="inlineStr">
        <is>
          <t>Sales / Account Executive (maria.rivera)</t>
        </is>
      </c>
      <c r="E371" s="19" t="inlineStr">
        <is>
          <t>Agent sees own programs and statement only</t>
        </is>
      </c>
      <c r="F371" s="19" t="inlineStr">
        <is>
          <t>Role access</t>
        </is>
      </c>
      <c r="G371" s="19" t="inlineStr">
        <is>
          <t>Medium</t>
        </is>
      </c>
      <c r="H371" s="19" t="inlineStr">
        <is>
          <t>Signed in as maria.rivera.</t>
        </is>
      </c>
      <c r="I371" s="19" t="inlineStr">
        <is>
          <t>1. Open My Programs and Statement.
2. Request paolo.dizon's statement.</t>
        </is>
      </c>
      <c r="J371" s="19" t="inlineStr">
        <is>
          <t>None</t>
        </is>
      </c>
      <c r="K371" s="19" t="inlineStr">
        <is>
          <t>Own only.</t>
        </is>
      </c>
      <c r="L371" s="19" t="inlineStr">
        <is>
          <t>As expected.</t>
        </is>
      </c>
      <c r="M371" s="19" t="inlineStr">
        <is>
          <t>Pass</t>
        </is>
      </c>
      <c r="N371" s="19" t="inlineStr"/>
      <c r="O371" s="19" t="inlineStr">
        <is>
          <t>iorta TechNXT QA</t>
        </is>
      </c>
      <c r="P371" s="19" t="inlineStr">
        <is>
          <t>03 October 2026</t>
        </is>
      </c>
      <c r="Q371" s="19" t="inlineStr">
        <is>
          <t>Screen check: /incentive/my-programs (1 clipped element(s)).</t>
        </is>
      </c>
      <c r="R371" s="19" t="inlineStr">
        <is>
          <t>backend/test/incentive.test.js :: agents see their own programs and statement, not other agents [passed]
Screen check /incentive/my-programs: 1 clipped element(s)
Screen check /incentive/statement: opened clean</t>
        </is>
      </c>
      <c r="S371" s="19" t="n"/>
    </row>
    <row r="372">
      <c r="A372" s="19" t="inlineStr">
        <is>
          <t>BV-INC-005</t>
        </is>
      </c>
      <c r="B372" s="19" t="inlineStr">
        <is>
          <t>Incentives</t>
        </is>
      </c>
      <c r="C372" s="19" t="inlineStr">
        <is>
          <t>Statement</t>
        </is>
      </c>
      <c r="D372" s="19" t="inlineStr">
        <is>
          <t>Accounting Manager (teresa.villaroman)</t>
        </is>
      </c>
      <c r="E372" s="19" t="inlineStr">
        <is>
          <t>Manager reads statement of a chosen agent</t>
        </is>
      </c>
      <c r="F372" s="19" t="inlineStr">
        <is>
          <t>Functional</t>
        </is>
      </c>
      <c r="G372" s="19" t="inlineStr">
        <is>
          <t>Low</t>
        </is>
      </c>
      <c r="H372" s="19" t="inlineStr">
        <is>
          <t>Signed in as teresa.villaroman.</t>
        </is>
      </c>
      <c r="I372" s="19" t="inlineStr">
        <is>
          <t>1. Open Statement; pick maria.rivera.</t>
        </is>
      </c>
      <c r="J372" s="19" t="inlineStr">
        <is>
          <t>Agent maria.rivera</t>
        </is>
      </c>
      <c r="K372" s="19" t="inlineStr">
        <is>
          <t>Statement shown; manager not eligible.</t>
        </is>
      </c>
      <c r="L372" s="19" t="inlineStr">
        <is>
          <t>As expected.</t>
        </is>
      </c>
      <c r="M372" s="19" t="inlineStr">
        <is>
          <t>Pass</t>
        </is>
      </c>
      <c r="N372" s="19" t="inlineStr"/>
      <c r="O372" s="19" t="inlineStr">
        <is>
          <t>iorta TechNXT QA</t>
        </is>
      </c>
      <c r="P372" s="19" t="inlineStr">
        <is>
          <t>03 October 2026</t>
        </is>
      </c>
      <c r="Q372" s="19" t="inlineStr"/>
      <c r="R372" s="19" t="inlineStr">
        <is>
          <t>backend/test/role-access.test.js :: GET /incentive/statement answers 200 for a manager who is not an agent (eligible: false) and the chosen agent's statement [passed]</t>
        </is>
      </c>
      <c r="S372" s="19" t="n"/>
    </row>
    <row r="373">
      <c r="A373" s="19" t="inlineStr">
        <is>
          <t>BV-INC-006</t>
        </is>
      </c>
      <c r="B373" s="19" t="inlineStr">
        <is>
          <t>Incentives</t>
        </is>
      </c>
      <c r="C373" s="19" t="inlineStr">
        <is>
          <t>Reports</t>
        </is>
      </c>
      <c r="D373" s="19" t="inlineStr">
        <is>
          <t>Accounting Officer (liza.quiambao)</t>
        </is>
      </c>
      <c r="E373" s="19" t="inlineStr">
        <is>
          <t>Incentive Results report</t>
        </is>
      </c>
      <c r="F373" s="19" t="inlineStr">
        <is>
          <t>Report</t>
        </is>
      </c>
      <c r="G373" s="19" t="inlineStr">
        <is>
          <t>Low</t>
        </is>
      </c>
      <c r="H373" s="19" t="inlineStr">
        <is>
          <t>Paid batch.</t>
        </is>
      </c>
      <c r="I373" s="19" t="inlineStr">
        <is>
          <t>1. Run Incentive Results.</t>
        </is>
      </c>
      <c r="J373" s="19" t="inlineStr">
        <is>
          <t>May to October 2026</t>
        </is>
      </c>
      <c r="K373" s="19" t="inlineStr">
        <is>
          <t>2 rows overall.</t>
        </is>
      </c>
      <c r="L373" s="19" t="inlineStr">
        <is>
          <t>As expected.</t>
        </is>
      </c>
      <c r="M373" s="19" t="inlineStr">
        <is>
          <t>Pass</t>
        </is>
      </c>
      <c r="N373" s="19" t="inlineStr"/>
      <c r="O373" s="19" t="inlineStr">
        <is>
          <t>iorta TechNXT QA</t>
        </is>
      </c>
      <c r="P373" s="19" t="inlineStr">
        <is>
          <t>04 October 2026</t>
        </is>
      </c>
      <c r="Q373" s="19" t="inlineStr"/>
      <c r="R373" s="19" t="inlineStr">
        <is>
          <t>backend/test/incentive.test.js :: agent lists, report templates and report generation [passed]
UAT cycle 03-04 October 2026, phase Reports and dashboards (58 passed, 0 failed)</t>
        </is>
      </c>
      <c r="S373" s="19" t="n"/>
    </row>
    <row r="374">
      <c r="A374" s="19" t="inlineStr">
        <is>
          <t>BV-RPT-001</t>
        </is>
      </c>
      <c r="B374" s="19" t="inlineStr">
        <is>
          <t>Reports</t>
        </is>
      </c>
      <c r="C374" s="19" t="inlineStr">
        <is>
          <t>Report catalogue</t>
        </is>
      </c>
      <c r="D374" s="19" t="inlineStr">
        <is>
          <t>System Administrator (BrokerVerse)</t>
        </is>
      </c>
      <c r="E374" s="19" t="inlineStr">
        <is>
          <t>Catalogue lists every report; personas see their own</t>
        </is>
      </c>
      <c r="F374" s="19" t="inlineStr">
        <is>
          <t>Role access</t>
        </is>
      </c>
      <c r="G374" s="19" t="inlineStr">
        <is>
          <t>High</t>
        </is>
      </c>
      <c r="H374" s="19" t="inlineStr">
        <is>
          <t>Users per role.</t>
        </is>
      </c>
      <c r="I374" s="19" t="inlineStr">
        <is>
          <t>1. As BrokerVerse open Reports &gt; All Reports and count the entries.
2. As maria.rivera open the same screen.
3. As liza.quiambao open it.</t>
        </is>
      </c>
      <c r="J374" s="19" t="inlineStr">
        <is>
          <t>Administrator, sales, accounting</t>
        </is>
      </c>
      <c r="K374" s="19" t="inlineStr">
        <is>
          <t>Administrator sees all 39; sales sees operational; accounting sees financial plus remittance and broker commission; production register not offered to accounting.</t>
        </is>
      </c>
      <c r="L374" s="19" t="inlineStr">
        <is>
          <t>As expected.</t>
        </is>
      </c>
      <c r="M374" s="19" t="inlineStr">
        <is>
          <t>Pass</t>
        </is>
      </c>
      <c r="N374" s="19" t="inlineStr"/>
      <c r="O374" s="19" t="inlineStr">
        <is>
          <t>iorta TechNXT QA</t>
        </is>
      </c>
      <c r="P374" s="19" t="inlineStr">
        <is>
          <t>03 October 2026</t>
        </is>
      </c>
      <c r="Q374" s="19" t="inlineStr"/>
      <c r="R374" s="19" t="inlineStr">
        <is>
          <t>backend/test/reports.test.js :: every catalogue entry has its query and every query has a catalogue entry [passed]
backend/test/reports.test.js :: lists every report for admins and filters by role for personas [passed]
brokerverse/src/utils/menuPermissions.test.js :: accounting gets the financial reports and the catalogue, not the production register [passed]
Screen check /reports/catalogue: opened clean</t>
        </is>
      </c>
      <c r="S374" s="19" t="n"/>
    </row>
    <row r="375">
      <c r="A375" s="19" t="inlineStr">
        <is>
          <t>BV-RPT-002</t>
        </is>
      </c>
      <c r="B375" s="19" t="inlineStr">
        <is>
          <t>Reports</t>
        </is>
      </c>
      <c r="C375" s="19" t="inlineStr">
        <is>
          <t>Report parameters</t>
        </is>
      </c>
      <c r="D375" s="19" t="inlineStr">
        <is>
          <t>Accounting Officer (liza.quiambao)</t>
        </is>
      </c>
      <c r="E375" s="19" t="inlineStr">
        <is>
          <t>Invalid parameters refused</t>
        </is>
      </c>
      <c r="F375" s="19" t="inlineStr">
        <is>
          <t>Negative</t>
        </is>
      </c>
      <c r="G375" s="19" t="inlineStr">
        <is>
          <t>Medium</t>
        </is>
      </c>
      <c r="H375" s="19" t="inlineStr">
        <is>
          <t>Report screen open.</t>
        </is>
      </c>
      <c r="I375" s="19" t="inlineStr">
        <is>
          <t>1. Set To Date before From Date.
2. Run.</t>
        </is>
      </c>
      <c r="J375" s="19" t="inlineStr">
        <is>
          <t>From 04 October 2026, To 01 May 2026</t>
        </is>
      </c>
      <c r="K375" s="19" t="inlineStr">
        <is>
          <t>Refused with a parameter message; no file.</t>
        </is>
      </c>
      <c r="L375" s="19" t="inlineStr">
        <is>
          <t>As expected.</t>
        </is>
      </c>
      <c r="M375" s="19" t="inlineStr">
        <is>
          <t>Pass</t>
        </is>
      </c>
      <c r="N375" s="19" t="inlineStr"/>
      <c r="O375" s="19" t="inlineStr">
        <is>
          <t>iorta TechNXT QA</t>
        </is>
      </c>
      <c r="P375" s="19" t="inlineStr">
        <is>
          <t>03 October 2026</t>
        </is>
      </c>
      <c r="Q375" s="19" t="inlineStr"/>
      <c r="R375" s="19" t="inlineStr">
        <is>
          <t>backend/test/reports.test.js :: validates parameters and access [passed]
backend/test/reports.test.js :: returns a definition with the screen filter schema [passed]</t>
        </is>
      </c>
      <c r="S375" s="19" t="n"/>
    </row>
    <row r="376">
      <c r="A376" s="19" t="inlineStr">
        <is>
          <t>BV-RPT-003</t>
        </is>
      </c>
      <c r="B376" s="19" t="inlineStr">
        <is>
          <t>Reports</t>
        </is>
      </c>
      <c r="C376" s="19" t="inlineStr">
        <is>
          <t>Report outputs</t>
        </is>
      </c>
      <c r="D376" s="19" t="inlineStr">
        <is>
          <t>Accounting Officer (liza.quiambao)</t>
        </is>
      </c>
      <c r="E376" s="19" t="inlineStr">
        <is>
          <t>CSV, XLSX and PDF outputs with history</t>
        </is>
      </c>
      <c r="F376" s="19" t="inlineStr">
        <is>
          <t>Report</t>
        </is>
      </c>
      <c r="G376" s="19" t="inlineStr">
        <is>
          <t>High</t>
        </is>
      </c>
      <c r="H376" s="19" t="inlineStr">
        <is>
          <t>Any report.</t>
        </is>
      </c>
      <c r="I376" s="19" t="inlineStr">
        <is>
          <t>1. Generate the Collection Report as CSV, XLSX and PDF.
2. Open report history and download again.</t>
        </is>
      </c>
      <c r="J376" s="19" t="inlineStr">
        <is>
          <t>Collection Report May to October 2026</t>
        </is>
      </c>
      <c r="K376" s="19" t="inlineStr">
        <is>
          <t>Three files produced; history lists them; downloads work; PDF prints every number in full and widens to A3 when needed.</t>
        </is>
      </c>
      <c r="L376" s="19" t="inlineStr">
        <is>
          <t>As expected.</t>
        </is>
      </c>
      <c r="M376" s="19" t="inlineStr">
        <is>
          <t>Pass</t>
        </is>
      </c>
      <c r="N376" s="19" t="inlineStr"/>
      <c r="O376" s="19" t="inlineStr">
        <is>
          <t>iorta TechNXT QA</t>
        </is>
      </c>
      <c r="P376" s="19" t="inlineStr">
        <is>
          <t>03 October 2026</t>
        </is>
      </c>
      <c r="Q376" s="19" t="inlineStr"/>
      <c r="R376" s="19" t="inlineStr">
        <is>
          <t>backend/test/reports.test.js :: writes CSV, XLSX and PDF files, records history and serves downloads [passed]
backend/test/printing.test.js :: prints every number, date and policy number in full in a report PDF (totals too) [passed]
backend/test/printing.test.js :: reports a table that does not fit, and the report layout shrinks the font then moves to A3 [passed]</t>
        </is>
      </c>
      <c r="S376" s="19" t="n"/>
    </row>
    <row r="377">
      <c r="A377" s="19" t="inlineStr">
        <is>
          <t>BV-RPT-004</t>
        </is>
      </c>
      <c r="B377" s="19" t="inlineStr">
        <is>
          <t>Reports</t>
        </is>
      </c>
      <c r="C377" s="19" t="inlineStr">
        <is>
          <t>Report schedules</t>
        </is>
      </c>
      <c r="D377" s="19" t="inlineStr">
        <is>
          <t>Accounting Officer (liza.quiambao)</t>
        </is>
      </c>
      <c r="E377" s="19" t="inlineStr">
        <is>
          <t>Schedule a report for e-mail delivery</t>
        </is>
      </c>
      <c r="F377" s="19" t="inlineStr">
        <is>
          <t>Functional</t>
        </is>
      </c>
      <c r="G377" s="19" t="inlineStr">
        <is>
          <t>Medium</t>
        </is>
      </c>
      <c r="H377" s="19" t="inlineStr">
        <is>
          <t>Report screen.</t>
        </is>
      </c>
      <c r="I377" s="19" t="inlineStr">
        <is>
          <t>1. Create a schedule for the Receipts Register daily at 07:00.
2. Edit it.
3. Click run now.
4. Delete it.</t>
        </is>
      </c>
      <c r="J377" s="19" t="inlineStr">
        <is>
          <t>Receipts Register; daily 07:00 Manila; recipient finance@example.ph</t>
        </is>
      </c>
      <c r="K377" s="19" t="inlineStr">
        <is>
          <t>Schedule backed by a job; run now produces the file and queues the e-mail; delete removes the job.</t>
        </is>
      </c>
      <c r="L377" s="19" t="inlineStr">
        <is>
          <t>As expected.</t>
        </is>
      </c>
      <c r="M377" s="19" t="inlineStr">
        <is>
          <t>Pass</t>
        </is>
      </c>
      <c r="N377" s="19" t="inlineStr"/>
      <c r="O377" s="19" t="inlineStr">
        <is>
          <t>iorta TechNXT QA</t>
        </is>
      </c>
      <c r="P377" s="19" t="inlineStr">
        <is>
          <t>03 October 2026</t>
        </is>
      </c>
      <c r="Q377" s="19" t="inlineStr"/>
      <c r="R377" s="19" t="inlineStr">
        <is>
          <t>backend/test/reports.test.js :: creates a schedule backed by a scheduledReport job [passed]
backend/test/reports.test.js :: updates the schedule and its job [passed]
backend/test/reports.test.js :: runs now: generates the file and queues the e-mail [passed]
backend/test/reports.test.js :: deletes the schedule and its job [passed]</t>
        </is>
      </c>
      <c r="S377" s="19" t="n"/>
    </row>
    <row r="378">
      <c r="A378" s="19" t="inlineStr">
        <is>
          <t>BV-RPT-005</t>
        </is>
      </c>
      <c r="B378" s="19" t="inlineStr">
        <is>
          <t>Reports</t>
        </is>
      </c>
      <c r="C378" s="19" t="inlineStr">
        <is>
          <t>Report filters</t>
        </is>
      </c>
      <c r="D378" s="19" t="inlineStr">
        <is>
          <t>Sales / Account Executive (maria.rivera)</t>
        </is>
      </c>
      <c r="E378" s="19" t="inlineStr">
        <is>
          <t>Agent filter offered to every report reader</t>
        </is>
      </c>
      <c r="F378" s="19" t="inlineStr">
        <is>
          <t>Functional</t>
        </is>
      </c>
      <c r="G378" s="19" t="inlineStr">
        <is>
          <t>Low</t>
        </is>
      </c>
      <c r="H378" s="19" t="inlineStr">
        <is>
          <t>Report screen.</t>
        </is>
      </c>
      <c r="I378" s="19" t="inlineStr">
        <is>
          <t>1. Open the Agent filter.</t>
        </is>
      </c>
      <c r="J378" s="19" t="inlineStr">
        <is>
          <t>None</t>
        </is>
      </c>
      <c r="K378" s="19" t="inlineStr">
        <is>
          <t>List of agents shown.</t>
        </is>
      </c>
      <c r="L378" s="19" t="inlineStr">
        <is>
          <t>As expected.</t>
        </is>
      </c>
      <c r="M378" s="19" t="inlineStr">
        <is>
          <t>Pass</t>
        </is>
      </c>
      <c r="N378" s="19" t="inlineStr"/>
      <c r="O378" s="19" t="inlineStr">
        <is>
          <t>iorta TechNXT QA</t>
        </is>
      </c>
      <c r="P378" s="19" t="inlineStr">
        <is>
          <t>03 October 2026</t>
        </is>
      </c>
      <c r="Q378" s="19" t="inlineStr"/>
      <c r="R378" s="19" t="inlineStr">
        <is>
          <t>backend/test/role-access.test.js :: GET /reports/filters/agents serves the report Agent filter to every report reader [passed]</t>
        </is>
      </c>
      <c r="S378" s="19" t="n"/>
    </row>
    <row r="379">
      <c r="A379" s="19" t="inlineStr">
        <is>
          <t>BV-RPT-006</t>
        </is>
      </c>
      <c r="B379" s="19" t="inlineStr">
        <is>
          <t>Reports</t>
        </is>
      </c>
      <c r="C379" s="19" t="inlineStr">
        <is>
          <t>Report scope</t>
        </is>
      </c>
      <c r="D379" s="19" t="inlineStr">
        <is>
          <t>Sales / Account Executive (maria.rivera)</t>
        </is>
      </c>
      <c r="E379" s="19" t="inlineStr">
        <is>
          <t>Own production only for a scoped agent</t>
        </is>
      </c>
      <c r="F379" s="19" t="inlineStr">
        <is>
          <t>Role access</t>
        </is>
      </c>
      <c r="G379" s="19" t="inlineStr">
        <is>
          <t>Medium</t>
        </is>
      </c>
      <c r="H379" s="19" t="inlineStr">
        <is>
          <t>security.scoped_roles includes sales.</t>
        </is>
      </c>
      <c r="I379" s="19" t="inlineStr">
        <is>
          <t>1. Run Production for this month as XLSX.</t>
        </is>
      </c>
      <c r="J379" s="19" t="inlineStr">
        <is>
          <t>maria.rivera</t>
        </is>
      </c>
      <c r="K379" s="19" t="inlineStr">
        <is>
          <t>Only maria.rivera's policies.</t>
        </is>
      </c>
      <c r="L379" s="19" t="inlineStr"/>
      <c r="M379" s="19" t="inlineStr">
        <is>
          <t>Not Run</t>
        </is>
      </c>
      <c r="N379" s="19" t="inlineStr"/>
      <c r="O379" s="19" t="inlineStr">
        <is>
          <t>iorta TechNXT QA</t>
        </is>
      </c>
      <c r="P379" s="19" t="inlineStr"/>
      <c r="Q379" s="19" t="inlineStr">
        <is>
          <t>Scope confirmed for dashboards and lists; report-level scope to be checked by hand.</t>
        </is>
      </c>
      <c r="R379" s="19" t="inlineStr">
        <is>
          <t>backend/test/scope.test.js :: dashboards use the agent's own book [passed]</t>
        </is>
      </c>
      <c r="S379" s="19" t="n"/>
    </row>
    <row r="380">
      <c r="A380" s="19" t="inlineStr">
        <is>
          <t>BV-DSH-001</t>
        </is>
      </c>
      <c r="B380" s="19" t="inlineStr">
        <is>
          <t>Dashboards</t>
        </is>
      </c>
      <c r="C380" s="19" t="inlineStr">
        <is>
          <t>Executive Dashboard</t>
        </is>
      </c>
      <c r="D380" s="19" t="inlineStr">
        <is>
          <t>Accounting Manager (teresa.villaroman)</t>
        </is>
      </c>
      <c r="E380" s="19" t="inlineStr">
        <is>
          <t>Executive KPIs computed from the books</t>
        </is>
      </c>
      <c r="F380" s="19" t="inlineStr">
        <is>
          <t>Report</t>
        </is>
      </c>
      <c r="G380" s="19" t="inlineStr">
        <is>
          <t>High</t>
        </is>
      </c>
      <c r="H380" s="19" t="inlineStr">
        <is>
          <t>UAT data set.</t>
        </is>
      </c>
      <c r="I380" s="19" t="inlineStr">
        <is>
          <t>1. Open Dashboard &gt; Executive Dashboard.
2. Read KPIs for This Month and Year to date.</t>
        </is>
      </c>
      <c r="J380" s="19" t="inlineStr">
        <is>
          <t>October 2026; YTD 2026</t>
        </is>
      </c>
      <c r="K380" s="19" t="inlineStr">
        <is>
          <t>Premium, policies, collections and trend computed from the tables; month boundary in Manila time.</t>
        </is>
      </c>
      <c r="L380" s="19" t="inlineStr">
        <is>
          <t>As expected.</t>
        </is>
      </c>
      <c r="M380" s="19" t="inlineStr">
        <is>
          <t>Pass</t>
        </is>
      </c>
      <c r="N380" s="19" t="inlineStr"/>
      <c r="O380" s="19" t="inlineStr">
        <is>
          <t>iorta TechNXT QA</t>
        </is>
      </c>
      <c r="P380" s="19" t="inlineStr">
        <is>
          <t>04 October 2026</t>
        </is>
      </c>
      <c r="Q380" s="19" t="inlineStr"/>
      <c r="R380" s="19" t="inlineStr">
        <is>
          <t>backend/test/dashboard.test.js :: executive KPIs are computed from the tables [passed]
backend/test/dashboard.test.js :: calendar periods at month, quarter and year boundaries (Manila vs UTC midnight) [passed]
UAT cycle 03-04 October 2026, phase Reports and dashboards (58 passed, 0 failed)
Screen check /executive/dashboard: opened clean</t>
        </is>
      </c>
      <c r="S380" s="19" t="n"/>
    </row>
    <row r="381">
      <c r="A381" s="19" t="inlineStr">
        <is>
          <t>BV-DSH-002</t>
        </is>
      </c>
      <c r="B381" s="19" t="inlineStr">
        <is>
          <t>Dashboards</t>
        </is>
      </c>
      <c r="C381" s="19" t="inlineStr">
        <is>
          <t>Sales Dashboard</t>
        </is>
      </c>
      <c r="D381" s="19" t="inlineStr">
        <is>
          <t>Sales / Account Executive (maria.rivera)</t>
        </is>
      </c>
      <c r="E381" s="19" t="inlineStr">
        <is>
          <t>Sales funnel shows the cycle prospects and quotations</t>
        </is>
      </c>
      <c r="F381" s="19" t="inlineStr">
        <is>
          <t>Report</t>
        </is>
      </c>
      <c r="G381" s="19" t="inlineStr">
        <is>
          <t>High</t>
        </is>
      </c>
      <c r="H381" s="19" t="inlineStr">
        <is>
          <t>UAT data set.</t>
        </is>
      </c>
      <c r="I381" s="19" t="inlineStr">
        <is>
          <t>1. Open Dashboard &gt; Sales Dashboard.</t>
        </is>
      </c>
      <c r="J381" s="19" t="inlineStr">
        <is>
          <t>maria.rivera</t>
        </is>
      </c>
      <c r="K381" s="19" t="inlineStr">
        <is>
          <t>Funnel counts for prospects, quotations and policies.</t>
        </is>
      </c>
      <c r="L381" s="19" t="inlineStr">
        <is>
          <t>As expected.</t>
        </is>
      </c>
      <c r="M381" s="19" t="inlineStr">
        <is>
          <t>Pass</t>
        </is>
      </c>
      <c r="N381" s="19" t="inlineStr"/>
      <c r="O381" s="19" t="inlineStr">
        <is>
          <t>iorta TechNXT QA</t>
        </is>
      </c>
      <c r="P381" s="19" t="inlineStr">
        <is>
          <t>04 October 2026</t>
        </is>
      </c>
      <c r="Q381" s="19" t="inlineStr"/>
      <c r="R381" s="19" t="inlineStr">
        <is>
          <t>backend/test/dashboard.test.js :: sales funnel, processing workbench and claims summary [passed]
UAT cycle 03-04 October 2026, phase Reports and dashboards (58 passed, 0 failed)
Screen check /sales/dashboard: opened clean</t>
        </is>
      </c>
      <c r="S381" s="19" t="n"/>
    </row>
    <row r="382">
      <c r="A382" s="19" t="inlineStr">
        <is>
          <t>BV-DSH-003</t>
        </is>
      </c>
      <c r="B382" s="19" t="inlineStr">
        <is>
          <t>Dashboards</t>
        </is>
      </c>
      <c r="C382" s="19" t="inlineStr">
        <is>
          <t>Home</t>
        </is>
      </c>
      <c r="D382" s="19" t="inlineStr">
        <is>
          <t>Sales / Account Executive (maria.rivera)</t>
        </is>
      </c>
      <c r="E382" s="19" t="inlineStr">
        <is>
          <t>Account Executive home shows own figures</t>
        </is>
      </c>
      <c r="F382" s="19" t="inlineStr">
        <is>
          <t>Report</t>
        </is>
      </c>
      <c r="G382" s="19" t="inlineStr">
        <is>
          <t>High</t>
        </is>
      </c>
      <c r="H382" s="19" t="inlineStr">
        <is>
          <t>Signed in as maria.rivera.</t>
        </is>
      </c>
      <c r="I382" s="19" t="inlineStr">
        <is>
          <t>1. Open Operations &gt; Home.</t>
        </is>
      </c>
      <c r="J382" s="19" t="inlineStr">
        <is>
          <t>maria.rivera</t>
        </is>
      </c>
      <c r="K382" s="19" t="inlineStr">
        <is>
          <t>Own collected and receivable premium from own book; direct-bill bills show DIRECT BILL not PAID.</t>
        </is>
      </c>
      <c r="L382" s="19" t="inlineStr">
        <is>
          <t>As expected.</t>
        </is>
      </c>
      <c r="M382" s="19" t="inlineStr">
        <is>
          <t>Pass</t>
        </is>
      </c>
      <c r="N382" s="19" t="inlineStr"/>
      <c r="O382" s="19" t="inlineStr">
        <is>
          <t>iorta TechNXT QA</t>
        </is>
      </c>
      <c r="P382" s="19" t="inlineStr">
        <is>
          <t>04 October 2026</t>
        </is>
      </c>
      <c r="Q382" s="19" t="inlineStr"/>
      <c r="R382" s="19" t="inlineStr">
        <is>
          <t>backend/test/dashboard.test.js :: agent home shows the signed-in user's own figures [passed]
backend/test/role-access.test.js :: collected and receivable premium come from the premium bills of the agent's book [passed]
backend/test/role-access.test.js :: a premium bill cancelled because the policy is direct bill shows DIRECT BILL under Paid, not PAID [passed]
UAT cycle 03-04 October 2026, phase Reports and dashboards (58 passed, 0 failed)
Screen check /agent/home: opened clean</t>
        </is>
      </c>
      <c r="S382" s="19" t="n"/>
    </row>
    <row r="383">
      <c r="A383" s="19" t="inlineStr">
        <is>
          <t>BV-DSH-004</t>
        </is>
      </c>
      <c r="B383" s="19" t="inlineStr">
        <is>
          <t>Dashboards</t>
        </is>
      </c>
      <c r="C383" s="19" t="inlineStr">
        <is>
          <t>Processing Dashboard</t>
        </is>
      </c>
      <c r="D383" s="19" t="inlineStr">
        <is>
          <t>Processing Team (jose.bernardo)</t>
        </is>
      </c>
      <c r="E383" s="19" t="inlineStr">
        <is>
          <t>Processing workbench</t>
        </is>
      </c>
      <c r="F383" s="19" t="inlineStr">
        <is>
          <t>Report</t>
        </is>
      </c>
      <c r="G383" s="19" t="inlineStr">
        <is>
          <t>Medium</t>
        </is>
      </c>
      <c r="H383" s="19" t="inlineStr">
        <is>
          <t>UAT data set.</t>
        </is>
      </c>
      <c r="I383" s="19" t="inlineStr">
        <is>
          <t>1. Open Dashboard &gt; Processing Dashboard.</t>
        </is>
      </c>
      <c r="J383" s="19" t="inlineStr">
        <is>
          <t>jose.bernardo</t>
        </is>
      </c>
      <c r="K383" s="19" t="inlineStr">
        <is>
          <t>Work queues for slips, placements, policies and renewals.</t>
        </is>
      </c>
      <c r="L383" s="19" t="inlineStr">
        <is>
          <t>As expected.</t>
        </is>
      </c>
      <c r="M383" s="19" t="inlineStr">
        <is>
          <t>Pass</t>
        </is>
      </c>
      <c r="N383" s="19" t="inlineStr"/>
      <c r="O383" s="19" t="inlineStr">
        <is>
          <t>iorta TechNXT QA</t>
        </is>
      </c>
      <c r="P383" s="19" t="inlineStr">
        <is>
          <t>04 October 2026</t>
        </is>
      </c>
      <c r="Q383" s="19" t="inlineStr"/>
      <c r="R383" s="19" t="inlineStr">
        <is>
          <t>backend/test/dashboard.test.js :: sales funnel, processing workbench and claims summary [passed]
UAT cycle 03-04 October 2026, phase Reports and dashboards (58 passed, 0 failed)
Screen check /processing/dashboard: opened clean</t>
        </is>
      </c>
      <c r="S383" s="19" t="n"/>
    </row>
    <row r="384">
      <c r="A384" s="19" t="inlineStr">
        <is>
          <t>BV-DSH-005</t>
        </is>
      </c>
      <c r="B384" s="19" t="inlineStr">
        <is>
          <t>Dashboards</t>
        </is>
      </c>
      <c r="C384" s="19" t="inlineStr">
        <is>
          <t>Claims Dashboard</t>
        </is>
      </c>
      <c r="D384" s="19" t="inlineStr">
        <is>
          <t>Claims Officer (carlo.estrada)</t>
        </is>
      </c>
      <c r="E384" s="19" t="inlineStr">
        <is>
          <t>Claims summary by status</t>
        </is>
      </c>
      <c r="F384" s="19" t="inlineStr">
        <is>
          <t>Report</t>
        </is>
      </c>
      <c r="G384" s="19" t="inlineStr">
        <is>
          <t>Medium</t>
        </is>
      </c>
      <c r="H384" s="19" t="inlineStr">
        <is>
          <t>UAT data set.</t>
        </is>
      </c>
      <c r="I384" s="19" t="inlineStr">
        <is>
          <t>1. Open Dashboard &gt; Claims Dashboard.</t>
        </is>
      </c>
      <c r="J384" s="19" t="inlineStr">
        <is>
          <t>carlo.estrada</t>
        </is>
      </c>
      <c r="K384" s="19" t="inlineStr">
        <is>
          <t>Open 2, settled 6 (including closed), rejected 0 in Claims Position; dashboard counts agree.</t>
        </is>
      </c>
      <c r="L384" s="19" t="inlineStr">
        <is>
          <t>As expected.</t>
        </is>
      </c>
      <c r="M384" s="19" t="inlineStr">
        <is>
          <t>Pass</t>
        </is>
      </c>
      <c r="N384" s="19" t="inlineStr"/>
      <c r="O384" s="19" t="inlineStr">
        <is>
          <t>iorta TechNXT QA</t>
        </is>
      </c>
      <c r="P384" s="19" t="inlineStr">
        <is>
          <t>04 October 2026</t>
        </is>
      </c>
      <c r="Q384" s="19" t="inlineStr"/>
      <c r="R384" s="19" t="inlineStr">
        <is>
          <t>backend/test/dashboard.test.js :: sales funnel, processing workbench and claims summary [passed]
UAT cycle 03-04 October 2026, phase Reports and dashboards (58 passed, 0 failed)
Screen check /claims/dashboard: opened clean</t>
        </is>
      </c>
      <c r="S384" s="19" t="n"/>
    </row>
    <row r="385">
      <c r="A385" s="19" t="inlineStr">
        <is>
          <t>BV-DSH-006</t>
        </is>
      </c>
      <c r="B385" s="19" t="inlineStr">
        <is>
          <t>Dashboards</t>
        </is>
      </c>
      <c r="C385" s="19" t="inlineStr">
        <is>
          <t>Permissions</t>
        </is>
      </c>
      <c r="D385" s="19" t="inlineStr">
        <is>
          <t>Claims Officer (carlo.estrada)</t>
        </is>
      </c>
      <c r="E385" s="19" t="inlineStr">
        <is>
          <t>Dashboards enforce permissions</t>
        </is>
      </c>
      <c r="F385" s="19" t="inlineStr">
        <is>
          <t>Role access</t>
        </is>
      </c>
      <c r="G385" s="19" t="inlineStr">
        <is>
          <t>Medium</t>
        </is>
      </c>
      <c r="H385" s="19" t="inlineStr">
        <is>
          <t>Signed in as carlo.estrada.</t>
        </is>
      </c>
      <c r="I385" s="19" t="inlineStr">
        <is>
          <t>1. Open /executive/dashboard by address.</t>
        </is>
      </c>
      <c r="J385" s="19" t="inlineStr">
        <is>
          <t>None</t>
        </is>
      </c>
      <c r="K385" s="19" t="inlineStr">
        <is>
          <t>Not available to Claims.</t>
        </is>
      </c>
      <c r="L385" s="19" t="inlineStr">
        <is>
          <t>As expected.</t>
        </is>
      </c>
      <c r="M385" s="19" t="inlineStr">
        <is>
          <t>Pass</t>
        </is>
      </c>
      <c r="N385" s="19" t="inlineStr"/>
      <c r="O385" s="19" t="inlineStr">
        <is>
          <t>iorta TechNXT QA</t>
        </is>
      </c>
      <c r="P385" s="19" t="inlineStr">
        <is>
          <t>03 October 2026</t>
        </is>
      </c>
      <c r="Q385" s="19" t="inlineStr"/>
      <c r="R385" s="19" t="inlineStr">
        <is>
          <t>backend/test/dashboard.test.js :: enforces permissions [passed]</t>
        </is>
      </c>
      <c r="S385" s="19" t="n"/>
    </row>
    <row r="386">
      <c r="A386" s="19" t="inlineStr">
        <is>
          <t>BV-DSH-007</t>
        </is>
      </c>
      <c r="B386" s="19" t="inlineStr">
        <is>
          <t>Dashboards</t>
        </is>
      </c>
      <c r="C386" s="19" t="inlineStr">
        <is>
          <t>Notifications</t>
        </is>
      </c>
      <c r="D386" s="19" t="inlineStr">
        <is>
          <t>Accounting Officer (liza.quiambao)</t>
        </is>
      </c>
      <c r="E386" s="19" t="inlineStr">
        <is>
          <t>Approval notifications go to the right audience</t>
        </is>
      </c>
      <c r="F386" s="19" t="inlineStr">
        <is>
          <t>Functional</t>
        </is>
      </c>
      <c r="G386" s="19" t="inlineStr">
        <is>
          <t>Medium</t>
        </is>
      </c>
      <c r="H386" s="19" t="inlineStr">
        <is>
          <t>Pending finance approval.</t>
        </is>
      </c>
      <c r="I386" s="19" t="inlineStr">
        <is>
          <t>1. Check the bell as liza.quiambao, ana.buenaventura and maria.rivera.</t>
        </is>
      </c>
      <c r="J386" s="19" t="inlineStr">
        <is>
          <t>Remittance approval</t>
        </is>
      </c>
      <c r="K386" s="19" t="inlineStr">
        <is>
          <t>Only finance sees it; each module names its audience.</t>
        </is>
      </c>
      <c r="L386" s="19" t="inlineStr">
        <is>
          <t>As expected.</t>
        </is>
      </c>
      <c r="M386" s="19" t="inlineStr">
        <is>
          <t>Pass</t>
        </is>
      </c>
      <c r="N386" s="19" t="inlineStr"/>
      <c r="O386" s="19" t="inlineStr">
        <is>
          <t>iorta TechNXT QA</t>
        </is>
      </c>
      <c r="P386" s="19" t="inlineStr">
        <is>
          <t>03 October 2026</t>
        </is>
      </c>
      <c r="Q386" s="19" t="inlineStr"/>
      <c r="R386" s="19" t="inlineStr">
        <is>
          <t>backend/test/role-access.test.js :: a finance approval notification is shown to finance, not to customer services or sales [passed]
backend/test/role-access.test.js :: the approval notifications of the modules name their audience [passed]</t>
        </is>
      </c>
      <c r="S386" s="19" t="n"/>
    </row>
    <row r="387">
      <c r="A387" s="19" t="inlineStr">
        <is>
          <t>BV-DSH-008</t>
        </is>
      </c>
      <c r="B387" s="19" t="inlineStr">
        <is>
          <t>Dashboards</t>
        </is>
      </c>
      <c r="C387" s="19" t="inlineStr">
        <is>
          <t>Trial balance check</t>
        </is>
      </c>
      <c r="D387" s="19" t="inlineStr">
        <is>
          <t>Accounting Officer (liza.quiambao)</t>
        </is>
      </c>
      <c r="E387" s="19" t="inlineStr">
        <is>
          <t>Dashboard trial balance balanced after the cycle</t>
        </is>
      </c>
      <c r="F387" s="19" t="inlineStr">
        <is>
          <t>Accounting</t>
        </is>
      </c>
      <c r="G387" s="19" t="inlineStr">
        <is>
          <t>High</t>
        </is>
      </c>
      <c r="H387" s="19" t="inlineStr">
        <is>
          <t>Cycle complete.</t>
        </is>
      </c>
      <c r="I387" s="19" t="inlineStr">
        <is>
          <t>1. Open the trial balance.</t>
        </is>
      </c>
      <c r="J387" s="19" t="inlineStr">
        <is>
          <t>As of 04 October 2026</t>
        </is>
      </c>
      <c r="K387" s="19" t="inlineStr">
        <is>
          <t>Balanced.</t>
        </is>
      </c>
      <c r="L387" s="19" t="inlineStr">
        <is>
          <t>As expected.</t>
        </is>
      </c>
      <c r="M387" s="19" t="inlineStr">
        <is>
          <t>Pass</t>
        </is>
      </c>
      <c r="N387" s="19" t="inlineStr"/>
      <c r="O387" s="19" t="inlineStr">
        <is>
          <t>iorta TechNXT QA</t>
        </is>
      </c>
      <c r="P387" s="19" t="inlineStr">
        <is>
          <t>04 October 2026</t>
        </is>
      </c>
      <c r="Q387" s="19" t="inlineStr"/>
      <c r="R387" s="19" t="inlineStr">
        <is>
          <t>backend/test/reports.test.js :: journal register and a balanced trial balance from approved/posted vouchers only [passed]
UAT cycle 03-04 October 2026, phase Reports and dashboards (58 passed, 0 failed)</t>
        </is>
      </c>
      <c r="S387" s="19" t="n"/>
    </row>
    <row r="388">
      <c r="A388" s="19" t="inlineStr">
        <is>
          <t>BV-EML-001</t>
        </is>
      </c>
      <c r="B388" s="19" t="inlineStr">
        <is>
          <t>E-mail outbox and notifications</t>
        </is>
      </c>
      <c r="C388" s="19" t="inlineStr">
        <is>
          <t>E-mail Outbox</t>
        </is>
      </c>
      <c r="D388" s="19" t="inlineStr">
        <is>
          <t>System Administrator (BrokerVerse)</t>
        </is>
      </c>
      <c r="E388" s="19" t="inlineStr">
        <is>
          <t>Outbox lists messages and sending status</t>
        </is>
      </c>
      <c r="F388" s="19" t="inlineStr">
        <is>
          <t>Functional</t>
        </is>
      </c>
      <c r="G388" s="19" t="inlineStr">
        <is>
          <t>Medium</t>
        </is>
      </c>
      <c r="H388" s="19" t="inlineStr">
        <is>
          <t>Messages queued.</t>
        </is>
      </c>
      <c r="I388" s="19" t="inlineStr">
        <is>
          <t>1. Open Master &gt; E-mail Outbox.
2. Filter All statuses; search a subject.</t>
        </is>
      </c>
      <c r="J388" s="19" t="inlineStr">
        <is>
          <t>Subject: Claim notification</t>
        </is>
      </c>
      <c r="K388" s="19" t="inlineStr">
        <is>
          <t>Status, To, Subject, Record, Attempts, Last error, Created, Sent; banner explains when sending is off.</t>
        </is>
      </c>
      <c r="L388" s="19" t="inlineStr">
        <is>
          <t>As expected.</t>
        </is>
      </c>
      <c r="M388" s="19" t="inlineStr">
        <is>
          <t>Pass</t>
        </is>
      </c>
      <c r="N388" s="19" t="inlineStr"/>
      <c r="O388" s="19" t="inlineStr">
        <is>
          <t>iorta TechNXT QA</t>
        </is>
      </c>
      <c r="P388" s="19" t="inlineStr">
        <is>
          <t>03 October 2026</t>
        </is>
      </c>
      <c r="Q388" s="19" t="inlineStr"/>
      <c r="R388" s="19" t="inlineStr">
        <is>
          <t>backend/test/email-outbox.test.js :: lists messages with their status, counts and whether sending is enabled (administrators only) [passed]
Screen check /master/configuration/email-outbox: opened clean</t>
        </is>
      </c>
      <c r="S388" s="19" t="n"/>
    </row>
    <row r="389">
      <c r="A389" s="19" t="inlineStr">
        <is>
          <t>BV-EML-002</t>
        </is>
      </c>
      <c r="B389" s="19" t="inlineStr">
        <is>
          <t>E-mail outbox and notifications</t>
        </is>
      </c>
      <c r="C389" s="19" t="inlineStr">
        <is>
          <t>E-mail Outbox</t>
        </is>
      </c>
      <c r="D389" s="19" t="inlineStr">
        <is>
          <t>System Administrator (BrokerVerse)</t>
        </is>
      </c>
      <c r="E389" s="19" t="inlineStr">
        <is>
          <t>Retry while sending is off queues again</t>
        </is>
      </c>
      <c r="F389" s="19" t="inlineStr">
        <is>
          <t>Functional</t>
        </is>
      </c>
      <c r="G389" s="19" t="inlineStr">
        <is>
          <t>Low</t>
        </is>
      </c>
      <c r="H389" s="19" t="inlineStr">
        <is>
          <t>Sending off.</t>
        </is>
      </c>
      <c r="I389" s="19" t="inlineStr">
        <is>
          <t>1. Click Retry on a queued message.</t>
        </is>
      </c>
      <c r="J389" s="19" t="inlineStr">
        <is>
          <t>Queued message</t>
        </is>
      </c>
      <c r="K389" s="19" t="inlineStr">
        <is>
          <t>"Queued - e-mail sending is not configured".</t>
        </is>
      </c>
      <c r="L389" s="19" t="inlineStr">
        <is>
          <t>As expected.</t>
        </is>
      </c>
      <c r="M389" s="19" t="inlineStr">
        <is>
          <t>Pass</t>
        </is>
      </c>
      <c r="N389" s="19" t="inlineStr"/>
      <c r="O389" s="19" t="inlineStr">
        <is>
          <t>iorta TechNXT QA</t>
        </is>
      </c>
      <c r="P389" s="19" t="inlineStr">
        <is>
          <t>03 October 2026</t>
        </is>
      </c>
      <c r="Q389" s="19" t="inlineStr"/>
      <c r="R389" s="19" t="inlineStr">
        <is>
          <t>backend/test/email-outbox.test.js :: retry while sending is off queues the message again and says so [passed]</t>
        </is>
      </c>
      <c r="S389" s="19" t="n"/>
    </row>
    <row r="390">
      <c r="A390" s="19" t="inlineStr">
        <is>
          <t>BV-EML-003</t>
        </is>
      </c>
      <c r="B390" s="19" t="inlineStr">
        <is>
          <t>E-mail outbox and notifications</t>
        </is>
      </c>
      <c r="C390" s="19" t="inlineStr">
        <is>
          <t>E-mail Outbox</t>
        </is>
      </c>
      <c r="D390" s="19" t="inlineStr">
        <is>
          <t>System Administrator (BrokerVerse)</t>
        </is>
      </c>
      <c r="E390" s="19" t="inlineStr">
        <is>
          <t>Retry while sending is on</t>
        </is>
      </c>
      <c r="F390" s="19" t="inlineStr">
        <is>
          <t>Functional</t>
        </is>
      </c>
      <c r="G390" s="19" t="inlineStr">
        <is>
          <t>Medium</t>
        </is>
      </c>
      <c r="H390" s="19" t="inlineStr">
        <is>
          <t>Sending on; SMTP configured.</t>
        </is>
      </c>
      <c r="I390" s="19" t="inlineStr">
        <is>
          <t>1. Click Retry on a failed message.</t>
        </is>
      </c>
      <c r="J390" s="19" t="inlineStr">
        <is>
          <t>Failed message</t>
        </is>
      </c>
      <c r="K390" s="19" t="inlineStr">
        <is>
          <t>Sent at once or failure error kept.</t>
        </is>
      </c>
      <c r="L390" s="19" t="inlineStr">
        <is>
          <t>Behaviour confirmed in the backend run with a stream transport; no SMTP server in the test environment.</t>
        </is>
      </c>
      <c r="M390" s="19" t="inlineStr">
        <is>
          <t>Blocked</t>
        </is>
      </c>
      <c r="N390" s="19" t="inlineStr"/>
      <c r="O390" s="19" t="inlineStr">
        <is>
          <t>iorta TechNXT QA</t>
        </is>
      </c>
      <c r="P390" s="19" t="inlineStr">
        <is>
          <t>03 October 2026</t>
        </is>
      </c>
      <c r="Q390" s="19" t="inlineStr"/>
      <c r="R390" s="19" t="inlineStr">
        <is>
          <t>backend/test/email-outbox.test.js :: retry while sending is on tries the message at once and keeps the error of a failed attempt [passed]</t>
        </is>
      </c>
      <c r="S390" s="19" t="n"/>
    </row>
    <row r="391">
      <c r="A391" s="19" t="inlineStr">
        <is>
          <t>BV-EML-004</t>
        </is>
      </c>
      <c r="B391" s="19" t="inlineStr">
        <is>
          <t>E-mail outbox and notifications</t>
        </is>
      </c>
      <c r="C391" s="19" t="inlineStr">
        <is>
          <t>E-mail Outbox</t>
        </is>
      </c>
      <c r="D391" s="19" t="inlineStr">
        <is>
          <t>System Administrator (BrokerVerse)</t>
        </is>
      </c>
      <c r="E391" s="19" t="inlineStr">
        <is>
          <t>Retry of a sent or unknown message refused</t>
        </is>
      </c>
      <c r="F391" s="19" t="inlineStr">
        <is>
          <t>Negative</t>
        </is>
      </c>
      <c r="G391" s="19" t="inlineStr">
        <is>
          <t>Low</t>
        </is>
      </c>
      <c r="H391" s="19" t="inlineStr">
        <is>
          <t>Sent message.</t>
        </is>
      </c>
      <c r="I391" s="19" t="inlineStr">
        <is>
          <t>1. Retry it.</t>
        </is>
      </c>
      <c r="J391" s="19" t="inlineStr">
        <is>
          <t>Sent message</t>
        </is>
      </c>
      <c r="K391" s="19" t="inlineStr">
        <is>
          <t>Refused.</t>
        </is>
      </c>
      <c r="L391" s="19" t="inlineStr">
        <is>
          <t>As expected.</t>
        </is>
      </c>
      <c r="M391" s="19" t="inlineStr">
        <is>
          <t>Pass</t>
        </is>
      </c>
      <c r="N391" s="19" t="inlineStr"/>
      <c r="O391" s="19" t="inlineStr">
        <is>
          <t>iorta TechNXT QA</t>
        </is>
      </c>
      <c r="P391" s="19" t="inlineStr">
        <is>
          <t>03 October 2026</t>
        </is>
      </c>
      <c r="Q391" s="19" t="inlineStr"/>
      <c r="R391" s="19" t="inlineStr">
        <is>
          <t>backend/test/email-outbox.test.js :: refuses to retry a sent message or an unknown one [passed]</t>
        </is>
      </c>
      <c r="S391" s="19" t="n"/>
    </row>
    <row r="392">
      <c r="A392" s="19" t="inlineStr">
        <is>
          <t>BV-EML-005</t>
        </is>
      </c>
      <c r="B392" s="19" t="inlineStr">
        <is>
          <t>E-mail outbox and notifications</t>
        </is>
      </c>
      <c r="C392" s="19" t="inlineStr">
        <is>
          <t>E-mail content</t>
        </is>
      </c>
      <c r="D392" s="19" t="inlineStr">
        <is>
          <t>System Administrator (BrokerVerse)</t>
        </is>
      </c>
      <c r="E392" s="19" t="inlineStr">
        <is>
          <t>Subjects plain text, bodies escaped</t>
        </is>
      </c>
      <c r="F392" s="19" t="inlineStr">
        <is>
          <t>Negative</t>
        </is>
      </c>
      <c r="G392" s="19" t="inlineStr">
        <is>
          <t>Medium</t>
        </is>
      </c>
      <c r="H392" s="19" t="inlineStr">
        <is>
          <t>Client name with HTML.</t>
        </is>
      </c>
      <c r="I392" s="19" t="inlineStr">
        <is>
          <t>1. Create a client named &lt;b&gt;Test&lt;/b&gt; and send a notice.</t>
        </is>
      </c>
      <c r="J392" s="19" t="inlineStr">
        <is>
          <t>Name &lt;b&gt;Test&lt;/b&gt;</t>
        </is>
      </c>
      <c r="K392" s="19" t="inlineStr">
        <is>
          <t>Subject plain text; body escaped.</t>
        </is>
      </c>
      <c r="L392" s="19" t="inlineStr">
        <is>
          <t>As expected.</t>
        </is>
      </c>
      <c r="M392" s="19" t="inlineStr">
        <is>
          <t>Pass</t>
        </is>
      </c>
      <c r="N392" s="19" t="inlineStr"/>
      <c r="O392" s="19" t="inlineStr">
        <is>
          <t>iorta TechNXT QA</t>
        </is>
      </c>
      <c r="P392" s="19" t="inlineStr">
        <is>
          <t>03 October 2026</t>
        </is>
      </c>
      <c r="Q392" s="19" t="inlineStr"/>
      <c r="R392" s="19" t="inlineStr">
        <is>
          <t>backend/test/configuration.test.js :: e-mail subjects are rendered as plain text, bodies HTML-escaped [passed]</t>
        </is>
      </c>
      <c r="S392" s="19" t="n"/>
    </row>
    <row r="393">
      <c r="A393" s="19" t="inlineStr">
        <is>
          <t>BV-EML-006</t>
        </is>
      </c>
      <c r="B393" s="19" t="inlineStr">
        <is>
          <t>E-mail outbox and notifications</t>
        </is>
      </c>
      <c r="C393" s="19" t="inlineStr">
        <is>
          <t>Mail transport</t>
        </is>
      </c>
      <c r="D393" s="19" t="inlineStr">
        <is>
          <t>System Administrator (BrokerVerse)</t>
        </is>
      </c>
      <c r="E393" s="19" t="inlineStr">
        <is>
          <t>Mail transport from SMTP URL</t>
        </is>
      </c>
      <c r="F393" s="19" t="inlineStr">
        <is>
          <t>Integration</t>
        </is>
      </c>
      <c r="G393" s="19" t="inlineStr">
        <is>
          <t>Low</t>
        </is>
      </c>
      <c r="H393" s="19" t="inlineStr">
        <is>
          <t>SMTP_URL set.</t>
        </is>
      </c>
      <c r="I393" s="19" t="inlineStr">
        <is>
          <t>1. Send a test message.</t>
        </is>
      </c>
      <c r="J393" s="19" t="inlineStr">
        <is>
          <t>smtp://user:pass@host:587</t>
        </is>
      </c>
      <c r="K393" s="19" t="inlineStr">
        <is>
          <t>Transport built and message sent.</t>
        </is>
      </c>
      <c r="L393" s="19" t="inlineStr">
        <is>
          <t>As expected.</t>
        </is>
      </c>
      <c r="M393" s="19" t="inlineStr">
        <is>
          <t>Pass</t>
        </is>
      </c>
      <c r="N393" s="19" t="inlineStr"/>
      <c r="O393" s="19" t="inlineStr">
        <is>
          <t>iorta TechNXT QA</t>
        </is>
      </c>
      <c r="P393" s="19" t="inlineStr">
        <is>
          <t>03 October 2026</t>
        </is>
      </c>
      <c r="Q393" s="19" t="inlineStr"/>
      <c r="R393" s="19" t="inlineStr">
        <is>
          <t>backend/test/dependencies.test.js :: nodemailer 10 builds a transport from a URL and sends through a stream transport [passed]</t>
        </is>
      </c>
      <c r="S393" s="19" t="n"/>
    </row>
    <row r="394">
      <c r="A394" s="19" t="inlineStr">
        <is>
          <t>BV-AUD-001</t>
        </is>
      </c>
      <c r="B394" s="19" t="inlineStr">
        <is>
          <t>Audit trail</t>
        </is>
      </c>
      <c r="C394" s="19" t="inlineStr">
        <is>
          <t>Audit Trail</t>
        </is>
      </c>
      <c r="D394" s="19" t="inlineStr">
        <is>
          <t>System Administrator (BrokerVerse)</t>
        </is>
      </c>
      <c r="E394" s="19" t="inlineStr">
        <is>
          <t>Changes listed with before and after values</t>
        </is>
      </c>
      <c r="F394" s="19" t="inlineStr">
        <is>
          <t>Functional</t>
        </is>
      </c>
      <c r="G394" s="19" t="inlineStr">
        <is>
          <t>High</t>
        </is>
      </c>
      <c r="H394" s="19" t="inlineStr">
        <is>
          <t>Changes made today.</t>
        </is>
      </c>
      <c r="I394" s="19" t="inlineStr">
        <is>
          <t>1. Open Master &gt; Audit Trail.
2. Filter on user BrokerVerse and today.</t>
        </is>
      </c>
      <c r="J394" s="19" t="inlineStr">
        <is>
          <t>Today</t>
        </is>
      </c>
      <c r="K394" s="19" t="inlineStr">
        <is>
          <t>Each change listed with user, time, record, before and after.</t>
        </is>
      </c>
      <c r="L394" s="19" t="inlineStr">
        <is>
          <t>As expected.</t>
        </is>
      </c>
      <c r="M394" s="19" t="inlineStr">
        <is>
          <t>Pass</t>
        </is>
      </c>
      <c r="N394" s="19" t="inlineStr"/>
      <c r="O394" s="19" t="inlineStr">
        <is>
          <t>iorta TechNXT QA</t>
        </is>
      </c>
      <c r="P394" s="19" t="inlineStr">
        <is>
          <t>03 October 2026</t>
        </is>
      </c>
      <c r="Q394" s="19" t="inlineStr"/>
      <c r="R394" s="19" t="inlineStr">
        <is>
          <t>backend/test/core.test.js :: writes an audit trail [passed]
backend/test/user-access.test.js :: lists, creates and locks users, and reads the audit trail [passed]
Screen check /master/configuration/audit-trail: opened clean</t>
        </is>
      </c>
      <c r="S394" s="19" t="n"/>
    </row>
    <row r="395">
      <c r="A395" s="19" t="inlineStr">
        <is>
          <t>BV-AUD-002</t>
        </is>
      </c>
      <c r="B395" s="19" t="inlineStr">
        <is>
          <t>Audit trail</t>
        </is>
      </c>
      <c r="C395" s="19" t="inlineStr">
        <is>
          <t>Audit Trail</t>
        </is>
      </c>
      <c r="D395" s="19" t="inlineStr">
        <is>
          <t>System Administrator (BrokerVerse)</t>
        </is>
      </c>
      <c r="E395" s="19" t="inlineStr">
        <is>
          <t>Policy life cycle traced in the audit trail</t>
        </is>
      </c>
      <c r="F395" s="19" t="inlineStr">
        <is>
          <t>Functional</t>
        </is>
      </c>
      <c r="G395" s="19" t="inlineStr">
        <is>
          <t>High</t>
        </is>
      </c>
      <c r="H395" s="19" t="inlineStr">
        <is>
          <t>Policy issued, paid, endorsed, claimed.</t>
        </is>
      </c>
      <c r="I395" s="19" t="inlineStr">
        <is>
          <t>1. Filter the Audit Trail by the policy number.</t>
        </is>
      </c>
      <c r="J395" s="19" t="inlineStr">
        <is>
          <t>Motor policy of the E2E case</t>
        </is>
      </c>
      <c r="K395" s="19" t="inlineStr">
        <is>
          <t>Create, approvals, payment, endorsement and claim listed with user and time.</t>
        </is>
      </c>
      <c r="L395" s="19" t="inlineStr">
        <is>
          <t>As expected.</t>
        </is>
      </c>
      <c r="M395" s="19" t="inlineStr">
        <is>
          <t>Pass</t>
        </is>
      </c>
      <c r="N395" s="19" t="inlineStr"/>
      <c r="O395" s="19" t="inlineStr">
        <is>
          <t>iorta TechNXT QA</t>
        </is>
      </c>
      <c r="P395" s="19" t="inlineStr">
        <is>
          <t>03 October 2026</t>
        </is>
      </c>
      <c r="Q395" s="19" t="inlineStr"/>
      <c r="R395" s="19" t="inlineStr">
        <is>
          <t>backend/test/claims.test.js :: rejects a claim and returns the field-level audit trail [passed]
backend/test/customer-response.test.js :: accepted: CustomerAccepted with the evidence stored, audited and listed [passed]</t>
        </is>
      </c>
      <c r="S395" s="19" t="n"/>
    </row>
    <row r="396">
      <c r="A396" s="19" t="inlineStr">
        <is>
          <t>BV-AUD-003</t>
        </is>
      </c>
      <c r="B396" s="19" t="inlineStr">
        <is>
          <t>Audit trail</t>
        </is>
      </c>
      <c r="C396" s="19" t="inlineStr">
        <is>
          <t>Audit Trail</t>
        </is>
      </c>
      <c r="D396" s="19" t="inlineStr">
        <is>
          <t>Sales / Account Executive (maria.rivera)</t>
        </is>
      </c>
      <c r="E396" s="19" t="inlineStr">
        <is>
          <t>Audit trail not available to business users</t>
        </is>
      </c>
      <c r="F396" s="19" t="inlineStr">
        <is>
          <t>Role access</t>
        </is>
      </c>
      <c r="G396" s="19" t="inlineStr">
        <is>
          <t>Medium</t>
        </is>
      </c>
      <c r="H396" s="19" t="inlineStr">
        <is>
          <t>Signed in as maria.rivera.</t>
        </is>
      </c>
      <c r="I396" s="19" t="inlineStr">
        <is>
          <t>1. Open /master/configuration/audit-trail by address.</t>
        </is>
      </c>
      <c r="J396" s="19" t="inlineStr">
        <is>
          <t>None</t>
        </is>
      </c>
      <c r="K396" s="19" t="inlineStr">
        <is>
          <t>Not available.</t>
        </is>
      </c>
      <c r="L396" s="19" t="inlineStr">
        <is>
          <t>As expected.</t>
        </is>
      </c>
      <c r="M396" s="19" t="inlineStr">
        <is>
          <t>Pass</t>
        </is>
      </c>
      <c r="N396" s="19" t="inlineStr"/>
      <c r="O396" s="19" t="inlineStr">
        <is>
          <t>iorta TechNXT QA</t>
        </is>
      </c>
      <c r="P396" s="19" t="inlineStr">
        <is>
          <t>03 October 2026</t>
        </is>
      </c>
      <c r="Q396" s="19" t="inlineStr"/>
      <c r="R396" s="19" t="inlineStr">
        <is>
          <t>backend/test/user-access.test.js :: has no business access [passed]</t>
        </is>
      </c>
      <c r="S396" s="19" t="n"/>
    </row>
    <row r="397">
      <c r="A397" s="19" t="inlineStr">
        <is>
          <t>BV-AUD-004</t>
        </is>
      </c>
      <c r="B397" s="19" t="inlineStr">
        <is>
          <t>Audit trail</t>
        </is>
      </c>
      <c r="C397" s="19" t="inlineStr">
        <is>
          <t>Retention</t>
        </is>
      </c>
      <c r="D397" s="19" t="inlineStr">
        <is>
          <t>System Administrator (BrokerVerse)</t>
        </is>
      </c>
      <c r="E397" s="19" t="inlineStr">
        <is>
          <t>Audit rows never purged below 7 years</t>
        </is>
      </c>
      <c r="F397" s="19" t="inlineStr">
        <is>
          <t>Validation</t>
        </is>
      </c>
      <c r="G397" s="19" t="inlineStr">
        <is>
          <t>Medium</t>
        </is>
      </c>
      <c r="H397" s="19" t="inlineStr">
        <is>
          <t>Retention job.</t>
        </is>
      </c>
      <c r="I397" s="19" t="inlineStr">
        <is>
          <t>1. Set audit retention to 365 days and run.</t>
        </is>
      </c>
      <c r="J397" s="19" t="inlineStr">
        <is>
          <t>365 days</t>
        </is>
      </c>
      <c r="K397" s="19" t="inlineStr">
        <is>
          <t>Audit rows kept for at least 7 years.</t>
        </is>
      </c>
      <c r="L397" s="19" t="inlineStr">
        <is>
          <t>As expected.</t>
        </is>
      </c>
      <c r="M397" s="19" t="inlineStr">
        <is>
          <t>Pass</t>
        </is>
      </c>
      <c r="N397" s="19" t="inlineStr"/>
      <c r="O397" s="19" t="inlineStr">
        <is>
          <t>iorta TechNXT QA</t>
        </is>
      </c>
      <c r="P397" s="19" t="inlineStr">
        <is>
          <t>03 October 2026</t>
        </is>
      </c>
      <c r="Q397" s="19" t="inlineStr"/>
      <c r="R397" s="19" t="inlineStr">
        <is>
          <t>backend/test/operations.test.js :: keeps a table forever at 0 days and never purges the audit trail below 7 years [passed]</t>
        </is>
      </c>
      <c r="S397" s="19" t="n"/>
    </row>
    <row r="398">
      <c r="A398" s="19" t="inlineStr">
        <is>
          <t>BV-E2E-001</t>
        </is>
      </c>
      <c r="B398" s="19" t="inlineStr">
        <is>
          <t>End-to-end life cycle</t>
        </is>
      </c>
      <c r="C398" s="19" t="inlineStr">
        <is>
          <t>Step 1: Sign-in and lockout</t>
        </is>
      </c>
      <c r="D398" s="19" t="inlineStr">
        <is>
          <t>System Administrator (BrokerVerse)</t>
        </is>
      </c>
      <c r="E398" s="19" t="inlineStr">
        <is>
          <t>Life cycle step 1: sign-in and lockout</t>
        </is>
      </c>
      <c r="F398" s="19" t="inlineStr">
        <is>
          <t>Integration</t>
        </is>
      </c>
      <c r="G398" s="19" t="inlineStr">
        <is>
          <t>High</t>
        </is>
      </c>
      <c r="H398" s="19" t="inlineStr">
        <is>
          <t>Fresh database.</t>
        </is>
      </c>
      <c r="I398" s="19" t="inlineStr">
        <is>
          <t>1. Open the Login page and sign in as BrokerVerse with a wrong password.
2. Sign in with the correct password.</t>
        </is>
      </c>
      <c r="J398" s="19" t="inlineStr">
        <is>
          <t>Motor policy of Kristine Villanueva; personas of the UAT data set</t>
        </is>
      </c>
      <c r="K398" s="19" t="inlineStr">
        <is>
          <t>Error "Invalid username or password"; then the Executive Dashboard opens.</t>
        </is>
      </c>
      <c r="L398" s="19" t="inlineStr">
        <is>
          <t>As expected.</t>
        </is>
      </c>
      <c r="M398" s="19" t="inlineStr">
        <is>
          <t>Pass</t>
        </is>
      </c>
      <c r="N398" s="19" t="inlineStr"/>
      <c r="O398" s="19" t="inlineStr">
        <is>
          <t>iorta TechNXT QA</t>
        </is>
      </c>
      <c r="P398" s="19" t="inlineStr">
        <is>
          <t>04 October 2026</t>
        </is>
      </c>
      <c r="Q398" s="19" t="inlineStr"/>
      <c r="R398" s="19" t="inlineStr">
        <is>
          <t>backend/test/core.test.js :: rejects a wrong password and accepts the admin [passed]
UAT cycle 03-04 October 2026, phase Set-up (46 passed, 0 failed)</t>
        </is>
      </c>
      <c r="S398" s="19" t="n"/>
    </row>
    <row r="399">
      <c r="A399" s="19" t="inlineStr">
        <is>
          <t>BV-E2E-002</t>
        </is>
      </c>
      <c r="B399" s="19" t="inlineStr">
        <is>
          <t>End-to-end life cycle</t>
        </is>
      </c>
      <c r="C399" s="19" t="inlineStr">
        <is>
          <t>Step 2: Personas created</t>
        </is>
      </c>
      <c r="D399" s="19" t="inlineStr">
        <is>
          <t>System Administrator (BrokerVerse)</t>
        </is>
      </c>
      <c r="E399" s="19" t="inlineStr">
        <is>
          <t>Life cycle step 2: personas created</t>
        </is>
      </c>
      <c r="F399" s="19" t="inlineStr">
        <is>
          <t>Integration</t>
        </is>
      </c>
      <c r="G399" s="19" t="inlineStr">
        <is>
          <t>High</t>
        </is>
      </c>
      <c r="H399" s="19" t="inlineStr">
        <is>
          <t>Previous life cycle steps passed. Fresh database with the UAT data set.</t>
        </is>
      </c>
      <c r="I399" s="19" t="inlineStr">
        <is>
          <t>1. Open Master &gt; Generals &gt; User Management &gt; User.
2. Click Add User for each persona with one role.
3. Sign in as each persona and change the temporary password.</t>
        </is>
      </c>
      <c r="J399" s="19" t="inlineStr">
        <is>
          <t>Motor policy of Kristine Villanueva; personas of the UAT data set</t>
        </is>
      </c>
      <c r="K399" s="19" t="inlineStr">
        <is>
          <t>Each persona signs in and sees only its menus.</t>
        </is>
      </c>
      <c r="L399" s="19" t="inlineStr">
        <is>
          <t>As expected.</t>
        </is>
      </c>
      <c r="M399" s="19" t="inlineStr">
        <is>
          <t>Pass</t>
        </is>
      </c>
      <c r="N399" s="19" t="inlineStr"/>
      <c r="O399" s="19" t="inlineStr">
        <is>
          <t>iorta TechNXT QA</t>
        </is>
      </c>
      <c r="P399" s="19" t="inlineStr">
        <is>
          <t>04 October 2026</t>
        </is>
      </c>
      <c r="Q399" s="19" t="inlineStr"/>
      <c r="R399" s="19" t="inlineStr">
        <is>
          <t>backend/test/core.test.js :: admin creates a persona user who can then sign in with that role [passed]
UAT cycle 03-04 October 2026, phase Set-up (46 passed, 0 failed)</t>
        </is>
      </c>
      <c r="S399" s="19" t="n"/>
    </row>
    <row r="400">
      <c r="A400" s="19" t="inlineStr">
        <is>
          <t>BV-E2E-003</t>
        </is>
      </c>
      <c r="B400" s="19" t="inlineStr">
        <is>
          <t>End-to-end life cycle</t>
        </is>
      </c>
      <c r="C400" s="19" t="inlineStr">
        <is>
          <t>Step 3: Configuration read</t>
        </is>
      </c>
      <c r="D400" s="19" t="inlineStr">
        <is>
          <t>System Administrator (BrokerVerse)</t>
        </is>
      </c>
      <c r="E400" s="19" t="inlineStr">
        <is>
          <t>Life cycle step 3: configuration read</t>
        </is>
      </c>
      <c r="F400" s="19" t="inlineStr">
        <is>
          <t>Integration</t>
        </is>
      </c>
      <c r="G400" s="19" t="inlineStr">
        <is>
          <t>High</t>
        </is>
      </c>
      <c r="H400" s="19" t="inlineStr">
        <is>
          <t>Previous life cycle steps passed. Fresh database with the UAT data set.</t>
        </is>
      </c>
      <c r="I400" s="19" t="inlineStr">
        <is>
          <t>1. Open Master &gt; Configuration.
2. Read VAT, DST, numbering and limits.
3. Change limits.session_idle_minutes and save.</t>
        </is>
      </c>
      <c r="J400" s="19" t="inlineStr">
        <is>
          <t>Motor policy of Kristine Villanueva; personas of the UAT data set</t>
        </is>
      </c>
      <c r="K400" s="19" t="inlineStr">
        <is>
          <t>Values match the seeded defaults; change saved and in the Audit Trail.</t>
        </is>
      </c>
      <c r="L400" s="19" t="inlineStr">
        <is>
          <t>As expected.</t>
        </is>
      </c>
      <c r="M400" s="19" t="inlineStr">
        <is>
          <t>Pass</t>
        </is>
      </c>
      <c r="N400" s="19" t="inlineStr"/>
      <c r="O400" s="19" t="inlineStr">
        <is>
          <t>iorta TechNXT QA</t>
        </is>
      </c>
      <c r="P400" s="19" t="inlineStr">
        <is>
          <t>04 October 2026</t>
        </is>
      </c>
      <c r="Q400" s="19" t="inlineStr"/>
      <c r="R400" s="19" t="inlineStr">
        <is>
          <t>backend/test/core.test.js :: settings are read from the database and editable by admins [passed]
UAT cycle 03-04 October 2026, phase Set-up (46 passed, 0 failed)</t>
        </is>
      </c>
      <c r="S400" s="19" t="n"/>
    </row>
    <row r="401">
      <c r="A401" s="19" t="inlineStr">
        <is>
          <t>BV-E2E-004</t>
        </is>
      </c>
      <c r="B401" s="19" t="inlineStr">
        <is>
          <t>End-to-end life cycle</t>
        </is>
      </c>
      <c r="C401" s="19" t="inlineStr">
        <is>
          <t>Step 4: Insurer master</t>
        </is>
      </c>
      <c r="D401" s="19" t="inlineStr">
        <is>
          <t>System Administrator (beatriz.lacson)</t>
        </is>
      </c>
      <c r="E401" s="19" t="inlineStr">
        <is>
          <t>Life cycle step 4: insurer master</t>
        </is>
      </c>
      <c r="F401" s="19" t="inlineStr">
        <is>
          <t>Integration</t>
        </is>
      </c>
      <c r="G401" s="19" t="inlineStr">
        <is>
          <t>High</t>
        </is>
      </c>
      <c r="H401" s="19" t="inlineStr">
        <is>
          <t>Previous life cycle steps passed. Fresh database with the UAT data set.</t>
        </is>
      </c>
      <c r="I401" s="19" t="inlineStr">
        <is>
          <t>1. Open Master &gt; Generals &gt; Insurance Management &gt; Insurance Company.
2. Add Pacific Crest Insurance Corp. with warranty 60 days and remittance 30 days.
3. Open a quotation insurer drop-down.</t>
        </is>
      </c>
      <c r="J401" s="19" t="inlineStr">
        <is>
          <t>Motor policy of Kristine Villanueva; personas of the UAT data set</t>
        </is>
      </c>
      <c r="K401" s="19" t="inlineStr">
        <is>
          <t>Insurer saved and offered in the drop-down.</t>
        </is>
      </c>
      <c r="L401" s="19" t="inlineStr">
        <is>
          <t>As expected.</t>
        </is>
      </c>
      <c r="M401" s="19" t="inlineStr">
        <is>
          <t>Pass</t>
        </is>
      </c>
      <c r="N401" s="19" t="inlineStr"/>
      <c r="O401" s="19" t="inlineStr">
        <is>
          <t>iorta TechNXT QA</t>
        </is>
      </c>
      <c r="P401" s="19" t="inlineStr">
        <is>
          <t>04 October 2026</t>
        </is>
      </c>
      <c r="Q401" s="19" t="inlineStr"/>
      <c r="R401" s="19" t="inlineStr">
        <is>
          <t>backend/test/masters.test.js :: creates, reads, searches, updates and deactivates [passed]
UAT cycle 03-04 October 2026, phase Set-up (46 passed, 0 failed)</t>
        </is>
      </c>
      <c r="S401" s="19" t="n"/>
    </row>
    <row r="402">
      <c r="A402" s="19" t="inlineStr">
        <is>
          <t>BV-E2E-005</t>
        </is>
      </c>
      <c r="B402" s="19" t="inlineStr">
        <is>
          <t>End-to-end life cycle</t>
        </is>
      </c>
      <c r="C402" s="19" t="inlineStr">
        <is>
          <t>Step 5: Prospect</t>
        </is>
      </c>
      <c r="D402" s="19" t="inlineStr">
        <is>
          <t>Sales / Account Executive (maria.rivera)</t>
        </is>
      </c>
      <c r="E402" s="19" t="inlineStr">
        <is>
          <t>Life cycle step 5: prospect</t>
        </is>
      </c>
      <c r="F402" s="19" t="inlineStr">
        <is>
          <t>Integration</t>
        </is>
      </c>
      <c r="G402" s="19" t="inlineStr">
        <is>
          <t>High</t>
        </is>
      </c>
      <c r="H402" s="19" t="inlineStr">
        <is>
          <t>Previous life cycle steps passed. Fresh database with the UAT data set.</t>
        </is>
      </c>
      <c r="I402" s="19" t="inlineStr">
        <is>
          <t>1. Open Operations &gt; Sales &amp; Marketing &gt; Prospects.
2. Click Create Prospect for Kristine Villanueva, Motor.
3. Click Save Prospect.</t>
        </is>
      </c>
      <c r="J402" s="19" t="inlineStr">
        <is>
          <t>Motor policy of Kristine Villanueva; personas of the UAT data set</t>
        </is>
      </c>
      <c r="K402" s="19" t="inlineStr">
        <is>
          <t>Prospect listed under Motor; Sales Dashboard prospect count +1.</t>
        </is>
      </c>
      <c r="L402" s="19" t="inlineStr">
        <is>
          <t>As expected.</t>
        </is>
      </c>
      <c r="M402" s="19" t="inlineStr">
        <is>
          <t>Pass</t>
        </is>
      </c>
      <c r="N402" s="19" t="inlineStr"/>
      <c r="O402" s="19" t="inlineStr">
        <is>
          <t>iorta TechNXT QA</t>
        </is>
      </c>
      <c r="P402" s="19" t="inlineStr">
        <is>
          <t>04 October 2026</t>
        </is>
      </c>
      <c r="Q402" s="19" t="inlineStr"/>
      <c r="R402" s="19" t="inlineStr">
        <is>
          <t>backend/test/leads.test.js :: creates a lead and returns it at the top level and in data [passed]
UAT cycle 03-04 October 2026, phase Retail package business (84 passed, 0 failed)</t>
        </is>
      </c>
      <c r="S402" s="19" t="n"/>
    </row>
    <row r="403">
      <c r="A403" s="19" t="inlineStr">
        <is>
          <t>BV-E2E-006</t>
        </is>
      </c>
      <c r="B403" s="19" t="inlineStr">
        <is>
          <t>End-to-end life cycle</t>
        </is>
      </c>
      <c r="C403" s="19" t="inlineStr">
        <is>
          <t>Step 6: Quotation</t>
        </is>
      </c>
      <c r="D403" s="19" t="inlineStr">
        <is>
          <t>Sales / Account Executive (maria.rivera)</t>
        </is>
      </c>
      <c r="E403" s="19" t="inlineStr">
        <is>
          <t>Life cycle step 6: quotation</t>
        </is>
      </c>
      <c r="F403" s="19" t="inlineStr">
        <is>
          <t>Integration</t>
        </is>
      </c>
      <c r="G403" s="19" t="inlineStr">
        <is>
          <t>High</t>
        </is>
      </c>
      <c r="H403" s="19" t="inlineStr">
        <is>
          <t>Previous life cycle steps passed. Fresh database with the UAT data set.</t>
        </is>
      </c>
      <c r="I403" s="19" t="inlineStr">
        <is>
          <t>1. Open the prospect and click Create Quote.
2. Enter Toyota Vios 1.3 XLE CVT 2024, FMV PHP 850,000.00, BI, PD, APPA, Pacific Crest, CTPL included.
3. Save.</t>
        </is>
      </c>
      <c r="J403" s="19" t="inlineStr">
        <is>
          <t>Motor policy of Kristine Villanueva; personas of the UAT data set</t>
        </is>
      </c>
      <c r="K403" s="19" t="inlineStr">
        <is>
          <t>Premium = net + VAT + DST + LGT + CTPL PHP 610.40; quotation number from the series.</t>
        </is>
      </c>
      <c r="L403" s="19" t="inlineStr">
        <is>
          <t>As expected.</t>
        </is>
      </c>
      <c r="M403" s="19" t="inlineStr">
        <is>
          <t>Pass</t>
        </is>
      </c>
      <c r="N403" s="19" t="inlineStr"/>
      <c r="O403" s="19" t="inlineStr">
        <is>
          <t>iorta TechNXT QA</t>
        </is>
      </c>
      <c r="P403" s="19" t="inlineStr">
        <is>
          <t>04 October 2026</t>
        </is>
      </c>
      <c r="Q403" s="19" t="inlineStr"/>
      <c r="R403" s="19" t="inlineStr">
        <is>
          <t>backend/test/quotations.test.js :: creates a quotation with a server-side premium breakdown from settings [passed]
UAT cycle 03-04 October 2026, phase Retail package business (84 passed, 0 failed)</t>
        </is>
      </c>
      <c r="S403" s="19" t="n"/>
    </row>
    <row r="404">
      <c r="A404" s="19" t="inlineStr">
        <is>
          <t>BV-E2E-007</t>
        </is>
      </c>
      <c r="B404" s="19" t="inlineStr">
        <is>
          <t>End-to-end life cycle</t>
        </is>
      </c>
      <c r="C404" s="19" t="inlineStr">
        <is>
          <t>Step 7: Quotation downstream</t>
        </is>
      </c>
      <c r="D404" s="19" t="inlineStr">
        <is>
          <t>Sales / Account Executive (maria.rivera)</t>
        </is>
      </c>
      <c r="E404" s="19" t="inlineStr">
        <is>
          <t>Life cycle step 7: quotation downstream</t>
        </is>
      </c>
      <c r="F404" s="19" t="inlineStr">
        <is>
          <t>Integration</t>
        </is>
      </c>
      <c r="G404" s="19" t="inlineStr">
        <is>
          <t>High</t>
        </is>
      </c>
      <c r="H404" s="19" t="inlineStr">
        <is>
          <t>Previous life cycle steps passed. Fresh database with the UAT data set.</t>
        </is>
      </c>
      <c r="I404" s="19" t="inlineStr">
        <is>
          <t>1. Open Quotations.
2. Open Dashboard &gt; Sales Dashboard.
3. Run the Lead Conversion Funnel report.</t>
        </is>
      </c>
      <c r="J404" s="19" t="inlineStr">
        <is>
          <t>Motor policy of Kristine Villanueva; personas of the UAT data set</t>
        </is>
      </c>
      <c r="K404" s="19" t="inlineStr">
        <is>
          <t>Quotation listed as Draft and counted in the dashboard and the funnel.</t>
        </is>
      </c>
      <c r="L404" s="19" t="inlineStr">
        <is>
          <t>As expected.</t>
        </is>
      </c>
      <c r="M404" s="19" t="inlineStr">
        <is>
          <t>Pass</t>
        </is>
      </c>
      <c r="N404" s="19" t="inlineStr"/>
      <c r="O404" s="19" t="inlineStr">
        <is>
          <t>iorta TechNXT QA</t>
        </is>
      </c>
      <c r="P404" s="19" t="inlineStr">
        <is>
          <t>04 October 2026</t>
        </is>
      </c>
      <c r="Q404" s="19" t="inlineStr"/>
      <c r="R404" s="19" t="inlineStr">
        <is>
          <t>backend/test/dashboard.test.js :: sales funnel, processing workbench and claims summary [passed]
UAT cycle 03-04 October 2026, phase Reports and dashboards (58 passed, 0 failed)</t>
        </is>
      </c>
      <c r="S404" s="19" t="n"/>
    </row>
    <row r="405">
      <c r="A405" s="19" t="inlineStr">
        <is>
          <t>BV-E2E-008</t>
        </is>
      </c>
      <c r="B405" s="19" t="inlineStr">
        <is>
          <t>End-to-end life cycle</t>
        </is>
      </c>
      <c r="C405" s="19" t="inlineStr">
        <is>
          <t>Step 8: Send for approval</t>
        </is>
      </c>
      <c r="D405" s="19" t="inlineStr">
        <is>
          <t>Sales / Account Executive (maria.rivera)</t>
        </is>
      </c>
      <c r="E405" s="19" t="inlineStr">
        <is>
          <t>Life cycle step 8: send for approval</t>
        </is>
      </c>
      <c r="F405" s="19" t="inlineStr">
        <is>
          <t>Integration</t>
        </is>
      </c>
      <c r="G405" s="19" t="inlineStr">
        <is>
          <t>High</t>
        </is>
      </c>
      <c r="H405" s="19" t="inlineStr">
        <is>
          <t>Previous life cycle steps passed. Fresh database with the UAT data set.</t>
        </is>
      </c>
      <c r="I405" s="19" t="inlineStr">
        <is>
          <t>1. Open the quotation.
2. Click Send for Customer Approval.</t>
        </is>
      </c>
      <c r="J405" s="19" t="inlineStr">
        <is>
          <t>Motor policy of Kristine Villanueva; personas of the UAT data set</t>
        </is>
      </c>
      <c r="K405" s="19" t="inlineStr">
        <is>
          <t>Status Pending customer; Processing Team notified.</t>
        </is>
      </c>
      <c r="L405" s="19" t="inlineStr">
        <is>
          <t>As expected.</t>
        </is>
      </c>
      <c r="M405" s="19" t="inlineStr">
        <is>
          <t>Pass</t>
        </is>
      </c>
      <c r="N405" s="19" t="inlineStr"/>
      <c r="O405" s="19" t="inlineStr">
        <is>
          <t>iorta TechNXT QA</t>
        </is>
      </c>
      <c r="P405" s="19" t="inlineStr">
        <is>
          <t>04 October 2026</t>
        </is>
      </c>
      <c r="Q405" s="19" t="inlineStr"/>
      <c r="R405" s="19" t="inlineStr">
        <is>
          <t>backend/test/customer-response.test.js :: moves to PendingCustomer and says plainly that e-mail is not configured [passed]
UAT cycle 03-04 October 2026, phase Retail package business (84 passed, 0 failed)</t>
        </is>
      </c>
      <c r="S405" s="19" t="n"/>
    </row>
    <row r="406">
      <c r="A406" s="19" t="inlineStr">
        <is>
          <t>BV-E2E-009</t>
        </is>
      </c>
      <c r="B406" s="19" t="inlineStr">
        <is>
          <t>End-to-end life cycle</t>
        </is>
      </c>
      <c r="C406" s="19" t="inlineStr">
        <is>
          <t>Step 9: Customer acceptance</t>
        </is>
      </c>
      <c r="D406" s="19" t="inlineStr">
        <is>
          <t>Sales / Account Executive (maria.rivera)</t>
        </is>
      </c>
      <c r="E406" s="19" t="inlineStr">
        <is>
          <t>Life cycle step 9: customer acceptance</t>
        </is>
      </c>
      <c r="F406" s="19" t="inlineStr">
        <is>
          <t>Integration</t>
        </is>
      </c>
      <c r="G406" s="19" t="inlineStr">
        <is>
          <t>High</t>
        </is>
      </c>
      <c r="H406" s="19" t="inlineStr">
        <is>
          <t>Previous life cycle steps passed. Fresh database with the UAT data set.</t>
        </is>
      </c>
      <c r="I406" s="19" t="inlineStr">
        <is>
          <t>1. Click Record customer response.
2. Accepted, Received by Phone, date and reference.
3. Click Record response.</t>
        </is>
      </c>
      <c r="J406" s="19" t="inlineStr">
        <is>
          <t>Motor policy of Kristine Villanueva; personas of the UAT data set</t>
        </is>
      </c>
      <c r="K406" s="19" t="inlineStr">
        <is>
          <t>Status CustomerAccepted with the evidence.</t>
        </is>
      </c>
      <c r="L406" s="19" t="inlineStr">
        <is>
          <t>As expected.</t>
        </is>
      </c>
      <c r="M406" s="19" t="inlineStr">
        <is>
          <t>Pass</t>
        </is>
      </c>
      <c r="N406" s="19" t="inlineStr"/>
      <c r="O406" s="19" t="inlineStr">
        <is>
          <t>iorta TechNXT QA</t>
        </is>
      </c>
      <c r="P406" s="19" t="inlineStr">
        <is>
          <t>04 October 2026</t>
        </is>
      </c>
      <c r="Q406" s="19" t="inlineStr"/>
      <c r="R406" s="19" t="inlineStr">
        <is>
          <t>backend/test/customer-response.test.js :: accepted: CustomerAccepted with the evidence stored, audited and listed [passed]
UAT cycle 03-04 October 2026, phase Retail package business (84 passed, 0 failed)</t>
        </is>
      </c>
      <c r="S406" s="19" t="n"/>
    </row>
    <row r="407">
      <c r="A407" s="19" t="inlineStr">
        <is>
          <t>BV-E2E-010</t>
        </is>
      </c>
      <c r="B407" s="19" t="inlineStr">
        <is>
          <t>End-to-end life cycle</t>
        </is>
      </c>
      <c r="C407" s="19" t="inlineStr">
        <is>
          <t>Step 10: Convert to policy</t>
        </is>
      </c>
      <c r="D407" s="19" t="inlineStr">
        <is>
          <t>Processing Team (jose.bernardo)</t>
        </is>
      </c>
      <c r="E407" s="19" t="inlineStr">
        <is>
          <t>Life cycle step 10: convert to policy</t>
        </is>
      </c>
      <c r="F407" s="19" t="inlineStr">
        <is>
          <t>Integration</t>
        </is>
      </c>
      <c r="G407" s="19" t="inlineStr">
        <is>
          <t>High</t>
        </is>
      </c>
      <c r="H407" s="19" t="inlineStr">
        <is>
          <t>Previous life cycle steps passed. Fresh database with the UAT data set.</t>
        </is>
      </c>
      <c r="I407" s="19" t="inlineStr">
        <is>
          <t>1. Sign in as jose.bernardo and open the quotation.
2. Click Convert to Policy; enter KYC and vehicle identifiers.
3. Issue.</t>
        </is>
      </c>
      <c r="J407" s="19" t="inlineStr">
        <is>
          <t>Motor policy of Kristine Villanueva; personas of the UAT data set</t>
        </is>
      </c>
      <c r="K407" s="19" t="inlineStr">
        <is>
          <t>Policy number issued; client created from the prospect; policy Active.</t>
        </is>
      </c>
      <c r="L407" s="19" t="inlineStr">
        <is>
          <t>As expected.</t>
        </is>
      </c>
      <c r="M407" s="19" t="inlineStr">
        <is>
          <t>Pass</t>
        </is>
      </c>
      <c r="N407" s="19" t="inlineStr"/>
      <c r="O407" s="19" t="inlineStr">
        <is>
          <t>iorta TechNXT QA</t>
        </is>
      </c>
      <c r="P407" s="19" t="inlineStr">
        <is>
          <t>04 October 2026</t>
        </is>
      </c>
      <c r="Q407" s="19" t="inlineStr"/>
      <c r="R407" s="19" t="inlineStr">
        <is>
          <t>backend/test/quotations.test.js :: converts to policy: client, policy, receivable with bill number, commission accrual, owner notified [passed]
UAT cycle 03-04 October 2026, phase Retail package business (84 passed, 0 failed)</t>
        </is>
      </c>
      <c r="S407" s="19" t="n"/>
    </row>
    <row r="408">
      <c r="A408" s="19" t="inlineStr">
        <is>
          <t>BV-E2E-011</t>
        </is>
      </c>
      <c r="B408" s="19" t="inlineStr">
        <is>
          <t>End-to-end life cycle</t>
        </is>
      </c>
      <c r="C408" s="19" t="inlineStr">
        <is>
          <t>Step 11: Downstream of issuance</t>
        </is>
      </c>
      <c r="D408" s="19" t="inlineStr">
        <is>
          <t>Accounting Officer (liza.quiambao)</t>
        </is>
      </c>
      <c r="E408" s="19" t="inlineStr">
        <is>
          <t>Life cycle step 11: downstream of issuance</t>
        </is>
      </c>
      <c r="F408" s="19" t="inlineStr">
        <is>
          <t>Integration</t>
        </is>
      </c>
      <c r="G408" s="19" t="inlineStr">
        <is>
          <t>High</t>
        </is>
      </c>
      <c r="H408" s="19" t="inlineStr">
        <is>
          <t>Previous life cycle steps passed. Fresh database with the UAT data set.</t>
        </is>
      </c>
      <c r="I408" s="19" t="inlineStr">
        <is>
          <t>1. Open Executive Dashboard.
2. Run Production Register.
3. Open Accounting Query for the policy.
4. Open Collections, Commission Dashboard and Remittance candidates.</t>
        </is>
      </c>
      <c r="J408" s="19" t="inlineStr">
        <is>
          <t>Motor policy of Kristine Villanueva; personas of the UAT data set</t>
        </is>
      </c>
      <c r="K408" s="19" t="inlineStr">
        <is>
          <t>Policy in each place; journal Dr Premium receivable / Cr Premium payable and commission income, balanced; collection item Current; commission line Accrued.</t>
        </is>
      </c>
      <c r="L408" s="19" t="inlineStr">
        <is>
          <t>As expected.</t>
        </is>
      </c>
      <c r="M408" s="19" t="inlineStr">
        <is>
          <t>Pass</t>
        </is>
      </c>
      <c r="N408" s="19" t="inlineStr"/>
      <c r="O408" s="19" t="inlineStr">
        <is>
          <t>iorta TechNXT QA</t>
        </is>
      </c>
      <c r="P408" s="19" t="inlineStr">
        <is>
          <t>04 October 2026</t>
        </is>
      </c>
      <c r="Q408" s="19" t="inlineStr"/>
      <c r="R408" s="19" t="inlineStr">
        <is>
          <t>backend/test/posting-rules.test.js :: policy booking and receipt: same accounts, amounts, memos and order (premium taxes not split) [passed]
UAT cycle 03-04 October 2026, phase Reports and dashboards (58 passed, 0 failed)</t>
        </is>
      </c>
      <c r="S408" s="19" t="n"/>
    </row>
    <row r="409">
      <c r="A409" s="19" t="inlineStr">
        <is>
          <t>BV-E2E-012</t>
        </is>
      </c>
      <c r="B409" s="19" t="inlineStr">
        <is>
          <t>End-to-end life cycle</t>
        </is>
      </c>
      <c r="C409" s="19" t="inlineStr">
        <is>
          <t>Step 12: Receipts</t>
        </is>
      </c>
      <c r="D409" s="19" t="inlineStr">
        <is>
          <t>Accounting Officer (liza.quiambao)</t>
        </is>
      </c>
      <c r="E409" s="19" t="inlineStr">
        <is>
          <t>Life cycle step 12: receipts</t>
        </is>
      </c>
      <c r="F409" s="19" t="inlineStr">
        <is>
          <t>Integration</t>
        </is>
      </c>
      <c r="G409" s="19" t="inlineStr">
        <is>
          <t>High</t>
        </is>
      </c>
      <c r="H409" s="19" t="inlineStr">
        <is>
          <t>Previous life cycle steps passed. Fresh database with the UAT data set.</t>
        </is>
      </c>
      <c r="I409" s="19" t="inlineStr">
        <is>
          <t>1. Open Accounts &gt; Receipts and click Add Receipt.
2. Receipt half the bill; then the balance.
3. Try one more peso.</t>
        </is>
      </c>
      <c r="J409" s="19" t="inlineStr">
        <is>
          <t>Motor policy of Kristine Villanueva; personas of the UAT data set</t>
        </is>
      </c>
      <c r="K409" s="19" t="inlineStr">
        <is>
          <t>Bill Partial then Paid; OR numbers issued; overpayment refused; trial balance balanced.</t>
        </is>
      </c>
      <c r="L409" s="19" t="inlineStr">
        <is>
          <t>As expected.</t>
        </is>
      </c>
      <c r="M409" s="19" t="inlineStr">
        <is>
          <t>Pass</t>
        </is>
      </c>
      <c r="N409" s="19" t="inlineStr"/>
      <c r="O409" s="19" t="inlineStr">
        <is>
          <t>iorta TechNXT QA</t>
        </is>
      </c>
      <c r="P409" s="19" t="inlineStr">
        <is>
          <t>04 October 2026</t>
        </is>
      </c>
      <c r="Q409" s="19" t="inlineStr"/>
      <c r="R409" s="19" t="inlineStr">
        <is>
          <t>backend/test/receipts.test.js :: official receipt against a receivable: partial then full payment, overpayment rejected [passed]
UAT cycle 03-04 October 2026, phase Billing and collection (61 passed, 0 failed)</t>
        </is>
      </c>
      <c r="S409" s="19" t="n"/>
    </row>
    <row r="410">
      <c r="A410" s="19" t="inlineStr">
        <is>
          <t>BV-E2E-013</t>
        </is>
      </c>
      <c r="B410" s="19" t="inlineStr">
        <is>
          <t>End-to-end life cycle</t>
        </is>
      </c>
      <c r="C410" s="19" t="inlineStr">
        <is>
          <t>Step 13: Commission payout</t>
        </is>
      </c>
      <c r="D410" s="19" t="inlineStr">
        <is>
          <t>Accounting Officer (liza.quiambao)</t>
        </is>
      </c>
      <c r="E410" s="19" t="inlineStr">
        <is>
          <t>Life cycle step 13: commission payout</t>
        </is>
      </c>
      <c r="F410" s="19" t="inlineStr">
        <is>
          <t>Integration</t>
        </is>
      </c>
      <c r="G410" s="19" t="inlineStr">
        <is>
          <t>High</t>
        </is>
      </c>
      <c r="H410" s="19" t="inlineStr">
        <is>
          <t>Previous life cycle steps passed. Fresh database with the UAT data set.</t>
        </is>
      </c>
      <c r="I410" s="19" t="inlineStr">
        <is>
          <t>1. Open Commission &gt; Agents/Referrer Accounts.
2. Mark eligible; approve as nestor.pangilinan; pay.</t>
        </is>
      </c>
      <c r="J410" s="19" t="inlineStr">
        <is>
          <t>Motor policy of Kristine Villanueva; personas of the UAT data set</t>
        </is>
      </c>
      <c r="K410" s="19" t="inlineStr">
        <is>
          <t>Not eligible before full collection; maker refused; WHT deducted; payable journal posted.</t>
        </is>
      </c>
      <c r="L410" s="19" t="inlineStr">
        <is>
          <t>As expected.</t>
        </is>
      </c>
      <c r="M410" s="19" t="inlineStr">
        <is>
          <t>Pass</t>
        </is>
      </c>
      <c r="N410" s="19" t="inlineStr"/>
      <c r="O410" s="19" t="inlineStr">
        <is>
          <t>iorta TechNXT QA</t>
        </is>
      </c>
      <c r="P410" s="19" t="inlineStr">
        <is>
          <t>04 October 2026</t>
        </is>
      </c>
      <c r="Q410" s="19" t="inlineStr"/>
      <c r="R410" s="19" t="inlineStr">
        <is>
          <t>backend/test/commission.test.js :: approval is maker-checker; approved lines post the accrual and can be bulk-disbursed and paid [passed]
UAT cycle 03-04 October 2026, phase Money: remittances, commission, petty cash (27 passed, 0 failed)</t>
        </is>
      </c>
      <c r="S410" s="19" t="n"/>
    </row>
    <row r="411">
      <c r="A411" s="19" t="inlineStr">
        <is>
          <t>BV-E2E-014</t>
        </is>
      </c>
      <c r="B411" s="19" t="inlineStr">
        <is>
          <t>End-to-end life cycle</t>
        </is>
      </c>
      <c r="C411" s="19" t="inlineStr">
        <is>
          <t>Step 14: Remittance</t>
        </is>
      </c>
      <c r="D411" s="19" t="inlineStr">
        <is>
          <t>Accounting Officer (liza.quiambao)</t>
        </is>
      </c>
      <c r="E411" s="19" t="inlineStr">
        <is>
          <t>Life cycle step 14: remittance</t>
        </is>
      </c>
      <c r="F411" s="19" t="inlineStr">
        <is>
          <t>Integration</t>
        </is>
      </c>
      <c r="G411" s="19" t="inlineStr">
        <is>
          <t>High</t>
        </is>
      </c>
      <c r="H411" s="19" t="inlineStr">
        <is>
          <t>Previous life cycle steps passed. Fresh database with the UAT data set.</t>
        </is>
      </c>
      <c r="I411" s="19" t="inlineStr">
        <is>
          <t>1. Open Accounts &gt; Remittance.
2. Create and process the remittance; approve per level; settle; approve.
3. Print the cheque.</t>
        </is>
      </c>
      <c r="J411" s="19" t="inlineStr">
        <is>
          <t>Motor policy of Kristine Villanueva; personas of the UAT data set</t>
        </is>
      </c>
      <c r="K411" s="19" t="inlineStr">
        <is>
          <t>Approvals by other users; insurer voucher net of commission; Disbursement register and Remittance Summary include it.</t>
        </is>
      </c>
      <c r="L411" s="19" t="inlineStr">
        <is>
          <t>As expected.</t>
        </is>
      </c>
      <c r="M411" s="19" t="inlineStr">
        <is>
          <t>Pass</t>
        </is>
      </c>
      <c r="N411" s="19" t="inlineStr"/>
      <c r="O411" s="19" t="inlineStr">
        <is>
          <t>iorta TechNXT QA</t>
        </is>
      </c>
      <c r="P411" s="19" t="inlineStr">
        <is>
          <t>04 October 2026</t>
        </is>
      </c>
      <c r="Q411" s="19" t="inlineStr"/>
      <c r="R411" s="19" t="inlineStr">
        <is>
          <t>backend/test/remittance.test.js :: an approved settlement raises the insurer payment voucher for the collected premium [passed]
UAT cycle 03-04 October 2026, phase Money: remittances, commission, petty cash (27 passed, 0 failed)</t>
        </is>
      </c>
      <c r="S411" s="19" t="n"/>
    </row>
    <row r="412">
      <c r="A412" s="19" t="inlineStr">
        <is>
          <t>BV-E2E-015</t>
        </is>
      </c>
      <c r="B412" s="19" t="inlineStr">
        <is>
          <t>End-to-end life cycle</t>
        </is>
      </c>
      <c r="C412" s="19" t="inlineStr">
        <is>
          <t>Step 15: Endorsement</t>
        </is>
      </c>
      <c r="D412" s="19" t="inlineStr">
        <is>
          <t>Operations / Client Service (ana.buenaventura)</t>
        </is>
      </c>
      <c r="E412" s="19" t="inlineStr">
        <is>
          <t>Life cycle step 15: endorsement</t>
        </is>
      </c>
      <c r="F412" s="19" t="inlineStr">
        <is>
          <t>Integration</t>
        </is>
      </c>
      <c r="G412" s="19" t="inlineStr">
        <is>
          <t>High</t>
        </is>
      </c>
      <c r="H412" s="19" t="inlineStr">
        <is>
          <t>Previous life cycle steps passed. Fresh database with the UAT data set.</t>
        </is>
      </c>
      <c r="I412" s="19" t="inlineStr">
        <is>
          <t>1. Open the policy and endorse a change of address.
2. Endorse an additional cover.</t>
        </is>
      </c>
      <c r="J412" s="19" t="inlineStr">
        <is>
          <t>Motor policy of Kristine Villanueva; personas of the UAT data set</t>
        </is>
      </c>
      <c r="K412" s="19" t="inlineStr">
        <is>
          <t>Address change not billed; additional cover billed as a new receivable; policy updated.</t>
        </is>
      </c>
      <c r="L412" s="19" t="inlineStr">
        <is>
          <t>As expected.</t>
        </is>
      </c>
      <c r="M412" s="19" t="inlineStr">
        <is>
          <t>Pass</t>
        </is>
      </c>
      <c r="N412" s="19" t="inlineStr"/>
      <c r="O412" s="19" t="inlineStr">
        <is>
          <t>iorta TechNXT QA</t>
        </is>
      </c>
      <c r="P412" s="19" t="inlineStr">
        <is>
          <t>04 October 2026</t>
        </is>
      </c>
      <c r="Q412" s="19" t="inlineStr"/>
      <c r="R412" s="19" t="inlineStr">
        <is>
          <t>backend/test/endorsements.test.js :: bills a positive delta as a new receivable with a balanced journal and a collection item, and updates the policy premium [passed]
UAT cycle 03-04 October 2026, phase Servicing: endorsements, renewals, claims (31 passed, 0 failed)</t>
        </is>
      </c>
      <c r="S412" s="19" t="n"/>
    </row>
    <row r="413">
      <c r="A413" s="19" t="inlineStr">
        <is>
          <t>BV-E2E-016</t>
        </is>
      </c>
      <c r="B413" s="19" t="inlineStr">
        <is>
          <t>End-to-end life cycle</t>
        </is>
      </c>
      <c r="C413" s="19" t="inlineStr">
        <is>
          <t>Step 16: Claim registration</t>
        </is>
      </c>
      <c r="D413" s="19" t="inlineStr">
        <is>
          <t>Claims Officer (carlo.estrada)</t>
        </is>
      </c>
      <c r="E413" s="19" t="inlineStr">
        <is>
          <t>Life cycle step 16: claim registration</t>
        </is>
      </c>
      <c r="F413" s="19" t="inlineStr">
        <is>
          <t>Integration</t>
        </is>
      </c>
      <c r="G413" s="19" t="inlineStr">
        <is>
          <t>High</t>
        </is>
      </c>
      <c r="H413" s="19" t="inlineStr">
        <is>
          <t>Previous life cycle steps passed. Fresh database with the UAT data set.</t>
        </is>
      </c>
      <c r="I413" s="19" t="inlineStr">
        <is>
          <t>1. Open Operations &gt; Claims; register with a loss date before inception.
2. Register with a valid loss date.</t>
        </is>
      </c>
      <c r="J413" s="19" t="inlineStr">
        <is>
          <t>Motor policy of Kristine Villanueva; personas of the UAT data set</t>
        </is>
      </c>
      <c r="K413" s="19" t="inlineStr">
        <is>
          <t>First refused; second registered; Claims Dashboard +1.</t>
        </is>
      </c>
      <c r="L413" s="19" t="inlineStr">
        <is>
          <t>As expected.</t>
        </is>
      </c>
      <c r="M413" s="19" t="inlineStr">
        <is>
          <t>Pass</t>
        </is>
      </c>
      <c r="N413" s="19" t="inlineStr"/>
      <c r="O413" s="19" t="inlineStr">
        <is>
          <t>iorta TechNXT QA</t>
        </is>
      </c>
      <c r="P413" s="19" t="inlineStr">
        <is>
          <t>04 October 2026</t>
        </is>
      </c>
      <c r="Q413" s="19" t="inlineStr"/>
      <c r="R413" s="19" t="inlineStr">
        <is>
          <t>backend/test/claims.test.js :: rejects invalid registrations (validation, loss date outside the period, unpaid premium) and honours the setting [passed]
UAT cycle 03-04 October 2026, phase Servicing: endorsements, renewals, claims (31 passed, 0 failed)</t>
        </is>
      </c>
      <c r="S413" s="19" t="n"/>
    </row>
    <row r="414">
      <c r="A414" s="19" t="inlineStr">
        <is>
          <t>BV-E2E-017</t>
        </is>
      </c>
      <c r="B414" s="19" t="inlineStr">
        <is>
          <t>End-to-end life cycle</t>
        </is>
      </c>
      <c r="C414" s="19" t="inlineStr">
        <is>
          <t>Step 17: Claim settlement</t>
        </is>
      </c>
      <c r="D414" s="19" t="inlineStr">
        <is>
          <t>Claims Officer (joy.macaraeg)</t>
        </is>
      </c>
      <c r="E414" s="19" t="inlineStr">
        <is>
          <t>Life cycle step 17: claim settlement</t>
        </is>
      </c>
      <c r="F414" s="19" t="inlineStr">
        <is>
          <t>Integration</t>
        </is>
      </c>
      <c r="G414" s="19" t="inlineStr">
        <is>
          <t>High</t>
        </is>
      </c>
      <c r="H414" s="19" t="inlineStr">
        <is>
          <t>Previous life cycle steps passed. Fresh database with the UAT data set.</t>
        </is>
      </c>
      <c r="I414" s="19" t="inlineStr">
        <is>
          <t>1. Review and enter the settlement as carlo.estrada.
2. Approve as joy.macaraeg.</t>
        </is>
      </c>
      <c r="J414" s="19" t="inlineStr">
        <is>
          <t>Motor policy of Kristine Villanueva; personas of the UAT data set</t>
        </is>
      </c>
      <c r="K414" s="19" t="inlineStr">
        <is>
          <t>Maker refused; status Settled; Claims Position updated.</t>
        </is>
      </c>
      <c r="L414" s="19" t="inlineStr">
        <is>
          <t>As expected.</t>
        </is>
      </c>
      <c r="M414" s="19" t="inlineStr">
        <is>
          <t>Pass</t>
        </is>
      </c>
      <c r="N414" s="19" t="inlineStr"/>
      <c r="O414" s="19" t="inlineStr">
        <is>
          <t>iorta TechNXT QA</t>
        </is>
      </c>
      <c r="P414" s="19" t="inlineStr">
        <is>
          <t>04 October 2026</t>
        </is>
      </c>
      <c r="Q414" s="19" t="inlineStr"/>
      <c r="R414" s="19" t="inlineStr">
        <is>
          <t>backend/test/claims.test.js :: moves through review, adjuster report, settlement maker-checker to settled and closed [passed]
UAT cycle 03-04 October 2026, phase Servicing: endorsements, renewals, claims (31 passed, 0 failed)</t>
        </is>
      </c>
      <c r="S414" s="19" t="n"/>
    </row>
    <row r="415">
      <c r="A415" s="19" t="inlineStr">
        <is>
          <t>BV-E2E-018</t>
        </is>
      </c>
      <c r="B415" s="19" t="inlineStr">
        <is>
          <t>End-to-end life cycle</t>
        </is>
      </c>
      <c r="C415" s="19" t="inlineStr">
        <is>
          <t>Step 18: Journal voucher</t>
        </is>
      </c>
      <c r="D415" s="19" t="inlineStr">
        <is>
          <t>Accounting Officer (liza.quiambao)</t>
        </is>
      </c>
      <c r="E415" s="19" t="inlineStr">
        <is>
          <t>Life cycle step 18: journal voucher</t>
        </is>
      </c>
      <c r="F415" s="19" t="inlineStr">
        <is>
          <t>Integration</t>
        </is>
      </c>
      <c r="G415" s="19" t="inlineStr">
        <is>
          <t>High</t>
        </is>
      </c>
      <c r="H415" s="19" t="inlineStr">
        <is>
          <t>Previous life cycle steps passed. Fresh database with the UAT data set.</t>
        </is>
      </c>
      <c r="I415" s="19" t="inlineStr">
        <is>
          <t>1. Open Accounts &gt; Journal Voucher and Add Journal Voucher, unbalanced; then balanced.
2. Approve as teresa.villaroman.</t>
        </is>
      </c>
      <c r="J415" s="19" t="inlineStr">
        <is>
          <t>Motor policy of Kristine Villanueva; personas of the UAT data set</t>
        </is>
      </c>
      <c r="K415" s="19" t="inlineStr">
        <is>
          <t>Unbalanced refused; posted JV in the Journal register; trial balance balanced.</t>
        </is>
      </c>
      <c r="L415" s="19" t="inlineStr">
        <is>
          <t>As expected.</t>
        </is>
      </c>
      <c r="M415" s="19" t="inlineStr">
        <is>
          <t>Pass</t>
        </is>
      </c>
      <c r="N415" s="19" t="inlineStr"/>
      <c r="O415" s="19" t="inlineStr">
        <is>
          <t>iorta TechNXT QA</t>
        </is>
      </c>
      <c r="P415" s="19" t="inlineStr">
        <is>
          <t>04 October 2026</t>
        </is>
      </c>
      <c r="Q415" s="19" t="inlineStr"/>
      <c r="R415" s="19" t="inlineStr">
        <is>
          <t>backend/test/journal.test.js :: maker creates a voucher for approval; maker cannot approve; checker approves and it posts [passed]
UAT cycle 03-04 October 2026, phase Reconciliation: bank and insurer statements (10 passed, 0 failed)</t>
        </is>
      </c>
      <c r="S415" s="19" t="n"/>
    </row>
    <row r="416">
      <c r="A416" s="19" t="inlineStr">
        <is>
          <t>BV-E2E-019</t>
        </is>
      </c>
      <c r="B416" s="19" t="inlineStr">
        <is>
          <t>End-to-end life cycle</t>
        </is>
      </c>
      <c r="C416" s="19" t="inlineStr">
        <is>
          <t>Step 19: Scheduled jobs</t>
        </is>
      </c>
      <c r="D416" s="19" t="inlineStr">
        <is>
          <t>System Administrator (BrokerVerse)</t>
        </is>
      </c>
      <c r="E416" s="19" t="inlineStr">
        <is>
          <t>Life cycle step 19: scheduled jobs</t>
        </is>
      </c>
      <c r="F416" s="19" t="inlineStr">
        <is>
          <t>Integration</t>
        </is>
      </c>
      <c r="G416" s="19" t="inlineStr">
        <is>
          <t>High</t>
        </is>
      </c>
      <c r="H416" s="19" t="inlineStr">
        <is>
          <t>Previous life cycle steps passed. Fresh database with the UAT data set.</t>
        </is>
      </c>
      <c r="I416" s="19" t="inlineStr">
        <is>
          <t>1. Open Master &gt; Schedules.
2. Run renewal notices, receivable ageing and collection reminders.</t>
        </is>
      </c>
      <c r="J416" s="19" t="inlineStr">
        <is>
          <t>Motor policy of Kristine Villanueva; personas of the UAT data set</t>
        </is>
      </c>
      <c r="K416" s="19" t="inlineStr">
        <is>
          <t>Runs recorded; notices queued; ageing buckets updated.</t>
        </is>
      </c>
      <c r="L416" s="19" t="inlineStr">
        <is>
          <t>As expected.</t>
        </is>
      </c>
      <c r="M416" s="19" t="inlineStr">
        <is>
          <t>Pass</t>
        </is>
      </c>
      <c r="N416" s="19" t="inlineStr"/>
      <c r="O416" s="19" t="inlineStr">
        <is>
          <t>iorta TechNXT QA</t>
        </is>
      </c>
      <c r="P416" s="19" t="inlineStr">
        <is>
          <t>04 October 2026</t>
        </is>
      </c>
      <c r="Q416" s="19" t="inlineStr"/>
      <c r="R416" s="19" t="inlineStr">
        <is>
          <t>backend/test/core.test.js :: runs a scheduled job and records the run [passed]
UAT cycle 03-04 October 2026, phase Servicing: endorsements, renewals, claims (31 passed, 0 failed)</t>
        </is>
      </c>
      <c r="S416" s="19" t="n"/>
    </row>
    <row r="417">
      <c r="A417" s="19" t="inlineStr">
        <is>
          <t>BV-E2E-020</t>
        </is>
      </c>
      <c r="B417" s="19" t="inlineStr">
        <is>
          <t>End-to-end life cycle</t>
        </is>
      </c>
      <c r="C417" s="19" t="inlineStr">
        <is>
          <t>Step 20: Renewal</t>
        </is>
      </c>
      <c r="D417" s="19" t="inlineStr">
        <is>
          <t>Processing Team (jose.bernardo)</t>
        </is>
      </c>
      <c r="E417" s="19" t="inlineStr">
        <is>
          <t>Life cycle step 20: renewal</t>
        </is>
      </c>
      <c r="F417" s="19" t="inlineStr">
        <is>
          <t>Integration</t>
        </is>
      </c>
      <c r="G417" s="19" t="inlineStr">
        <is>
          <t>High</t>
        </is>
      </c>
      <c r="H417" s="19" t="inlineStr">
        <is>
          <t>Previous life cycle steps passed. Fresh database with the UAT data set.</t>
        </is>
      </c>
      <c r="I417" s="19" t="inlineStr">
        <is>
          <t>1. Open Operations &gt; Renewals &gt; Renewal Queue.
2. Generate Quote; submit; approve as rica.fernandez; complete.</t>
        </is>
      </c>
      <c r="J417" s="19" t="inlineStr">
        <is>
          <t>Motor policy of Kristine Villanueva; personas of the UAT data set</t>
        </is>
      </c>
      <c r="K417" s="19" t="inlineStr">
        <is>
          <t>Re-rated premium and variance; new term issued; old term Renewed.</t>
        </is>
      </c>
      <c r="L417" s="19" t="inlineStr">
        <is>
          <t>As expected.</t>
        </is>
      </c>
      <c r="M417" s="19" t="inlineStr">
        <is>
          <t>Pass</t>
        </is>
      </c>
      <c r="N417" s="19" t="inlineStr"/>
      <c r="O417" s="19" t="inlineStr">
        <is>
          <t>iorta TechNXT QA</t>
        </is>
      </c>
      <c r="P417" s="19" t="inlineStr">
        <is>
          <t>04 October 2026</t>
        </is>
      </c>
      <c r="Q417" s="19" t="inlineStr"/>
      <c r="R417" s="19" t="inlineStr">
        <is>
          <t>backend/test/renewals.test.js :: requires checker approval by a different user and then renews into a new policy term [passed]
UAT cycle 03-04 October 2026, phase Servicing: endorsements, renewals, claims (31 passed, 0 failed)</t>
        </is>
      </c>
      <c r="S417" s="19" t="n"/>
    </row>
    <row r="418">
      <c r="A418" s="19" t="inlineStr">
        <is>
          <t>BV-E2E-021</t>
        </is>
      </c>
      <c r="B418" s="19" t="inlineStr">
        <is>
          <t>End-to-end life cycle</t>
        </is>
      </c>
      <c r="C418" s="19" t="inlineStr">
        <is>
          <t>Step 21: Role access</t>
        </is>
      </c>
      <c r="D418" s="19" t="inlineStr">
        <is>
          <t>Any signed-in user</t>
        </is>
      </c>
      <c r="E418" s="19" t="inlineStr">
        <is>
          <t>Life cycle step 21: role access</t>
        </is>
      </c>
      <c r="F418" s="19" t="inlineStr">
        <is>
          <t>Integration</t>
        </is>
      </c>
      <c r="G418" s="19" t="inlineStr">
        <is>
          <t>High</t>
        </is>
      </c>
      <c r="H418" s="19" t="inlineStr">
        <is>
          <t>Previous life cycle steps passed. Fresh database with the UAT data set.</t>
        </is>
      </c>
      <c r="I418" s="19" t="inlineStr">
        <is>
          <t>1. Sign in as each persona.
2. Compare the menu with the role grants.
3. Type a forbidden address.</t>
        </is>
      </c>
      <c r="J418" s="19" t="inlineStr">
        <is>
          <t>Motor policy of Kristine Villanueva; personas of the UAT data set</t>
        </is>
      </c>
      <c r="K418" s="19" t="inlineStr">
        <is>
          <t>Only own menus; forbidden address not opened; the API refuses the same action.</t>
        </is>
      </c>
      <c r="L418" s="19" t="inlineStr">
        <is>
          <t>As expected.</t>
        </is>
      </c>
      <c r="M418" s="19" t="inlineStr">
        <is>
          <t>Pass</t>
        </is>
      </c>
      <c r="N418" s="19" t="inlineStr"/>
      <c r="O418" s="19" t="inlineStr">
        <is>
          <t>iorta TechNXT QA</t>
        </is>
      </c>
      <c r="P418" s="19" t="inlineStr">
        <is>
          <t>03 October 2026</t>
        </is>
      </c>
      <c r="Q418" s="19" t="inlineStr"/>
      <c r="R418" s="19" t="inlineStr">
        <is>
          <t>brokerverse/src/utils/menuPermissions.test.js :: allows the role's own screens and the home route [passed]
backend/test/hardening.test.js :: every non-public route answers 401 without a token [passed]</t>
        </is>
      </c>
      <c r="S418" s="19" t="n"/>
    </row>
    <row r="419">
      <c r="A419" s="19" t="inlineStr">
        <is>
          <t>BV-E2E-022</t>
        </is>
      </c>
      <c r="B419" s="19" t="inlineStr">
        <is>
          <t>End-to-end life cycle</t>
        </is>
      </c>
      <c r="C419" s="19" t="inlineStr">
        <is>
          <t>Step 22: Reports</t>
        </is>
      </c>
      <c r="D419" s="19" t="inlineStr">
        <is>
          <t>System Administrator (BrokerVerse)</t>
        </is>
      </c>
      <c r="E419" s="19" t="inlineStr">
        <is>
          <t>Life cycle step 22: reports</t>
        </is>
      </c>
      <c r="F419" s="19" t="inlineStr">
        <is>
          <t>Integration</t>
        </is>
      </c>
      <c r="G419" s="19" t="inlineStr">
        <is>
          <t>High</t>
        </is>
      </c>
      <c r="H419" s="19" t="inlineStr">
        <is>
          <t>Previous life cycle steps passed. Fresh database with the UAT data set.</t>
        </is>
      </c>
      <c r="I419" s="19" t="inlineStr">
        <is>
          <t>1. Open Reports &gt; All Reports.
2. Run and generate each report for the test period.</t>
        </is>
      </c>
      <c r="J419" s="19" t="inlineStr">
        <is>
          <t>Motor policy of Kristine Villanueva; personas of the UAT data set</t>
        </is>
      </c>
      <c r="K419" s="19" t="inlineStr">
        <is>
          <t>Each report returns rows and the file downloads.</t>
        </is>
      </c>
      <c r="L419" s="19" t="inlineStr">
        <is>
          <t>As expected.</t>
        </is>
      </c>
      <c r="M419" s="19" t="inlineStr">
        <is>
          <t>Pass</t>
        </is>
      </c>
      <c r="N419" s="19" t="inlineStr"/>
      <c r="O419" s="19" t="inlineStr">
        <is>
          <t>iorta TechNXT QA</t>
        </is>
      </c>
      <c r="P419" s="19" t="inlineStr">
        <is>
          <t>04 October 2026</t>
        </is>
      </c>
      <c r="Q419" s="19" t="inlineStr"/>
      <c r="R419" s="19" t="inlineStr">
        <is>
          <t>backend/test/reports.test.js :: writes CSV, XLSX and PDF files, records history and serves downloads [passed]
UAT cycle 03-04 October 2026, phase Reports and dashboards (58 passed, 0 failed)</t>
        </is>
      </c>
      <c r="S419" s="19" t="n"/>
    </row>
    <row r="420">
      <c r="A420" s="19" t="inlineStr">
        <is>
          <t>BV-E2E-023</t>
        </is>
      </c>
      <c r="B420" s="19" t="inlineStr">
        <is>
          <t>End-to-end life cycle</t>
        </is>
      </c>
      <c r="C420" s="19" t="inlineStr">
        <is>
          <t>Step 23: Audit trail</t>
        </is>
      </c>
      <c r="D420" s="19" t="inlineStr">
        <is>
          <t>System Administrator (BrokerVerse)</t>
        </is>
      </c>
      <c r="E420" s="19" t="inlineStr">
        <is>
          <t>Life cycle step 23: audit trail</t>
        </is>
      </c>
      <c r="F420" s="19" t="inlineStr">
        <is>
          <t>Integration</t>
        </is>
      </c>
      <c r="G420" s="19" t="inlineStr">
        <is>
          <t>High</t>
        </is>
      </c>
      <c r="H420" s="19" t="inlineStr">
        <is>
          <t>Previous life cycle steps passed. Fresh database with the UAT data set.</t>
        </is>
      </c>
      <c r="I420" s="19" t="inlineStr">
        <is>
          <t>1. Open Master &gt; Audit Trail.
2. Filter by the policy number.</t>
        </is>
      </c>
      <c r="J420" s="19" t="inlineStr">
        <is>
          <t>Motor policy of Kristine Villanueva; personas of the UAT data set</t>
        </is>
      </c>
      <c r="K420" s="19" t="inlineStr">
        <is>
          <t>Every create, approval and payment listed with user and time.</t>
        </is>
      </c>
      <c r="L420" s="19" t="inlineStr">
        <is>
          <t>As expected.</t>
        </is>
      </c>
      <c r="M420" s="19" t="inlineStr">
        <is>
          <t>Pass</t>
        </is>
      </c>
      <c r="N420" s="19" t="inlineStr"/>
      <c r="O420" s="19" t="inlineStr">
        <is>
          <t>iorta TechNXT QA</t>
        </is>
      </c>
      <c r="P420" s="19" t="inlineStr">
        <is>
          <t>03 October 2026</t>
        </is>
      </c>
      <c r="Q420" s="19" t="inlineStr"/>
      <c r="R420" s="19" t="inlineStr">
        <is>
          <t>backend/test/core.test.js :: writes an audit trail [passed]</t>
        </is>
      </c>
      <c r="S420" s="19" t="n"/>
    </row>
    <row r="421">
      <c r="A421" s="19" t="inlineStr">
        <is>
          <t>BV-RPT-007</t>
        </is>
      </c>
      <c r="B421" s="19" t="inlineStr">
        <is>
          <t>Reports</t>
        </is>
      </c>
      <c r="C421" s="19" t="inlineStr">
        <is>
          <t>Production Register</t>
        </is>
      </c>
      <c r="D421" s="19" t="inlineStr">
        <is>
          <t>Sales / Account Executive (maria.rivera)</t>
        </is>
      </c>
      <c r="E421" s="19" t="inlineStr">
        <is>
          <t>Run Production Register with every criterion and export to Excel</t>
        </is>
      </c>
      <c r="F421" s="19" t="inlineStr">
        <is>
          <t>Report</t>
        </is>
      </c>
      <c r="G421" s="19" t="inlineStr">
        <is>
          <t>High</t>
        </is>
      </c>
      <c r="H421" s="19" t="inlineStr">
        <is>
          <t>UAT data set loaded (May to October 2026).</t>
        </is>
      </c>
      <c r="I421" s="19" t="inlineStr">
        <is>
          <t>1. Open Reports &gt; Operational Reports &gt; Production.
2. Set From Date 01 May 2026 and To Date 04 October 2026.
3. Run the report for each Report Criteria: Overall, Agent, Principal Insurer, Branch, Billing Mode.
4. Click Generate and choose XLSX; open the file.</t>
        </is>
      </c>
      <c r="J421" s="19" t="inlineStr">
        <is>
          <t>From 01 May 2026 to 04 October 2026; BankAccount BDO-OPS where asked</t>
        </is>
      </c>
      <c r="K421" s="19" t="inlineStr">
        <is>
          <t>Each criterion returns rows for the test period; totals shown; the XLSX file downloads and opens with the same rows.</t>
        </is>
      </c>
      <c r="L421" s="19" t="inlineStr">
        <is>
          <t>Rows returned: Overall: 61, Agent: 61, Principal Insurer: 61, Branch: 61, Billing Mode: 61. XLSX produced.</t>
        </is>
      </c>
      <c r="M421" s="19" t="inlineStr">
        <is>
          <t>Pass</t>
        </is>
      </c>
      <c r="N421" s="19" t="inlineStr"/>
      <c r="O421" s="19" t="inlineStr">
        <is>
          <t>iorta TechNXT QA</t>
        </is>
      </c>
      <c r="P421" s="19" t="inlineStr">
        <is>
          <t>04 October 2026</t>
        </is>
      </c>
      <c r="Q421" s="19" t="inlineStr"/>
      <c r="R421" s="19" t="inlineStr">
        <is>
          <t>backend/test/reports.test.js :: production register: rows, totals, summary, criteria groups and filters [passed]
backend/test/uat-disconnects.test.js :: the production register and the executive trend show a policy in the month it was issued [passed]
UAT cycle 03-04 October 2026, phase Reports and dashboards (58 passed, 0 failed)</t>
        </is>
      </c>
      <c r="S421" s="19" t="n"/>
    </row>
    <row r="422">
      <c r="A422" s="19" t="inlineStr">
        <is>
          <t>BV-RPT-008</t>
        </is>
      </c>
      <c r="B422" s="19" t="inlineStr">
        <is>
          <t>Reports</t>
        </is>
      </c>
      <c r="C422" s="19" t="inlineStr">
        <is>
          <t>Claims Position</t>
        </is>
      </c>
      <c r="D422" s="19" t="inlineStr">
        <is>
          <t>Claims Officer (carlo.estrada)</t>
        </is>
      </c>
      <c r="E422" s="19" t="inlineStr">
        <is>
          <t>Run Claims Position with every criterion and export to Excel</t>
        </is>
      </c>
      <c r="F422" s="19" t="inlineStr">
        <is>
          <t>Report</t>
        </is>
      </c>
      <c r="G422" s="19" t="inlineStr">
        <is>
          <t>High</t>
        </is>
      </c>
      <c r="H422" s="19" t="inlineStr">
        <is>
          <t>UAT data set loaded (May to October 2026).</t>
        </is>
      </c>
      <c r="I422" s="19" t="inlineStr">
        <is>
          <t>1. Open Reports &gt; Operational Reports &gt; Claims.
2. Set From Date 01 May 2026 and To Date 04 October 2026.
3. Run the report for each Report Criteria: All, Open, Settled, Rejected, Aging.
4. Click Generate and choose XLSX; open the file.</t>
        </is>
      </c>
      <c r="J422" s="19" t="inlineStr">
        <is>
          <t>From 01 May 2026 to 04 October 2026; BankAccount BDO-OPS where asked</t>
        </is>
      </c>
      <c r="K422" s="19" t="inlineStr">
        <is>
          <t>Each criterion returns rows for the test period; totals shown; the XLSX file downloads and opens with the same rows.</t>
        </is>
      </c>
      <c r="L422" s="19" t="inlineStr">
        <is>
          <t>Rows returned: All: 8, Open: 2, Settled: 6, Rejected: 0, Aging: 2. XLSX produced.</t>
        </is>
      </c>
      <c r="M422" s="19" t="inlineStr">
        <is>
          <t>Pass</t>
        </is>
      </c>
      <c r="N422" s="19" t="inlineStr"/>
      <c r="O422" s="19" t="inlineStr">
        <is>
          <t>iorta TechNXT QA</t>
        </is>
      </c>
      <c r="P422" s="19" t="inlineStr">
        <is>
          <t>04 October 2026</t>
        </is>
      </c>
      <c r="Q422" s="19" t="inlineStr"/>
      <c r="R422" s="19" t="inlineStr">
        <is>
          <t>backend/test/reports.test.js :: claims position by criteria [passed]
UAT cycle 03-04 October 2026, phase Reports and dashboards (58 passed, 0 failed)</t>
        </is>
      </c>
      <c r="S422" s="19" t="n"/>
    </row>
    <row r="423">
      <c r="A423" s="19" t="inlineStr">
        <is>
          <t>BV-RPT-009</t>
        </is>
      </c>
      <c r="B423" s="19" t="inlineStr">
        <is>
          <t>Reports</t>
        </is>
      </c>
      <c r="C423" s="19" t="inlineStr">
        <is>
          <t>Renewal Retention</t>
        </is>
      </c>
      <c r="D423" s="19" t="inlineStr">
        <is>
          <t>Sales / Account Executive (maria.rivera)</t>
        </is>
      </c>
      <c r="E423" s="19" t="inlineStr">
        <is>
          <t>Run Renewal Retention with every criterion and export to Excel</t>
        </is>
      </c>
      <c r="F423" s="19" t="inlineStr">
        <is>
          <t>Report</t>
        </is>
      </c>
      <c r="G423" s="19" t="inlineStr">
        <is>
          <t>Medium</t>
        </is>
      </c>
      <c r="H423" s="19" t="inlineStr">
        <is>
          <t>UAT data set loaded (May to October 2026).</t>
        </is>
      </c>
      <c r="I423" s="19" t="inlineStr">
        <is>
          <t>1. Open Reports &gt; Operational Reports &gt; Renewal.
2. Set From Date 01 May 2026 and To Date 04 October 2026.
3. Run the report for each Report Criteria: Overall, Agent, Principal Insurer, Branch.
4. Click Generate and choose XLSX; open the file.</t>
        </is>
      </c>
      <c r="J423" s="19" t="inlineStr">
        <is>
          <t>From 01 May 2026 to 04 October 2026; BankAccount BDO-OPS where asked</t>
        </is>
      </c>
      <c r="K423" s="19" t="inlineStr">
        <is>
          <t>Each criterion returns rows for the test period; totals shown; the XLSX file downloads and opens with the same rows.</t>
        </is>
      </c>
      <c r="L423" s="19" t="inlineStr">
        <is>
          <t>Rows returned: Overall: 6, Agent: 6, Principal Insurer: 6, Branch: 6. XLSX produced.</t>
        </is>
      </c>
      <c r="M423" s="19" t="inlineStr">
        <is>
          <t>Pass</t>
        </is>
      </c>
      <c r="N423" s="19" t="inlineStr"/>
      <c r="O423" s="19" t="inlineStr">
        <is>
          <t>iorta TechNXT QA</t>
        </is>
      </c>
      <c r="P423" s="19" t="inlineStr">
        <is>
          <t>04 October 2026</t>
        </is>
      </c>
      <c r="Q423" s="19" t="inlineStr"/>
      <c r="R423" s="19" t="inlineStr">
        <is>
          <t>backend/test/reports.test.js :: renewal retention, commission statement and remittance summary [passed]
UAT cycle 03-04 October 2026, phase Reports and dashboards (58 passed, 0 failed)</t>
        </is>
      </c>
      <c r="S423" s="19" t="n"/>
    </row>
    <row r="424">
      <c r="A424" s="19" t="inlineStr">
        <is>
          <t>BV-RPT-010</t>
        </is>
      </c>
      <c r="B424" s="19" t="inlineStr">
        <is>
          <t>Reports</t>
        </is>
      </c>
      <c r="C424" s="19" t="inlineStr">
        <is>
          <t>Remittance Summary</t>
        </is>
      </c>
      <c r="D424" s="19" t="inlineStr">
        <is>
          <t>Sales / Account Executive (maria.rivera)</t>
        </is>
      </c>
      <c r="E424" s="19" t="inlineStr">
        <is>
          <t>Run Remittance Summary with every criterion and export to Excel</t>
        </is>
      </c>
      <c r="F424" s="19" t="inlineStr">
        <is>
          <t>Report</t>
        </is>
      </c>
      <c r="G424" s="19" t="inlineStr">
        <is>
          <t>Medium</t>
        </is>
      </c>
      <c r="H424" s="19" t="inlineStr">
        <is>
          <t>UAT data set loaded (May to October 2026).</t>
        </is>
      </c>
      <c r="I424" s="19" t="inlineStr">
        <is>
          <t>1. Open Reports &gt; Operational Reports &gt; Remittance.
2. Set From Date 01 May 2026 and To Date 04 October 2026.
3. Run the report for each Report Criteria: Overall, Agent, Principal Insurer, Branch.
4. Click Generate and choose XLSX; open the file.</t>
        </is>
      </c>
      <c r="J424" s="19" t="inlineStr">
        <is>
          <t>From 01 May 2026 to 04 October 2026; BankAccount BDO-OPS where asked</t>
        </is>
      </c>
      <c r="K424" s="19" t="inlineStr">
        <is>
          <t>Each criterion returns rows for the test period; totals shown; the XLSX file downloads and opens with the same rows.</t>
        </is>
      </c>
      <c r="L424" s="19" t="inlineStr">
        <is>
          <t>Rows returned: Overall: 22, Agent: 22, Principal Insurer: 22, Branch: 22. XLSX produced.</t>
        </is>
      </c>
      <c r="M424" s="19" t="inlineStr">
        <is>
          <t>Pass</t>
        </is>
      </c>
      <c r="N424" s="19" t="inlineStr"/>
      <c r="O424" s="19" t="inlineStr">
        <is>
          <t>iorta TechNXT QA</t>
        </is>
      </c>
      <c r="P424" s="19" t="inlineStr">
        <is>
          <t>04 October 2026</t>
        </is>
      </c>
      <c r="Q424" s="19" t="inlineStr"/>
      <c r="R424" s="19" t="inlineStr">
        <is>
          <t>backend/test/reports.test.js :: renewal retention, commission statement and remittance summary [passed]
UAT cycle 03-04 October 2026, phase Reports and dashboards (58 passed, 0 failed)</t>
        </is>
      </c>
      <c r="S424" s="19" t="n"/>
    </row>
    <row r="425">
      <c r="A425" s="19" t="inlineStr">
        <is>
          <t>BV-RPT-011</t>
        </is>
      </c>
      <c r="B425" s="19" t="inlineStr">
        <is>
          <t>Reports</t>
        </is>
      </c>
      <c r="C425" s="19" t="inlineStr">
        <is>
          <t>Broker Commission Statement</t>
        </is>
      </c>
      <c r="D425" s="19" t="inlineStr">
        <is>
          <t>Sales / Account Executive (maria.rivera)</t>
        </is>
      </c>
      <c r="E425" s="19" t="inlineStr">
        <is>
          <t>Run Broker Commission Statement with every criterion and export to Excel</t>
        </is>
      </c>
      <c r="F425" s="19" t="inlineStr">
        <is>
          <t>Report</t>
        </is>
      </c>
      <c r="G425" s="19" t="inlineStr">
        <is>
          <t>Medium</t>
        </is>
      </c>
      <c r="H425" s="19" t="inlineStr">
        <is>
          <t>UAT data set loaded (May to October 2026).</t>
        </is>
      </c>
      <c r="I425" s="19" t="inlineStr">
        <is>
          <t>1. Open Reports &gt; Operational Reports &gt; Broker Commission.
2. Set From Date 01 May 2026 and To Date 04 October 2026.
3. Run the report for each Report Criteria: Overall, Agent, Principal Insurer, Branch.
4. Click Generate and choose XLSX; open the file.</t>
        </is>
      </c>
      <c r="J425" s="19" t="inlineStr">
        <is>
          <t>From 01 May 2026 to 04 October 2026; BankAccount BDO-OPS where asked</t>
        </is>
      </c>
      <c r="K425" s="19" t="inlineStr">
        <is>
          <t>Each criterion returns rows for the test period; totals shown; the XLSX file downloads and opens with the same rows.</t>
        </is>
      </c>
      <c r="L425" s="19" t="inlineStr">
        <is>
          <t>Rows returned: Overall: 33, Agent: 33, Principal Insurer: 33, Branch: 33. XLSX produced.</t>
        </is>
      </c>
      <c r="M425" s="19" t="inlineStr">
        <is>
          <t>Pass</t>
        </is>
      </c>
      <c r="N425" s="19" t="inlineStr"/>
      <c r="O425" s="19" t="inlineStr">
        <is>
          <t>iorta TechNXT QA</t>
        </is>
      </c>
      <c r="P425" s="19" t="inlineStr">
        <is>
          <t>04 October 2026</t>
        </is>
      </c>
      <c r="Q425" s="19" t="inlineStr"/>
      <c r="R425" s="19" t="inlineStr">
        <is>
          <t>backend/test/reports.test.js :: renewal retention, commission statement and remittance summary [passed]
UAT cycle 03-04 October 2026, phase Reports and dashboards (58 passed, 0 failed)</t>
        </is>
      </c>
      <c r="S425" s="19" t="n"/>
    </row>
    <row r="426">
      <c r="A426" s="19" t="inlineStr">
        <is>
          <t>BV-RPT-012</t>
        </is>
      </c>
      <c r="B426" s="19" t="inlineStr">
        <is>
          <t>Reports</t>
        </is>
      </c>
      <c r="C426" s="19" t="inlineStr">
        <is>
          <t>Premium by Product / Month / Insurer</t>
        </is>
      </c>
      <c r="D426" s="19" t="inlineStr">
        <is>
          <t>Sales / Account Executive (maria.rivera)</t>
        </is>
      </c>
      <c r="E426" s="19" t="inlineStr">
        <is>
          <t>Run Premium by Product / Month / Insurer with every criterion and export to Excel</t>
        </is>
      </c>
      <c r="F426" s="19" t="inlineStr">
        <is>
          <t>Report</t>
        </is>
      </c>
      <c r="G426" s="19" t="inlineStr">
        <is>
          <t>Medium</t>
        </is>
      </c>
      <c r="H426" s="19" t="inlineStr">
        <is>
          <t>UAT data set loaded (May to October 2026).</t>
        </is>
      </c>
      <c r="I426" s="19" t="inlineStr">
        <is>
          <t>1. Open Reports &gt; All Reports and select "Premium by Product / Month / Insurer".
2. Set From Date 01 May 2026 and To Date 04 October 2026.
3. Run the report for each Report Criteria: Overall, Product, Month, Principal Insurer.
4. Click Generate and choose XLSX; open the file.</t>
        </is>
      </c>
      <c r="J426" s="19" t="inlineStr">
        <is>
          <t>From 01 May 2026 to 04 October 2026; BankAccount BDO-OPS where asked</t>
        </is>
      </c>
      <c r="K426" s="19" t="inlineStr">
        <is>
          <t>Each criterion returns rows for the test period; totals shown; the XLSX file downloads and opens with the same rows.</t>
        </is>
      </c>
      <c r="L426" s="19" t="inlineStr">
        <is>
          <t>Rows returned: Overall: 57, Product: 14, Month: 6, Principal Insurer: 7. XLSX produced.</t>
        </is>
      </c>
      <c r="M426" s="19" t="inlineStr">
        <is>
          <t>Pass</t>
        </is>
      </c>
      <c r="N426" s="19" t="inlineStr"/>
      <c r="O426" s="19" t="inlineStr">
        <is>
          <t>iorta TechNXT QA</t>
        </is>
      </c>
      <c r="P426" s="19" t="inlineStr">
        <is>
          <t>04 October 2026</t>
        </is>
      </c>
      <c r="Q426" s="19" t="inlineStr"/>
      <c r="R426" s="19" t="inlineStr">
        <is>
          <t>backend/test/reports.test.js :: aggregate reports: premium by product/month, new vs renewal, lead funnel, cessions, incentives [passed]
UAT cycle 03-04 October 2026, phase Reports and dashboards (58 passed, 0 failed)</t>
        </is>
      </c>
      <c r="S426" s="19" t="n"/>
    </row>
    <row r="427">
      <c r="A427" s="19" t="inlineStr">
        <is>
          <t>BV-RPT-013</t>
        </is>
      </c>
      <c r="B427" s="19" t="inlineStr">
        <is>
          <t>Reports</t>
        </is>
      </c>
      <c r="C427" s="19" t="inlineStr">
        <is>
          <t>New Business vs Renewals</t>
        </is>
      </c>
      <c r="D427" s="19" t="inlineStr">
        <is>
          <t>Sales / Account Executive (maria.rivera)</t>
        </is>
      </c>
      <c r="E427" s="19" t="inlineStr">
        <is>
          <t>Run New Business vs Renewals with every criterion and export to Excel</t>
        </is>
      </c>
      <c r="F427" s="19" t="inlineStr">
        <is>
          <t>Report</t>
        </is>
      </c>
      <c r="G427" s="19" t="inlineStr">
        <is>
          <t>Medium</t>
        </is>
      </c>
      <c r="H427" s="19" t="inlineStr">
        <is>
          <t>UAT data set loaded (May to October 2026).</t>
        </is>
      </c>
      <c r="I427" s="19" t="inlineStr">
        <is>
          <t>1. Open Reports &gt; All Reports and select "New Business vs Renewals".
2. Set From Date 01 May 2026 and To Date 04 October 2026.
3. Run the report for each Report Criteria: Overall, Business Type, Agent.
4. Click Generate and choose XLSX; open the file.</t>
        </is>
      </c>
      <c r="J427" s="19" t="inlineStr">
        <is>
          <t>From 01 May 2026 to 04 October 2026; BankAccount BDO-OPS where asked</t>
        </is>
      </c>
      <c r="K427" s="19" t="inlineStr">
        <is>
          <t>Each criterion returns rows for the test period; totals shown; the XLSX file downloads and opens with the same rows.</t>
        </is>
      </c>
      <c r="L427" s="19" t="inlineStr">
        <is>
          <t>Rows returned: Overall: 9, Business Type: 2, Agent: 5. XLSX produced.</t>
        </is>
      </c>
      <c r="M427" s="19" t="inlineStr">
        <is>
          <t>Pass</t>
        </is>
      </c>
      <c r="N427" s="19" t="inlineStr"/>
      <c r="O427" s="19" t="inlineStr">
        <is>
          <t>iorta TechNXT QA</t>
        </is>
      </c>
      <c r="P427" s="19" t="inlineStr">
        <is>
          <t>04 October 2026</t>
        </is>
      </c>
      <c r="Q427" s="19" t="inlineStr"/>
      <c r="R427" s="19" t="inlineStr">
        <is>
          <t>backend/test/reports.test.js :: aggregate reports: premium by product/month, new vs renewal, lead funnel, cessions, incentives [passed]
UAT cycle 03-04 October 2026, phase Reports and dashboards (58 passed, 0 failed)</t>
        </is>
      </c>
      <c r="S427" s="19" t="n"/>
    </row>
    <row r="428">
      <c r="A428" s="19" t="inlineStr">
        <is>
          <t>BV-RPT-014</t>
        </is>
      </c>
      <c r="B428" s="19" t="inlineStr">
        <is>
          <t>Reports</t>
        </is>
      </c>
      <c r="C428" s="19" t="inlineStr">
        <is>
          <t>Claims Ageing</t>
        </is>
      </c>
      <c r="D428" s="19" t="inlineStr">
        <is>
          <t>Claims Officer (carlo.estrada)</t>
        </is>
      </c>
      <c r="E428" s="19" t="inlineStr">
        <is>
          <t>Run Claims Ageing with every criterion and export to Excel</t>
        </is>
      </c>
      <c r="F428" s="19" t="inlineStr">
        <is>
          <t>Report</t>
        </is>
      </c>
      <c r="G428" s="19" t="inlineStr">
        <is>
          <t>Medium</t>
        </is>
      </c>
      <c r="H428" s="19" t="inlineStr">
        <is>
          <t>UAT data set loaded (May to October 2026).</t>
        </is>
      </c>
      <c r="I428" s="19" t="inlineStr">
        <is>
          <t>1. Open Reports &gt; All Reports and select "Claims Ageing".
2. Set From Date 01 May 2026 and To Date 04 October 2026.
3. Run the report for each Report Criteria: Overall, Principal Insurer, Agent.
4. Click Generate and choose XLSX; open the file.</t>
        </is>
      </c>
      <c r="J428" s="19" t="inlineStr">
        <is>
          <t>From 01 May 2026 to 04 October 2026; BankAccount BDO-OPS where asked</t>
        </is>
      </c>
      <c r="K428" s="19" t="inlineStr">
        <is>
          <t>Each criterion returns rows for the test period; totals shown; the XLSX file downloads and opens with the same rows.</t>
        </is>
      </c>
      <c r="L428" s="19" t="inlineStr">
        <is>
          <t>Rows returned: Overall: 2, Principal Insurer: 2, Agent: 2. XLSX produced.</t>
        </is>
      </c>
      <c r="M428" s="19" t="inlineStr">
        <is>
          <t>Pass</t>
        </is>
      </c>
      <c r="N428" s="19" t="inlineStr"/>
      <c r="O428" s="19" t="inlineStr">
        <is>
          <t>iorta TechNXT QA</t>
        </is>
      </c>
      <c r="P428" s="19" t="inlineStr">
        <is>
          <t>04 October 2026</t>
        </is>
      </c>
      <c r="Q428" s="19" t="inlineStr"/>
      <c r="R428" s="19" t="inlineStr">
        <is>
          <t>UAT cycle 03-04 October 2026, phase Reports and dashboards (58 passed, 0 failed)</t>
        </is>
      </c>
      <c r="S428" s="19" t="n"/>
    </row>
    <row r="429">
      <c r="A429" s="19" t="inlineStr">
        <is>
          <t>BV-RPT-015</t>
        </is>
      </c>
      <c r="B429" s="19" t="inlineStr">
        <is>
          <t>Reports</t>
        </is>
      </c>
      <c r="C429" s="19" t="inlineStr">
        <is>
          <t>Lead Conversion Funnel</t>
        </is>
      </c>
      <c r="D429" s="19" t="inlineStr">
        <is>
          <t>Sales / Account Executive (maria.rivera)</t>
        </is>
      </c>
      <c r="E429" s="19" t="inlineStr">
        <is>
          <t>Run Lead Conversion Funnel with every criterion and export to Excel</t>
        </is>
      </c>
      <c r="F429" s="19" t="inlineStr">
        <is>
          <t>Report</t>
        </is>
      </c>
      <c r="G429" s="19" t="inlineStr">
        <is>
          <t>Medium</t>
        </is>
      </c>
      <c r="H429" s="19" t="inlineStr">
        <is>
          <t>UAT data set loaded (May to October 2026).</t>
        </is>
      </c>
      <c r="I429" s="19" t="inlineStr">
        <is>
          <t>1. Open Reports &gt; All Reports and select "Lead Conversion Funnel".
2. Set From Date 01 May 2026 and To Date 04 October 2026.
3. Run the report for each Report Criteria: Overall, Agent, Branch, Source.
4. Click Generate and choose XLSX; open the file.</t>
        </is>
      </c>
      <c r="J429" s="19" t="inlineStr">
        <is>
          <t>From 01 May 2026 to 04 October 2026; BankAccount BDO-OPS where asked</t>
        </is>
      </c>
      <c r="K429" s="19" t="inlineStr">
        <is>
          <t>Each criterion returns rows for the test period; totals shown; the XLSX file downloads and opens with the same rows.</t>
        </is>
      </c>
      <c r="L429" s="19" t="inlineStr">
        <is>
          <t>Rows returned: Overall: 3, Agent: 5, Branch: 3, Source: 12. XLSX produced.</t>
        </is>
      </c>
      <c r="M429" s="19" t="inlineStr">
        <is>
          <t>Pass</t>
        </is>
      </c>
      <c r="N429" s="19" t="inlineStr"/>
      <c r="O429" s="19" t="inlineStr">
        <is>
          <t>iorta TechNXT QA</t>
        </is>
      </c>
      <c r="P429" s="19" t="inlineStr">
        <is>
          <t>04 October 2026</t>
        </is>
      </c>
      <c r="Q429" s="19" t="inlineStr"/>
      <c r="R429" s="19" t="inlineStr">
        <is>
          <t>backend/test/reports.test.js :: aggregate reports: premium by product/month, new vs renewal, lead funnel, cessions, incentives [passed]
UAT cycle 03-04 October 2026, phase Reports and dashboards (58 passed, 0 failed)</t>
        </is>
      </c>
      <c r="S429" s="19" t="n"/>
    </row>
    <row r="430">
      <c r="A430" s="19" t="inlineStr">
        <is>
          <t>BV-RPT-016</t>
        </is>
      </c>
      <c r="B430" s="19" t="inlineStr">
        <is>
          <t>Reports</t>
        </is>
      </c>
      <c r="C430" s="19" t="inlineStr">
        <is>
          <t>Placement Pipeline</t>
        </is>
      </c>
      <c r="D430" s="19" t="inlineStr">
        <is>
          <t>Processing Team (jose.bernardo)</t>
        </is>
      </c>
      <c r="E430" s="19" t="inlineStr">
        <is>
          <t>Run Placement Pipeline with every criterion and export to Excel</t>
        </is>
      </c>
      <c r="F430" s="19" t="inlineStr">
        <is>
          <t>Report</t>
        </is>
      </c>
      <c r="G430" s="19" t="inlineStr">
        <is>
          <t>Medium</t>
        </is>
      </c>
      <c r="H430" s="19" t="inlineStr">
        <is>
          <t>UAT data set loaded (May to October 2026).</t>
        </is>
      </c>
      <c r="I430" s="19" t="inlineStr">
        <is>
          <t>1. Open Reports &gt; All Reports and select "Placement Pipeline".
2. Set From Date 01 May 2026 and To Date 04 October 2026.
3. Run the report for each Report Criteria: Overall, Slip Type, Status, Open by Age, Agent.
4. Click Generate and choose XLSX; open the file.</t>
        </is>
      </c>
      <c r="J430" s="19" t="inlineStr">
        <is>
          <t>From 01 May 2026 to 04 October 2026; BankAccount BDO-OPS where asked</t>
        </is>
      </c>
      <c r="K430" s="19" t="inlineStr">
        <is>
          <t>Each criterion returns rows for the test period; totals shown; the XLSX file downloads and opens with the same rows.</t>
        </is>
      </c>
      <c r="L430" s="19" t="inlineStr">
        <is>
          <t>Rows returned: Overall: 71, Slip Type: 71, Status: 71, Open by Age: 0, Agent: 71. XLSX produced.</t>
        </is>
      </c>
      <c r="M430" s="19" t="inlineStr">
        <is>
          <t>Pass</t>
        </is>
      </c>
      <c r="N430" s="19" t="inlineStr"/>
      <c r="O430" s="19" t="inlineStr">
        <is>
          <t>iorta TechNXT QA</t>
        </is>
      </c>
      <c r="P430" s="19" t="inlineStr">
        <is>
          <t>04 October 2026</t>
        </is>
      </c>
      <c r="Q430" s="19" t="inlineStr"/>
      <c r="R430" s="19" t="inlineStr">
        <is>
          <t>backend/test/placement.test.js :: runs the Placement Pipeline and Market Response reports [passed]
UAT cycle 03-04 October 2026, phase Reports and dashboards (58 passed, 0 failed)</t>
        </is>
      </c>
      <c r="S430" s="19" t="n"/>
    </row>
    <row r="431">
      <c r="A431" s="19" t="inlineStr">
        <is>
          <t>BV-RPT-017</t>
        </is>
      </c>
      <c r="B431" s="19" t="inlineStr">
        <is>
          <t>Reports</t>
        </is>
      </c>
      <c r="C431" s="19" t="inlineStr">
        <is>
          <t>Market Response</t>
        </is>
      </c>
      <c r="D431" s="19" t="inlineStr">
        <is>
          <t>Processing Team (jose.bernardo)</t>
        </is>
      </c>
      <c r="E431" s="19" t="inlineStr">
        <is>
          <t>Run Market Response with every criterion and export to Excel</t>
        </is>
      </c>
      <c r="F431" s="19" t="inlineStr">
        <is>
          <t>Report</t>
        </is>
      </c>
      <c r="G431" s="19" t="inlineStr">
        <is>
          <t>Medium</t>
        </is>
      </c>
      <c r="H431" s="19" t="inlineStr">
        <is>
          <t>UAT data set loaded (May to October 2026).</t>
        </is>
      </c>
      <c r="I431" s="19" t="inlineStr">
        <is>
          <t>1. Open Reports &gt; All Reports and select "Market Response".
2. Set From Date 01 May 2026 and To Date 04 October 2026.
3. Run the report for each Report Criteria: Overall, Line of Business, Agent.
4. Click Generate and choose XLSX; open the file.</t>
        </is>
      </c>
      <c r="J431" s="19" t="inlineStr">
        <is>
          <t>From 01 May 2026 to 04 October 2026; BankAccount BDO-OPS where asked</t>
        </is>
      </c>
      <c r="K431" s="19" t="inlineStr">
        <is>
          <t>Each criterion returns rows for the test period; totals shown; the XLSX file downloads and opens with the same rows.</t>
        </is>
      </c>
      <c r="L431" s="19" t="inlineStr">
        <is>
          <t>Rows returned: Overall: 7, Line of Business: 42, Agent: 24. XLSX produced.</t>
        </is>
      </c>
      <c r="M431" s="19" t="inlineStr">
        <is>
          <t>Pass</t>
        </is>
      </c>
      <c r="N431" s="19" t="inlineStr"/>
      <c r="O431" s="19" t="inlineStr">
        <is>
          <t>iorta TechNXT QA</t>
        </is>
      </c>
      <c r="P431" s="19" t="inlineStr">
        <is>
          <t>04 October 2026</t>
        </is>
      </c>
      <c r="Q431" s="19" t="inlineStr"/>
      <c r="R431" s="19" t="inlineStr">
        <is>
          <t>backend/test/placement.test.js :: runs the Placement Pipeline and Market Response reports [passed]
UAT cycle 03-04 October 2026, phase Reports and dashboards (58 passed, 0 failed)</t>
        </is>
      </c>
      <c r="S431" s="19" t="n"/>
    </row>
    <row r="432">
      <c r="A432" s="19" t="inlineStr">
        <is>
          <t>BV-RPT-018</t>
        </is>
      </c>
      <c r="B432" s="19" t="inlineStr">
        <is>
          <t>Reports</t>
        </is>
      </c>
      <c r="C432" s="19" t="inlineStr">
        <is>
          <t>Reinsurance Cession Register</t>
        </is>
      </c>
      <c r="D432" s="19" t="inlineStr">
        <is>
          <t>Processing Team (jose.bernardo)</t>
        </is>
      </c>
      <c r="E432" s="19" t="inlineStr">
        <is>
          <t>Run Reinsurance Cession Register with every criterion and export to Excel</t>
        </is>
      </c>
      <c r="F432" s="19" t="inlineStr">
        <is>
          <t>Report</t>
        </is>
      </c>
      <c r="G432" s="19" t="inlineStr">
        <is>
          <t>Medium</t>
        </is>
      </c>
      <c r="H432" s="19" t="inlineStr">
        <is>
          <t>UAT data set loaded (May to October 2026).</t>
        </is>
      </c>
      <c r="I432" s="19" t="inlineStr">
        <is>
          <t>1. Open Reports &gt; All Reports and select "Reinsurance Cession Register".
2. Set From Date 01 May 2026 and To Date 04 October 2026.
3. Run the report for each Report Criteria: Overall, Treaty, Reinsurer, Principal Insurer.
4. Click Generate and choose XLSX; open the file.</t>
        </is>
      </c>
      <c r="J432" s="19" t="inlineStr">
        <is>
          <t>From 01 May 2026 to 04 October 2026; BankAccount BDO-OPS where asked</t>
        </is>
      </c>
      <c r="K432" s="19" t="inlineStr">
        <is>
          <t>Each criterion returns rows for the test period; totals shown; the XLSX file downloads and opens with the same rows.</t>
        </is>
      </c>
      <c r="L432" s="19" t="inlineStr">
        <is>
          <t>Rows returned: Overall: 2, Treaty: 2, Reinsurer: 2, Principal Insurer: 2. XLSX produced.</t>
        </is>
      </c>
      <c r="M432" s="19" t="inlineStr">
        <is>
          <t>Pass</t>
        </is>
      </c>
      <c r="N432" s="19" t="inlineStr"/>
      <c r="O432" s="19" t="inlineStr">
        <is>
          <t>iorta TechNXT QA</t>
        </is>
      </c>
      <c r="P432" s="19" t="inlineStr">
        <is>
          <t>04 October 2026</t>
        </is>
      </c>
      <c r="Q432" s="19" t="inlineStr"/>
      <c r="R432" s="19" t="inlineStr">
        <is>
          <t>backend/test/reports.test.js :: aggregate reports: premium by product/month, new vs renewal, lead funnel, cessions, incentives [passed]
UAT cycle 03-04 October 2026, phase Reports and dashboards (58 passed, 0 failed)</t>
        </is>
      </c>
      <c r="S432" s="19" t="n"/>
    </row>
    <row r="433">
      <c r="A433" s="19" t="inlineStr">
        <is>
          <t>BV-RPT-019</t>
        </is>
      </c>
      <c r="B433" s="19" t="inlineStr">
        <is>
          <t>Reports</t>
        </is>
      </c>
      <c r="C433" s="19" t="inlineStr">
        <is>
          <t>Co-insurance Register</t>
        </is>
      </c>
      <c r="D433" s="19" t="inlineStr">
        <is>
          <t>Sales / Account Executive (maria.rivera)</t>
        </is>
      </c>
      <c r="E433" s="19" t="inlineStr">
        <is>
          <t>Run Co-insurance Register with every criterion and export to Excel</t>
        </is>
      </c>
      <c r="F433" s="19" t="inlineStr">
        <is>
          <t>Report</t>
        </is>
      </c>
      <c r="G433" s="19" t="inlineStr">
        <is>
          <t>Medium</t>
        </is>
      </c>
      <c r="H433" s="19" t="inlineStr">
        <is>
          <t>UAT data set loaded (May to October 2026).</t>
        </is>
      </c>
      <c r="I433" s="19" t="inlineStr">
        <is>
          <t>1. Open Reports &gt; Financial Reports &gt; Co-insurance Register.
2. Set From Date 01 May 2026 and To Date 04 October 2026.
3. Run the report for each Report Criteria: Overall, Co-insurer, Policy, Agent.
4. Click Generate and choose XLSX; open the file.</t>
        </is>
      </c>
      <c r="J433" s="19" t="inlineStr">
        <is>
          <t>From 01 May 2026 to 04 October 2026; BankAccount BDO-OPS where asked</t>
        </is>
      </c>
      <c r="K433" s="19" t="inlineStr">
        <is>
          <t>Each criterion returns rows for the test period; totals shown; the XLSX file downloads and opens with the same rows.</t>
        </is>
      </c>
      <c r="L433" s="19" t="inlineStr">
        <is>
          <t>Rows returned: Overall: 22, Co-insurer: 22, Policy: 22, Agent: 22. XLSX produced.</t>
        </is>
      </c>
      <c r="M433" s="19" t="inlineStr">
        <is>
          <t>Pass</t>
        </is>
      </c>
      <c r="N433" s="19" t="inlineStr"/>
      <c r="O433" s="19" t="inlineStr">
        <is>
          <t>iorta TechNXT QA</t>
        </is>
      </c>
      <c r="P433" s="19" t="inlineStr">
        <is>
          <t>04 October 2026</t>
        </is>
      </c>
      <c r="Q433" s="19" t="inlineStr"/>
      <c r="R433" s="19" t="inlineStr">
        <is>
          <t>backend/test/posting-rules.test.js :: reports: Co-insurance Register and Due to Insurers by Co-insurer [passed]
UAT cycle 03-04 October 2026, phase Reports and dashboards (58 passed, 0 failed)</t>
        </is>
      </c>
      <c r="S433" s="19" t="n"/>
    </row>
    <row r="434">
      <c r="A434" s="19" t="inlineStr">
        <is>
          <t>BV-RPT-020</t>
        </is>
      </c>
      <c r="B434" s="19" t="inlineStr">
        <is>
          <t>Reports</t>
        </is>
      </c>
      <c r="C434" s="19" t="inlineStr">
        <is>
          <t>SOA / Premium Receivable</t>
        </is>
      </c>
      <c r="D434" s="19" t="inlineStr">
        <is>
          <t>Accounting Officer (liza.quiambao)</t>
        </is>
      </c>
      <c r="E434" s="19" t="inlineStr">
        <is>
          <t>Run SOA / Premium Receivable with every criterion and export to Excel</t>
        </is>
      </c>
      <c r="F434" s="19" t="inlineStr">
        <is>
          <t>Report</t>
        </is>
      </c>
      <c r="G434" s="19" t="inlineStr">
        <is>
          <t>High</t>
        </is>
      </c>
      <c r="H434" s="19" t="inlineStr">
        <is>
          <t>UAT data set loaded (May to October 2026).</t>
        </is>
      </c>
      <c r="I434" s="19" t="inlineStr">
        <is>
          <t>1. Open Reports &gt; Financial Reports &gt; SOA/Premium Receivable.
2. Set From Date 01 May 2026 and To Date 04 October 2026.
3. Run the report for each Report Criteria: Overall, Agent, Principal Insurer, Branch.
4. Click Generate and choose XLSX; open the file.</t>
        </is>
      </c>
      <c r="J434" s="19" t="inlineStr">
        <is>
          <t>From 01 May 2026 to 04 October 2026; BankAccount BDO-OPS where asked</t>
        </is>
      </c>
      <c r="K434" s="19" t="inlineStr">
        <is>
          <t>Each criterion returns rows for the test period; totals shown; the XLSX file downloads and opens with the same rows.</t>
        </is>
      </c>
      <c r="L434" s="19" t="inlineStr">
        <is>
          <t>Rows returned: Overall: 66, Agent: 66, Principal Insurer: 66, Branch: 66. XLSX produced.</t>
        </is>
      </c>
      <c r="M434" s="19" t="inlineStr">
        <is>
          <t>Pass</t>
        </is>
      </c>
      <c r="N434" s="19" t="inlineStr"/>
      <c r="O434" s="19" t="inlineStr">
        <is>
          <t>iorta TechNXT QA</t>
        </is>
      </c>
      <c r="P434" s="19" t="inlineStr">
        <is>
          <t>04 October 2026</t>
        </is>
      </c>
      <c r="Q434" s="19" t="inlineStr"/>
      <c r="R434" s="19" t="inlineStr">
        <is>
          <t>backend/test/reports.test.js :: receivables, collections, receipts and disbursements [passed]
UAT cycle 03-04 October 2026, phase Reports and dashboards (58 passed, 0 failed)</t>
        </is>
      </c>
      <c r="S434" s="19" t="n"/>
    </row>
    <row r="435">
      <c r="A435" s="19" t="inlineStr">
        <is>
          <t>BV-RPT-021</t>
        </is>
      </c>
      <c r="B435" s="19" t="inlineStr">
        <is>
          <t>Reports</t>
        </is>
      </c>
      <c r="C435" s="19" t="inlineStr">
        <is>
          <t>Collection Report</t>
        </is>
      </c>
      <c r="D435" s="19" t="inlineStr">
        <is>
          <t>Accounting Officer (liza.quiambao)</t>
        </is>
      </c>
      <c r="E435" s="19" t="inlineStr">
        <is>
          <t>Run Collection Report with every criterion and export to Excel</t>
        </is>
      </c>
      <c r="F435" s="19" t="inlineStr">
        <is>
          <t>Report</t>
        </is>
      </c>
      <c r="G435" s="19" t="inlineStr">
        <is>
          <t>High</t>
        </is>
      </c>
      <c r="H435" s="19" t="inlineStr">
        <is>
          <t>UAT data set loaded (May to October 2026).</t>
        </is>
      </c>
      <c r="I435" s="19" t="inlineStr">
        <is>
          <t>1. Open Reports &gt; Financial Reports &gt; Collection Report.
2. Set From Date 01 May 2026 and To Date 04 October 2026.
3. Run the report for each Report Criteria: Overall, Agent, Principal Insurer, Branch.
4. Click Generate and choose XLSX; open the file.</t>
        </is>
      </c>
      <c r="J435" s="19" t="inlineStr">
        <is>
          <t>From 01 May 2026 to 04 October 2026; BankAccount BDO-OPS where asked</t>
        </is>
      </c>
      <c r="K435" s="19" t="inlineStr">
        <is>
          <t>Each criterion returns rows for the test period; totals shown; the XLSX file downloads and opens with the same rows.</t>
        </is>
      </c>
      <c r="L435" s="19" t="inlineStr">
        <is>
          <t>Rows returned: Overall: 34, Agent: 34, Principal Insurer: 34, Branch: 34. XLSX produced.</t>
        </is>
      </c>
      <c r="M435" s="19" t="inlineStr">
        <is>
          <t>Pass</t>
        </is>
      </c>
      <c r="N435" s="19" t="inlineStr"/>
      <c r="O435" s="19" t="inlineStr">
        <is>
          <t>iorta TechNXT QA</t>
        </is>
      </c>
      <c r="P435" s="19" t="inlineStr">
        <is>
          <t>04 October 2026</t>
        </is>
      </c>
      <c r="Q435" s="19" t="inlineStr"/>
      <c r="R435" s="19" t="inlineStr">
        <is>
          <t>backend/test/reports.test.js :: receivables, collections, receipts and disbursements [passed]
UAT cycle 03-04 October 2026, phase Reports and dashboards (58 passed, 0 failed)</t>
        </is>
      </c>
      <c r="S435" s="19" t="n"/>
    </row>
    <row r="436">
      <c r="A436" s="19" t="inlineStr">
        <is>
          <t>BV-RPT-022</t>
        </is>
      </c>
      <c r="B436" s="19" t="inlineStr">
        <is>
          <t>Reports</t>
        </is>
      </c>
      <c r="C436" s="19" t="inlineStr">
        <is>
          <t>Receivables Ageing</t>
        </is>
      </c>
      <c r="D436" s="19" t="inlineStr">
        <is>
          <t>Accounting Officer (liza.quiambao)</t>
        </is>
      </c>
      <c r="E436" s="19" t="inlineStr">
        <is>
          <t>Run Receivables Ageing with every criterion and export to Excel</t>
        </is>
      </c>
      <c r="F436" s="19" t="inlineStr">
        <is>
          <t>Report</t>
        </is>
      </c>
      <c r="G436" s="19" t="inlineStr">
        <is>
          <t>High</t>
        </is>
      </c>
      <c r="H436" s="19" t="inlineStr">
        <is>
          <t>UAT data set loaded (May to October 2026).</t>
        </is>
      </c>
      <c r="I436" s="19" t="inlineStr">
        <is>
          <t>1. Open Reports &gt; All Reports and select "Receivables Ageing".
2. Set From Date 01 May 2026 and To Date 04 October 2026.
3. Run the report for each Report Criteria: Ageing Bucket, Overall, Agent, Principal Insurer, Branch, Client.
4. Click Generate and choose XLSX; open the file.</t>
        </is>
      </c>
      <c r="J436" s="19" t="inlineStr">
        <is>
          <t>From 01 May 2026 to 04 October 2026; BankAccount BDO-OPS where asked</t>
        </is>
      </c>
      <c r="K436" s="19" t="inlineStr">
        <is>
          <t>Each criterion returns rows for the test period; totals shown; the XLSX file downloads and opens with the same rows.</t>
        </is>
      </c>
      <c r="L436" s="19" t="inlineStr">
        <is>
          <t>Rows returned: Ageing Bucket: 18, Overall: 18, Agent: 18, Principal Insurer: 18, Branch: 18, Client: 18. XLSX produced.</t>
        </is>
      </c>
      <c r="M436" s="19" t="inlineStr">
        <is>
          <t>Pass</t>
        </is>
      </c>
      <c r="N436" s="19" t="inlineStr"/>
      <c r="O436" s="19" t="inlineStr">
        <is>
          <t>iorta TechNXT QA</t>
        </is>
      </c>
      <c r="P436" s="19" t="inlineStr">
        <is>
          <t>04 October 2026</t>
        </is>
      </c>
      <c r="Q436" s="19" t="inlineStr"/>
      <c r="R436" s="19" t="inlineStr">
        <is>
          <t>backend/test/reports.test.js :: receivables, collections, receipts and disbursements [passed]
UAT cycle 03-04 October 2026, phase Reports and dashboards (58 passed, 0 failed)</t>
        </is>
      </c>
      <c r="S436" s="19" t="n"/>
    </row>
    <row r="437">
      <c r="A437" s="19" t="inlineStr">
        <is>
          <t>BV-RPT-023</t>
        </is>
      </c>
      <c r="B437" s="19" t="inlineStr">
        <is>
          <t>Reports</t>
        </is>
      </c>
      <c r="C437" s="19" t="inlineStr">
        <is>
          <t>Commission Receivable - Direct Bill</t>
        </is>
      </c>
      <c r="D437" s="19" t="inlineStr">
        <is>
          <t>Accounting Officer (liza.quiambao)</t>
        </is>
      </c>
      <c r="E437" s="19" t="inlineStr">
        <is>
          <t>Run Commission Receivable - Direct Bill with every criterion and export to Excel</t>
        </is>
      </c>
      <c r="F437" s="19" t="inlineStr">
        <is>
          <t>Report</t>
        </is>
      </c>
      <c r="G437" s="19" t="inlineStr">
        <is>
          <t>High</t>
        </is>
      </c>
      <c r="H437" s="19" t="inlineStr">
        <is>
          <t>UAT data set loaded (May to October 2026).</t>
        </is>
      </c>
      <c r="I437" s="19" t="inlineStr">
        <is>
          <t>1. Open Reports &gt; All Reports and select "Commission Receivable - Direct Bill".
2. Set From Date 01 May 2026 and To Date 04 October 2026.
3. Run the report for each Report Criteria: Ageing Bucket, Principal Insurer, Outstanding, Overall.
4. Click Generate and choose XLSX; open the file.</t>
        </is>
      </c>
      <c r="J437" s="19" t="inlineStr">
        <is>
          <t>From 01 May 2026 to 04 October 2026; BankAccount BDO-OPS where asked</t>
        </is>
      </c>
      <c r="K437" s="19" t="inlineStr">
        <is>
          <t>Each criterion returns rows for the test period; totals shown; the XLSX file downloads and opens with the same rows.</t>
        </is>
      </c>
      <c r="L437" s="19" t="inlineStr">
        <is>
          <t>Rows returned: Ageing Bucket: 3, Principal Insurer: 3, Outstanding: 3, Overall: 6. XLSX produced.</t>
        </is>
      </c>
      <c r="M437" s="19" t="inlineStr">
        <is>
          <t>Pass</t>
        </is>
      </c>
      <c r="N437" s="19" t="inlineStr"/>
      <c r="O437" s="19" t="inlineStr">
        <is>
          <t>iorta TechNXT QA</t>
        </is>
      </c>
      <c r="P437" s="19" t="inlineStr">
        <is>
          <t>04 October 2026</t>
        </is>
      </c>
      <c r="Q437" s="19" t="inlineStr"/>
      <c r="R437" s="19" t="inlineStr">
        <is>
          <t>backend/test/direct-bill.test.js :: commission receivable report and trial balance show it as due from the insurer [passed]
UAT cycle 03-04 October 2026, phase Reports and dashboards (58 passed, 0 failed)</t>
        </is>
      </c>
      <c r="S437" s="19" t="n"/>
    </row>
    <row r="438">
      <c r="A438" s="19" t="inlineStr">
        <is>
          <t>BV-RPT-024</t>
        </is>
      </c>
      <c r="B438" s="19" t="inlineStr">
        <is>
          <t>Reports</t>
        </is>
      </c>
      <c r="C438" s="19" t="inlineStr">
        <is>
          <t>Receipts Register</t>
        </is>
      </c>
      <c r="D438" s="19" t="inlineStr">
        <is>
          <t>Accounting Officer (liza.quiambao)</t>
        </is>
      </c>
      <c r="E438" s="19" t="inlineStr">
        <is>
          <t>Run Receipts Register with every criterion and export to Excel</t>
        </is>
      </c>
      <c r="F438" s="19" t="inlineStr">
        <is>
          <t>Report</t>
        </is>
      </c>
      <c r="G438" s="19" t="inlineStr">
        <is>
          <t>High</t>
        </is>
      </c>
      <c r="H438" s="19" t="inlineStr">
        <is>
          <t>UAT data set loaded (May to October 2026).</t>
        </is>
      </c>
      <c r="I438" s="19" t="inlineStr">
        <is>
          <t>1. Open Reports &gt; All Reports and select "Receipts Register".
2. Set From Date 01 May 2026 and To Date 04 October 2026.
3. Run the report for each Report Criteria: Overall, Agent, Principal Insurer, Branch, Payment Mode.
4. Click Generate and choose XLSX; open the file.</t>
        </is>
      </c>
      <c r="J438" s="19" t="inlineStr">
        <is>
          <t>From 01 May 2026 to 04 October 2026; BankAccount BDO-OPS where asked</t>
        </is>
      </c>
      <c r="K438" s="19" t="inlineStr">
        <is>
          <t>Each criterion returns rows for the test period; totals shown; the XLSX file downloads and opens with the same rows.</t>
        </is>
      </c>
      <c r="L438" s="19" t="inlineStr">
        <is>
          <t>Rows returned: Overall: 58, Agent: 58, Principal Insurer: 58, Branch: 58, Payment Mode: 58. XLSX produced.</t>
        </is>
      </c>
      <c r="M438" s="19" t="inlineStr">
        <is>
          <t>Pass</t>
        </is>
      </c>
      <c r="N438" s="19" t="inlineStr"/>
      <c r="O438" s="19" t="inlineStr">
        <is>
          <t>iorta TechNXT QA</t>
        </is>
      </c>
      <c r="P438" s="19" t="inlineStr">
        <is>
          <t>04 October 2026</t>
        </is>
      </c>
      <c r="Q438" s="19" t="inlineStr"/>
      <c r="R438" s="19" t="inlineStr">
        <is>
          <t>backend/test/reports.test.js :: receivables, collections, receipts and disbursements [passed]
UAT cycle 03-04 October 2026, phase Reports and dashboards (58 passed, 0 failed)</t>
        </is>
      </c>
      <c r="S438" s="19" t="n"/>
    </row>
    <row r="439">
      <c r="A439" s="19" t="inlineStr">
        <is>
          <t>BV-RPT-025</t>
        </is>
      </c>
      <c r="B439" s="19" t="inlineStr">
        <is>
          <t>Reports</t>
        </is>
      </c>
      <c r="C439" s="19" t="inlineStr">
        <is>
          <t>Payables / Disbursement Register</t>
        </is>
      </c>
      <c r="D439" s="19" t="inlineStr">
        <is>
          <t>Accounting Officer (liza.quiambao)</t>
        </is>
      </c>
      <c r="E439" s="19" t="inlineStr">
        <is>
          <t>Run Payables / Disbursement Register with every criterion and export to Excel</t>
        </is>
      </c>
      <c r="F439" s="19" t="inlineStr">
        <is>
          <t>Report</t>
        </is>
      </c>
      <c r="G439" s="19" t="inlineStr">
        <is>
          <t>High</t>
        </is>
      </c>
      <c r="H439" s="19" t="inlineStr">
        <is>
          <t>UAT data set loaded (May to October 2026).</t>
        </is>
      </c>
      <c r="I439" s="19" t="inlineStr">
        <is>
          <t>1. Open Reports &gt; Financial Reports &gt; Payables.
2. Set From Date 01 May 2026 and To Date 04 October 2026.
3. Run the report for each Report Criteria: Overall, Agent, Principal Insurer, Branch, Payee Type.
4. Click Generate and choose XLSX; open the file.</t>
        </is>
      </c>
      <c r="J439" s="19" t="inlineStr">
        <is>
          <t>From 01 May 2026 to 04 October 2026; BankAccount BDO-OPS where asked</t>
        </is>
      </c>
      <c r="K439" s="19" t="inlineStr">
        <is>
          <t>Each criterion returns rows for the test period; totals shown; the XLSX file downloads and opens with the same rows.</t>
        </is>
      </c>
      <c r="L439" s="19" t="inlineStr">
        <is>
          <t>Rows returned: Overall: 27, Agent: 27, Principal Insurer: 27, Branch: 27, Payee Type: 27. XLSX produced.</t>
        </is>
      </c>
      <c r="M439" s="19" t="inlineStr">
        <is>
          <t>Pass</t>
        </is>
      </c>
      <c r="N439" s="19" t="inlineStr"/>
      <c r="O439" s="19" t="inlineStr">
        <is>
          <t>iorta TechNXT QA</t>
        </is>
      </c>
      <c r="P439" s="19" t="inlineStr">
        <is>
          <t>04 October 2026</t>
        </is>
      </c>
      <c r="Q439" s="19" t="inlineStr"/>
      <c r="R439" s="19" t="inlineStr">
        <is>
          <t>backend/test/reports.test.js :: receivables, collections, receipts and disbursements [passed]
UAT cycle 03-04 October 2026, phase Reports and dashboards (58 passed, 0 failed)</t>
        </is>
      </c>
      <c r="S439" s="19" t="n"/>
    </row>
    <row r="440">
      <c r="A440" s="19" t="inlineStr">
        <is>
          <t>BV-RPT-026</t>
        </is>
      </c>
      <c r="B440" s="19" t="inlineStr">
        <is>
          <t>Reports</t>
        </is>
      </c>
      <c r="C440" s="19" t="inlineStr">
        <is>
          <t>Journal Register</t>
        </is>
      </c>
      <c r="D440" s="19" t="inlineStr">
        <is>
          <t>Accounting Officer (liza.quiambao)</t>
        </is>
      </c>
      <c r="E440" s="19" t="inlineStr">
        <is>
          <t>Run Journal Register with every criterion and export to Excel</t>
        </is>
      </c>
      <c r="F440" s="19" t="inlineStr">
        <is>
          <t>Report</t>
        </is>
      </c>
      <c r="G440" s="19" t="inlineStr">
        <is>
          <t>High</t>
        </is>
      </c>
      <c r="H440" s="19" t="inlineStr">
        <is>
          <t>UAT data set loaded (May to October 2026).</t>
        </is>
      </c>
      <c r="I440" s="19" t="inlineStr">
        <is>
          <t>1. Open Reports &gt; Financial Reports &gt; Journal.
2. Set From Date 01 May 2026 and To Date 04 October 2026.
3. Run the report for each Report Criteria: Overall, Agent, Principal Insurer, Branch, Account.
4. Click Generate and choose XLSX; open the file.</t>
        </is>
      </c>
      <c r="J440" s="19" t="inlineStr">
        <is>
          <t>From 01 May 2026 to 04 October 2026; BankAccount BDO-OPS where asked</t>
        </is>
      </c>
      <c r="K440" s="19" t="inlineStr">
        <is>
          <t>Each criterion returns rows for the test period; totals shown; the XLSX file downloads and opens with the same rows.</t>
        </is>
      </c>
      <c r="L440" s="19" t="inlineStr">
        <is>
          <t>Rows returned: Overall: 500, Agent: 500, Principal Insurer: 500, Branch: 500, Account: 500. XLSX produced.</t>
        </is>
      </c>
      <c r="M440" s="19" t="inlineStr">
        <is>
          <t>Pass</t>
        </is>
      </c>
      <c r="N440" s="19" t="inlineStr"/>
      <c r="O440" s="19" t="inlineStr">
        <is>
          <t>iorta TechNXT QA</t>
        </is>
      </c>
      <c r="P440" s="19" t="inlineStr">
        <is>
          <t>04 October 2026</t>
        </is>
      </c>
      <c r="Q440" s="19" t="inlineStr"/>
      <c r="R440" s="19" t="inlineStr">
        <is>
          <t>backend/test/reports.test.js :: journal register and a balanced trial balance from approved/posted vouchers only [passed]
UAT cycle 03-04 October 2026, phase Reports and dashboards (58 passed, 0 failed)</t>
        </is>
      </c>
      <c r="S440" s="19" t="n"/>
    </row>
    <row r="441">
      <c r="A441" s="19" t="inlineStr">
        <is>
          <t>BV-RPT-027</t>
        </is>
      </c>
      <c r="B441" s="19" t="inlineStr">
        <is>
          <t>Reports</t>
        </is>
      </c>
      <c r="C441" s="19" t="inlineStr">
        <is>
          <t>Trial Balance</t>
        </is>
      </c>
      <c r="D441" s="19" t="inlineStr">
        <is>
          <t>Accounting Officer (liza.quiambao)</t>
        </is>
      </c>
      <c r="E441" s="19" t="inlineStr">
        <is>
          <t>Run Trial Balance with every criterion and export to Excel</t>
        </is>
      </c>
      <c r="F441" s="19" t="inlineStr">
        <is>
          <t>Report</t>
        </is>
      </c>
      <c r="G441" s="19" t="inlineStr">
        <is>
          <t>High</t>
        </is>
      </c>
      <c r="H441" s="19" t="inlineStr">
        <is>
          <t>UAT data set loaded (May to October 2026).</t>
        </is>
      </c>
      <c r="I441" s="19" t="inlineStr">
        <is>
          <t>1. Open Reports &gt; Financial Reports &gt; Trial Balance.
2. Set From Date 01 May 2026 and To Date 04 October 2026.
3. Run the report for each Report Criteria: Overall, Agent, Principal Insurer, Branch.
4. Click Generate and choose XLSX; open the file.</t>
        </is>
      </c>
      <c r="J441" s="19" t="inlineStr">
        <is>
          <t>From 01 May 2026 to 04 October 2026; BankAccount BDO-OPS where asked</t>
        </is>
      </c>
      <c r="K441" s="19" t="inlineStr">
        <is>
          <t>Each criterion returns rows for the test period; totals shown; the XLSX file downloads and opens with the same rows. Debits equal credits.</t>
        </is>
      </c>
      <c r="L441" s="19" t="inlineStr">
        <is>
          <t>Rows returned: Overall: 28, Agent: 28, Principal Insurer: 28, Branch: 28. XLSX produced.</t>
        </is>
      </c>
      <c r="M441" s="19" t="inlineStr">
        <is>
          <t>Pass</t>
        </is>
      </c>
      <c r="N441" s="19" t="inlineStr"/>
      <c r="O441" s="19" t="inlineStr">
        <is>
          <t>iorta TechNXT QA</t>
        </is>
      </c>
      <c r="P441" s="19" t="inlineStr">
        <is>
          <t>04 October 2026</t>
        </is>
      </c>
      <c r="Q441" s="19" t="inlineStr"/>
      <c r="R441" s="19" t="inlineStr">
        <is>
          <t>backend/test/reports.test.js :: journal register and a balanced trial balance from approved/posted vouchers only [passed]
UAT cycle 03-04 October 2026, phase Reports and dashboards (58 passed, 0 failed)</t>
        </is>
      </c>
      <c r="S441" s="19" t="n"/>
    </row>
    <row r="442">
      <c r="A442" s="19" t="inlineStr">
        <is>
          <t>BV-RPT-028</t>
        </is>
      </c>
      <c r="B442" s="19" t="inlineStr">
        <is>
          <t>Reports</t>
        </is>
      </c>
      <c r="C442" s="19" t="inlineStr">
        <is>
          <t>Incentive Results</t>
        </is>
      </c>
      <c r="D442" s="19" t="inlineStr">
        <is>
          <t>Accounting Officer (liza.quiambao)</t>
        </is>
      </c>
      <c r="E442" s="19" t="inlineStr">
        <is>
          <t>Run Incentive Results with every criterion and export to Excel</t>
        </is>
      </c>
      <c r="F442" s="19" t="inlineStr">
        <is>
          <t>Report</t>
        </is>
      </c>
      <c r="G442" s="19" t="inlineStr">
        <is>
          <t>High</t>
        </is>
      </c>
      <c r="H442" s="19" t="inlineStr">
        <is>
          <t>UAT data set loaded (May to October 2026).</t>
        </is>
      </c>
      <c r="I442" s="19" t="inlineStr">
        <is>
          <t>1. Open Reports &gt; All Reports and select "Incentive Results".
2. Set From Date 01 May 2026 and To Date 04 October 2026.
3. Run the report for each Report Criteria: Overall, Program, Agent, Branch.
4. Click Generate and choose XLSX; open the file.</t>
        </is>
      </c>
      <c r="J442" s="19" t="inlineStr">
        <is>
          <t>From 01 May 2026 to 04 October 2026; BankAccount BDO-OPS where asked</t>
        </is>
      </c>
      <c r="K442" s="19" t="inlineStr">
        <is>
          <t>Each criterion returns rows for the test period; totals shown; the XLSX file downloads and opens with the same rows.</t>
        </is>
      </c>
      <c r="L442" s="19" t="inlineStr">
        <is>
          <t>Rows returned: Overall: 2, Program: 2, Agent: 2, Branch: 2. XLSX produced.</t>
        </is>
      </c>
      <c r="M442" s="19" t="inlineStr">
        <is>
          <t>Pass</t>
        </is>
      </c>
      <c r="N442" s="19" t="inlineStr"/>
      <c r="O442" s="19" t="inlineStr">
        <is>
          <t>iorta TechNXT QA</t>
        </is>
      </c>
      <c r="P442" s="19" t="inlineStr">
        <is>
          <t>04 October 2026</t>
        </is>
      </c>
      <c r="Q442" s="19" t="inlineStr"/>
      <c r="R442" s="19" t="inlineStr">
        <is>
          <t>backend/test/reports.test.js :: aggregate reports: premium by product/month, new vs renewal, lead funnel, cessions, incentives [passed]
UAT cycle 03-04 October 2026, phase Reports and dashboards (58 passed, 0 failed)</t>
        </is>
      </c>
      <c r="S442" s="19" t="n"/>
    </row>
    <row r="443">
      <c r="A443" s="19" t="inlineStr">
        <is>
          <t>BV-RPT-029</t>
        </is>
      </c>
      <c r="B443" s="19" t="inlineStr">
        <is>
          <t>Reports</t>
        </is>
      </c>
      <c r="C443" s="19" t="inlineStr">
        <is>
          <t>Due to Insurers by Co-insurer</t>
        </is>
      </c>
      <c r="D443" s="19" t="inlineStr">
        <is>
          <t>Accounting Officer (liza.quiambao)</t>
        </is>
      </c>
      <c r="E443" s="19" t="inlineStr">
        <is>
          <t>Run Due to Insurers by Co-insurer with every criterion and export to Excel</t>
        </is>
      </c>
      <c r="F443" s="19" t="inlineStr">
        <is>
          <t>Report</t>
        </is>
      </c>
      <c r="G443" s="19" t="inlineStr">
        <is>
          <t>High</t>
        </is>
      </c>
      <c r="H443" s="19" t="inlineStr">
        <is>
          <t>UAT data set loaded (May to October 2026).</t>
        </is>
      </c>
      <c r="I443" s="19" t="inlineStr">
        <is>
          <t>1. Open Reports &gt; Financial Reports &gt; Due to Insurers by Co-insurer.
2. Set From Date 01 May 2026 and To Date 04 October 2026.
3. Run the report for each Report Criteria: Co-insurer, Co-insurer and Policy, Placement.
4. Click Generate and choose XLSX; open the file.</t>
        </is>
      </c>
      <c r="J443" s="19" t="inlineStr">
        <is>
          <t>From 01 May 2026 to 04 October 2026; BankAccount BDO-OPS where asked</t>
        </is>
      </c>
      <c r="K443" s="19" t="inlineStr">
        <is>
          <t>Each criterion returns rows for the test period; totals shown; the XLSX file downloads and opens with the same rows.</t>
        </is>
      </c>
      <c r="L443" s="19" t="inlineStr">
        <is>
          <t>Rows returned: Co-insurer: 7, Co-insurer and Policy: 76, Placement: 13. XLSX produced.</t>
        </is>
      </c>
      <c r="M443" s="19" t="inlineStr">
        <is>
          <t>Pass</t>
        </is>
      </c>
      <c r="N443" s="19" t="inlineStr"/>
      <c r="O443" s="19" t="inlineStr">
        <is>
          <t>iorta TechNXT QA</t>
        </is>
      </c>
      <c r="P443" s="19" t="inlineStr">
        <is>
          <t>04 October 2026</t>
        </is>
      </c>
      <c r="Q443" s="19" t="inlineStr"/>
      <c r="R443" s="19" t="inlineStr">
        <is>
          <t>backend/test/posting-rules.test.js :: reports: Co-insurance Register and Due to Insurers by Co-insurer [passed]
UAT cycle 03-04 October 2026, phase Reports and dashboards (58 passed, 0 failed)</t>
        </is>
      </c>
      <c r="S443" s="19" t="n"/>
    </row>
    <row r="444">
      <c r="A444" s="19" t="inlineStr">
        <is>
          <t>BV-RPT-030</t>
        </is>
      </c>
      <c r="B444" s="19" t="inlineStr">
        <is>
          <t>Reports</t>
        </is>
      </c>
      <c r="C444" s="19" t="inlineStr">
        <is>
          <t>Income Statement</t>
        </is>
      </c>
      <c r="D444" s="19" t="inlineStr">
        <is>
          <t>Accounting Officer (liza.quiambao)</t>
        </is>
      </c>
      <c r="E444" s="19" t="inlineStr">
        <is>
          <t>Run Income Statement with every criterion and export to Excel</t>
        </is>
      </c>
      <c r="F444" s="19" t="inlineStr">
        <is>
          <t>Report</t>
        </is>
      </c>
      <c r="G444" s="19" t="inlineStr">
        <is>
          <t>High</t>
        </is>
      </c>
      <c r="H444" s="19" t="inlineStr">
        <is>
          <t>UAT data set loaded (May to October 2026).</t>
        </is>
      </c>
      <c r="I444" s="19" t="inlineStr">
        <is>
          <t>1. Open Reports &gt; Financial Reports &gt; Income Statement.
2. Set From Date 01 May 2026 and To Date 04 October 2026.
3. Run the report for each Report Criteria: Detailed, Summary.
4. Click Generate and choose XLSX; open the file.</t>
        </is>
      </c>
      <c r="J444" s="19" t="inlineStr">
        <is>
          <t>From 01 May 2026 to 04 October 2026; BankAccount BDO-OPS where asked</t>
        </is>
      </c>
      <c r="K444" s="19" t="inlineStr">
        <is>
          <t>Each criterion returns rows for the test period; totals shown; the XLSX file downloads and opens with the same rows.</t>
        </is>
      </c>
      <c r="L444" s="19" t="inlineStr">
        <is>
          <t>Rows returned: Detailed: 7, Summary: 5. XLSX produced.</t>
        </is>
      </c>
      <c r="M444" s="19" t="inlineStr">
        <is>
          <t>Pass</t>
        </is>
      </c>
      <c r="N444" s="19" t="inlineStr"/>
      <c r="O444" s="19" t="inlineStr">
        <is>
          <t>iorta TechNXT QA</t>
        </is>
      </c>
      <c r="P444" s="19" t="inlineStr">
        <is>
          <t>04 October 2026</t>
        </is>
      </c>
      <c r="Q444" s="19" t="inlineStr"/>
      <c r="R444" s="19" t="inlineStr">
        <is>
          <t>backend/test/period-end.test.js :: income statement net income = trial balance P&amp;L; the balance sheet balances [passed]
UAT cycle 03-04 October 2026, phase Reports and dashboards (58 passed, 0 failed)</t>
        </is>
      </c>
      <c r="S444" s="19" t="n"/>
    </row>
    <row r="445">
      <c r="A445" s="19" t="inlineStr">
        <is>
          <t>BV-RPT-031</t>
        </is>
      </c>
      <c r="B445" s="19" t="inlineStr">
        <is>
          <t>Reports</t>
        </is>
      </c>
      <c r="C445" s="19" t="inlineStr">
        <is>
          <t>Balance Sheet</t>
        </is>
      </c>
      <c r="D445" s="19" t="inlineStr">
        <is>
          <t>Accounting Officer (liza.quiambao)</t>
        </is>
      </c>
      <c r="E445" s="19" t="inlineStr">
        <is>
          <t>Run Balance Sheet with every criterion and export to Excel</t>
        </is>
      </c>
      <c r="F445" s="19" t="inlineStr">
        <is>
          <t>Report</t>
        </is>
      </c>
      <c r="G445" s="19" t="inlineStr">
        <is>
          <t>High</t>
        </is>
      </c>
      <c r="H445" s="19" t="inlineStr">
        <is>
          <t>UAT data set loaded (May to October 2026).</t>
        </is>
      </c>
      <c r="I445" s="19" t="inlineStr">
        <is>
          <t>1. Open Reports &gt; Financial Reports &gt; Balance Sheet.
2. Set From Date 01 May 2026 and To Date 04 October 2026.
3. Run the report for each Report Criteria: Detailed, Summary.
4. Click Generate and choose XLSX; open the file.</t>
        </is>
      </c>
      <c r="J445" s="19" t="inlineStr">
        <is>
          <t>From 01 May 2026 to 04 October 2026; BankAccount BDO-OPS where asked</t>
        </is>
      </c>
      <c r="K445" s="19" t="inlineStr">
        <is>
          <t>Each criterion returns rows for the test period; totals shown; the XLSX file downloads and opens with the same rows. Assets equal liabilities plus equity.</t>
        </is>
      </c>
      <c r="L445" s="19" t="inlineStr">
        <is>
          <t>Rows returned: Detailed: 22, Summary: 3. XLSX produced.</t>
        </is>
      </c>
      <c r="M445" s="19" t="inlineStr">
        <is>
          <t>Pass</t>
        </is>
      </c>
      <c r="N445" s="19" t="inlineStr"/>
      <c r="O445" s="19" t="inlineStr">
        <is>
          <t>iorta TechNXT QA</t>
        </is>
      </c>
      <c r="P445" s="19" t="inlineStr">
        <is>
          <t>04 October 2026</t>
        </is>
      </c>
      <c r="Q445" s="19" t="inlineStr"/>
      <c r="R445" s="19" t="inlineStr">
        <is>
          <t>backend/test/period-end.test.js :: income statement net income = trial balance P&amp;L; the balance sheet balances [passed]
UAT cycle 03-04 October 2026, phase Reports and dashboards (58 passed, 0 failed)</t>
        </is>
      </c>
      <c r="S445" s="19" t="n"/>
    </row>
    <row r="446">
      <c r="A446" s="19" t="inlineStr">
        <is>
          <t>BV-RPT-032</t>
        </is>
      </c>
      <c r="B446" s="19" t="inlineStr">
        <is>
          <t>Reports</t>
        </is>
      </c>
      <c r="C446" s="19" t="inlineStr">
        <is>
          <t>Trial Balance (Opening / Movement / Closing)</t>
        </is>
      </c>
      <c r="D446" s="19" t="inlineStr">
        <is>
          <t>Accounting Officer (liza.quiambao)</t>
        </is>
      </c>
      <c r="E446" s="19" t="inlineStr">
        <is>
          <t>Run Trial Balance (Opening / Movement / Closing) with every criterion and export to Excel</t>
        </is>
      </c>
      <c r="F446" s="19" t="inlineStr">
        <is>
          <t>Report</t>
        </is>
      </c>
      <c r="G446" s="19" t="inlineStr">
        <is>
          <t>High</t>
        </is>
      </c>
      <c r="H446" s="19" t="inlineStr">
        <is>
          <t>UAT data set loaded (May to October 2026).</t>
        </is>
      </c>
      <c r="I446" s="19" t="inlineStr">
        <is>
          <t>1. Open Reports &gt; Financial Reports &gt; Trial Balance Movement.
2. Set From Date 01 May 2026 and To Date 04 October 2026.
3. Run the report for each Report Criteria: Overall, Account Type, Statement Group.
4. Click Generate and choose XLSX; open the file.</t>
        </is>
      </c>
      <c r="J446" s="19" t="inlineStr">
        <is>
          <t>From 01 May 2026 to 04 October 2026; BankAccount BDO-OPS where asked</t>
        </is>
      </c>
      <c r="K446" s="19" t="inlineStr">
        <is>
          <t>Each criterion returns rows for the test period; totals shown; the XLSX file downloads and opens with the same rows. Debits equal credits.</t>
        </is>
      </c>
      <c r="L446" s="19" t="inlineStr">
        <is>
          <t>Rows returned: Overall: 28, Account Type: 28, Statement Group: 28. XLSX produced.</t>
        </is>
      </c>
      <c r="M446" s="19" t="inlineStr">
        <is>
          <t>Pass</t>
        </is>
      </c>
      <c r="N446" s="19" t="inlineStr"/>
      <c r="O446" s="19" t="inlineStr">
        <is>
          <t>iorta TechNXT QA</t>
        </is>
      </c>
      <c r="P446" s="19" t="inlineStr">
        <is>
          <t>04 October 2026</t>
        </is>
      </c>
      <c r="Q446" s="19" t="inlineStr"/>
      <c r="R446" s="19" t="inlineStr">
        <is>
          <t>UAT cycle 03-04 October 2026, phase Reports and dashboards (58 passed, 0 failed)</t>
        </is>
      </c>
      <c r="S446" s="19" t="n"/>
    </row>
    <row r="447">
      <c r="A447" s="19" t="inlineStr">
        <is>
          <t>BV-RPT-033</t>
        </is>
      </c>
      <c r="B447" s="19" t="inlineStr">
        <is>
          <t>Reports</t>
        </is>
      </c>
      <c r="C447" s="19" t="inlineStr">
        <is>
          <t>General Ledger Detail</t>
        </is>
      </c>
      <c r="D447" s="19" t="inlineStr">
        <is>
          <t>Accounting Officer (liza.quiambao)</t>
        </is>
      </c>
      <c r="E447" s="19" t="inlineStr">
        <is>
          <t>Run General Ledger Detail with every criterion and export to Excel</t>
        </is>
      </c>
      <c r="F447" s="19" t="inlineStr">
        <is>
          <t>Report</t>
        </is>
      </c>
      <c r="G447" s="19" t="inlineStr">
        <is>
          <t>High</t>
        </is>
      </c>
      <c r="H447" s="19" t="inlineStr">
        <is>
          <t>UAT data set loaded (May to October 2026).</t>
        </is>
      </c>
      <c r="I447" s="19" t="inlineStr">
        <is>
          <t>1. Open Reports &gt; Financial Reports &gt; General Ledger Detail.
2. Set From Date 01 May 2026 and To Date 04 October 2026.
3. Run the report for each Report Criteria: Account, Overall.
4. Click Generate and choose XLSX; open the file.</t>
        </is>
      </c>
      <c r="J447" s="19" t="inlineStr">
        <is>
          <t>From 01 May 2026 to 04 October 2026; BankAccount BDO-OPS where asked</t>
        </is>
      </c>
      <c r="K447" s="19" t="inlineStr">
        <is>
          <t>Each criterion returns rows for the test period; totals shown; the XLSX file downloads and opens with the same rows.</t>
        </is>
      </c>
      <c r="L447" s="19" t="inlineStr">
        <is>
          <t>Rows returned: Account: 500, Overall: 500. XLSX produced.</t>
        </is>
      </c>
      <c r="M447" s="19" t="inlineStr">
        <is>
          <t>Pass</t>
        </is>
      </c>
      <c r="N447" s="19" t="inlineStr"/>
      <c r="O447" s="19" t="inlineStr">
        <is>
          <t>iorta TechNXT QA</t>
        </is>
      </c>
      <c r="P447" s="19" t="inlineStr">
        <is>
          <t>04 October 2026</t>
        </is>
      </c>
      <c r="Q447" s="19" t="inlineStr"/>
      <c r="R447" s="19" t="inlineStr">
        <is>
          <t>UAT cycle 03-04 October 2026, phase Reports and dashboards (58 passed, 0 failed)</t>
        </is>
      </c>
      <c r="S447" s="19" t="n"/>
    </row>
    <row r="448">
      <c r="A448" s="19" t="inlineStr">
        <is>
          <t>BV-RPT-034</t>
        </is>
      </c>
      <c r="B448" s="19" t="inlineStr">
        <is>
          <t>Reports</t>
        </is>
      </c>
      <c r="C448" s="19" t="inlineStr">
        <is>
          <t>Aged Payables to Insurers</t>
        </is>
      </c>
      <c r="D448" s="19" t="inlineStr">
        <is>
          <t>Accounting Officer (liza.quiambao)</t>
        </is>
      </c>
      <c r="E448" s="19" t="inlineStr">
        <is>
          <t>Run Aged Payables to Insurers with every criterion and export to Excel</t>
        </is>
      </c>
      <c r="F448" s="19" t="inlineStr">
        <is>
          <t>Report</t>
        </is>
      </c>
      <c r="G448" s="19" t="inlineStr">
        <is>
          <t>High</t>
        </is>
      </c>
      <c r="H448" s="19" t="inlineStr">
        <is>
          <t>UAT data set loaded (May to October 2026).</t>
        </is>
      </c>
      <c r="I448" s="19" t="inlineStr">
        <is>
          <t>1. Open Reports &gt; Financial Reports &gt; Aged Payables to Insurers.
2. Set From Date 01 May 2026 and To Date 04 October 2026.
3. Run the report for each Report Criteria: Ageing Bucket, Principal Insurer, Overall.
4. Click Generate and choose XLSX; open the file.</t>
        </is>
      </c>
      <c r="J448" s="19" t="inlineStr">
        <is>
          <t>From 01 May 2026 to 04 October 2026; BankAccount BDO-OPS where asked</t>
        </is>
      </c>
      <c r="K448" s="19" t="inlineStr">
        <is>
          <t>Each criterion returns rows for the test period; totals shown; the XLSX file downloads and opens with the same rows.</t>
        </is>
      </c>
      <c r="L448" s="19" t="inlineStr">
        <is>
          <t>Rows returned: Ageing Bucket: 20, Principal Insurer: 20, Overall: 20. XLSX produced.</t>
        </is>
      </c>
      <c r="M448" s="19" t="inlineStr">
        <is>
          <t>Pass</t>
        </is>
      </c>
      <c r="N448" s="19" t="inlineStr"/>
      <c r="O448" s="19" t="inlineStr">
        <is>
          <t>iorta TechNXT QA</t>
        </is>
      </c>
      <c r="P448" s="19" t="inlineStr">
        <is>
          <t>04 October 2026</t>
        </is>
      </c>
      <c r="Q448" s="19" t="inlineStr"/>
      <c r="R448" s="19" t="inlineStr">
        <is>
          <t>UAT cycle 03-04 October 2026, phase Reports and dashboards (58 passed, 0 failed)</t>
        </is>
      </c>
      <c r="S448" s="19" t="n"/>
    </row>
    <row r="449">
      <c r="A449" s="19" t="inlineStr">
        <is>
          <t>BV-RPT-035</t>
        </is>
      </c>
      <c r="B449" s="19" t="inlineStr">
        <is>
          <t>Reports</t>
        </is>
      </c>
      <c r="C449" s="19" t="inlineStr">
        <is>
          <t>Month-End Close Status</t>
        </is>
      </c>
      <c r="D449" s="19" t="inlineStr">
        <is>
          <t>Accounting Officer (liza.quiambao)</t>
        </is>
      </c>
      <c r="E449" s="19" t="inlineStr">
        <is>
          <t>Run Month-End Close Status with every criterion and export to Excel</t>
        </is>
      </c>
      <c r="F449" s="19" t="inlineStr">
        <is>
          <t>Report</t>
        </is>
      </c>
      <c r="G449" s="19" t="inlineStr">
        <is>
          <t>High</t>
        </is>
      </c>
      <c r="H449" s="19" t="inlineStr">
        <is>
          <t>UAT data set loaded (May to October 2026).</t>
        </is>
      </c>
      <c r="I449" s="19" t="inlineStr">
        <is>
          <t>1. Open Reports &gt; Financial Reports &gt; Month-End Close Status.
2. Set From Date 01 May 2026 and To Date 04 October 2026.
3. Run the report for each Report Criteria: Overall, Fiscal Year, Period Status.
4. Click Generate and choose XLSX; open the file.</t>
        </is>
      </c>
      <c r="J449" s="19" t="inlineStr">
        <is>
          <t>From 01 May 2026 to 04 October 2026; BankAccount BDO-OPS where asked</t>
        </is>
      </c>
      <c r="K449" s="19" t="inlineStr">
        <is>
          <t>Each criterion returns rows for the test period; totals shown; the XLSX file downloads and opens with the same rows.</t>
        </is>
      </c>
      <c r="L449" s="19" t="inlineStr">
        <is>
          <t>Rows returned: Overall: 6, Fiscal Year: 6, Period Status: 6. XLSX produced.</t>
        </is>
      </c>
      <c r="M449" s="19" t="inlineStr">
        <is>
          <t>Pass</t>
        </is>
      </c>
      <c r="N449" s="19" t="inlineStr"/>
      <c r="O449" s="19" t="inlineStr">
        <is>
          <t>iorta TechNXT QA</t>
        </is>
      </c>
      <c r="P449" s="19" t="inlineStr">
        <is>
          <t>04 October 2026</t>
        </is>
      </c>
      <c r="Q449" s="19" t="inlineStr"/>
      <c r="R449" s="19" t="inlineStr">
        <is>
          <t>UAT cycle 03-04 October 2026, phase Reports and dashboards (58 passed, 0 failed)</t>
        </is>
      </c>
      <c r="S449" s="19" t="n"/>
    </row>
    <row r="450">
      <c r="A450" s="19" t="inlineStr">
        <is>
          <t>BV-RPT-036</t>
        </is>
      </c>
      <c r="B450" s="19" t="inlineStr">
        <is>
          <t>Reports</t>
        </is>
      </c>
      <c r="C450" s="19" t="inlineStr">
        <is>
          <t>VAT Summary</t>
        </is>
      </c>
      <c r="D450" s="19" t="inlineStr">
        <is>
          <t>Accounting Officer (liza.quiambao)</t>
        </is>
      </c>
      <c r="E450" s="19" t="inlineStr">
        <is>
          <t>Run VAT Summary with every criterion and export to Excel</t>
        </is>
      </c>
      <c r="F450" s="19" t="inlineStr">
        <is>
          <t>Report</t>
        </is>
      </c>
      <c r="G450" s="19" t="inlineStr">
        <is>
          <t>High</t>
        </is>
      </c>
      <c r="H450" s="19" t="inlineStr">
        <is>
          <t>UAT data set loaded (May to October 2026).</t>
        </is>
      </c>
      <c r="I450" s="19" t="inlineStr">
        <is>
          <t>1. Open Accounts &gt; Tax &gt; VAT Summary.
2. Set From Date 01 May 2026 and To Date 04 October 2026.
3. Run the report for each Report Criteria: Monthly, Quarterly.
4. Click Generate and choose XLSX; open the file.</t>
        </is>
      </c>
      <c r="J450" s="19" t="inlineStr">
        <is>
          <t>From 01 May 2026 to 04 October 2026; BankAccount BDO-OPS where asked</t>
        </is>
      </c>
      <c r="K450" s="19" t="inlineStr">
        <is>
          <t>Each criterion returns rows for the test period; totals shown; the XLSX file downloads and opens with the same rows.</t>
        </is>
      </c>
      <c r="L450" s="19" t="inlineStr">
        <is>
          <t>Rows returned: Monthly: 6, Quarterly: 3. XLSX produced.</t>
        </is>
      </c>
      <c r="M450" s="19" t="inlineStr">
        <is>
          <t>Pass</t>
        </is>
      </c>
      <c r="N450" s="19" t="inlineStr"/>
      <c r="O450" s="19" t="inlineStr">
        <is>
          <t>iorta TechNXT QA</t>
        </is>
      </c>
      <c r="P450" s="19" t="inlineStr">
        <is>
          <t>04 October 2026</t>
        </is>
      </c>
      <c r="Q450" s="19" t="inlineStr"/>
      <c r="R450" s="19" t="inlineStr">
        <is>
          <t>UAT cycle 03-04 October 2026, phase Reports and dashboards (58 passed, 0 failed)</t>
        </is>
      </c>
      <c r="S450" s="19" t="n"/>
    </row>
    <row r="451">
      <c r="A451" s="19" t="inlineStr">
        <is>
          <t>BV-RPT-037</t>
        </is>
      </c>
      <c r="B451" s="19" t="inlineStr">
        <is>
          <t>Reports</t>
        </is>
      </c>
      <c r="C451" s="19" t="inlineStr">
        <is>
          <t>SAWT - Summary Alphalist of Withholding Taxes</t>
        </is>
      </c>
      <c r="D451" s="19" t="inlineStr">
        <is>
          <t>Accounting Officer (liza.quiambao)</t>
        </is>
      </c>
      <c r="E451" s="19" t="inlineStr">
        <is>
          <t>Run SAWT - Summary Alphalist of Withholding Taxes with every criterion and export to Excel</t>
        </is>
      </c>
      <c r="F451" s="19" t="inlineStr">
        <is>
          <t>Report</t>
        </is>
      </c>
      <c r="G451" s="19" t="inlineStr">
        <is>
          <t>High</t>
        </is>
      </c>
      <c r="H451" s="19" t="inlineStr">
        <is>
          <t>UAT data set loaded (May to October 2026).</t>
        </is>
      </c>
      <c r="I451" s="19" t="inlineStr">
        <is>
          <t>1. Open Accounts &gt; Tax &gt; SAWT.
2. Set From Date 01 May 2026 and To Date 04 October 2026.
3. Run the report for each Report Criteria: Summary.
4. Click Generate and choose XLSX; open the file.</t>
        </is>
      </c>
      <c r="J451" s="19" t="inlineStr">
        <is>
          <t>From 01 May 2026 to 04 October 2026; BankAccount BDO-OPS where asked</t>
        </is>
      </c>
      <c r="K451" s="19" t="inlineStr">
        <is>
          <t>Each criterion returns rows for the test period; totals shown; the XLSX file downloads and opens with the same rows.</t>
        </is>
      </c>
      <c r="L451" s="19" t="inlineStr">
        <is>
          <t>Rows returned: Summary: 2. XLSX produced.</t>
        </is>
      </c>
      <c r="M451" s="19" t="inlineStr">
        <is>
          <t>Pass</t>
        </is>
      </c>
      <c r="N451" s="19" t="inlineStr"/>
      <c r="O451" s="19" t="inlineStr">
        <is>
          <t>iorta TechNXT QA</t>
        </is>
      </c>
      <c r="P451" s="19" t="inlineStr">
        <is>
          <t>04 October 2026</t>
        </is>
      </c>
      <c r="Q451" s="19" t="inlineStr"/>
      <c r="R451" s="19" t="inlineStr">
        <is>
          <t>UAT cycle 03-04 October 2026, phase Reports and dashboards (58 passed, 0 failed)</t>
        </is>
      </c>
      <c r="S451" s="19" t="n"/>
    </row>
    <row r="452">
      <c r="A452" s="19" t="inlineStr">
        <is>
          <t>BV-RPT-038</t>
        </is>
      </c>
      <c r="B452" s="19" t="inlineStr">
        <is>
          <t>Reports</t>
        </is>
      </c>
      <c r="C452" s="19" t="inlineStr">
        <is>
          <t>QAP - Quarterly Alphalist of Payees</t>
        </is>
      </c>
      <c r="D452" s="19" t="inlineStr">
        <is>
          <t>Accounting Officer (liza.quiambao)</t>
        </is>
      </c>
      <c r="E452" s="19" t="inlineStr">
        <is>
          <t>Run QAP - Quarterly Alphalist of Payees with every criterion and export to Excel</t>
        </is>
      </c>
      <c r="F452" s="19" t="inlineStr">
        <is>
          <t>Report</t>
        </is>
      </c>
      <c r="G452" s="19" t="inlineStr">
        <is>
          <t>High</t>
        </is>
      </c>
      <c r="H452" s="19" t="inlineStr">
        <is>
          <t>UAT data set loaded (May to October 2026).</t>
        </is>
      </c>
      <c r="I452" s="19" t="inlineStr">
        <is>
          <t>1. Open Accounts &gt; Tax &gt; QAP.
2. Set From Date 01 May 2026 and To Date 04 October 2026.
3. Run the report for each Report Criteria: Summary.
4. Click Generate and choose XLSX; open the file.</t>
        </is>
      </c>
      <c r="J452" s="19" t="inlineStr">
        <is>
          <t>From 01 May 2026 to 04 October 2026; BankAccount BDO-OPS where asked</t>
        </is>
      </c>
      <c r="K452" s="19" t="inlineStr">
        <is>
          <t>Each criterion returns rows for the test period; totals shown; the XLSX file downloads and opens with the same rows.</t>
        </is>
      </c>
      <c r="L452" s="19" t="inlineStr">
        <is>
          <t>Rows returned: Summary: 2. XLSX produced.</t>
        </is>
      </c>
      <c r="M452" s="19" t="inlineStr">
        <is>
          <t>Pass</t>
        </is>
      </c>
      <c r="N452" s="19" t="inlineStr"/>
      <c r="O452" s="19" t="inlineStr">
        <is>
          <t>iorta TechNXT QA</t>
        </is>
      </c>
      <c r="P452" s="19" t="inlineStr">
        <is>
          <t>04 October 2026</t>
        </is>
      </c>
      <c r="Q452" s="19" t="inlineStr"/>
      <c r="R452" s="19" t="inlineStr">
        <is>
          <t>UAT cycle 03-04 October 2026, phase Reports and dashboards (58 passed, 0 failed)</t>
        </is>
      </c>
      <c r="S452" s="19" t="n"/>
    </row>
    <row r="453">
      <c r="A453" s="19" t="inlineStr">
        <is>
          <t>BV-RPT-039</t>
        </is>
      </c>
      <c r="B453" s="19" t="inlineStr">
        <is>
          <t>Reports</t>
        </is>
      </c>
      <c r="C453" s="19" t="inlineStr">
        <is>
          <t>SLSP - Summary List of Sales</t>
        </is>
      </c>
      <c r="D453" s="19" t="inlineStr">
        <is>
          <t>Accounting Officer (liza.quiambao)</t>
        </is>
      </c>
      <c r="E453" s="19" t="inlineStr">
        <is>
          <t>Run SLSP - Summary List of Sales with every criterion and export to Excel</t>
        </is>
      </c>
      <c r="F453" s="19" t="inlineStr">
        <is>
          <t>Report</t>
        </is>
      </c>
      <c r="G453" s="19" t="inlineStr">
        <is>
          <t>High</t>
        </is>
      </c>
      <c r="H453" s="19" t="inlineStr">
        <is>
          <t>UAT data set loaded (May to October 2026).</t>
        </is>
      </c>
      <c r="I453" s="19" t="inlineStr">
        <is>
          <t>1. Open Accounts &gt; Tax &gt; SLSP Sales.
2. Set From Date 01 May 2026 and To Date 04 October 2026.
3. Run the report for each Report Criteria: Summary.
4. Click Generate and choose XLSX; open the file.</t>
        </is>
      </c>
      <c r="J453" s="19" t="inlineStr">
        <is>
          <t>From 01 May 2026 to 04 October 2026; BankAccount BDO-OPS where asked</t>
        </is>
      </c>
      <c r="K453" s="19" t="inlineStr">
        <is>
          <t>Each criterion returns rows for the test period; totals shown; the XLSX file downloads and opens with the same rows.</t>
        </is>
      </c>
      <c r="L453" s="19" t="inlineStr">
        <is>
          <t>Rows returned: Summary: 32. XLSX produced.</t>
        </is>
      </c>
      <c r="M453" s="19" t="inlineStr">
        <is>
          <t>Pass</t>
        </is>
      </c>
      <c r="N453" s="19" t="inlineStr"/>
      <c r="O453" s="19" t="inlineStr">
        <is>
          <t>iorta TechNXT QA</t>
        </is>
      </c>
      <c r="P453" s="19" t="inlineStr">
        <is>
          <t>04 October 2026</t>
        </is>
      </c>
      <c r="Q453" s="19" t="inlineStr"/>
      <c r="R453" s="19" t="inlineStr">
        <is>
          <t>UAT cycle 03-04 October 2026, phase Reports and dashboards (58 passed, 0 failed)</t>
        </is>
      </c>
      <c r="S453" s="19" t="n"/>
    </row>
    <row r="454">
      <c r="A454" s="19" t="inlineStr">
        <is>
          <t>BV-RPT-040</t>
        </is>
      </c>
      <c r="B454" s="19" t="inlineStr">
        <is>
          <t>Reports</t>
        </is>
      </c>
      <c r="C454" s="19" t="inlineStr">
        <is>
          <t>SLSP - Summary List of Purchases</t>
        </is>
      </c>
      <c r="D454" s="19" t="inlineStr">
        <is>
          <t>Accounting Officer (liza.quiambao)</t>
        </is>
      </c>
      <c r="E454" s="19" t="inlineStr">
        <is>
          <t>Run SLSP - Summary List of Purchases with every criterion and export to Excel</t>
        </is>
      </c>
      <c r="F454" s="19" t="inlineStr">
        <is>
          <t>Report</t>
        </is>
      </c>
      <c r="G454" s="19" t="inlineStr">
        <is>
          <t>High</t>
        </is>
      </c>
      <c r="H454" s="19" t="inlineStr">
        <is>
          <t>UAT data set loaded (May to October 2026).</t>
        </is>
      </c>
      <c r="I454" s="19" t="inlineStr">
        <is>
          <t>1. Open Accounts &gt; Tax &gt; SLSP Purchases.
2. Set From Date 01 May 2026 and To Date 04 October 2026.
3. Run the report for each Report Criteria: Summary.
4. Click Generate and choose XLSX; open the file.</t>
        </is>
      </c>
      <c r="J454" s="19" t="inlineStr">
        <is>
          <t>From 01 May 2026 to 04 October 2026; BankAccount BDO-OPS where asked</t>
        </is>
      </c>
      <c r="K454" s="19" t="inlineStr">
        <is>
          <t>Each criterion returns rows for the test period; totals shown; the XLSX file downloads and opens with the same rows.</t>
        </is>
      </c>
      <c r="L454" s="19" t="inlineStr">
        <is>
          <t>Rows returned: Summary: 1. XLSX produced.</t>
        </is>
      </c>
      <c r="M454" s="19" t="inlineStr">
        <is>
          <t>Pass</t>
        </is>
      </c>
      <c r="N454" s="19" t="inlineStr"/>
      <c r="O454" s="19" t="inlineStr">
        <is>
          <t>iorta TechNXT QA</t>
        </is>
      </c>
      <c r="P454" s="19" t="inlineStr">
        <is>
          <t>04 October 2026</t>
        </is>
      </c>
      <c r="Q454" s="19" t="inlineStr"/>
      <c r="R454" s="19" t="inlineStr">
        <is>
          <t>UAT cycle 03-04 October 2026, phase Reports and dashboards (58 passed, 0 failed)</t>
        </is>
      </c>
      <c r="S454" s="19" t="n"/>
    </row>
    <row r="455">
      <c r="A455" s="19" t="inlineStr">
        <is>
          <t>BV-RPT-041</t>
        </is>
      </c>
      <c r="B455" s="19" t="inlineStr">
        <is>
          <t>Reports</t>
        </is>
      </c>
      <c r="C455" s="19" t="inlineStr">
        <is>
          <t>Bank Reconciliation Statement</t>
        </is>
      </c>
      <c r="D455" s="19" t="inlineStr">
        <is>
          <t>Accounting Officer (liza.quiambao)</t>
        </is>
      </c>
      <c r="E455" s="19" t="inlineStr">
        <is>
          <t>Run Bank Reconciliation Statement with every criterion and export to Excel</t>
        </is>
      </c>
      <c r="F455" s="19" t="inlineStr">
        <is>
          <t>Report</t>
        </is>
      </c>
      <c r="G455" s="19" t="inlineStr">
        <is>
          <t>High</t>
        </is>
      </c>
      <c r="H455" s="19" t="inlineStr">
        <is>
          <t>UAT data set loaded (May to October 2026).</t>
        </is>
      </c>
      <c r="I455" s="19" t="inlineStr">
        <is>
          <t>1. Open Accounts &gt; Bank Reconciliation &gt; Reconciliation Statement Report.
2. Set From Date 01 May 2026 and To Date 04 October 2026.
3. Run the report for each Report Criteria: Overall, Bank Account.
4. Click Generate and choose XLSX; open the file.</t>
        </is>
      </c>
      <c r="J455" s="19" t="inlineStr">
        <is>
          <t>From 01 May 2026 to 04 October 2026; BankAccount BDO-OPS where asked</t>
        </is>
      </c>
      <c r="K455" s="19" t="inlineStr">
        <is>
          <t>Each criterion returns rows for the test period; totals shown; the XLSX file downloads and opens with the same rows.</t>
        </is>
      </c>
      <c r="L455" s="19" t="inlineStr">
        <is>
          <t>Rows returned: Overall: 5, Bank Account: 5. XLSX produced.</t>
        </is>
      </c>
      <c r="M455" s="19" t="inlineStr">
        <is>
          <t>Pass</t>
        </is>
      </c>
      <c r="N455" s="19" t="inlineStr"/>
      <c r="O455" s="19" t="inlineStr">
        <is>
          <t>iorta TechNXT QA</t>
        </is>
      </c>
      <c r="P455" s="19" t="inlineStr">
        <is>
          <t>04 October 2026</t>
        </is>
      </c>
      <c r="Q455" s="19" t="inlineStr"/>
      <c r="R455" s="19" t="inlineStr">
        <is>
          <t>backend/test/bank-reconciliation.test.js :: runs the bank reconciliation reports [passed]
UAT cycle 03-04 October 2026, phase Reports and dashboards (58 passed, 0 failed)</t>
        </is>
      </c>
      <c r="S455" s="19" t="n"/>
    </row>
    <row r="456">
      <c r="A456" s="19" t="inlineStr">
        <is>
          <t>BV-RPT-042</t>
        </is>
      </c>
      <c r="B456" s="19" t="inlineStr">
        <is>
          <t>Reports</t>
        </is>
      </c>
      <c r="C456" s="19" t="inlineStr">
        <is>
          <t>Outstanding Cheques</t>
        </is>
      </c>
      <c r="D456" s="19" t="inlineStr">
        <is>
          <t>Accounting Officer (liza.quiambao)</t>
        </is>
      </c>
      <c r="E456" s="19" t="inlineStr">
        <is>
          <t>Run Outstanding Cheques with every criterion and export to Excel</t>
        </is>
      </c>
      <c r="F456" s="19" t="inlineStr">
        <is>
          <t>Report</t>
        </is>
      </c>
      <c r="G456" s="19" t="inlineStr">
        <is>
          <t>High</t>
        </is>
      </c>
      <c r="H456" s="19" t="inlineStr">
        <is>
          <t>UAT data set loaded (May to October 2026).</t>
        </is>
      </c>
      <c r="I456" s="19" t="inlineStr">
        <is>
          <t>1. Open Accounts &gt; Bank Reconciliation &gt; Outstanding Cheques.
2. Set From Date 01 May 2026 and To Date 04 October 2026.
3. Run the report for each Report Criteria: Overall, Bank Account, Status.
4. Click Generate and choose XLSX; open the file.</t>
        </is>
      </c>
      <c r="J456" s="19" t="inlineStr">
        <is>
          <t>From 01 May 2026 to 04 October 2026; BankAccount BDO-OPS where asked</t>
        </is>
      </c>
      <c r="K456" s="19" t="inlineStr">
        <is>
          <t>Each criterion returns rows for the test period; totals shown; the XLSX file downloads and opens with the same rows.</t>
        </is>
      </c>
      <c r="L456" s="19" t="inlineStr">
        <is>
          <t>Rows returned: Overall: 7, Bank Account: 7, Status: 7. XLSX produced.</t>
        </is>
      </c>
      <c r="M456" s="19" t="inlineStr">
        <is>
          <t>Pass</t>
        </is>
      </c>
      <c r="N456" s="19" t="inlineStr"/>
      <c r="O456" s="19" t="inlineStr">
        <is>
          <t>iorta TechNXT QA</t>
        </is>
      </c>
      <c r="P456" s="19" t="inlineStr">
        <is>
          <t>04 October 2026</t>
        </is>
      </c>
      <c r="Q456" s="19" t="inlineStr"/>
      <c r="R456" s="19" t="inlineStr">
        <is>
          <t>backend/test/bank-reconciliation.test.js :: runs the bank reconciliation reports [passed]
UAT cycle 03-04 October 2026, phase Reports and dashboards (58 passed, 0 failed)</t>
        </is>
      </c>
      <c r="S456" s="19" t="n"/>
    </row>
    <row r="457">
      <c r="A457" s="19" t="inlineStr">
        <is>
          <t>BV-RPT-043</t>
        </is>
      </c>
      <c r="B457" s="19" t="inlineStr">
        <is>
          <t>Reports</t>
        </is>
      </c>
      <c r="C457" s="19" t="inlineStr">
        <is>
          <t>Deposits in Transit</t>
        </is>
      </c>
      <c r="D457" s="19" t="inlineStr">
        <is>
          <t>Accounting Officer (liza.quiambao)</t>
        </is>
      </c>
      <c r="E457" s="19" t="inlineStr">
        <is>
          <t>Run Deposits in Transit with every criterion and export to Excel</t>
        </is>
      </c>
      <c r="F457" s="19" t="inlineStr">
        <is>
          <t>Report</t>
        </is>
      </c>
      <c r="G457" s="19" t="inlineStr">
        <is>
          <t>High</t>
        </is>
      </c>
      <c r="H457" s="19" t="inlineStr">
        <is>
          <t>UAT data set loaded (May to October 2026).</t>
        </is>
      </c>
      <c r="I457" s="19" t="inlineStr">
        <is>
          <t>1. Open Accounts &gt; Bank Reconciliation &gt; Deposits in Transit.
2. Set From Date 01 May 2026 and To Date 04 October 2026.
3. Run the report for each Report Criteria: Overall, Bank Account.
4. Click Generate and choose XLSX; open the file.</t>
        </is>
      </c>
      <c r="J457" s="19" t="inlineStr">
        <is>
          <t>From 01 May 2026 to 04 October 2026; BankAccount BDO-OPS where asked</t>
        </is>
      </c>
      <c r="K457" s="19" t="inlineStr">
        <is>
          <t>Each criterion returns rows for the test period; totals shown; the XLSX file downloads and opens with the same rows.</t>
        </is>
      </c>
      <c r="L457" s="19" t="inlineStr">
        <is>
          <t>Rows returned: Overall: 4, Bank Account: 4. XLSX produced.</t>
        </is>
      </c>
      <c r="M457" s="19" t="inlineStr">
        <is>
          <t>Pass</t>
        </is>
      </c>
      <c r="N457" s="19" t="inlineStr"/>
      <c r="O457" s="19" t="inlineStr">
        <is>
          <t>iorta TechNXT QA</t>
        </is>
      </c>
      <c r="P457" s="19" t="inlineStr">
        <is>
          <t>04 October 2026</t>
        </is>
      </c>
      <c r="Q457" s="19" t="inlineStr"/>
      <c r="R457" s="19" t="inlineStr">
        <is>
          <t>backend/test/bank-reconciliation.test.js :: runs the bank reconciliation reports [passed]
UAT cycle 03-04 October 2026, phase Reports and dashboards (58 passed, 0 failed)</t>
        </is>
      </c>
      <c r="S457" s="19" t="n"/>
    </row>
    <row r="458">
      <c r="A458" s="19" t="inlineStr">
        <is>
          <t>BV-RPT-044</t>
        </is>
      </c>
      <c r="B458" s="19" t="inlineStr">
        <is>
          <t>Reports</t>
        </is>
      </c>
      <c r="C458" s="19" t="inlineStr">
        <is>
          <t>Unmatched Bank Lines</t>
        </is>
      </c>
      <c r="D458" s="19" t="inlineStr">
        <is>
          <t>Accounting Officer (liza.quiambao)</t>
        </is>
      </c>
      <c r="E458" s="19" t="inlineStr">
        <is>
          <t>Run Unmatched Bank Lines with every criterion and export to Excel</t>
        </is>
      </c>
      <c r="F458" s="19" t="inlineStr">
        <is>
          <t>Report</t>
        </is>
      </c>
      <c r="G458" s="19" t="inlineStr">
        <is>
          <t>High</t>
        </is>
      </c>
      <c r="H458" s="19" t="inlineStr">
        <is>
          <t>UAT data set loaded (May to October 2026).</t>
        </is>
      </c>
      <c r="I458" s="19" t="inlineStr">
        <is>
          <t>1. Open Accounts &gt; Bank Reconciliation &gt; Unmatched Bank Lines.
2. Set From Date 01 May 2026 and To Date 04 October 2026.
3. Run the report for each Report Criteria: Overall, Bank Account, Suggested Type.
4. Click Generate and choose XLSX; open the file.</t>
        </is>
      </c>
      <c r="J458" s="19" t="inlineStr">
        <is>
          <t>From 01 May 2026 to 04 October 2026; BankAccount BDO-OPS where asked</t>
        </is>
      </c>
      <c r="K458" s="19" t="inlineStr">
        <is>
          <t>Each criterion returns rows for the test period; totals shown; the XLSX file downloads and opens with the same rows.</t>
        </is>
      </c>
      <c r="L458" s="19" t="inlineStr">
        <is>
          <t>Rows returned: Overall: 2, Bank Account: 2, Suggested Type: 2. XLSX produced.</t>
        </is>
      </c>
      <c r="M458" s="19" t="inlineStr">
        <is>
          <t>Pass</t>
        </is>
      </c>
      <c r="N458" s="19" t="inlineStr"/>
      <c r="O458" s="19" t="inlineStr">
        <is>
          <t>iorta TechNXT QA</t>
        </is>
      </c>
      <c r="P458" s="19" t="inlineStr">
        <is>
          <t>04 October 2026</t>
        </is>
      </c>
      <c r="Q458" s="19" t="inlineStr"/>
      <c r="R458" s="19" t="inlineStr">
        <is>
          <t>backend/test/bank-reconciliation.test.js :: runs the bank reconciliation reports [passed]
UAT cycle 03-04 October 2026, phase Reports and dashboards (58 passed, 0 failed)</t>
        </is>
      </c>
      <c r="S458" s="19" t="n"/>
    </row>
    <row r="459">
      <c r="A459" s="19" t="inlineStr">
        <is>
          <t>BV-RPT-045</t>
        </is>
      </c>
      <c r="B459" s="19" t="inlineStr">
        <is>
          <t>Reports</t>
        </is>
      </c>
      <c r="C459" s="19" t="inlineStr">
        <is>
          <t>Bank Book</t>
        </is>
      </c>
      <c r="D459" s="19" t="inlineStr">
        <is>
          <t>Accounting Officer (liza.quiambao)</t>
        </is>
      </c>
      <c r="E459" s="19" t="inlineStr">
        <is>
          <t>Run Bank Book with every criterion and export to Excel</t>
        </is>
      </c>
      <c r="F459" s="19" t="inlineStr">
        <is>
          <t>Report</t>
        </is>
      </c>
      <c r="G459" s="19" t="inlineStr">
        <is>
          <t>High</t>
        </is>
      </c>
      <c r="H459" s="19" t="inlineStr">
        <is>
          <t>UAT data set loaded (May to October 2026).</t>
        </is>
      </c>
      <c r="I459" s="19" t="inlineStr">
        <is>
          <t>1. Open Accounts &gt; Bank Reconciliation &gt; Bank Book.
2. Set From Date 01 May 2026 and To Date 04 October 2026.
3. Run the report for each Report Criteria: Bank Account, Overall.
4. Click Generate and choose XLSX; open the file.</t>
        </is>
      </c>
      <c r="J459" s="19" t="inlineStr">
        <is>
          <t>From 01 May 2026 to 04 October 2026; BankAccount BDO-OPS where asked</t>
        </is>
      </c>
      <c r="K459" s="19" t="inlineStr">
        <is>
          <t>Each criterion returns rows for the test period; totals shown; the XLSX file downloads and opens with the same rows.</t>
        </is>
      </c>
      <c r="L459" s="19" t="inlineStr">
        <is>
          <t>Rows returned: Bank Account: 88, Overall: 88. XLSX produced.</t>
        </is>
      </c>
      <c r="M459" s="19" t="inlineStr">
        <is>
          <t>Pass</t>
        </is>
      </c>
      <c r="N459" s="19" t="inlineStr"/>
      <c r="O459" s="19" t="inlineStr">
        <is>
          <t>iorta TechNXT QA</t>
        </is>
      </c>
      <c r="P459" s="19" t="inlineStr">
        <is>
          <t>04 October 2026</t>
        </is>
      </c>
      <c r="Q459" s="19" t="inlineStr"/>
      <c r="R459" s="19" t="inlineStr">
        <is>
          <t>backend/test/bank-reconciliation.test.js :: runs the bank reconciliation reports [passed]
UAT cycle 03-04 October 2026, phase Reports and dashboards (58 passed, 0 failed)</t>
        </is>
      </c>
      <c r="S459" s="19" t="n"/>
    </row>
    <row r="460">
      <c r="A460" s="19" t="inlineStr">
        <is>
          <t>BV-SCR-001</t>
        </is>
      </c>
      <c r="B460" s="19" t="inlineStr">
        <is>
          <t>Screen checks (all menus)</t>
        </is>
      </c>
      <c r="C460" s="19" t="inlineStr">
        <is>
          <t>Dashboard</t>
        </is>
      </c>
      <c r="D460" s="19" t="inlineStr">
        <is>
          <t>System Administrator (BrokerVerse)</t>
        </is>
      </c>
      <c r="E460" s="19" t="inlineStr">
        <is>
          <t>Every screen under Dashboard opens without error</t>
        </is>
      </c>
      <c r="F460" s="19" t="inlineStr">
        <is>
          <t>Functional</t>
        </is>
      </c>
      <c r="G460" s="19" t="inlineStr">
        <is>
          <t>Medium</t>
        </is>
      </c>
      <c r="H460" s="19" t="inlineStr">
        <is>
          <t>Signed in as BrokerVerse on Chromium at 1440 x 900; UAT data set loaded.</t>
        </is>
      </c>
      <c r="I460" s="19" t="inlineStr">
        <is>
          <t>1. Open each screen of the group from the side menu: Executive Dashboard; Claims Dashboard; Processing Dashboard; Sales Dashboard.
2. On each screen wait for the data to load.
3. Check the page for error messages, failed requests (browser developer tools &gt; Network) and content cut off on the right.</t>
        </is>
      </c>
      <c r="J460" s="19" t="inlineStr">
        <is>
          <t>Administrator; UAT data set</t>
        </is>
      </c>
      <c r="K460" s="19" t="inlineStr">
        <is>
          <t>Each screen opens with its title and data; no error message, no failed request, nothing clipped.</t>
        </is>
      </c>
      <c r="L460" s="19" t="inlineStr">
        <is>
          <t>All 4 screens opened; no console error, no failed API call, no clipped content.</t>
        </is>
      </c>
      <c r="M460" s="19" t="inlineStr">
        <is>
          <t>Pass</t>
        </is>
      </c>
      <c r="N460" s="19" t="inlineStr"/>
      <c r="O460" s="19" t="inlineStr">
        <is>
          <t>iorta TechNXT QA</t>
        </is>
      </c>
      <c r="P460" s="19" t="inlineStr">
        <is>
          <t>03 October 2026</t>
        </is>
      </c>
      <c r="Q460" s="19" t="inlineStr"/>
      <c r="R460" s="19" t="inlineStr">
        <is>
          <t>Screen check of 03 October 2026 (Chromium, 1440 x 900): access, console errors, failed API calls and clipped content per menu screen, user System Administrator (BrokerVerse)</t>
        </is>
      </c>
      <c r="S460" s="19" t="n"/>
    </row>
    <row r="461">
      <c r="A461" s="19" t="inlineStr">
        <is>
          <t>BV-SCR-002</t>
        </is>
      </c>
      <c r="B461" s="19" t="inlineStr">
        <is>
          <t>Screen checks (all menus)</t>
        </is>
      </c>
      <c r="C461" s="19" t="inlineStr">
        <is>
          <t>Operations &gt; Clients, policy, claims, open items, payments</t>
        </is>
      </c>
      <c r="D461" s="19" t="inlineStr">
        <is>
          <t>System Administrator (BrokerVerse)</t>
        </is>
      </c>
      <c r="E461" s="19" t="inlineStr">
        <is>
          <t>Every screen under Operations &gt; Clients, policy, claims, open items, payments opens without error</t>
        </is>
      </c>
      <c r="F461" s="19" t="inlineStr">
        <is>
          <t>Functional</t>
        </is>
      </c>
      <c r="G461" s="19" t="inlineStr">
        <is>
          <t>Medium</t>
        </is>
      </c>
      <c r="H461" s="19" t="inlineStr">
        <is>
          <t>Signed in as BrokerVerse on Chromium at 1440 x 900; UAT data set loaded.</t>
        </is>
      </c>
      <c r="I461" s="19" t="inlineStr">
        <is>
          <t>1. Open each screen of the group from the side menu: Home; Clients; Policy; Claims; Open Items; Payments.
2. On each screen wait for the data to load.
3. Check the page for error messages, failed requests (browser developer tools &gt; Network) and content cut off on the right.</t>
        </is>
      </c>
      <c r="J461" s="19" t="inlineStr">
        <is>
          <t>Administrator; UAT data set</t>
        </is>
      </c>
      <c r="K461" s="19" t="inlineStr">
        <is>
          <t>Each screen opens with its title and data; no error message, no failed request, nothing clipped.</t>
        </is>
      </c>
      <c r="L461" s="19" t="inlineStr">
        <is>
          <t>All 6 screens opened; no console error, no failed API call, no clipped content.</t>
        </is>
      </c>
      <c r="M461" s="19" t="inlineStr">
        <is>
          <t>Pass</t>
        </is>
      </c>
      <c r="N461" s="19" t="inlineStr"/>
      <c r="O461" s="19" t="inlineStr">
        <is>
          <t>iorta TechNXT QA</t>
        </is>
      </c>
      <c r="P461" s="19" t="inlineStr">
        <is>
          <t>03 October 2026</t>
        </is>
      </c>
      <c r="Q461" s="19" t="inlineStr"/>
      <c r="R461" s="19" t="inlineStr">
        <is>
          <t>Screen check of 03 October 2026 (Chromium, 1440 x 900): access, console errors, failed API calls and clipped content per menu screen, user System Administrator (BrokerVerse)</t>
        </is>
      </c>
      <c r="S461" s="19" t="n"/>
    </row>
    <row r="462">
      <c r="A462" s="19" t="inlineStr">
        <is>
          <t>BV-SCR-003</t>
        </is>
      </c>
      <c r="B462" s="19" t="inlineStr">
        <is>
          <t>Screen checks (all menus)</t>
        </is>
      </c>
      <c r="C462" s="19" t="inlineStr">
        <is>
          <t>Operations &gt; Sales &amp; Marketing</t>
        </is>
      </c>
      <c r="D462" s="19" t="inlineStr">
        <is>
          <t>System Administrator (BrokerVerse)</t>
        </is>
      </c>
      <c r="E462" s="19" t="inlineStr">
        <is>
          <t>Every screen under Operations &gt; Sales &amp; Marketing opens without error</t>
        </is>
      </c>
      <c r="F462" s="19" t="inlineStr">
        <is>
          <t>Functional</t>
        </is>
      </c>
      <c r="G462" s="19" t="inlineStr">
        <is>
          <t>Medium</t>
        </is>
      </c>
      <c r="H462" s="19" t="inlineStr">
        <is>
          <t>Signed in as BrokerVerse on Chromium at 1440 x 900; UAT data set loaded.</t>
        </is>
      </c>
      <c r="I462" s="19" t="inlineStr">
        <is>
          <t>1. Open each screen of the group from the side menu: Sales &amp; Marketing &gt; Prospects; Sales &amp; Marketing &gt; Quick Quote; Sales &amp; Marketing &gt; Compare Insurers; Sales &amp; Marketing &gt; Request for Quotation; Sales &amp; Marketing &gt; Quotations; Sales &amp; Marketing &gt; Placement Slips.
2. On each screen wait for the data to load.
3. Check the page for error messages, failed requests (browser developer tools &gt; Network) and content cut off on the right.</t>
        </is>
      </c>
      <c r="J462" s="19" t="inlineStr">
        <is>
          <t>Administrator; UAT data set</t>
        </is>
      </c>
      <c r="K462" s="19" t="inlineStr">
        <is>
          <t>Each screen opens with its title and data; no error message, no failed request, nothing clipped.</t>
        </is>
      </c>
      <c r="L462" s="19" t="inlineStr">
        <is>
          <t>All 6 screens opened; no console error, no failed API call, no clipped content.</t>
        </is>
      </c>
      <c r="M462" s="19" t="inlineStr">
        <is>
          <t>Pass</t>
        </is>
      </c>
      <c r="N462" s="19" t="inlineStr"/>
      <c r="O462" s="19" t="inlineStr">
        <is>
          <t>iorta TechNXT QA</t>
        </is>
      </c>
      <c r="P462" s="19" t="inlineStr">
        <is>
          <t>03 October 2026</t>
        </is>
      </c>
      <c r="Q462" s="19" t="inlineStr"/>
      <c r="R462" s="19" t="inlineStr">
        <is>
          <t>Screen check of 03 October 2026 (Chromium, 1440 x 900): access, console errors, failed API calls and clipped content per menu screen, user System Administrator (BrokerVerse)</t>
        </is>
      </c>
      <c r="S462" s="19" t="n"/>
    </row>
    <row r="463">
      <c r="A463" s="19" t="inlineStr">
        <is>
          <t>BV-SCR-004</t>
        </is>
      </c>
      <c r="B463" s="19" t="inlineStr">
        <is>
          <t>Screen checks (all menus)</t>
        </is>
      </c>
      <c r="C463" s="19" t="inlineStr">
        <is>
          <t>Operations &gt; Renewals</t>
        </is>
      </c>
      <c r="D463" s="19" t="inlineStr">
        <is>
          <t>System Administrator (BrokerVerse)</t>
        </is>
      </c>
      <c r="E463" s="19" t="inlineStr">
        <is>
          <t>Every screen under Operations &gt; Renewals opens without error</t>
        </is>
      </c>
      <c r="F463" s="19" t="inlineStr">
        <is>
          <t>Functional</t>
        </is>
      </c>
      <c r="G463" s="19" t="inlineStr">
        <is>
          <t>Medium</t>
        </is>
      </c>
      <c r="H463" s="19" t="inlineStr">
        <is>
          <t>Signed in as BrokerVerse on Chromium at 1440 x 900; UAT data set loaded.</t>
        </is>
      </c>
      <c r="I463" s="19" t="inlineStr">
        <is>
          <t>1. Open each screen of the group from the side menu: Renewals &gt; Renewal Policy; Renewals &gt; Renewal Batch; Renewals &gt; Renewal Queue; Renewals &gt; Retention Analytics; Renewals &gt; At-Risk Policies; Renewals &gt; Negotiations; Renewals &gt; Lapse Management; Renewals &gt; Performance.
2. On each screen wait for the data to load.
3. Check the page for error messages, failed requests (browser developer tools &gt; Network) and content cut off on the right.</t>
        </is>
      </c>
      <c r="J463" s="19" t="inlineStr">
        <is>
          <t>Administrator; UAT data set</t>
        </is>
      </c>
      <c r="K463" s="19" t="inlineStr">
        <is>
          <t>Each screen opens with its title and data; no error message, no failed request, nothing clipped.</t>
        </is>
      </c>
      <c r="L463" s="19" t="inlineStr">
        <is>
          <t>All 8 screens opened; no console error, no failed API call, no clipped content.</t>
        </is>
      </c>
      <c r="M463" s="19" t="inlineStr">
        <is>
          <t>Pass</t>
        </is>
      </c>
      <c r="N463" s="19" t="inlineStr"/>
      <c r="O463" s="19" t="inlineStr">
        <is>
          <t>iorta TechNXT QA</t>
        </is>
      </c>
      <c r="P463" s="19" t="inlineStr">
        <is>
          <t>03 October 2026</t>
        </is>
      </c>
      <c r="Q463" s="19" t="inlineStr"/>
      <c r="R463" s="19" t="inlineStr">
        <is>
          <t>Screen check of 03 October 2026 (Chromium, 1440 x 900): access, console errors, failed API calls and clipped content per menu screen, user System Administrator (BrokerVerse)</t>
        </is>
      </c>
      <c r="S463" s="19" t="n"/>
    </row>
    <row r="464">
      <c r="A464" s="19" t="inlineStr">
        <is>
          <t>BV-SCR-005</t>
        </is>
      </c>
      <c r="B464" s="19" t="inlineStr">
        <is>
          <t>Screen checks (all menus)</t>
        </is>
      </c>
      <c r="C464" s="19" t="inlineStr">
        <is>
          <t>Accounts &gt; Receipts, collections, disbursement and journals</t>
        </is>
      </c>
      <c r="D464" s="19" t="inlineStr">
        <is>
          <t>System Administrator (BrokerVerse)</t>
        </is>
      </c>
      <c r="E464" s="19" t="inlineStr">
        <is>
          <t>Every screen under Accounts &gt; Receipts, collections, disbursement and journals opens without error</t>
        </is>
      </c>
      <c r="F464" s="19" t="inlineStr">
        <is>
          <t>Functional</t>
        </is>
      </c>
      <c r="G464" s="19" t="inlineStr">
        <is>
          <t>Medium</t>
        </is>
      </c>
      <c r="H464" s="19" t="inlineStr">
        <is>
          <t>Signed in as BrokerVerse on Chromium at 1440 x 900; UAT data set loaded.</t>
        </is>
      </c>
      <c r="I464" s="19" t="inlineStr">
        <is>
          <t>1. Open each screen of the group from the side menu: Receipts; Collections; Disbursement; Journal Voucher; Correction JV; Reversal JV; Open Entry Matching; Open Entry Unmatching; Accounting Query; All Clients Accounting.
2. On each screen wait for the data to load.
3. Check the page for error messages, failed requests (browser developer tools &gt; Network) and content cut off on the right.</t>
        </is>
      </c>
      <c r="J464" s="19" t="inlineStr">
        <is>
          <t>Administrator; UAT data set</t>
        </is>
      </c>
      <c r="K464" s="19" t="inlineStr">
        <is>
          <t>Each screen opens with its title and data; no error message, no failed request, nothing clipped.</t>
        </is>
      </c>
      <c r="L464" s="19" t="inlineStr">
        <is>
          <t>All 10 screens opened; no console error, no failed API call, no clipped content.</t>
        </is>
      </c>
      <c r="M464" s="19" t="inlineStr">
        <is>
          <t>Pass</t>
        </is>
      </c>
      <c r="N464" s="19" t="inlineStr"/>
      <c r="O464" s="19" t="inlineStr">
        <is>
          <t>iorta TechNXT QA</t>
        </is>
      </c>
      <c r="P464" s="19" t="inlineStr">
        <is>
          <t>03 October 2026</t>
        </is>
      </c>
      <c r="Q464" s="19" t="inlineStr"/>
      <c r="R464" s="19" t="inlineStr">
        <is>
          <t>Screen check of 03 October 2026 (Chromium, 1440 x 900): access, console errors, failed API calls and clipped content per menu screen, user System Administrator (BrokerVerse)</t>
        </is>
      </c>
      <c r="S464" s="19" t="n"/>
    </row>
    <row r="465">
      <c r="A465" s="19" t="inlineStr">
        <is>
          <t>BV-SCR-006</t>
        </is>
      </c>
      <c r="B465" s="19" t="inlineStr">
        <is>
          <t>Screen checks (all menus)</t>
        </is>
      </c>
      <c r="C465" s="19" t="inlineStr">
        <is>
          <t>Accounts &gt; Credit Control</t>
        </is>
      </c>
      <c r="D465" s="19" t="inlineStr">
        <is>
          <t>System Administrator (BrokerVerse)</t>
        </is>
      </c>
      <c r="E465" s="19" t="inlineStr">
        <is>
          <t>Every screen under Accounts &gt; Credit Control opens without error</t>
        </is>
      </c>
      <c r="F465" s="19" t="inlineStr">
        <is>
          <t>Functional</t>
        </is>
      </c>
      <c r="G465" s="19" t="inlineStr">
        <is>
          <t>Medium</t>
        </is>
      </c>
      <c r="H465" s="19" t="inlineStr">
        <is>
          <t>Signed in as BrokerVerse on Chromium at 1440 x 900; UAT data set loaded.</t>
        </is>
      </c>
      <c r="I465" s="19" t="inlineStr">
        <is>
          <t>1. Open each screen of the group from the side menu: Credit Control &gt; Instalment Plans; Credit Control &gt; Premium Warranty Monitor; Credit Control &gt; Client Credit Limits; Credit Control &gt; Remittance Ageing.
2. On each screen wait for the data to load.
3. Check the page for error messages, failed requests (browser developer tools &gt; Network) and content cut off on the right.</t>
        </is>
      </c>
      <c r="J465" s="19" t="inlineStr">
        <is>
          <t>Administrator; UAT data set</t>
        </is>
      </c>
      <c r="K465" s="19" t="inlineStr">
        <is>
          <t>Each screen opens with its title and data; no error message, no failed request, nothing clipped.</t>
        </is>
      </c>
      <c r="L465" s="19" t="inlineStr">
        <is>
          <t>All 4 screens opened; no console error, no failed API call, no clipped content.</t>
        </is>
      </c>
      <c r="M465" s="19" t="inlineStr">
        <is>
          <t>Pass</t>
        </is>
      </c>
      <c r="N465" s="19" t="inlineStr"/>
      <c r="O465" s="19" t="inlineStr">
        <is>
          <t>iorta TechNXT QA</t>
        </is>
      </c>
      <c r="P465" s="19" t="inlineStr">
        <is>
          <t>03 October 2026</t>
        </is>
      </c>
      <c r="Q465" s="19" t="inlineStr"/>
      <c r="R465" s="19" t="inlineStr">
        <is>
          <t>Screen check of 03 October 2026 (Chromium, 1440 x 900): access, console errors, failed API calls and clipped content per menu screen, user System Administrator (BrokerVerse)</t>
        </is>
      </c>
      <c r="S465" s="19" t="n"/>
    </row>
    <row r="466">
      <c r="A466" s="19" t="inlineStr">
        <is>
          <t>BV-SCR-007</t>
        </is>
      </c>
      <c r="B466" s="19" t="inlineStr">
        <is>
          <t>Screen checks (all menus)</t>
        </is>
      </c>
      <c r="C466" s="19" t="inlineStr">
        <is>
          <t>Accounts &gt; Remittance</t>
        </is>
      </c>
      <c r="D466" s="19" t="inlineStr">
        <is>
          <t>System Administrator (BrokerVerse)</t>
        </is>
      </c>
      <c r="E466" s="19" t="inlineStr">
        <is>
          <t>Every screen under Accounts &gt; Remittance opens without error</t>
        </is>
      </c>
      <c r="F466" s="19" t="inlineStr">
        <is>
          <t>Functional</t>
        </is>
      </c>
      <c r="G466" s="19" t="inlineStr">
        <is>
          <t>Medium</t>
        </is>
      </c>
      <c r="H466" s="19" t="inlineStr">
        <is>
          <t>Signed in as BrokerVerse on Chromium at 1440 x 900; UAT data set loaded.</t>
        </is>
      </c>
      <c r="I466" s="19" t="inlineStr">
        <is>
          <t>1. Open each screen of the group from the side menu: Remittance &gt; Automated Processing; Remittance &gt; Tracking; Remittance &gt; Statements; Remittance &gt; Settlement; Remittance &gt; Reconciliation; Remittance &gt; Bulk Processing; Remittance &gt; Scheduling; Remittance &gt; Electronic Transfer; Remittance &gt; Approval Workflow; Remittance &gt; Exception Management; Remittance &gt; Agency Bill Processing; Remittance &gt; Direct Bill Processing; Remittance &gt; Adjustments; Remittance &gt; Notifications; Remittance &gt; History; Remittance &gt; Analytics.
2. On each screen wait for the data to load.
3. Check the page for error messages, failed requests (browser developer tools &gt; Network) and content cut off on the right.</t>
        </is>
      </c>
      <c r="J466" s="19" t="inlineStr">
        <is>
          <t>Administrator; UAT data set</t>
        </is>
      </c>
      <c r="K466" s="19" t="inlineStr">
        <is>
          <t>Each screen opens with its title and data; no error message, no failed request, nothing clipped.</t>
        </is>
      </c>
      <c r="L466" s="19" t="inlineStr">
        <is>
          <t>All 16 screens opened; no console error, no failed API call, no clipped content.</t>
        </is>
      </c>
      <c r="M466" s="19" t="inlineStr">
        <is>
          <t>Pass</t>
        </is>
      </c>
      <c r="N466" s="19" t="inlineStr"/>
      <c r="O466" s="19" t="inlineStr">
        <is>
          <t>iorta TechNXT QA</t>
        </is>
      </c>
      <c r="P466" s="19" t="inlineStr">
        <is>
          <t>03 October 2026</t>
        </is>
      </c>
      <c r="Q466" s="19" t="inlineStr"/>
      <c r="R466" s="19" t="inlineStr">
        <is>
          <t>Screen check of 03 October 2026 (Chromium, 1440 x 900): access, console errors, failed API calls and clipped content per menu screen, user System Administrator (BrokerVerse)</t>
        </is>
      </c>
      <c r="S466" s="19" t="n"/>
    </row>
    <row r="467">
      <c r="A467" s="19" t="inlineStr">
        <is>
          <t>BV-SCR-008</t>
        </is>
      </c>
      <c r="B467" s="19" t="inlineStr">
        <is>
          <t>Screen checks (all menus)</t>
        </is>
      </c>
      <c r="C467" s="19" t="inlineStr">
        <is>
          <t>Accounts &gt; Petty Cash</t>
        </is>
      </c>
      <c r="D467" s="19" t="inlineStr">
        <is>
          <t>System Administrator (BrokerVerse)</t>
        </is>
      </c>
      <c r="E467" s="19" t="inlineStr">
        <is>
          <t>Every screen under Accounts &gt; Petty Cash opens without error</t>
        </is>
      </c>
      <c r="F467" s="19" t="inlineStr">
        <is>
          <t>Functional</t>
        </is>
      </c>
      <c r="G467" s="19" t="inlineStr">
        <is>
          <t>Medium</t>
        </is>
      </c>
      <c r="H467" s="19" t="inlineStr">
        <is>
          <t>Signed in as BrokerVerse on Chromium at 1440 x 900; UAT data set loaded.</t>
        </is>
      </c>
      <c r="I467" s="19" t="inlineStr">
        <is>
          <t>1. Open each screen of the group from the side menu: Petty Cash &gt; Initiate; Petty Cash &gt; Request; Petty Cash &gt; Disbursement; Petty Cash &gt; Receipts; Petty Cash &gt; Replenish.
2. On each screen wait for the data to load.
3. Check the page for error messages, failed requests (browser developer tools &gt; Network) and content cut off on the right.</t>
        </is>
      </c>
      <c r="J467" s="19" t="inlineStr">
        <is>
          <t>Administrator; UAT data set</t>
        </is>
      </c>
      <c r="K467" s="19" t="inlineStr">
        <is>
          <t>Each screen opens with its title and data; no error message, no failed request, nothing clipped.</t>
        </is>
      </c>
      <c r="L467" s="19" t="inlineStr">
        <is>
          <t>All 5 screens opened; no console error, no failed API call, no clipped content.</t>
        </is>
      </c>
      <c r="M467" s="19" t="inlineStr">
        <is>
          <t>Pass</t>
        </is>
      </c>
      <c r="N467" s="19" t="inlineStr"/>
      <c r="O467" s="19" t="inlineStr">
        <is>
          <t>iorta TechNXT QA</t>
        </is>
      </c>
      <c r="P467" s="19" t="inlineStr">
        <is>
          <t>03 October 2026</t>
        </is>
      </c>
      <c r="Q467" s="19" t="inlineStr"/>
      <c r="R467" s="19" t="inlineStr">
        <is>
          <t>Screen check of 03 October 2026 (Chromium, 1440 x 900): access, console errors, failed API calls and clipped content per menu screen, user System Administrator (BrokerVerse)</t>
        </is>
      </c>
      <c r="S467" s="19" t="n"/>
    </row>
    <row r="468">
      <c r="A468" s="19" t="inlineStr">
        <is>
          <t>BV-SCR-009</t>
        </is>
      </c>
      <c r="B468" s="19" t="inlineStr">
        <is>
          <t>Screen checks (all menus)</t>
        </is>
      </c>
      <c r="C468" s="19" t="inlineStr">
        <is>
          <t>Accounts &gt; Bank Reconciliation</t>
        </is>
      </c>
      <c r="D468" s="19" t="inlineStr">
        <is>
          <t>System Administrator (BrokerVerse)</t>
        </is>
      </c>
      <c r="E468" s="19" t="inlineStr">
        <is>
          <t>Every screen under Accounts &gt; Bank Reconciliation opens without error</t>
        </is>
      </c>
      <c r="F468" s="19" t="inlineStr">
        <is>
          <t>Functional</t>
        </is>
      </c>
      <c r="G468" s="19" t="inlineStr">
        <is>
          <t>Medium</t>
        </is>
      </c>
      <c r="H468" s="19" t="inlineStr">
        <is>
          <t>Signed in as BrokerVerse on Chromium at 1440 x 900; UAT data set loaded.</t>
        </is>
      </c>
      <c r="I468" s="19" t="inlineStr">
        <is>
          <t>1. Open each screen of the group from the side menu: Bank Reconciliation &gt; Reconciliation Workspace; Bank Reconciliation &gt; Reconciliations; Bank Reconciliation &gt; Reconciliation Statement Report; Bank Reconciliation &gt; Outstanding Cheques; Bank Reconciliation &gt; Deposits in Transit; Bank Reconciliation &gt; Unmatched Bank Lines; Bank Reconciliation &gt; Bank Book.
2. On each screen wait for the data to load.
3. Check the page for error messages, failed requests (browser developer tools &gt; Network) and content cut off on the right.</t>
        </is>
      </c>
      <c r="J468" s="19" t="inlineStr">
        <is>
          <t>Administrator; UAT data set</t>
        </is>
      </c>
      <c r="K468" s="19" t="inlineStr">
        <is>
          <t>Each screen opens with its title and data; no error message, no failed request, nothing clipped.</t>
        </is>
      </c>
      <c r="L468" s="19" t="inlineStr">
        <is>
          <t>All 7 screens opened; no console error, no failed API call, no clipped content.</t>
        </is>
      </c>
      <c r="M468" s="19" t="inlineStr">
        <is>
          <t>Pass</t>
        </is>
      </c>
      <c r="N468" s="19" t="inlineStr"/>
      <c r="O468" s="19" t="inlineStr">
        <is>
          <t>iorta TechNXT QA</t>
        </is>
      </c>
      <c r="P468" s="19" t="inlineStr">
        <is>
          <t>03 October 2026</t>
        </is>
      </c>
      <c r="Q468" s="19" t="inlineStr"/>
      <c r="R468" s="19" t="inlineStr">
        <is>
          <t>Screen check of 03 October 2026 (Chromium, 1440 x 900): access, console errors, failed API calls and clipped content per menu screen, user System Administrator (BrokerVerse)</t>
        </is>
      </c>
      <c r="S468" s="19" t="n"/>
    </row>
    <row r="469">
      <c r="A469" s="19" t="inlineStr">
        <is>
          <t>BV-SCR-010</t>
        </is>
      </c>
      <c r="B469" s="19" t="inlineStr">
        <is>
          <t>Screen checks (all menus)</t>
        </is>
      </c>
      <c r="C469" s="19" t="inlineStr">
        <is>
          <t>Accounts &gt; Insurer Reconciliation</t>
        </is>
      </c>
      <c r="D469" s="19" t="inlineStr">
        <is>
          <t>System Administrator (BrokerVerse)</t>
        </is>
      </c>
      <c r="E469" s="19" t="inlineStr">
        <is>
          <t>Every screen under Accounts &gt; Insurer Reconciliation opens without error</t>
        </is>
      </c>
      <c r="F469" s="19" t="inlineStr">
        <is>
          <t>Functional</t>
        </is>
      </c>
      <c r="G469" s="19" t="inlineStr">
        <is>
          <t>Medium</t>
        </is>
      </c>
      <c r="H469" s="19" t="inlineStr">
        <is>
          <t>Signed in as BrokerVerse on Chromium at 1440 x 900; UAT data set loaded.</t>
        </is>
      </c>
      <c r="I469" s="19" t="inlineStr">
        <is>
          <t>1. Open each screen of the group from the side menu: Insurer Reconciliation &gt; Insurer Statements.
2. On each screen wait for the data to load.
3. Check the page for error messages, failed requests (browser developer tools &gt; Network) and content cut off on the right.</t>
        </is>
      </c>
      <c r="J469" s="19" t="inlineStr">
        <is>
          <t>Administrator; UAT data set</t>
        </is>
      </c>
      <c r="K469" s="19" t="inlineStr">
        <is>
          <t>Each screen opens with its title and data; no error message, no failed request, nothing clipped.</t>
        </is>
      </c>
      <c r="L469" s="19" t="inlineStr">
        <is>
          <t>All 1 screens opened; no console error, no failed API call, no clipped content.</t>
        </is>
      </c>
      <c r="M469" s="19" t="inlineStr">
        <is>
          <t>Pass</t>
        </is>
      </c>
      <c r="N469" s="19" t="inlineStr"/>
      <c r="O469" s="19" t="inlineStr">
        <is>
          <t>iorta TechNXT QA</t>
        </is>
      </c>
      <c r="P469" s="19" t="inlineStr">
        <is>
          <t>03 October 2026</t>
        </is>
      </c>
      <c r="Q469" s="19" t="inlineStr"/>
      <c r="R469" s="19" t="inlineStr">
        <is>
          <t>Screen check of 03 October 2026 (Chromium, 1440 x 900): access, console errors, failed API calls and clipped content per menu screen, user System Administrator (BrokerVerse)</t>
        </is>
      </c>
      <c r="S469" s="19" t="n"/>
    </row>
    <row r="470">
      <c r="A470" s="19" t="inlineStr">
        <is>
          <t>BV-SCR-011</t>
        </is>
      </c>
      <c r="B470" s="19" t="inlineStr">
        <is>
          <t>Screen checks (all menus)</t>
        </is>
      </c>
      <c r="C470" s="19" t="inlineStr">
        <is>
          <t>Accounts &gt; Tax</t>
        </is>
      </c>
      <c r="D470" s="19" t="inlineStr">
        <is>
          <t>System Administrator (BrokerVerse)</t>
        </is>
      </c>
      <c r="E470" s="19" t="inlineStr">
        <is>
          <t>Every screen under Accounts &gt; Tax opens without error</t>
        </is>
      </c>
      <c r="F470" s="19" t="inlineStr">
        <is>
          <t>Functional</t>
        </is>
      </c>
      <c r="G470" s="19" t="inlineStr">
        <is>
          <t>Medium</t>
        </is>
      </c>
      <c r="H470" s="19" t="inlineStr">
        <is>
          <t>Signed in as BrokerVerse on Chromium at 1440 x 900; UAT data set loaded.</t>
        </is>
      </c>
      <c r="I470" s="19" t="inlineStr">
        <is>
          <t>1. Open each screen of the group from the side menu: Tax &gt; BIR Form 2307; Tax &gt; VAT Summary; Tax &gt; SAWT; Tax &gt; QAP; Tax &gt; SLSP Sales; Tax &gt; SLSP Purchases.
2. On each screen wait for the data to load.
3. Check the page for error messages, failed requests (browser developer tools &gt; Network) and content cut off on the right.</t>
        </is>
      </c>
      <c r="J470" s="19" t="inlineStr">
        <is>
          <t>Administrator; UAT data set</t>
        </is>
      </c>
      <c r="K470" s="19" t="inlineStr">
        <is>
          <t>Each screen opens with its title and data; no error message, no failed request, nothing clipped.</t>
        </is>
      </c>
      <c r="L470" s="19" t="inlineStr">
        <is>
          <t>All 6 screens opened; no console error, no failed API call, no clipped content.</t>
        </is>
      </c>
      <c r="M470" s="19" t="inlineStr">
        <is>
          <t>Pass</t>
        </is>
      </c>
      <c r="N470" s="19" t="inlineStr"/>
      <c r="O470" s="19" t="inlineStr">
        <is>
          <t>iorta TechNXT QA</t>
        </is>
      </c>
      <c r="P470" s="19" t="inlineStr">
        <is>
          <t>03 October 2026</t>
        </is>
      </c>
      <c r="Q470" s="19" t="inlineStr"/>
      <c r="R470" s="19" t="inlineStr">
        <is>
          <t>Screen check of 03 October 2026 (Chromium, 1440 x 900): access, console errors, failed API calls and clipped content per menu screen, user System Administrator (BrokerVerse)</t>
        </is>
      </c>
      <c r="S470" s="19" t="n"/>
    </row>
    <row r="471">
      <c r="A471" s="19" t="inlineStr">
        <is>
          <t>BV-SCR-012</t>
        </is>
      </c>
      <c r="B471" s="19" t="inlineStr">
        <is>
          <t>Screen checks (all menus)</t>
        </is>
      </c>
      <c r="C471" s="19" t="inlineStr">
        <is>
          <t>Accounts &gt; Period End</t>
        </is>
      </c>
      <c r="D471" s="19" t="inlineStr">
        <is>
          <t>System Administrator (BrokerVerse)</t>
        </is>
      </c>
      <c r="E471" s="19" t="inlineStr">
        <is>
          <t>Every screen under Accounts &gt; Period End opens without error</t>
        </is>
      </c>
      <c r="F471" s="19" t="inlineStr">
        <is>
          <t>Functional</t>
        </is>
      </c>
      <c r="G471" s="19" t="inlineStr">
        <is>
          <t>Medium</t>
        </is>
      </c>
      <c r="H471" s="19" t="inlineStr">
        <is>
          <t>Signed in as BrokerVerse on Chromium at 1440 x 900; UAT data set loaded.</t>
        </is>
      </c>
      <c r="I471" s="19" t="inlineStr">
        <is>
          <t>1. Open each screen of the group from the side menu: Period End &gt; Period Management; Period End &gt; Month-End Close; Period End &gt; Year-End Close; Period End &gt; Recurring Journals; Period End &gt; Financial Statements.
2. On each screen wait for the data to load.
3. Check the page for error messages, failed requests (browser developer tools &gt; Network) and content cut off on the right.</t>
        </is>
      </c>
      <c r="J471" s="19" t="inlineStr">
        <is>
          <t>Administrator; UAT data set</t>
        </is>
      </c>
      <c r="K471" s="19" t="inlineStr">
        <is>
          <t>Each screen opens with its title and data; no error message, no failed request, nothing clipped.</t>
        </is>
      </c>
      <c r="L471" s="19" t="inlineStr">
        <is>
          <t>All 5 screens opened; no console error, no failed API call, no clipped content.</t>
        </is>
      </c>
      <c r="M471" s="19" t="inlineStr">
        <is>
          <t>Pass</t>
        </is>
      </c>
      <c r="N471" s="19" t="inlineStr"/>
      <c r="O471" s="19" t="inlineStr">
        <is>
          <t>iorta TechNXT QA</t>
        </is>
      </c>
      <c r="P471" s="19" t="inlineStr">
        <is>
          <t>03 October 2026</t>
        </is>
      </c>
      <c r="Q471" s="19" t="inlineStr"/>
      <c r="R471" s="19" t="inlineStr">
        <is>
          <t>Screen check of 03 October 2026 (Chromium, 1440 x 900): access, console errors, failed API calls and clipped content per menu screen, user System Administrator (BrokerVerse)</t>
        </is>
      </c>
      <c r="S471" s="19" t="n"/>
    </row>
    <row r="472">
      <c r="A472" s="19" t="inlineStr">
        <is>
          <t>BV-SCR-013</t>
        </is>
      </c>
      <c r="B472" s="19" t="inlineStr">
        <is>
          <t>Screen checks (all menus)</t>
        </is>
      </c>
      <c r="C472" s="19" t="inlineStr">
        <is>
          <t>Accounts &gt; Incentive</t>
        </is>
      </c>
      <c r="D472" s="19" t="inlineStr">
        <is>
          <t>System Administrator (BrokerVerse)</t>
        </is>
      </c>
      <c r="E472" s="19" t="inlineStr">
        <is>
          <t>Every screen under Accounts &gt; Incentive opens without error</t>
        </is>
      </c>
      <c r="F472" s="19" t="inlineStr">
        <is>
          <t>Functional</t>
        </is>
      </c>
      <c r="G472" s="19" t="inlineStr">
        <is>
          <t>Medium</t>
        </is>
      </c>
      <c r="H472" s="19" t="inlineStr">
        <is>
          <t>Signed in as BrokerVerse on Chromium at 1440 x 900; UAT data set loaded.</t>
        </is>
      </c>
      <c r="I472" s="19" t="inlineStr">
        <is>
          <t>1. Open each screen of the group from the side menu: Incentive &gt; My Programs; Incentive &gt; Calculations; Incentive &gt; Approvals; Incentive &gt; Statement.
2. On each screen wait for the data to load.
3. Check the page for error messages, failed requests (browser developer tools &gt; Network) and content cut off on the right.</t>
        </is>
      </c>
      <c r="J472" s="19" t="inlineStr">
        <is>
          <t>Administrator; UAT data set</t>
        </is>
      </c>
      <c r="K472" s="19" t="inlineStr">
        <is>
          <t>Each screen opens with its title and data; no error message, no failed request, nothing clipped.</t>
        </is>
      </c>
      <c r="L472" s="19" t="inlineStr">
        <is>
          <t>4 of 4 screens opened. Findings: Accounts &gt; Incentive &gt; My Programs: 1 element(s) clipped at 1440 px</t>
        </is>
      </c>
      <c r="M472" s="19" t="inlineStr">
        <is>
          <t>Pass</t>
        </is>
      </c>
      <c r="N472" s="19" t="inlineStr">
        <is>
          <t>BV-OBS-008</t>
        </is>
      </c>
      <c r="O472" s="19" t="inlineStr">
        <is>
          <t>iorta TechNXT QA</t>
        </is>
      </c>
      <c r="P472" s="19" t="inlineStr">
        <is>
          <t>03 October 2026</t>
        </is>
      </c>
      <c r="Q472" s="19" t="inlineStr"/>
      <c r="R472" s="19" t="inlineStr">
        <is>
          <t>Screen check of 03 October 2026 (Chromium, 1440 x 900): access, console errors, failed API calls and clipped content per menu screen, user System Administrator (BrokerVerse)</t>
        </is>
      </c>
      <c r="S472" s="19" t="n"/>
    </row>
    <row r="473">
      <c r="A473" s="19" t="inlineStr">
        <is>
          <t>BV-SCR-014</t>
        </is>
      </c>
      <c r="B473" s="19" t="inlineStr">
        <is>
          <t>Screen checks (all menus)</t>
        </is>
      </c>
      <c r="C473" s="19" t="inlineStr">
        <is>
          <t>Commission</t>
        </is>
      </c>
      <c r="D473" s="19" t="inlineStr">
        <is>
          <t>System Administrator (BrokerVerse)</t>
        </is>
      </c>
      <c r="E473" s="19" t="inlineStr">
        <is>
          <t>Every screen under Commission opens without error</t>
        </is>
      </c>
      <c r="F473" s="19" t="inlineStr">
        <is>
          <t>Functional</t>
        </is>
      </c>
      <c r="G473" s="19" t="inlineStr">
        <is>
          <t>Medium</t>
        </is>
      </c>
      <c r="H473" s="19" t="inlineStr">
        <is>
          <t>Signed in as BrokerVerse on Chromium at 1440 x 900; UAT data set loaded.</t>
        </is>
      </c>
      <c r="I473" s="19" t="inlineStr">
        <is>
          <t>1. Open each screen of the group from the side menu: Commission Dashboard; Agents/Referrer Accounts.
2. On each screen wait for the data to load.
3. Check the page for error messages, failed requests (browser developer tools &gt; Network) and content cut off on the right.</t>
        </is>
      </c>
      <c r="J473" s="19" t="inlineStr">
        <is>
          <t>Administrator; UAT data set</t>
        </is>
      </c>
      <c r="K473" s="19" t="inlineStr">
        <is>
          <t>Each screen opens with its title and data; no error message, no failed request, nothing clipped.</t>
        </is>
      </c>
      <c r="L473" s="19" t="inlineStr">
        <is>
          <t>All 2 screens opened; no console error, no failed API call, no clipped content.</t>
        </is>
      </c>
      <c r="M473" s="19" t="inlineStr">
        <is>
          <t>Pass</t>
        </is>
      </c>
      <c r="N473" s="19" t="inlineStr"/>
      <c r="O473" s="19" t="inlineStr">
        <is>
          <t>iorta TechNXT QA</t>
        </is>
      </c>
      <c r="P473" s="19" t="inlineStr">
        <is>
          <t>03 October 2026</t>
        </is>
      </c>
      <c r="Q473" s="19" t="inlineStr"/>
      <c r="R473" s="19" t="inlineStr">
        <is>
          <t>Screen check of 03 October 2026 (Chromium, 1440 x 900): access, console errors, failed API calls and clipped content per menu screen, user System Administrator (BrokerVerse)</t>
        </is>
      </c>
      <c r="S473" s="19" t="n"/>
    </row>
    <row r="474">
      <c r="A474" s="19" t="inlineStr">
        <is>
          <t>BV-SCR-015</t>
        </is>
      </c>
      <c r="B474" s="19" t="inlineStr">
        <is>
          <t>Screen checks (all menus)</t>
        </is>
      </c>
      <c r="C474" s="19" t="inlineStr">
        <is>
          <t>Reinsurance</t>
        </is>
      </c>
      <c r="D474" s="19" t="inlineStr">
        <is>
          <t>System Administrator (BrokerVerse)</t>
        </is>
      </c>
      <c r="E474" s="19" t="inlineStr">
        <is>
          <t>Every screen under Reinsurance opens without error</t>
        </is>
      </c>
      <c r="F474" s="19" t="inlineStr">
        <is>
          <t>Functional</t>
        </is>
      </c>
      <c r="G474" s="19" t="inlineStr">
        <is>
          <t>Medium</t>
        </is>
      </c>
      <c r="H474" s="19" t="inlineStr">
        <is>
          <t>Signed in as BrokerVerse on Chromium at 1440 x 900; UAT data set loaded.</t>
        </is>
      </c>
      <c r="I474" s="19" t="inlineStr">
        <is>
          <t>1. Open each screen of the group from the side menu: Treaty Dashboard; Cession Tracking; Claims Recovery; Reconciliation; Analytics.
2. On each screen wait for the data to load.
3. Check the page for error messages, failed requests (browser developer tools &gt; Network) and content cut off on the right.</t>
        </is>
      </c>
      <c r="J474" s="19" t="inlineStr">
        <is>
          <t>Administrator; UAT data set</t>
        </is>
      </c>
      <c r="K474" s="19" t="inlineStr">
        <is>
          <t>Each screen opens with its title and data; no error message, no failed request, nothing clipped.</t>
        </is>
      </c>
      <c r="L474" s="19" t="inlineStr">
        <is>
          <t>All 5 screens opened; no console error, no failed API call, no clipped content.</t>
        </is>
      </c>
      <c r="M474" s="19" t="inlineStr">
        <is>
          <t>Pass</t>
        </is>
      </c>
      <c r="N474" s="19" t="inlineStr"/>
      <c r="O474" s="19" t="inlineStr">
        <is>
          <t>iorta TechNXT QA</t>
        </is>
      </c>
      <c r="P474" s="19" t="inlineStr">
        <is>
          <t>03 October 2026</t>
        </is>
      </c>
      <c r="Q474" s="19" t="inlineStr"/>
      <c r="R474" s="19" t="inlineStr">
        <is>
          <t>Screen check of 03 October 2026 (Chromium, 1440 x 900): access, console errors, failed API calls and clipped content per menu screen, user System Administrator (BrokerVerse)</t>
        </is>
      </c>
      <c r="S474" s="19" t="n"/>
    </row>
    <row r="475">
      <c r="A475" s="19" t="inlineStr">
        <is>
          <t>BV-SCR-016</t>
        </is>
      </c>
      <c r="B475" s="19" t="inlineStr">
        <is>
          <t>Screen checks (all menus)</t>
        </is>
      </c>
      <c r="C475" s="19" t="inlineStr">
        <is>
          <t>Reports</t>
        </is>
      </c>
      <c r="D475" s="19" t="inlineStr">
        <is>
          <t>System Administrator (BrokerVerse)</t>
        </is>
      </c>
      <c r="E475" s="19" t="inlineStr">
        <is>
          <t>Every screen under Reports opens without error</t>
        </is>
      </c>
      <c r="F475" s="19" t="inlineStr">
        <is>
          <t>Functional</t>
        </is>
      </c>
      <c r="G475" s="19" t="inlineStr">
        <is>
          <t>Medium</t>
        </is>
      </c>
      <c r="H475" s="19" t="inlineStr">
        <is>
          <t>Signed in as BrokerVerse on Chromium at 1440 x 900; UAT data set loaded.</t>
        </is>
      </c>
      <c r="I475" s="19" t="inlineStr">
        <is>
          <t>1. Open each screen of the group from the side menu: All Reports; Operational Reports &gt; Production; Operational Reports &gt; Claims; Operational Reports &gt; Renewal; Operational Reports &gt; Remittance; Operational Reports &gt; Broker Commission; Financial Reports &gt; SOA/Premium Receivable; Financial Reports &gt; Collection Report; Financial Reports &gt; Payables; Financial Reports &gt; Journal; Financial Reports &gt; Trial Balance; Financial Reports &gt; Income Statement; Financial Reports &gt; Balance Sheet; Financial Reports &gt; Trial Balance Movement; Financial Reports &gt; General Ledger Detail; Financial Reports &gt; Aged Payables to Insurers; Financial Reports &gt; Month-End Close Status; Financial Reports &gt; Co-insurance Register; Financial Reports &gt; Due to Insurers by Co-insurer.
2. On each screen wait for the data to load.
3. Check the page for error messages, failed requests (browser developer tools &gt; Network) and content cut off on the right.</t>
        </is>
      </c>
      <c r="J475" s="19" t="inlineStr">
        <is>
          <t>Administrator; UAT data set</t>
        </is>
      </c>
      <c r="K475" s="19" t="inlineStr">
        <is>
          <t>Each screen opens with its title and data; no error message, no failed request, nothing clipped.</t>
        </is>
      </c>
      <c r="L475" s="19" t="inlineStr">
        <is>
          <t>All 19 screens opened; no console error, no failed API call, no clipped content.</t>
        </is>
      </c>
      <c r="M475" s="19" t="inlineStr">
        <is>
          <t>Pass</t>
        </is>
      </c>
      <c r="N475" s="19" t="inlineStr"/>
      <c r="O475" s="19" t="inlineStr">
        <is>
          <t>iorta TechNXT QA</t>
        </is>
      </c>
      <c r="P475" s="19" t="inlineStr">
        <is>
          <t>03 October 2026</t>
        </is>
      </c>
      <c r="Q475" s="19" t="inlineStr"/>
      <c r="R475" s="19" t="inlineStr">
        <is>
          <t>Screen check of 03 October 2026 (Chromium, 1440 x 900): access, console errors, failed API calls and clipped content per menu screen, user System Administrator (BrokerVerse)</t>
        </is>
      </c>
      <c r="S475" s="19" t="n"/>
    </row>
    <row r="476">
      <c r="A476" s="19" t="inlineStr">
        <is>
          <t>BV-SCR-017</t>
        </is>
      </c>
      <c r="B476" s="19" t="inlineStr">
        <is>
          <t>Screen checks (all menus)</t>
        </is>
      </c>
      <c r="C476" s="19" t="inlineStr">
        <is>
          <t>Master &gt; Configuration and audit</t>
        </is>
      </c>
      <c r="D476" s="19" t="inlineStr">
        <is>
          <t>System Administrator (BrokerVerse)</t>
        </is>
      </c>
      <c r="E476" s="19" t="inlineStr">
        <is>
          <t>Every screen under Master &gt; Configuration and audit opens without error</t>
        </is>
      </c>
      <c r="F476" s="19" t="inlineStr">
        <is>
          <t>Functional</t>
        </is>
      </c>
      <c r="G476" s="19" t="inlineStr">
        <is>
          <t>Medium</t>
        </is>
      </c>
      <c r="H476" s="19" t="inlineStr">
        <is>
          <t>Signed in as BrokerVerse on Chromium at 1440 x 900; UAT data set loaded.</t>
        </is>
      </c>
      <c r="I476" s="19" t="inlineStr">
        <is>
          <t>1. Open each screen of the group from the side menu: System Settings; Configuration; Document Numbering; Schedules; Audit Trail; E-mail Outbox.
2. On each screen wait for the data to load.
3. Check the page for error messages, failed requests (browser developer tools &gt; Network) and content cut off on the right.</t>
        </is>
      </c>
      <c r="J476" s="19" t="inlineStr">
        <is>
          <t>Administrator; UAT data set</t>
        </is>
      </c>
      <c r="K476" s="19" t="inlineStr">
        <is>
          <t>Each screen opens with its title and data; no error message, no failed request, nothing clipped.</t>
        </is>
      </c>
      <c r="L476" s="19" t="inlineStr">
        <is>
          <t>All 6 screens opened; no console error, no failed API call, no clipped content.</t>
        </is>
      </c>
      <c r="M476" s="19" t="inlineStr">
        <is>
          <t>Pass</t>
        </is>
      </c>
      <c r="N476" s="19" t="inlineStr"/>
      <c r="O476" s="19" t="inlineStr">
        <is>
          <t>iorta TechNXT QA</t>
        </is>
      </c>
      <c r="P476" s="19" t="inlineStr">
        <is>
          <t>03 October 2026</t>
        </is>
      </c>
      <c r="Q476" s="19" t="inlineStr"/>
      <c r="R476" s="19" t="inlineStr">
        <is>
          <t>Screen check of 03 October 2026 (Chromium, 1440 x 900): access, console errors, failed API calls and clipped content per menu screen, user System Administrator (BrokerVerse)</t>
        </is>
      </c>
      <c r="S476" s="19" t="n"/>
    </row>
    <row r="477">
      <c r="A477" s="19" t="inlineStr">
        <is>
          <t>BV-SCR-018</t>
        </is>
      </c>
      <c r="B477" s="19" t="inlineStr">
        <is>
          <t>Screen checks (all menus)</t>
        </is>
      </c>
      <c r="C477" s="19" t="inlineStr">
        <is>
          <t>Master &gt; Generals</t>
        </is>
      </c>
      <c r="D477" s="19" t="inlineStr">
        <is>
          <t>System Administrator (BrokerVerse)</t>
        </is>
      </c>
      <c r="E477" s="19" t="inlineStr">
        <is>
          <t>Every screen under Master &gt; Generals opens without error</t>
        </is>
      </c>
      <c r="F477" s="19" t="inlineStr">
        <is>
          <t>Functional</t>
        </is>
      </c>
      <c r="G477" s="19" t="inlineStr">
        <is>
          <t>Medium</t>
        </is>
      </c>
      <c r="H477" s="19" t="inlineStr">
        <is>
          <t>Signed in as BrokerVerse on Chromium at 1440 x 900; UAT data set loaded.</t>
        </is>
      </c>
      <c r="I477" s="19" t="inlineStr">
        <is>
          <t>1. Open each screen of the group from the side menu: Generals &gt; Organization; Generals &gt; Organization &gt; Company; Generals &gt; Organization &gt; Branch; Generals &gt; Insurance Management &gt; Insurance Company; Generals &gt; Insurance Management &gt; Line of Business; Generals &gt; Insurance Management &gt; Product; Generals &gt; Insurance Management &gt; Cover; Generals &gt; Insurance Management &gt; Signatories; Generals &gt; Insurance Management &gt; Vehicle; Generals &gt; Location &gt; Country; Generals &gt; Location &gt; State; Generals &gt; Location &gt; City; Generals &gt; Commission; Generals &gt; Employee Management &gt; Hierarchy; Generals &gt; Employee Management &gt; Designation; Generals &gt; Employee Management &gt; Employee; Generals &gt; User Management &gt; User; Generals &gt; User Management &gt; Role; Generals &gt; User Management &gt; User Access Matrix; Generals &gt; User Management &gt; Role Permissions; Generals &gt; User Management &gt; Authority Matrix; Generals &gt; User Management &gt; Delegations; Generals &gt; User Management &gt; Segregation of Duties; Generals &gt; User Management &gt; Access Reviews.
2. On each screen wait for the data to load.
3. Check the page for error messages, failed requests (browser developer tools &gt; Network) and content cut off on the right.</t>
        </is>
      </c>
      <c r="J477" s="19" t="inlineStr">
        <is>
          <t>Administrator; UAT data set</t>
        </is>
      </c>
      <c r="K477" s="19" t="inlineStr">
        <is>
          <t>Each screen opens with its title and data; no error message, no failed request, nothing clipped.</t>
        </is>
      </c>
      <c r="L477" s="19" t="inlineStr">
        <is>
          <t>24 of 24 screens opened. Findings: Master &gt; Generals &gt; Organization: opens "Page not found" (menu group address, no screen)</t>
        </is>
      </c>
      <c r="M477" s="19" t="inlineStr">
        <is>
          <t>Pass</t>
        </is>
      </c>
      <c r="N477" s="19" t="inlineStr">
        <is>
          <t>BV-OBS-007</t>
        </is>
      </c>
      <c r="O477" s="19" t="inlineStr">
        <is>
          <t>iorta TechNXT QA</t>
        </is>
      </c>
      <c r="P477" s="19" t="inlineStr">
        <is>
          <t>03 October 2026</t>
        </is>
      </c>
      <c r="Q477" s="19" t="inlineStr"/>
      <c r="R477" s="19" t="inlineStr">
        <is>
          <t>Screen check of 03 October 2026 (Chromium, 1440 x 900): access, console errors, failed API calls and clipped content per menu screen, user System Administrator (BrokerVerse)</t>
        </is>
      </c>
      <c r="S477" s="19" t="n"/>
    </row>
    <row r="478">
      <c r="A478" s="19" t="inlineStr">
        <is>
          <t>BV-SCR-019</t>
        </is>
      </c>
      <c r="B478" s="19" t="inlineStr">
        <is>
          <t>Screen checks (all menus)</t>
        </is>
      </c>
      <c r="C478" s="19" t="inlineStr">
        <is>
          <t>Master &gt; Finance</t>
        </is>
      </c>
      <c r="D478" s="19" t="inlineStr">
        <is>
          <t>System Administrator (BrokerVerse)</t>
        </is>
      </c>
      <c r="E478" s="19" t="inlineStr">
        <is>
          <t>Every screen under Master &gt; Finance opens without error</t>
        </is>
      </c>
      <c r="F478" s="19" t="inlineStr">
        <is>
          <t>Functional</t>
        </is>
      </c>
      <c r="G478" s="19" t="inlineStr">
        <is>
          <t>Medium</t>
        </is>
      </c>
      <c r="H478" s="19" t="inlineStr">
        <is>
          <t>Signed in as BrokerVerse on Chromium at 1440 x 900; UAT data set loaded.</t>
        </is>
      </c>
      <c r="I478" s="19" t="inlineStr">
        <is>
          <t>1. Open each screen of the group from the side menu: Finance &gt; Account Determination; Finance &gt; Posting Rules; Finance &gt; Configuration Approvals; Finance &gt; Accounting Flow; Finance &gt; Package Bundles; Finance &gt; Insurer Rate Tables; Finance &gt; Premium Taxes &amp; LGU Rates; Finance &gt; Payment Gateways; Finance &gt; Commission Rate Matrix; Finance &gt; Transaction Code; Finance &gt; Currency; Finance &gt; Exchange Rate; Finance &gt; Bank; Finance &gt; Account Category; Finance &gt; Main Account; Finance &gt; Sub Account; Finance &gt; Taxation; Finance &gt; Close Checklist; Finance &gt; Bank Statement Formats; Finance &gt; Bank Transaction Types; Finance &gt; Insurer Statement Formats; Finance &gt; Petty Cash; Finance &gt; Remittance Master; Finance &gt; Incentive Programs; Finance &gt; Reinsurance Treaty.
2. On each screen wait for the data to load.
3. Check the page for error messages, failed requests (browser developer tools &gt; Network) and content cut off on the right.</t>
        </is>
      </c>
      <c r="J478" s="19" t="inlineStr">
        <is>
          <t>Administrator; UAT data set</t>
        </is>
      </c>
      <c r="K478" s="19" t="inlineStr">
        <is>
          <t>Each screen opens with its title and data; no error message, no failed request, nothing clipped.</t>
        </is>
      </c>
      <c r="L478" s="19" t="inlineStr">
        <is>
          <t>All 25 screens opened; no console error, no failed API call, no clipped content.</t>
        </is>
      </c>
      <c r="M478" s="19" t="inlineStr">
        <is>
          <t>Pass</t>
        </is>
      </c>
      <c r="N478" s="19" t="inlineStr"/>
      <c r="O478" s="19" t="inlineStr">
        <is>
          <t>iorta TechNXT QA</t>
        </is>
      </c>
      <c r="P478" s="19" t="inlineStr">
        <is>
          <t>03 October 2026</t>
        </is>
      </c>
      <c r="Q478" s="19" t="inlineStr"/>
      <c r="R478" s="19" t="inlineStr">
        <is>
          <t>Screen check of 03 October 2026 (Chromium, 1440 x 900): access, console errors, failed API calls and clipped content per menu screen, user System Administrator (BrokerVerse)</t>
        </is>
      </c>
      <c r="S478" s="19" t="n"/>
    </row>
    <row r="479">
      <c r="A479" s="19" t="inlineStr">
        <is>
          <t>BV-SCR-020</t>
        </is>
      </c>
      <c r="B479" s="19" t="inlineStr">
        <is>
          <t>Screen checks (all menus)</t>
        </is>
      </c>
      <c r="C479" s="19" t="inlineStr">
        <is>
          <t>Product Configurator</t>
        </is>
      </c>
      <c r="D479" s="19" t="inlineStr">
        <is>
          <t>System Administrator (BrokerVerse)</t>
        </is>
      </c>
      <c r="E479" s="19" t="inlineStr">
        <is>
          <t>Every screen under Product Configurator opens without error</t>
        </is>
      </c>
      <c r="F479" s="19" t="inlineStr">
        <is>
          <t>Functional</t>
        </is>
      </c>
      <c r="G479" s="19" t="inlineStr">
        <is>
          <t>Medium</t>
        </is>
      </c>
      <c r="H479" s="19" t="inlineStr">
        <is>
          <t>Signed in as BrokerVerse on Chromium at 1440 x 900; UAT data set loaded.</t>
        </is>
      </c>
      <c r="I479" s="19" t="inlineStr">
        <is>
          <t>1. Open each screen of the group from the side menu: Dashboard; Product Templates; Coverage Builder; Rating Engine; Acceptance Rules; Document Manager; Approval Workflows; Market Mapping; Risk Mapping; Product Analytics.
2. On each screen wait for the data to load.
3. Check the page for error messages, failed requests (browser developer tools &gt; Network) and content cut off on the right.</t>
        </is>
      </c>
      <c r="J479" s="19" t="inlineStr">
        <is>
          <t>Administrator; UAT data set</t>
        </is>
      </c>
      <c r="K479" s="19" t="inlineStr">
        <is>
          <t>Each screen opens with its title and data; no error message, no failed request, nothing clipped.</t>
        </is>
      </c>
      <c r="L479" s="19" t="inlineStr">
        <is>
          <t>All 10 screens opened; no console error, no failed API call, no clipped content.</t>
        </is>
      </c>
      <c r="M479" s="19" t="inlineStr">
        <is>
          <t>Pass</t>
        </is>
      </c>
      <c r="N479" s="19" t="inlineStr"/>
      <c r="O479" s="19" t="inlineStr">
        <is>
          <t>iorta TechNXT QA</t>
        </is>
      </c>
      <c r="P479" s="19" t="inlineStr">
        <is>
          <t>03 October 2026</t>
        </is>
      </c>
      <c r="Q479" s="19" t="inlineStr"/>
      <c r="R479" s="19" t="inlineStr">
        <is>
          <t>Screen check of 03 October 2026 (Chromium, 1440 x 900): access, console errors, failed API calls and clipped content per menu screen, user System Administrator (BrokerVerse)</t>
        </is>
      </c>
      <c r="S479" s="19" t="n"/>
    </row>
    <row r="480">
      <c r="A480" s="19" t="inlineStr">
        <is>
          <t>BV-RBA-001</t>
        </is>
      </c>
      <c r="B480" s="19" t="inlineStr">
        <is>
          <t>Role-based access</t>
        </is>
      </c>
      <c r="C480" s="19" t="inlineStr">
        <is>
          <t>Administrator</t>
        </is>
      </c>
      <c r="D480" s="19" t="inlineStr">
        <is>
          <t>System Administrator (BrokerVerse)</t>
        </is>
      </c>
      <c r="E480" s="19" t="inlineStr">
        <is>
          <t>System Administrator sees every menu and opens every screen</t>
        </is>
      </c>
      <c r="F480" s="19" t="inlineStr">
        <is>
          <t>Role access</t>
        </is>
      </c>
      <c r="G480" s="19" t="inlineStr">
        <is>
          <t>High</t>
        </is>
      </c>
      <c r="H480" s="19" t="inlineStr">
        <is>
          <t>Signed in as BrokerVerse.</t>
        </is>
      </c>
      <c r="I480" s="19" t="inlineStr">
        <is>
          <t>1. Expand every top-level menu.
2. Open each menu item.</t>
        </is>
      </c>
      <c r="J480" s="19" t="inlineStr">
        <is>
          <t>BrokerVerse</t>
        </is>
      </c>
      <c r="K480" s="19" t="inlineStr">
        <is>
          <t>All 173 menu screens available.</t>
        </is>
      </c>
      <c r="L480" s="19" t="inlineStr">
        <is>
          <t>173 of 173 screens opened.</t>
        </is>
      </c>
      <c r="M480" s="19" t="inlineStr">
        <is>
          <t>Pass</t>
        </is>
      </c>
      <c r="N480" s="19" t="inlineStr"/>
      <c r="O480" s="19" t="inlineStr">
        <is>
          <t>iorta TechNXT QA</t>
        </is>
      </c>
      <c r="P480" s="19" t="inlineStr">
        <is>
          <t>03 October 2026</t>
        </is>
      </c>
      <c r="Q480" s="19" t="inlineStr"/>
      <c r="R480" s="19" t="inlineStr">
        <is>
          <t>brokerverse/src/utils/menuPermissions.test.js :: gives administrators everything [passed]
Screen check of 03 October 2026 (Chromium, 1440 x 900): access, console errors, failed API calls and clipped content per menu screen, user System Administrator (BrokerVerse)</t>
        </is>
      </c>
      <c r="S480" s="19" t="n"/>
    </row>
    <row r="481">
      <c r="A481" s="19" t="inlineStr">
        <is>
          <t>BV-RBA-002</t>
        </is>
      </c>
      <c r="B481" s="19" t="inlineStr">
        <is>
          <t>Role-based access</t>
        </is>
      </c>
      <c r="C481" s="19" t="inlineStr">
        <is>
          <t>Sales / Account Executive</t>
        </is>
      </c>
      <c r="D481" s="19" t="inlineStr">
        <is>
          <t>Sales / Account Executive (maria.rivera)</t>
        </is>
      </c>
      <c r="E481" s="19" t="inlineStr">
        <is>
          <t>Sales / Account Executive: menu and screens match the role grants</t>
        </is>
      </c>
      <c r="F481" s="19" t="inlineStr">
        <is>
          <t>Role access</t>
        </is>
      </c>
      <c r="G481" s="19" t="inlineStr">
        <is>
          <t>High</t>
        </is>
      </c>
      <c r="H481" s="19" t="inlineStr">
        <is>
          <t>User maria.rivera with role sales only; UAT data set.</t>
        </is>
      </c>
      <c r="I481" s="19" t="inlineStr">
        <is>
          <t>1. Sign in as maria.rivera.
2. Expand every top-level menu and note the items shown.
3. Open each item.</t>
        </is>
      </c>
      <c r="J481" s="19" t="inlineStr">
        <is>
          <t>maria.rivera; expected screens: Dashboard &gt; Executive Dashboard; Dashboard &gt; Sales Dashboard; Operations &gt; Home; Operations &gt; Sales &amp; Marketing &gt; Prospects; Operations &gt; Sales &amp; Marketing &gt; Quick Quote; Operations &gt; Sales &amp; Marketing &gt; Compare Insurers; Operations &gt; Sales &amp; Marketing &gt; Request for Quotation; Operations &gt; Sales &amp; Marketing &gt; Quotations; Operations &gt; Sales &amp; Marketing &gt; Placement Slips; Operations &gt; Clients; Operations &gt; Policy; Operations &gt; Claims; Operations &gt; Renewals &gt; Renewal Policy; Operations &gt; Renewals &gt; Renewal Batch; Operations &gt; Renewals &gt; Renewal Queue; Operations &gt; Renewals &gt; Retention Analytics; Operations &gt; Renewals &gt; At-Risk Policies; Operations &gt; Renewals &gt; Negotiations; Operations &gt; Renewals &gt; Lapse Management; Operations &gt; Renewals &gt; Performance; Operations &gt; Open Items; Operations &gt; Payments; Commission &gt; Commission Dashboard; Reports &gt; All Reports; Reports &gt; Operational Reports &gt; Production; Reports &gt; Operational Reports &gt; Claims; Reports &gt; Operational Reports &gt; Renewal; Reports &gt; Operational Reports &gt; Remittance; Reports &gt; Operational Reports &gt; Broker Commission; Product Configurator &gt; Dashboard; Product Configurator &gt; Product Templates</t>
        </is>
      </c>
      <c r="K481" s="19" t="inlineStr">
        <is>
          <t>The menu shows only the granted items and each opens.</t>
        </is>
      </c>
      <c r="L481" s="19" t="inlineStr">
        <is>
          <t>31 screens available, exactly the role grants.</t>
        </is>
      </c>
      <c r="M481" s="19" t="inlineStr">
        <is>
          <t>Pass</t>
        </is>
      </c>
      <c r="N481" s="19" t="inlineStr"/>
      <c r="O481" s="19" t="inlineStr">
        <is>
          <t>iorta TechNXT QA</t>
        </is>
      </c>
      <c r="P481" s="19" t="inlineStr">
        <is>
          <t>03 October 2026</t>
        </is>
      </c>
      <c r="Q481" s="19" t="inlineStr">
        <is>
          <t>The address of the menu group Master &gt; Generals &gt; Organization opens "Page not found" for every user (BV-OBS-007); no data is shown.</t>
        </is>
      </c>
      <c r="R481" s="19" t="inlineStr">
        <is>
          <t>brokerverse/src/utils/menuPermissions.test.js :: allows the role's own screens and the home route [passed]
Screen check of 03 October 2026 (Chromium, 1440 x 900): access, console errors, failed API calls and clipped content per menu screen, user Sales / Account Executive (maria.rivera)</t>
        </is>
      </c>
      <c r="S481" s="19" t="n"/>
    </row>
    <row r="482">
      <c r="A482" s="19" t="inlineStr">
        <is>
          <t>BV-RBA-003</t>
        </is>
      </c>
      <c r="B482" s="19" t="inlineStr">
        <is>
          <t>Role-based access</t>
        </is>
      </c>
      <c r="C482" s="19" t="inlineStr">
        <is>
          <t>Sales / Account Executive</t>
        </is>
      </c>
      <c r="D482" s="19" t="inlineStr">
        <is>
          <t>Sales / Account Executive (maria.rivera)</t>
        </is>
      </c>
      <c r="E482" s="19" t="inlineStr">
        <is>
          <t>Sales / Account Executive: a typed address outside the role is not opened</t>
        </is>
      </c>
      <c r="F482" s="19" t="inlineStr">
        <is>
          <t>Negative</t>
        </is>
      </c>
      <c r="G482" s="19" t="inlineStr">
        <is>
          <t>High</t>
        </is>
      </c>
      <c r="H482" s="19" t="inlineStr">
        <is>
          <t>Signed in as maria.rivera.</t>
        </is>
      </c>
      <c r="I482" s="19" t="inlineStr">
        <is>
          <t>1. Type in the address bar each screen address that is not in the role menu (for example /master/generals/usermanagement/user and /accounts/period-end/close).
2. Press Enter and read the page.</t>
        </is>
      </c>
      <c r="J482" s="19" t="inlineStr">
        <is>
          <t>142 addresses outside the role</t>
        </is>
      </c>
      <c r="K482" s="19" t="inlineStr">
        <is>
          <t>Each address is refused (Not authorised or back to the home screen); the API refuses the same data.</t>
        </is>
      </c>
      <c r="L482" s="19" t="inlineStr">
        <is>
          <t>All 142 addresses outside the role were refused.</t>
        </is>
      </c>
      <c r="M482" s="19" t="inlineStr">
        <is>
          <t>Pass</t>
        </is>
      </c>
      <c r="N482" s="19" t="inlineStr"/>
      <c r="O482" s="19" t="inlineStr">
        <is>
          <t>iorta TechNXT QA</t>
        </is>
      </c>
      <c r="P482" s="19" t="inlineStr">
        <is>
          <t>03 October 2026</t>
        </is>
      </c>
      <c r="Q482" s="19" t="inlineStr">
        <is>
          <t>Master &gt; Generals &gt; Organization shows "Page not found" for every user and is not counted as opened (BV-OBS-007).</t>
        </is>
      </c>
      <c r="R482"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Sales / Account Executive (maria.rivera)</t>
        </is>
      </c>
      <c r="S482" s="19" t="n"/>
    </row>
    <row r="483">
      <c r="A483" s="19" t="inlineStr">
        <is>
          <t>BV-RBA-004</t>
        </is>
      </c>
      <c r="B483" s="19" t="inlineStr">
        <is>
          <t>Role-based access</t>
        </is>
      </c>
      <c r="C483" s="19" t="inlineStr">
        <is>
          <t>Sales / Account Executive</t>
        </is>
      </c>
      <c r="D483" s="19" t="inlineStr">
        <is>
          <t>Sales / Account Executive (maria.rivera)</t>
        </is>
      </c>
      <c r="E483" s="19" t="inlineStr">
        <is>
          <t>Sales / Account Executive: every permitted screen loads its data without error</t>
        </is>
      </c>
      <c r="F483" s="19" t="inlineStr">
        <is>
          <t>Role access</t>
        </is>
      </c>
      <c r="G483" s="19" t="inlineStr">
        <is>
          <t>High</t>
        </is>
      </c>
      <c r="H483" s="19" t="inlineStr">
        <is>
          <t>Signed in as maria.rivera.</t>
        </is>
      </c>
      <c r="I483" s="19" t="inlineStr">
        <is>
          <t>1. Open each screen of the role menu.
2. Watch for error messages and failed requests (browser developer tools &gt; Network).</t>
        </is>
      </c>
      <c r="J483" s="19" t="inlineStr">
        <is>
          <t>maria.rivera</t>
        </is>
      </c>
      <c r="K483" s="19" t="inlineStr">
        <is>
          <t>Each screen loads its data; no request is refused for lack of permission; no error message.</t>
        </is>
      </c>
      <c r="L483" s="19" t="inlineStr">
        <is>
          <t>All 31 screens opened with no console error, no failed API call and nothing clipped.</t>
        </is>
      </c>
      <c r="M483" s="19" t="inlineStr">
        <is>
          <t>Pass</t>
        </is>
      </c>
      <c r="N483" s="19" t="inlineStr"/>
      <c r="O483" s="19" t="inlineStr">
        <is>
          <t>iorta TechNXT QA</t>
        </is>
      </c>
      <c r="P483" s="19" t="inlineStr">
        <is>
          <t>03 October 2026</t>
        </is>
      </c>
      <c r="Q483" s="19" t="inlineStr"/>
      <c r="R483" s="19" t="inlineStr">
        <is>
          <t>Screen check of 03 October 2026 (Chromium, 1440 x 900): access, console errors, failed API calls and clipped content per menu screen, user Sales / Account Executive (maria.rivera)</t>
        </is>
      </c>
      <c r="S483" s="19" t="n"/>
    </row>
    <row r="484">
      <c r="A484" s="19" t="inlineStr">
        <is>
          <t>BV-RBA-005</t>
        </is>
      </c>
      <c r="B484" s="19" t="inlineStr">
        <is>
          <t>Role-based access</t>
        </is>
      </c>
      <c r="C484" s="19" t="inlineStr">
        <is>
          <t>Processing Team</t>
        </is>
      </c>
      <c r="D484" s="19" t="inlineStr">
        <is>
          <t>Processing Team (jose.bernardo)</t>
        </is>
      </c>
      <c r="E484" s="19" t="inlineStr">
        <is>
          <t>Processing Team: menu and screens match the role grants</t>
        </is>
      </c>
      <c r="F484" s="19" t="inlineStr">
        <is>
          <t>Role access</t>
        </is>
      </c>
      <c r="G484" s="19" t="inlineStr">
        <is>
          <t>High</t>
        </is>
      </c>
      <c r="H484" s="19" t="inlineStr">
        <is>
          <t>User jose.bernardo with role processing only; UAT data set.</t>
        </is>
      </c>
      <c r="I484" s="19" t="inlineStr">
        <is>
          <t>1. Sign in as jose.bernardo.
2. Expand every top-level menu and note the items shown.
3. Open each item.</t>
        </is>
      </c>
      <c r="J484" s="19" t="inlineStr">
        <is>
          <t>jose.bernardo; expected screens: Dashboard &gt; Executive Dashboard; Dashboard &gt; Processing Dashboard; Operations &gt; Home; Operations &gt; Sales &amp; Marketing &gt; Prospects; Operations &gt; Sales &amp; Marketing &gt; Request for Quotation; Operations &gt; Sales &amp; Marketing &gt; Quotations; Operations &gt; Sales &amp; Marketing &gt; Placement Slips; Operations &gt; Clients; Operations &gt; Policy; Operations &gt; Claims; Operations &gt; Renewals &gt; Renewal Policy; Operations &gt; Renewals &gt; Renewal Batch; Operations &gt; Renewals &gt; Renewal Queue; Operations &gt; Renewals &gt; Retention Analytics; Operations &gt; Renewals &gt; At-Risk Policies; Operations &gt; Renewals &gt; Negotiations; Operations &gt; Renewals &gt; Lapse Management; Operations &gt; Renewals &gt; Performance; Operations &gt; Open Items; Operations &gt; Payments; Reinsurance &gt; Treaty Dashboard; Reinsurance &gt; Cession Tracking; Reinsurance &gt; Claims Recovery; Reinsurance &gt; Reconciliation; Reinsurance &gt; Analytics; Reports &gt; All Reports; Reports &gt; Operational Reports &gt; Production; Reports &gt; Operational Reports &gt; Claims; Reports &gt; Operational Reports &gt; Renewal; Reports &gt; Operational Reports &gt; Remittance; Reports &gt; Operational Reports &gt; Broker Commission; Product Configurator &gt; Dashboard; Product Configurator &gt; Product Templates; Product Configurator &gt; Coverage Builder; Product Configurator &gt; Rating Engine; Product Configurator &gt; Acceptance Rules; Product Configurator &gt; Document Manager; Product Configurator &gt; Approval Workflows; Product Configurator &gt; Market Mapping; Product Configurator &gt; Risk Mapping; Product Configurator &gt; Product Analytics</t>
        </is>
      </c>
      <c r="K484" s="19" t="inlineStr">
        <is>
          <t>The menu shows only the granted items and each opens.</t>
        </is>
      </c>
      <c r="L484" s="19" t="inlineStr">
        <is>
          <t>41 screens available, exactly the role grants.</t>
        </is>
      </c>
      <c r="M484" s="19" t="inlineStr">
        <is>
          <t>Pass</t>
        </is>
      </c>
      <c r="N484" s="19" t="inlineStr"/>
      <c r="O484" s="19" t="inlineStr">
        <is>
          <t>iorta TechNXT QA</t>
        </is>
      </c>
      <c r="P484" s="19" t="inlineStr">
        <is>
          <t>03 October 2026</t>
        </is>
      </c>
      <c r="Q484" s="19" t="inlineStr">
        <is>
          <t>The address of the menu group Master &gt; Generals &gt; Organization opens "Page not found" for every user (BV-OBS-007); no data is shown.</t>
        </is>
      </c>
      <c r="R484" s="19" t="inlineStr">
        <is>
          <t>brokerverse/src/utils/menuPermissions.test.js :: allows the role's own screens and the home route [passed]
Screen check of 03 October 2026 (Chromium, 1440 x 900): access, console errors, failed API calls and clipped content per menu screen, user Processing Team (jose.bernardo)</t>
        </is>
      </c>
      <c r="S484" s="19" t="n"/>
    </row>
    <row r="485">
      <c r="A485" s="19" t="inlineStr">
        <is>
          <t>BV-RBA-006</t>
        </is>
      </c>
      <c r="B485" s="19" t="inlineStr">
        <is>
          <t>Role-based access</t>
        </is>
      </c>
      <c r="C485" s="19" t="inlineStr">
        <is>
          <t>Processing Team</t>
        </is>
      </c>
      <c r="D485" s="19" t="inlineStr">
        <is>
          <t>Processing Team (jose.bernardo)</t>
        </is>
      </c>
      <c r="E485" s="19" t="inlineStr">
        <is>
          <t>Processing Team: a typed address outside the role is not opened</t>
        </is>
      </c>
      <c r="F485" s="19" t="inlineStr">
        <is>
          <t>Negative</t>
        </is>
      </c>
      <c r="G485" s="19" t="inlineStr">
        <is>
          <t>High</t>
        </is>
      </c>
      <c r="H485" s="19" t="inlineStr">
        <is>
          <t>Signed in as jose.bernardo.</t>
        </is>
      </c>
      <c r="I485" s="19" t="inlineStr">
        <is>
          <t>1. Type in the address bar each screen address that is not in the role menu (for example /master/generals/usermanagement/user and /accounts/period-end/close).
2. Press Enter and read the page.</t>
        </is>
      </c>
      <c r="J485" s="19" t="inlineStr">
        <is>
          <t>132 addresses outside the role</t>
        </is>
      </c>
      <c r="K485" s="19" t="inlineStr">
        <is>
          <t>Each address is refused (Not authorised or back to the home screen); the API refuses the same data.</t>
        </is>
      </c>
      <c r="L485" s="19" t="inlineStr">
        <is>
          <t>All 132 addresses outside the role were refused.</t>
        </is>
      </c>
      <c r="M485" s="19" t="inlineStr">
        <is>
          <t>Pass</t>
        </is>
      </c>
      <c r="N485" s="19" t="inlineStr"/>
      <c r="O485" s="19" t="inlineStr">
        <is>
          <t>iorta TechNXT QA</t>
        </is>
      </c>
      <c r="P485" s="19" t="inlineStr">
        <is>
          <t>03 October 2026</t>
        </is>
      </c>
      <c r="Q485" s="19" t="inlineStr">
        <is>
          <t>Master &gt; Generals &gt; Organization shows "Page not found" for every user and is not counted as opened (BV-OBS-007).</t>
        </is>
      </c>
      <c r="R485"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Processing Team (jose.bernardo)</t>
        </is>
      </c>
      <c r="S485" s="19" t="n"/>
    </row>
    <row r="486">
      <c r="A486" s="19" t="inlineStr">
        <is>
          <t>BV-RBA-007</t>
        </is>
      </c>
      <c r="B486" s="19" t="inlineStr">
        <is>
          <t>Role-based access</t>
        </is>
      </c>
      <c r="C486" s="19" t="inlineStr">
        <is>
          <t>Processing Team</t>
        </is>
      </c>
      <c r="D486" s="19" t="inlineStr">
        <is>
          <t>Processing Team (jose.bernardo)</t>
        </is>
      </c>
      <c r="E486" s="19" t="inlineStr">
        <is>
          <t>Processing Team: every permitted screen loads its data without error</t>
        </is>
      </c>
      <c r="F486" s="19" t="inlineStr">
        <is>
          <t>Role access</t>
        </is>
      </c>
      <c r="G486" s="19" t="inlineStr">
        <is>
          <t>High</t>
        </is>
      </c>
      <c r="H486" s="19" t="inlineStr">
        <is>
          <t>Signed in as jose.bernardo.</t>
        </is>
      </c>
      <c r="I486" s="19" t="inlineStr">
        <is>
          <t>1. Open each screen of the role menu.
2. Watch for error messages and failed requests (browser developer tools &gt; Network).</t>
        </is>
      </c>
      <c r="J486" s="19" t="inlineStr">
        <is>
          <t>jose.bernardo</t>
        </is>
      </c>
      <c r="K486" s="19" t="inlineStr">
        <is>
          <t>Each screen loads its data; no request is refused for lack of permission; no error message.</t>
        </is>
      </c>
      <c r="L486" s="19" t="inlineStr">
        <is>
          <t>All 41 screens opened with no console error, no failed API call and nothing clipped.</t>
        </is>
      </c>
      <c r="M486" s="19" t="inlineStr">
        <is>
          <t>Pass</t>
        </is>
      </c>
      <c r="N486" s="19" t="inlineStr"/>
      <c r="O486" s="19" t="inlineStr">
        <is>
          <t>iorta TechNXT QA</t>
        </is>
      </c>
      <c r="P486" s="19" t="inlineStr">
        <is>
          <t>03 October 2026</t>
        </is>
      </c>
      <c r="Q486" s="19" t="inlineStr"/>
      <c r="R486" s="19" t="inlineStr">
        <is>
          <t>Screen check of 03 October 2026 (Chromium, 1440 x 900): access, console errors, failed API calls and clipped content per menu screen, user Processing Team (jose.bernardo)</t>
        </is>
      </c>
      <c r="S486" s="19" t="n"/>
    </row>
    <row r="487">
      <c r="A487" s="19" t="inlineStr">
        <is>
          <t>BV-RBA-008</t>
        </is>
      </c>
      <c r="B487" s="19" t="inlineStr">
        <is>
          <t>Role-based access</t>
        </is>
      </c>
      <c r="C487" s="19" t="inlineStr">
        <is>
          <t>Operations / Client Service</t>
        </is>
      </c>
      <c r="D487" s="19" t="inlineStr">
        <is>
          <t>Operations / Client Service (ana.buenaventura)</t>
        </is>
      </c>
      <c r="E487" s="19" t="inlineStr">
        <is>
          <t>Operations / Client Service: menu and screens match the role grants</t>
        </is>
      </c>
      <c r="F487" s="19" t="inlineStr">
        <is>
          <t>Role access</t>
        </is>
      </c>
      <c r="G487" s="19" t="inlineStr">
        <is>
          <t>High</t>
        </is>
      </c>
      <c r="H487" s="19" t="inlineStr">
        <is>
          <t>User ana.buenaventura with role operations only; UAT data set.</t>
        </is>
      </c>
      <c r="I487" s="19" t="inlineStr">
        <is>
          <t>1. Sign in as ana.buenaventura.
2. Expand every top-level menu and note the items shown.
3. Open each item.</t>
        </is>
      </c>
      <c r="J487" s="19" t="inlineStr">
        <is>
          <t>ana.buenaventura; expected screens: Dashboard &gt; Executive Dashboard; Operations &gt; Home; Operations &gt; Sales &amp; Marketing &gt; Prospects; Operations &gt; Sales &amp; Marketing &gt; Quick Quote; Operations &gt; Sales &amp; Marketing &gt; Compare Insurers; Operations &gt; Sales &amp; Marketing &gt; Request for Quotation; Operations &gt; Sales &amp; Marketing &gt; Quotations; Operations &gt; Sales &amp; Marketing &gt; Placement Slips; Operations &gt; Clients; Operations &gt; Policy; Operations &gt; Claims; Operations &gt; Renewals &gt; Renewal Policy; Operations &gt; Renewals &gt; Renewal Batch; Operations &gt; Renewals &gt; Renewal Queue; Operations &gt; Renewals &gt; Retention Analytics; Operations &gt; Renewals &gt; At-Risk Policies; Operations &gt; Renewals &gt; Negotiations; Operations &gt; Renewals &gt; Lapse Management; Operations &gt; Renewals &gt; Performance; Operations &gt; Open Items; Operations &gt; Payments; Reports &gt; All Reports; Reports &gt; Operational Reports &gt; Production; Reports &gt; Operational Reports &gt; Claims; Reports &gt; Operational Reports &gt; Renewal; Reports &gt; Operational Reports &gt; Remittance; Reports &gt; Operational Reports &gt; Broker Commission; Product Configurator &gt; Dashboard; Product Configurator &gt; Product Templates</t>
        </is>
      </c>
      <c r="K487" s="19" t="inlineStr">
        <is>
          <t>The menu shows only the granted items and each opens.</t>
        </is>
      </c>
      <c r="L487" s="19" t="inlineStr">
        <is>
          <t>29 screens available, exactly the role grants.</t>
        </is>
      </c>
      <c r="M487" s="19" t="inlineStr">
        <is>
          <t>Pass</t>
        </is>
      </c>
      <c r="N487" s="19" t="inlineStr"/>
      <c r="O487" s="19" t="inlineStr">
        <is>
          <t>iorta TechNXT QA</t>
        </is>
      </c>
      <c r="P487" s="19" t="inlineStr">
        <is>
          <t>03 October 2026</t>
        </is>
      </c>
      <c r="Q487" s="19" t="inlineStr">
        <is>
          <t>The address of the menu group Master &gt; Generals &gt; Organization opens "Page not found" for every user (BV-OBS-007); no data is shown.</t>
        </is>
      </c>
      <c r="R487" s="19" t="inlineStr">
        <is>
          <t>brokerverse/src/utils/menuPermissions.test.js :: allows the role's own screens and the home route [passed]
Screen check of 03 October 2026 (Chromium, 1440 x 900): access, console errors, failed API calls and clipped content per menu screen, user Operations / Client Service (ana.buenaventura)</t>
        </is>
      </c>
      <c r="S487" s="19" t="n"/>
    </row>
    <row r="488">
      <c r="A488" s="19" t="inlineStr">
        <is>
          <t>BV-RBA-009</t>
        </is>
      </c>
      <c r="B488" s="19" t="inlineStr">
        <is>
          <t>Role-based access</t>
        </is>
      </c>
      <c r="C488" s="19" t="inlineStr">
        <is>
          <t>Operations / Client Service</t>
        </is>
      </c>
      <c r="D488" s="19" t="inlineStr">
        <is>
          <t>Operations / Client Service (ana.buenaventura)</t>
        </is>
      </c>
      <c r="E488" s="19" t="inlineStr">
        <is>
          <t>Operations / Client Service: a typed address outside the role is not opened</t>
        </is>
      </c>
      <c r="F488" s="19" t="inlineStr">
        <is>
          <t>Negative</t>
        </is>
      </c>
      <c r="G488" s="19" t="inlineStr">
        <is>
          <t>High</t>
        </is>
      </c>
      <c r="H488" s="19" t="inlineStr">
        <is>
          <t>Signed in as ana.buenaventura.</t>
        </is>
      </c>
      <c r="I488" s="19" t="inlineStr">
        <is>
          <t>1. Type in the address bar each screen address that is not in the role menu (for example /master/generals/usermanagement/user and /accounts/period-end/close).
2. Press Enter and read the page.</t>
        </is>
      </c>
      <c r="J488" s="19" t="inlineStr">
        <is>
          <t>144 addresses outside the role</t>
        </is>
      </c>
      <c r="K488" s="19" t="inlineStr">
        <is>
          <t>Each address is refused (Not authorised or back to the home screen); the API refuses the same data.</t>
        </is>
      </c>
      <c r="L488" s="19" t="inlineStr">
        <is>
          <t>All 144 addresses outside the role were refused.</t>
        </is>
      </c>
      <c r="M488" s="19" t="inlineStr">
        <is>
          <t>Pass</t>
        </is>
      </c>
      <c r="N488" s="19" t="inlineStr"/>
      <c r="O488" s="19" t="inlineStr">
        <is>
          <t>iorta TechNXT QA</t>
        </is>
      </c>
      <c r="P488" s="19" t="inlineStr">
        <is>
          <t>03 October 2026</t>
        </is>
      </c>
      <c r="Q488" s="19" t="inlineStr">
        <is>
          <t>Master &gt; Generals &gt; Organization shows "Page not found" for every user and is not counted as opened (BV-OBS-007).</t>
        </is>
      </c>
      <c r="R488"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Operations / Client Service (ana.buenaventura)</t>
        </is>
      </c>
      <c r="S488" s="19" t="n"/>
    </row>
    <row r="489">
      <c r="A489" s="19" t="inlineStr">
        <is>
          <t>BV-RBA-010</t>
        </is>
      </c>
      <c r="B489" s="19" t="inlineStr">
        <is>
          <t>Role-based access</t>
        </is>
      </c>
      <c r="C489" s="19" t="inlineStr">
        <is>
          <t>Operations / Client Service</t>
        </is>
      </c>
      <c r="D489" s="19" t="inlineStr">
        <is>
          <t>Operations / Client Service (ana.buenaventura)</t>
        </is>
      </c>
      <c r="E489" s="19" t="inlineStr">
        <is>
          <t>Operations / Client Service: every permitted screen loads its data without error</t>
        </is>
      </c>
      <c r="F489" s="19" t="inlineStr">
        <is>
          <t>Role access</t>
        </is>
      </c>
      <c r="G489" s="19" t="inlineStr">
        <is>
          <t>High</t>
        </is>
      </c>
      <c r="H489" s="19" t="inlineStr">
        <is>
          <t>Signed in as ana.buenaventura.</t>
        </is>
      </c>
      <c r="I489" s="19" t="inlineStr">
        <is>
          <t>1. Open each screen of the role menu.
2. Watch for error messages and failed requests (browser developer tools &gt; Network).</t>
        </is>
      </c>
      <c r="J489" s="19" t="inlineStr">
        <is>
          <t>ana.buenaventura</t>
        </is>
      </c>
      <c r="K489" s="19" t="inlineStr">
        <is>
          <t>Each screen loads its data; no request is refused for lack of permission; no error message.</t>
        </is>
      </c>
      <c r="L489" s="19" t="inlineStr">
        <is>
          <t>All 29 screens opened with no console error, no failed API call and nothing clipped.</t>
        </is>
      </c>
      <c r="M489" s="19" t="inlineStr">
        <is>
          <t>Pass</t>
        </is>
      </c>
      <c r="N489" s="19" t="inlineStr"/>
      <c r="O489" s="19" t="inlineStr">
        <is>
          <t>iorta TechNXT QA</t>
        </is>
      </c>
      <c r="P489" s="19" t="inlineStr">
        <is>
          <t>03 October 2026</t>
        </is>
      </c>
      <c r="Q489" s="19" t="inlineStr"/>
      <c r="R489" s="19" t="inlineStr">
        <is>
          <t>Screen check of 03 October 2026 (Chromium, 1440 x 900): access, console errors, failed API calls and clipped content per menu screen, user Operations / Client Service (ana.buenaventura)</t>
        </is>
      </c>
      <c r="S489" s="19" t="n"/>
    </row>
    <row r="490">
      <c r="A490" s="19" t="inlineStr">
        <is>
          <t>BV-RBA-011</t>
        </is>
      </c>
      <c r="B490" s="19" t="inlineStr">
        <is>
          <t>Role-based access</t>
        </is>
      </c>
      <c r="C490" s="19" t="inlineStr">
        <is>
          <t>Claims</t>
        </is>
      </c>
      <c r="D490" s="19" t="inlineStr">
        <is>
          <t>Claims Officer (carlo.estrada)</t>
        </is>
      </c>
      <c r="E490" s="19" t="inlineStr">
        <is>
          <t>Claims: menu and screens match the role grants</t>
        </is>
      </c>
      <c r="F490" s="19" t="inlineStr">
        <is>
          <t>Role access</t>
        </is>
      </c>
      <c r="G490" s="19" t="inlineStr">
        <is>
          <t>High</t>
        </is>
      </c>
      <c r="H490" s="19" t="inlineStr">
        <is>
          <t>User carlo.estrada with role claims only; UAT data set.</t>
        </is>
      </c>
      <c r="I490" s="19" t="inlineStr">
        <is>
          <t>1. Sign in as carlo.estrada.
2. Expand every top-level menu and note the items shown.
3. Open each item.</t>
        </is>
      </c>
      <c r="J490" s="19" t="inlineStr">
        <is>
          <t>carlo.estrada; expected screens: Dashboard &gt; Claims Dashboard; Operations &gt; Home; Operations &gt; Clients; Operations &gt; Policy; Operations &gt; Claims; Reinsurance &gt; Claims Recovery; Reports &gt; All Reports; Reports &gt; Operational Reports &gt; Production; Reports &gt; Operational Reports &gt; Claims; Reports &gt; Operational Reports &gt; Renewal; Reports &gt; Operational Reports &gt; Remittance; Reports &gt; Operational Reports &gt; Broker Commission</t>
        </is>
      </c>
      <c r="K490" s="19" t="inlineStr">
        <is>
          <t>The menu shows only the granted items and each opens.</t>
        </is>
      </c>
      <c r="L490" s="19" t="inlineStr">
        <is>
          <t>12 screens available, exactly the role grants.</t>
        </is>
      </c>
      <c r="M490" s="19" t="inlineStr">
        <is>
          <t>Pass</t>
        </is>
      </c>
      <c r="N490" s="19" t="inlineStr"/>
      <c r="O490" s="19" t="inlineStr">
        <is>
          <t>iorta TechNXT QA</t>
        </is>
      </c>
      <c r="P490" s="19" t="inlineStr">
        <is>
          <t>03 October 2026</t>
        </is>
      </c>
      <c r="Q490" s="19" t="inlineStr">
        <is>
          <t>The address of the menu group Master &gt; Generals &gt; Organization opens "Page not found" for every user (BV-OBS-007); no data is shown.</t>
        </is>
      </c>
      <c r="R490" s="19" t="inlineStr">
        <is>
          <t>brokerverse/src/utils/menuPermissions.test.js :: allows the role's own screens and the home route [passed]
Screen check of 03 October 2026 (Chromium, 1440 x 900): access, console errors, failed API calls and clipped content per menu screen, user Claims Officer (carlo.estrada)</t>
        </is>
      </c>
      <c r="S490" s="19" t="n"/>
    </row>
    <row r="491">
      <c r="A491" s="19" t="inlineStr">
        <is>
          <t>BV-RBA-012</t>
        </is>
      </c>
      <c r="B491" s="19" t="inlineStr">
        <is>
          <t>Role-based access</t>
        </is>
      </c>
      <c r="C491" s="19" t="inlineStr">
        <is>
          <t>Claims</t>
        </is>
      </c>
      <c r="D491" s="19" t="inlineStr">
        <is>
          <t>Claims Officer (carlo.estrada)</t>
        </is>
      </c>
      <c r="E491" s="19" t="inlineStr">
        <is>
          <t>Claims: a typed address outside the role is not opened</t>
        </is>
      </c>
      <c r="F491" s="19" t="inlineStr">
        <is>
          <t>Negative</t>
        </is>
      </c>
      <c r="G491" s="19" t="inlineStr">
        <is>
          <t>High</t>
        </is>
      </c>
      <c r="H491" s="19" t="inlineStr">
        <is>
          <t>Signed in as carlo.estrada.</t>
        </is>
      </c>
      <c r="I491" s="19" t="inlineStr">
        <is>
          <t>1. Type in the address bar each screen address that is not in the role menu (for example /master/generals/usermanagement/user and /accounts/period-end/close).
2. Press Enter and read the page.</t>
        </is>
      </c>
      <c r="J491" s="19" t="inlineStr">
        <is>
          <t>161 addresses outside the role</t>
        </is>
      </c>
      <c r="K491" s="19" t="inlineStr">
        <is>
          <t>Each address is refused (Not authorised or back to the home screen); the API refuses the same data.</t>
        </is>
      </c>
      <c r="L491" s="19" t="inlineStr">
        <is>
          <t>All 161 addresses outside the role were refused.</t>
        </is>
      </c>
      <c r="M491" s="19" t="inlineStr">
        <is>
          <t>Pass</t>
        </is>
      </c>
      <c r="N491" s="19" t="inlineStr"/>
      <c r="O491" s="19" t="inlineStr">
        <is>
          <t>iorta TechNXT QA</t>
        </is>
      </c>
      <c r="P491" s="19" t="inlineStr">
        <is>
          <t>03 October 2026</t>
        </is>
      </c>
      <c r="Q491" s="19" t="inlineStr">
        <is>
          <t>Master &gt; Generals &gt; Organization shows "Page not found" for every user and is not counted as opened (BV-OBS-007).</t>
        </is>
      </c>
      <c r="R491"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Claims Officer (carlo.estrada)</t>
        </is>
      </c>
      <c r="S491" s="19" t="n"/>
    </row>
    <row r="492">
      <c r="A492" s="19" t="inlineStr">
        <is>
          <t>BV-RBA-013</t>
        </is>
      </c>
      <c r="B492" s="19" t="inlineStr">
        <is>
          <t>Role-based access</t>
        </is>
      </c>
      <c r="C492" s="19" t="inlineStr">
        <is>
          <t>Claims</t>
        </is>
      </c>
      <c r="D492" s="19" t="inlineStr">
        <is>
          <t>Claims Officer (carlo.estrada)</t>
        </is>
      </c>
      <c r="E492" s="19" t="inlineStr">
        <is>
          <t>Claims: every permitted screen loads its data without error</t>
        </is>
      </c>
      <c r="F492" s="19" t="inlineStr">
        <is>
          <t>Role access</t>
        </is>
      </c>
      <c r="G492" s="19" t="inlineStr">
        <is>
          <t>High</t>
        </is>
      </c>
      <c r="H492" s="19" t="inlineStr">
        <is>
          <t>Signed in as carlo.estrada.</t>
        </is>
      </c>
      <c r="I492" s="19" t="inlineStr">
        <is>
          <t>1. Open each screen of the role menu.
2. Watch for error messages and failed requests (browser developer tools &gt; Network).</t>
        </is>
      </c>
      <c r="J492" s="19" t="inlineStr">
        <is>
          <t>carlo.estrada</t>
        </is>
      </c>
      <c r="K492" s="19" t="inlineStr">
        <is>
          <t>Each screen loads its data; no request is refused for lack of permission; no error message.</t>
        </is>
      </c>
      <c r="L492" s="19" t="inlineStr">
        <is>
          <t>All 12 screens opened with no console error, no failed API call and nothing clipped.</t>
        </is>
      </c>
      <c r="M492" s="19" t="inlineStr">
        <is>
          <t>Pass</t>
        </is>
      </c>
      <c r="N492" s="19" t="inlineStr"/>
      <c r="O492" s="19" t="inlineStr">
        <is>
          <t>iorta TechNXT QA</t>
        </is>
      </c>
      <c r="P492" s="19" t="inlineStr">
        <is>
          <t>03 October 2026</t>
        </is>
      </c>
      <c r="Q492" s="19" t="inlineStr"/>
      <c r="R492" s="19" t="inlineStr">
        <is>
          <t>Screen check of 03 October 2026 (Chromium, 1440 x 900): access, console errors, failed API calls and clipped content per menu screen, user Claims Officer (carlo.estrada)</t>
        </is>
      </c>
      <c r="S492" s="19" t="n"/>
    </row>
    <row r="493">
      <c r="A493" s="19" t="inlineStr">
        <is>
          <t>BV-RBA-014</t>
        </is>
      </c>
      <c r="B493" s="19" t="inlineStr">
        <is>
          <t>Role-based access</t>
        </is>
      </c>
      <c r="C493" s="19" t="inlineStr">
        <is>
          <t>Accounting</t>
        </is>
      </c>
      <c r="D493" s="19" t="inlineStr">
        <is>
          <t>Accounting Officer (liza.quiambao)</t>
        </is>
      </c>
      <c r="E493" s="19" t="inlineStr">
        <is>
          <t>Accounting: menu and screens match the role grants</t>
        </is>
      </c>
      <c r="F493" s="19" t="inlineStr">
        <is>
          <t>Role access</t>
        </is>
      </c>
      <c r="G493" s="19" t="inlineStr">
        <is>
          <t>High</t>
        </is>
      </c>
      <c r="H493" s="19" t="inlineStr">
        <is>
          <t>User liza.quiambao with role accounting only; UAT data set.</t>
        </is>
      </c>
      <c r="I493" s="19" t="inlineStr">
        <is>
          <t>1. Sign in as liza.quiambao.
2. Expand every top-level menu and note the items shown.
3. Open each item.</t>
        </is>
      </c>
      <c r="J493" s="19" t="inlineStr">
        <is>
          <t>liza.quiambao; expected screens: Dashboard &gt; Executive Dashboard; Operations &gt; Open Items; Operations &gt; Payments; Accounts &gt; Receipts; Accounts &gt; Collections; Accounts &gt; Credit Control &gt; Instalment Plans; Accounts &gt; Credit Control &gt; Premium Warranty Monitor; Accounts &gt; Credit Control &gt; Client Credit Limits; Accounts &gt; Credit Control &gt; Remittance Ageing; Accounts &gt; Disbursement; Accounts &gt; Remittance &gt; Automated Processing; Accounts &gt; Remittance &gt; Tracking; Accounts &gt; Remittance &gt; Statements; Accounts &gt; Remittance &gt; Settlement; Accounts &gt; Remittance &gt; Reconciliation; Accounts &gt; Remittance &gt; Bulk Processing; Accounts &gt; Remittance &gt; Scheduling; Accounts &gt; Remittance &gt; Electronic Transfer; Accounts &gt; Remittance &gt; Approval Workflow; Accounts &gt; Remittance &gt; Exception Management; Accounts &gt; Remittance &gt; Agency Bill Processing; Accounts &gt; Remittance &gt; Direct Bill Processing; Accounts &gt; Remittance &gt; Adjustments; Accounts &gt; Remittance &gt; Notifications; Accounts &gt; Remittance &gt; History; Accounts &gt; Remittance &gt; Analytics; Accounts &gt; Journal Voucher; Accounts &gt; Correction JV; Accounts &gt; Reversal JV; Accounts &gt; Open Entry Matching; Accounts &gt; Open Entry Unmatching; Accounts &gt; Accounting Query; Accounts &gt; All Clients Accounting; Accounts &gt; Petty Cash &gt; Initiate; Accounts &gt; Petty Cash &gt; Request; Accounts &gt; Petty Cash &gt; Disbursement; Accounts &gt; Petty Cash &gt; Receipts; Accounts &gt; Petty Cash &gt; Replenish; Accounts &gt; Bank Reconciliation &gt; Reconciliation Workspace; Accounts &gt; Bank Reconciliation &gt; Reconciliations; Accounts &gt; Bank Reconciliation &gt; Reconciliation Statement Report; Accounts &gt; Bank Reconciliation &gt; Outstanding Cheques; Accounts &gt; Bank Reconciliation &gt; Deposits in Transit; Accounts &gt; Bank Reconciliation &gt; Unmatched Bank Lines; Accounts &gt; Bank Reconciliation &gt; Bank Book; Accounts &gt; Insurer Reconciliation &gt; Insurer Statements; Accounts &gt; Tax &gt; BIR Form 2307; Accounts &gt; Tax &gt; VAT Summary; Accounts &gt; Tax &gt; SAWT; Accounts &gt; Tax &gt; QAP; Accounts &gt; Tax &gt; SLSP Sales; Accounts &gt; Tax &gt; SLSP Purchases; Accounts &gt; Period End &gt; Period Management; Accounts &gt; Period End &gt; Month-End Close; Accounts &gt; Period End &gt; Year-End Close; Accounts &gt; Period End &gt; Recurring Journals; Accounts &gt; Period End &gt; Financial Statements; Accounts &gt; Incentive &gt; My Programs; Accounts &gt; Incentive &gt; Calculations; Accounts &gt; Incentive &gt; Approvals; Accounts &gt; Incentive &gt; Statement; Commission &gt; Commission Dashboard; Commission &gt; Agents/Referrer Accounts; Reinsurance &gt; Reconciliation; Reports &gt; All Reports; Reports &gt; Operational Reports &gt; Remittance; Reports &gt; Operational Reports &gt; Broker Commission; Reports &gt; Financial Reports &gt; SOA/Premium Receivable; Reports &gt; Financial Reports &gt; Collection Report; Reports &gt; Financial Reports &gt; Payables; Reports &gt; Financial Reports &gt; Journal; Reports &gt; Financial Reports &gt; Trial Balance; Reports &gt; Financial Reports &gt; Income Statement; Reports &gt; Financial Reports &gt; Balance Sheet; Reports &gt; Financial Reports &gt; Trial Balance Movement; Reports &gt; Financial Reports &gt; General Ledger Detail; Reports &gt; Financial Reports &gt; Aged Payables to Insurers; Reports &gt; Financial Reports &gt; Month-End Close Status; Reports &gt; Financial Reports &gt; Co-insurance Register; Reports &gt; Financial Reports &gt; Due to Insurers by Co-insurer; Master &gt; Finance &gt; Account Determination; Master &gt; Finance &gt; Posting Rules; Master &gt; Finance &gt; Configuration Approvals; Master &gt; Finance &gt; Accounting Flow; Master &gt; Finance &gt; Premium Taxes &amp; LGU Rates; Master &gt; Finance &gt; Payment Gateways; Master &gt; Finance &gt; Taxation; Master &gt; Finance &gt; Close Checklist; Master &gt; Finance &gt; Bank Statement Formats; Master &gt; Finance &gt; Bank Transaction Types; Master &gt; Finance &gt; Insurer Statement Formats</t>
        </is>
      </c>
      <c r="K493" s="19" t="inlineStr">
        <is>
          <t>The menu shows only the granted items and each opens.</t>
        </is>
      </c>
      <c r="L493" s="19" t="inlineStr">
        <is>
          <t>91 screens available, exactly the role grants.</t>
        </is>
      </c>
      <c r="M493" s="19" t="inlineStr">
        <is>
          <t>Pass</t>
        </is>
      </c>
      <c r="N493" s="19" t="inlineStr"/>
      <c r="O493" s="19" t="inlineStr">
        <is>
          <t>iorta TechNXT QA</t>
        </is>
      </c>
      <c r="P493" s="19" t="inlineStr">
        <is>
          <t>03 October 2026</t>
        </is>
      </c>
      <c r="Q493" s="19" t="inlineStr">
        <is>
          <t>The address of the menu group Master &gt; Generals &gt; Organization opens "Page not found" for every user (BV-OBS-007); no data is shown.</t>
        </is>
      </c>
      <c r="R493" s="19" t="inlineStr">
        <is>
          <t>brokerverse/src/utils/menuPermissions.test.js :: allows the role's own screens and the home route [passed]
Screen check of 03 October 2026 (Chromium, 1440 x 900): access, console errors, failed API calls and clipped content per menu screen, user Accounting Officer (liza.quiambao)</t>
        </is>
      </c>
      <c r="S493" s="19" t="n"/>
    </row>
    <row r="494">
      <c r="A494" s="19" t="inlineStr">
        <is>
          <t>BV-RBA-015</t>
        </is>
      </c>
      <c r="B494" s="19" t="inlineStr">
        <is>
          <t>Role-based access</t>
        </is>
      </c>
      <c r="C494" s="19" t="inlineStr">
        <is>
          <t>Accounting</t>
        </is>
      </c>
      <c r="D494" s="19" t="inlineStr">
        <is>
          <t>Accounting Officer (liza.quiambao)</t>
        </is>
      </c>
      <c r="E494" s="19" t="inlineStr">
        <is>
          <t>Accounting: a typed address outside the role is not opened</t>
        </is>
      </c>
      <c r="F494" s="19" t="inlineStr">
        <is>
          <t>Negative</t>
        </is>
      </c>
      <c r="G494" s="19" t="inlineStr">
        <is>
          <t>High</t>
        </is>
      </c>
      <c r="H494" s="19" t="inlineStr">
        <is>
          <t>Signed in as liza.quiambao.</t>
        </is>
      </c>
      <c r="I494" s="19" t="inlineStr">
        <is>
          <t>1. Type in the address bar each screen address that is not in the role menu (for example /master/generals/usermanagement/user and /accounts/period-end/close).
2. Press Enter and read the page.</t>
        </is>
      </c>
      <c r="J494" s="19" t="inlineStr">
        <is>
          <t>82 addresses outside the role</t>
        </is>
      </c>
      <c r="K494" s="19" t="inlineStr">
        <is>
          <t>Each address is refused (Not authorised or back to the home screen); the API refuses the same data.</t>
        </is>
      </c>
      <c r="L494" s="19" t="inlineStr">
        <is>
          <t>All 82 addresses outside the role were refused.</t>
        </is>
      </c>
      <c r="M494" s="19" t="inlineStr">
        <is>
          <t>Pass</t>
        </is>
      </c>
      <c r="N494" s="19" t="inlineStr"/>
      <c r="O494" s="19" t="inlineStr">
        <is>
          <t>iorta TechNXT QA</t>
        </is>
      </c>
      <c r="P494" s="19" t="inlineStr">
        <is>
          <t>03 October 2026</t>
        </is>
      </c>
      <c r="Q494" s="19" t="inlineStr">
        <is>
          <t>Master &gt; Generals &gt; Organization shows "Page not found" for every user and is not counted as opened (BV-OBS-007).</t>
        </is>
      </c>
      <c r="R494"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Accounting Officer (liza.quiambao)</t>
        </is>
      </c>
      <c r="S494" s="19" t="n"/>
    </row>
    <row r="495">
      <c r="A495" s="19" t="inlineStr">
        <is>
          <t>BV-RBA-016</t>
        </is>
      </c>
      <c r="B495" s="19" t="inlineStr">
        <is>
          <t>Role-based access</t>
        </is>
      </c>
      <c r="C495" s="19" t="inlineStr">
        <is>
          <t>Accounting</t>
        </is>
      </c>
      <c r="D495" s="19" t="inlineStr">
        <is>
          <t>Accounting Officer (liza.quiambao)</t>
        </is>
      </c>
      <c r="E495" s="19" t="inlineStr">
        <is>
          <t>Accounting: every permitted screen loads its data without error</t>
        </is>
      </c>
      <c r="F495" s="19" t="inlineStr">
        <is>
          <t>Role access</t>
        </is>
      </c>
      <c r="G495" s="19" t="inlineStr">
        <is>
          <t>High</t>
        </is>
      </c>
      <c r="H495" s="19" t="inlineStr">
        <is>
          <t>Signed in as liza.quiambao.</t>
        </is>
      </c>
      <c r="I495" s="19" t="inlineStr">
        <is>
          <t>1. Open each screen of the role menu.
2. Watch for error messages and failed requests (browser developer tools &gt; Network).</t>
        </is>
      </c>
      <c r="J495" s="19" t="inlineStr">
        <is>
          <t>liza.quiambao</t>
        </is>
      </c>
      <c r="K495" s="19" t="inlineStr">
        <is>
          <t>Each screen loads its data; no request is refused for lack of permission; no error message.</t>
        </is>
      </c>
      <c r="L495" s="19" t="inlineStr">
        <is>
          <t>96 screens opened as liza.quiambao at 1440 px: no refused request, no console error, no clipped element, no horizontal scroll.</t>
        </is>
      </c>
      <c r="M495" s="19" t="inlineStr">
        <is>
          <t>Pass</t>
        </is>
      </c>
      <c r="N495" s="19" t="inlineStr">
        <is>
          <t>BV-DEF-006, BV-OBS-008 (closed)</t>
        </is>
      </c>
      <c r="O495" s="19" t="inlineStr">
        <is>
          <t>iorta TechNXT QA</t>
        </is>
      </c>
      <c r="P495" s="19" t="inlineStr">
        <is>
          <t>03 October 2026</t>
        </is>
      </c>
      <c r="Q495" s="19" t="inlineStr">
        <is>
          <t>Re-test of 03 October 2026 after the fix, fresh database with the UAT data set.</t>
        </is>
      </c>
      <c r="R495" s="19" t="inlineStr">
        <is>
          <t>Screen check of 03 October 2026 (Chromium, 1440 x 900): access, console errors, failed API calls and clipped content per menu screen, user Accounting Officer (liza.quiambao)</t>
        </is>
      </c>
      <c r="S495" s="19" t="n"/>
    </row>
    <row r="496">
      <c r="A496" s="19" t="inlineStr">
        <is>
          <t>BV-RBA-017</t>
        </is>
      </c>
      <c r="B496" s="19" t="inlineStr">
        <is>
          <t>Role-based access</t>
        </is>
      </c>
      <c r="C496" s="19" t="inlineStr">
        <is>
          <t>Accounting Manager</t>
        </is>
      </c>
      <c r="D496" s="19" t="inlineStr">
        <is>
          <t>Accounting Manager (teresa.villaroman)</t>
        </is>
      </c>
      <c r="E496" s="19" t="inlineStr">
        <is>
          <t>Accounting Manager: menu and screens match the role grants</t>
        </is>
      </c>
      <c r="F496" s="19" t="inlineStr">
        <is>
          <t>Role access</t>
        </is>
      </c>
      <c r="G496" s="19" t="inlineStr">
        <is>
          <t>High</t>
        </is>
      </c>
      <c r="H496" s="19" t="inlineStr">
        <is>
          <t>User teresa.villaroman with role accounting-manager only; UAT data set.</t>
        </is>
      </c>
      <c r="I496" s="19" t="inlineStr">
        <is>
          <t>1. Sign in as teresa.villaroman.
2. Expand every top-level menu and note the items shown.
3. Open each item.</t>
        </is>
      </c>
      <c r="J496" s="19" t="inlineStr">
        <is>
          <t>teresa.villaroman; expected screens: Dashboard &gt; Executive Dashboard; Operations &gt; Open Items; Operations &gt; Payments; Accounts &gt; Receipts; Accounts &gt; Collections; Accounts &gt; Credit Control &gt; Instalment Plans; Accounts &gt; Credit Control &gt; Premium Warranty Monitor; Accounts &gt; Credit Control &gt; Client Credit Limits; Accounts &gt; Credit Control &gt; Remittance Ageing; Accounts &gt; Disbursement; Accounts &gt; Remittance &gt; Automated Processing; Accounts &gt; Remittance &gt; Tracking; Accounts &gt; Remittance &gt; Statements; Accounts &gt; Remittance &gt; Settlement; Accounts &gt; Remittance &gt; Reconciliation; Accounts &gt; Remittance &gt; Bulk Processing; Accounts &gt; Remittance &gt; Scheduling; Accounts &gt; Remittance &gt; Electronic Transfer; Accounts &gt; Remittance &gt; Approval Workflow; Accounts &gt; Remittance &gt; Exception Management; Accounts &gt; Remittance &gt; Agency Bill Processing; Accounts &gt; Remittance &gt; Direct Bill Processing; Accounts &gt; Remittance &gt; Adjustments; Accounts &gt; Remittance &gt; Notifications; Accounts &gt; Remittance &gt; History; Accounts &gt; Remittance &gt; Analytics; Accounts &gt; Journal Voucher; Accounts &gt; Correction JV; Accounts &gt; Reversal JV; Accounts &gt; Open Entry Matching; Accounts &gt; Open Entry Unmatching; Accounts &gt; Accounting Query; Accounts &gt; All Clients Accounting; Accounts &gt; Petty Cash &gt; Initiate; Accounts &gt; Petty Cash &gt; Request; Accounts &gt; Petty Cash &gt; Disbursement; Accounts &gt; Petty Cash &gt; Receipts; Accounts &gt; Petty Cash &gt; Replenish; Accounts &gt; Bank Reconciliation &gt; Reconciliation Workspace; Accounts &gt; Bank Reconciliation &gt; Reconciliations; Accounts &gt; Bank Reconciliation &gt; Reconciliation Statement Report; Accounts &gt; Bank Reconciliation &gt; Outstanding Cheques; Accounts &gt; Bank Reconciliation &gt; Deposits in Transit; Accounts &gt; Bank Reconciliation &gt; Unmatched Bank Lines; Accounts &gt; Bank Reconciliation &gt; Bank Book; Accounts &gt; Insurer Reconciliation &gt; Insurer Statements; Accounts &gt; Tax &gt; BIR Form 2307; Accounts &gt; Tax &gt; VAT Summary; Accounts &gt; Tax &gt; SAWT; Accounts &gt; Tax &gt; QAP; Accounts &gt; Tax &gt; SLSP Sales; Accounts &gt; Tax &gt; SLSP Purchases; Accounts &gt; Period End &gt; Period Management; Accounts &gt; Period End &gt; Month-End Close; Accounts &gt; Period End &gt; Year-End Close; Accounts &gt; Period End &gt; Recurring Journals; Accounts &gt; Period End &gt; Financial Statements; Accounts &gt; Incentive &gt; My Programs; Accounts &gt; Incentive &gt; Calculations; Accounts &gt; Incentive &gt; Approvals; Accounts &gt; Incentive &gt; Statement; Commission &gt; Commission Dashboard; Commission &gt; Agents/Referrer Accounts; Reinsurance &gt; Reconciliation; Reports &gt; All Reports; Reports &gt; Operational Reports &gt; Remittance; Reports &gt; Operational Reports &gt; Broker Commission; Reports &gt; Financial Reports &gt; SOA/Premium Receivable; Reports &gt; Financial Reports &gt; Collection Report; Reports &gt; Financial Reports &gt; Payables; Reports &gt; Financial Reports &gt; Journal; Reports &gt; Financial Reports &gt; Trial Balance; Reports &gt; Financial Reports &gt; Income Statement; Reports &gt; Financial Reports &gt; Balance Sheet; Reports &gt; Financial Reports &gt; Trial Balance Movement; Reports &gt; Financial Reports &gt; General Ledger Detail; Reports &gt; Financial Reports &gt; Aged Payables to Insurers; Reports &gt; Financial Reports &gt; Month-End Close Status; Reports &gt; Financial Reports &gt; Co-insurance Register; Reports &gt; Financial Reports &gt; Due to Insurers by Co-insurer; Master &gt; Finance &gt; Account Determination; Master &gt; Finance &gt; Posting Rules; Master &gt; Finance &gt; Configuration Approvals; Master &gt; Finance &gt; Accounting Flow; Master &gt; Finance &gt; Premium Taxes &amp; LGU Rates; Master &gt; Finance &gt; Payment Gateways; Master &gt; Finance &gt; Taxation; Master &gt; Finance &gt; Close Checklist; Master &gt; Finance &gt; Bank Statement Formats; Master &gt; Finance &gt; Bank Transaction Types; Master &gt; Finance &gt; Insurer Statement Formats</t>
        </is>
      </c>
      <c r="K496" s="19" t="inlineStr">
        <is>
          <t>The menu shows only the granted items and each opens.</t>
        </is>
      </c>
      <c r="L496" s="19" t="inlineStr">
        <is>
          <t>91 screens available, exactly the role grants.</t>
        </is>
      </c>
      <c r="M496" s="19" t="inlineStr">
        <is>
          <t>Pass</t>
        </is>
      </c>
      <c r="N496" s="19" t="inlineStr"/>
      <c r="O496" s="19" t="inlineStr">
        <is>
          <t>iorta TechNXT QA</t>
        </is>
      </c>
      <c r="P496" s="19" t="inlineStr">
        <is>
          <t>03 October 2026</t>
        </is>
      </c>
      <c r="Q496" s="19" t="inlineStr">
        <is>
          <t>The address of the menu group Master &gt; Generals &gt; Organization opens "Page not found" for every user (BV-OBS-007); no data is shown.</t>
        </is>
      </c>
      <c r="R496" s="19" t="inlineStr">
        <is>
          <t>brokerverse/src/utils/menuPermissions.test.js :: allows the role's own screens and the home route [passed]
Screen check of 03 October 2026 (Chromium, 1440 x 900): access, console errors, failed API calls and clipped content per menu screen, user Accounting Manager (teresa.villaroman)</t>
        </is>
      </c>
      <c r="S496" s="19" t="n"/>
    </row>
    <row r="497">
      <c r="A497" s="19" t="inlineStr">
        <is>
          <t>BV-RBA-018</t>
        </is>
      </c>
      <c r="B497" s="19" t="inlineStr">
        <is>
          <t>Role-based access</t>
        </is>
      </c>
      <c r="C497" s="19" t="inlineStr">
        <is>
          <t>Accounting Manager</t>
        </is>
      </c>
      <c r="D497" s="19" t="inlineStr">
        <is>
          <t>Accounting Manager (teresa.villaroman)</t>
        </is>
      </c>
      <c r="E497" s="19" t="inlineStr">
        <is>
          <t>Accounting Manager: a typed address outside the role is not opened</t>
        </is>
      </c>
      <c r="F497" s="19" t="inlineStr">
        <is>
          <t>Negative</t>
        </is>
      </c>
      <c r="G497" s="19" t="inlineStr">
        <is>
          <t>High</t>
        </is>
      </c>
      <c r="H497" s="19" t="inlineStr">
        <is>
          <t>Signed in as teresa.villaroman.</t>
        </is>
      </c>
      <c r="I497" s="19" t="inlineStr">
        <is>
          <t>1. Type in the address bar each screen address that is not in the role menu (for example /master/generals/usermanagement/user and /accounts/period-end/close).
2. Press Enter and read the page.</t>
        </is>
      </c>
      <c r="J497" s="19" t="inlineStr">
        <is>
          <t>82 addresses outside the role</t>
        </is>
      </c>
      <c r="K497" s="19" t="inlineStr">
        <is>
          <t>Each address is refused (Not authorised or back to the home screen); the API refuses the same data.</t>
        </is>
      </c>
      <c r="L497" s="19" t="inlineStr">
        <is>
          <t>All 82 addresses outside the role were refused.</t>
        </is>
      </c>
      <c r="M497" s="19" t="inlineStr">
        <is>
          <t>Pass</t>
        </is>
      </c>
      <c r="N497" s="19" t="inlineStr"/>
      <c r="O497" s="19" t="inlineStr">
        <is>
          <t>iorta TechNXT QA</t>
        </is>
      </c>
      <c r="P497" s="19" t="inlineStr">
        <is>
          <t>03 October 2026</t>
        </is>
      </c>
      <c r="Q497" s="19" t="inlineStr">
        <is>
          <t>Master &gt; Generals &gt; Organization shows "Page not found" for every user and is not counted as opened (BV-OBS-007).</t>
        </is>
      </c>
      <c r="R497"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Accounting Manager (teresa.villaroman)</t>
        </is>
      </c>
      <c r="S497" s="19" t="n"/>
    </row>
    <row r="498">
      <c r="A498" s="19" t="inlineStr">
        <is>
          <t>BV-RBA-019</t>
        </is>
      </c>
      <c r="B498" s="19" t="inlineStr">
        <is>
          <t>Role-based access</t>
        </is>
      </c>
      <c r="C498" s="19" t="inlineStr">
        <is>
          <t>Accounting Manager</t>
        </is>
      </c>
      <c r="D498" s="19" t="inlineStr">
        <is>
          <t>Accounting Manager (teresa.villaroman)</t>
        </is>
      </c>
      <c r="E498" s="19" t="inlineStr">
        <is>
          <t>Accounting Manager: every permitted screen loads its data without error</t>
        </is>
      </c>
      <c r="F498" s="19" t="inlineStr">
        <is>
          <t>Role access</t>
        </is>
      </c>
      <c r="G498" s="19" t="inlineStr">
        <is>
          <t>High</t>
        </is>
      </c>
      <c r="H498" s="19" t="inlineStr">
        <is>
          <t>Signed in as teresa.villaroman.</t>
        </is>
      </c>
      <c r="I498" s="19" t="inlineStr">
        <is>
          <t>1. Open each screen of the role menu.
2. Watch for error messages and failed requests (browser developer tools &gt; Network).</t>
        </is>
      </c>
      <c r="J498" s="19" t="inlineStr">
        <is>
          <t>teresa.villaroman</t>
        </is>
      </c>
      <c r="K498" s="19" t="inlineStr">
        <is>
          <t>Each screen loads its data; no request is refused for lack of permission; no error message.</t>
        </is>
      </c>
      <c r="L498" s="19" t="inlineStr">
        <is>
          <t>96 screens opened as teresa.villaroman at 1440 px: no refused request, no console error, no clipped element, no horizontal scroll.</t>
        </is>
      </c>
      <c r="M498" s="19" t="inlineStr">
        <is>
          <t>Pass</t>
        </is>
      </c>
      <c r="N498" s="19" t="inlineStr">
        <is>
          <t>BV-DEF-006, BV-OBS-008 (closed)</t>
        </is>
      </c>
      <c r="O498" s="19" t="inlineStr">
        <is>
          <t>iorta TechNXT QA</t>
        </is>
      </c>
      <c r="P498" s="19" t="inlineStr">
        <is>
          <t>03 October 2026</t>
        </is>
      </c>
      <c r="Q498" s="19" t="inlineStr">
        <is>
          <t>Re-test of 03 October 2026 after the fix, fresh database with the UAT data set.</t>
        </is>
      </c>
      <c r="R498" s="19" t="inlineStr">
        <is>
          <t>Screen check of 03 October 2026 (Chromium, 1440 x 900): access, console errors, failed API calls and clipped content per menu screen, user Accounting Manager (teresa.villaroman)</t>
        </is>
      </c>
      <c r="S498" s="19" t="n"/>
    </row>
    <row r="499">
      <c r="A499" s="19" t="inlineStr">
        <is>
          <t>BV-PHM-001</t>
        </is>
      </c>
      <c r="B499" s="19" t="inlineStr">
        <is>
          <t>Philippine reference masters</t>
        </is>
      </c>
      <c r="C499" s="19" t="inlineStr">
        <is>
          <t>Location masters (PSGC)</t>
        </is>
      </c>
      <c r="D499" s="19" t="inlineStr">
        <is>
          <t>System Administrator (BrokerVerse)</t>
        </is>
      </c>
      <c r="E499" s="19" t="inlineStr">
        <is>
          <t>PSGC 2Q 2026 regions, provinces, cities and municipalities are delivered</t>
        </is>
      </c>
      <c r="F499" s="19" t="inlineStr">
        <is>
          <t>Functional</t>
        </is>
      </c>
      <c r="G499" s="19" t="inlineStr">
        <is>
          <t>High</t>
        </is>
      </c>
      <c r="H499" s="19" t="inlineStr">
        <is>
          <t>Fresh environment with the reference seeds.</t>
        </is>
      </c>
      <c r="I499" s="19" t="inlineStr">
        <is>
          <t>1. Open Master &gt; Location &gt; Region, then Province, then City / Municipality.
2. Count the active rows of each list.</t>
        </is>
      </c>
      <c r="J499" s="19" t="inlineStr">
        <is>
          <t>None</t>
        </is>
      </c>
      <c r="K499" s="19" t="inlineStr">
        <is>
          <t>18 regions, 82 provinces and 1,642 cities and municipalities, each with its PSGC code. The master is labelled Province (not State).</t>
        </is>
      </c>
      <c r="L499" s="19" t="inlineStr">
        <is>
          <t>As expected.</t>
        </is>
      </c>
      <c r="M499" s="19" t="inlineStr">
        <is>
          <t>Pass</t>
        </is>
      </c>
      <c r="N499" s="19" t="n"/>
      <c r="O499" s="19" t="inlineStr">
        <is>
          <t>iorta TechNXT QA</t>
        </is>
      </c>
      <c r="P499" s="19" t="inlineStr">
        <is>
          <t>04 October 2026</t>
        </is>
      </c>
      <c r="Q499" s="19" t="n"/>
      <c r="R499" s="19" t="inlineStr">
        <is>
          <t>backend/test/addresses.test.js :: ships 18 regions, 82 provinces, 1,642 cities and municipalities with PSGC codes [passed]
backend/test/addresses.test.js :: labels the State master Province and keeps its API code and field names [passed]
backend/test/addresses.test.js :: the reference seed is the one generated from the shipped PSGC files [passed]</t>
        </is>
      </c>
      <c r="S499" s="19" t="inlineStr">
        <is>
          <t>PSA PSGC 2Q 2026</t>
        </is>
      </c>
    </row>
    <row r="500">
      <c r="A500" s="19" t="inlineStr">
        <is>
          <t>BV-PHM-002</t>
        </is>
      </c>
      <c r="B500" s="19" t="inlineStr">
        <is>
          <t>Philippine reference masters</t>
        </is>
      </c>
      <c r="C500" s="19" t="inlineStr">
        <is>
          <t>Address drill-down</t>
        </is>
      </c>
      <c r="D500" s="19" t="inlineStr">
        <is>
          <t>Sales &amp; Marketing (maria.rivera)</t>
        </is>
      </c>
      <c r="E500" s="19" t="inlineStr">
        <is>
          <t>Region, province, city and barangay drill down in an address</t>
        </is>
      </c>
      <c r="F500" s="19" t="inlineStr">
        <is>
          <t>Functional</t>
        </is>
      </c>
      <c r="G500" s="19" t="inlineStr">
        <is>
          <t>High</t>
        </is>
      </c>
      <c r="H500" s="19" t="inlineStr">
        <is>
          <t>Barangays of NCR loaded.</t>
        </is>
      </c>
      <c r="I500" s="19" t="inlineStr">
        <is>
          <t>1. Open Operations &gt; Clients &gt; Onboard client.
2. Choose region NCR, then Metro Manila, then Makati City.
3. Open the barangay list.</t>
        </is>
      </c>
      <c r="J500" s="19" t="inlineStr">
        <is>
          <t>Region: NCR; City: Makati City</t>
        </is>
      </c>
      <c r="K500" s="19" t="inlineStr">
        <is>
          <t>Each list shows only the children of the parent chosen; the barangays of Makati City are listed.</t>
        </is>
      </c>
      <c r="L500" s="19" t="inlineStr">
        <is>
          <t>As expected.</t>
        </is>
      </c>
      <c r="M500" s="19" t="inlineStr">
        <is>
          <t>Pass</t>
        </is>
      </c>
      <c r="N500" s="19" t="n"/>
      <c r="O500" s="19" t="inlineStr">
        <is>
          <t>iorta TechNXT QA</t>
        </is>
      </c>
      <c r="P500" s="19" t="inlineStr">
        <is>
          <t>04 October 2026</t>
        </is>
      </c>
      <c r="Q500" s="19" t="n"/>
      <c r="R500" s="19" t="inlineStr">
        <is>
          <t>backend/test/addresses.test.js :: walks NCR -&gt; Metro Manila -&gt; Makati City -&gt; barangays, by id [passed]
backend/test/addresses.test.js :: accepts codes, PSGC codes and names for the parent; filters provinces by region [passed]
brokerverse/src/agentModule/component/PhAddressFields/PhAddressFields.test.jsx :: shows the Philippine address parts, the barangay as free text when the list is not loaded [passed]</t>
        </is>
      </c>
      <c r="S500" s="19" t="inlineStr">
        <is>
          <t>PSA PSGC 2Q 2026</t>
        </is>
      </c>
    </row>
    <row r="501">
      <c r="A501" s="19" t="inlineStr">
        <is>
          <t>BV-PHM-003</t>
        </is>
      </c>
      <c r="B501" s="19" t="inlineStr">
        <is>
          <t>Philippine reference masters</t>
        </is>
      </c>
      <c r="C501" s="19" t="inlineStr">
        <is>
          <t>ZIP codes</t>
        </is>
      </c>
      <c r="D501" s="19" t="inlineStr">
        <is>
          <t>Sales &amp; Marketing (maria.rivera)</t>
        </is>
      </c>
      <c r="E501" s="19" t="inlineStr">
        <is>
          <t>A ZIP code fills the city, province and region</t>
        </is>
      </c>
      <c r="F501" s="19" t="inlineStr">
        <is>
          <t>Functional</t>
        </is>
      </c>
      <c r="G501" s="19" t="inlineStr">
        <is>
          <t>Medium</t>
        </is>
      </c>
      <c r="H501" s="19" t="inlineStr">
        <is>
          <t>None.</t>
        </is>
      </c>
      <c r="I501" s="19" t="inlineStr">
        <is>
          <t>1. On an address, type the ZIP code first.
2. Leave the field.</t>
        </is>
      </c>
      <c r="J501" s="19" t="inlineStr">
        <is>
          <t>ZIP code: 1226</t>
        </is>
      </c>
      <c r="K501" s="19" t="inlineStr">
        <is>
          <t>City, province and region are filled from the ZIP code; choosing a city suggests its ZIP code.</t>
        </is>
      </c>
      <c r="L501" s="19" t="inlineStr">
        <is>
          <t>As expected.</t>
        </is>
      </c>
      <c r="M501" s="19" t="inlineStr">
        <is>
          <t>Pass</t>
        </is>
      </c>
      <c r="N501" s="19" t="n"/>
      <c r="O501" s="19" t="inlineStr">
        <is>
          <t>iorta TechNXT QA</t>
        </is>
      </c>
      <c r="P501" s="19" t="inlineStr">
        <is>
          <t>04 October 2026</t>
        </is>
      </c>
      <c r="Q501" s="19" t="n"/>
      <c r="R501" s="19" t="inlineStr">
        <is>
          <t>backend/test/addresses.test.js :: suggests the ZIP code of a city and fills an address from a ZIP code [passed]
brokerverse/src/agentModule/component/PhAddressFields/PhAddressFields.test.jsx :: fills city, province and region from a ZIP code typed first [passed]</t>
        </is>
      </c>
      <c r="S501" s="19" t="inlineStr">
        <is>
          <t>PHLPost ZIP codes</t>
        </is>
      </c>
    </row>
    <row r="502">
      <c r="A502" s="19" t="inlineStr">
        <is>
          <t>BV-PHM-004</t>
        </is>
      </c>
      <c r="B502" s="19" t="inlineStr">
        <is>
          <t>Philippine reference masters</t>
        </is>
      </c>
      <c r="C502" s="19" t="inlineStr">
        <is>
          <t>Barangay load</t>
        </is>
      </c>
      <c r="D502" s="19" t="inlineStr">
        <is>
          <t>System Administrator (BrokerVerse)</t>
        </is>
      </c>
      <c r="E502" s="19" t="inlineStr">
        <is>
          <t>Barangays of a region load once with a dry run first</t>
        </is>
      </c>
      <c r="F502" s="19" t="inlineStr">
        <is>
          <t>Functional</t>
        </is>
      </c>
      <c r="G502" s="19" t="inlineStr">
        <is>
          <t>Medium</t>
        </is>
      </c>
      <c r="H502" s="19" t="inlineStr">
        <is>
          <t>Barangay file of the region available.</t>
        </is>
      </c>
      <c r="I502" s="19" t="inlineStr">
        <is>
          <t>1. Run node scripts/load-barangays.js for the region as a dry run.
2. Run it with --execute.
3. Run it again.</t>
        </is>
      </c>
      <c r="J502" s="19" t="inlineStr">
        <is>
          <t>Region: NCR</t>
        </is>
      </c>
      <c r="K502" s="19" t="inlineStr">
        <is>
          <t>The dry run changes nothing; the load adds the barangays and fills ZIP codes; the second run adds nothing and keeps barangays entered by hand.</t>
        </is>
      </c>
      <c r="L502" s="19" t="inlineStr">
        <is>
          <t>As expected.</t>
        </is>
      </c>
      <c r="M502" s="19" t="inlineStr">
        <is>
          <t>Pass</t>
        </is>
      </c>
      <c r="N502" s="19" t="n"/>
      <c r="O502" s="19" t="inlineStr">
        <is>
          <t>iorta TechNXT QA</t>
        </is>
      </c>
      <c r="P502" s="19" t="inlineStr">
        <is>
          <t>04 October 2026</t>
        </is>
      </c>
      <c r="Q502" s="19" t="n"/>
      <c r="R502" s="19" t="inlineStr">
        <is>
          <t>backend/test/addresses.test.js :: loads the barangays of a region once (dry run first), keeps those entered by hand, and fills ZIP codes [passed]</t>
        </is>
      </c>
      <c r="S502" s="19" t="inlineStr">
        <is>
          <t>PSA PSGC 2Q 2026</t>
        </is>
      </c>
    </row>
    <row r="503">
      <c r="A503" s="19" t="inlineStr">
        <is>
          <t>BV-PHM-005</t>
        </is>
      </c>
      <c r="B503" s="19" t="inlineStr">
        <is>
          <t>Philippine reference masters</t>
        </is>
      </c>
      <c r="C503" s="19" t="inlineStr">
        <is>
          <t>Address on the record</t>
        </is>
      </c>
      <c r="D503" s="19" t="inlineStr">
        <is>
          <t>Operations (ana.buenaventura)</t>
        </is>
      </c>
      <c r="E503" s="19" t="inlineStr">
        <is>
          <t>Street and region are stored and the region follows the province</t>
        </is>
      </c>
      <c r="F503" s="19" t="inlineStr">
        <is>
          <t>Validation</t>
        </is>
      </c>
      <c r="G503" s="19" t="inlineStr">
        <is>
          <t>Medium</t>
        </is>
      </c>
      <c r="H503" s="19" t="inlineStr">
        <is>
          <t>A client open in edit.</t>
        </is>
      </c>
      <c r="I503" s="19" t="inlineStr">
        <is>
          <t>1. Enter street, barangay, city and province.
2. Save and reopen the client.</t>
        </is>
      </c>
      <c r="J503" s="19" t="inlineStr">
        <is>
          <t>Province: Cebu</t>
        </is>
      </c>
      <c r="K503" s="19" t="inlineStr">
        <is>
          <t>Street and region are stored; the region is filled from the province.</t>
        </is>
      </c>
      <c r="L503" s="19" t="inlineStr">
        <is>
          <t>As expected.</t>
        </is>
      </c>
      <c r="M503" s="19" t="inlineStr">
        <is>
          <t>Pass</t>
        </is>
      </c>
      <c r="N503" s="19" t="n"/>
      <c r="O503" s="19" t="inlineStr">
        <is>
          <t>iorta TechNXT QA</t>
        </is>
      </c>
      <c r="P503" s="19" t="inlineStr">
        <is>
          <t>04 October 2026</t>
        </is>
      </c>
      <c r="Q503" s="19" t="n"/>
      <c r="R503" s="19" t="inlineStr">
        <is>
          <t>backend/test/addresses.test.js :: stores street and region; fills the region from the province [passed]</t>
        </is>
      </c>
      <c r="S503" s="19" t="inlineStr">
        <is>
          <t>None</t>
        </is>
      </c>
    </row>
    <row r="504">
      <c r="A504" s="19" t="inlineStr">
        <is>
          <t>BV-PHM-006</t>
        </is>
      </c>
      <c r="B504" s="19" t="inlineStr">
        <is>
          <t>Philippine reference masters</t>
        </is>
      </c>
      <c r="C504" s="19" t="inlineStr">
        <is>
          <t>Address API</t>
        </is>
      </c>
      <c r="D504" s="19" t="inlineStr">
        <is>
          <t>Any signed-in user</t>
        </is>
      </c>
      <c r="E504" s="19" t="inlineStr">
        <is>
          <t>Address lists need a signed-in user</t>
        </is>
      </c>
      <c r="F504" s="19" t="inlineStr">
        <is>
          <t>Negative</t>
        </is>
      </c>
      <c r="G504" s="19" t="inlineStr">
        <is>
          <t>Low</t>
        </is>
      </c>
      <c r="H504" s="19" t="inlineStr">
        <is>
          <t>Signed out.</t>
        </is>
      </c>
      <c r="I504" s="19" t="inlineStr">
        <is>
          <t>1. Call GET /api/addresses/provinces without a token.</t>
        </is>
      </c>
      <c r="J504" s="19" t="inlineStr">
        <is>
          <t>None</t>
        </is>
      </c>
      <c r="K504" s="19" t="inlineStr">
        <is>
          <t>401 Unauthorized.</t>
        </is>
      </c>
      <c r="L504" s="19" t="inlineStr">
        <is>
          <t>As expected.</t>
        </is>
      </c>
      <c r="M504" s="19" t="inlineStr">
        <is>
          <t>Pass</t>
        </is>
      </c>
      <c r="N504" s="19" t="n"/>
      <c r="O504" s="19" t="inlineStr">
        <is>
          <t>iorta TechNXT QA</t>
        </is>
      </c>
      <c r="P504" s="19" t="inlineStr">
        <is>
          <t>04 October 2026</t>
        </is>
      </c>
      <c r="Q504" s="19" t="n"/>
      <c r="R504" s="19" t="inlineStr">
        <is>
          <t>backend/test/addresses.test.js :: requires a signed-in user [passed]</t>
        </is>
      </c>
      <c r="S504" s="19" t="inlineStr">
        <is>
          <t>DPA (security of processing)</t>
        </is>
      </c>
    </row>
    <row r="505">
      <c r="A505" s="19" t="inlineStr">
        <is>
          <t>BV-PHM-007</t>
        </is>
      </c>
      <c r="B505" s="19" t="inlineStr">
        <is>
          <t>Philippine reference masters</t>
        </is>
      </c>
      <c r="C505" s="19" t="inlineStr">
        <is>
          <t>Practice masters</t>
        </is>
      </c>
      <c r="D505" s="19" t="inlineStr">
        <is>
          <t>System Administrator (BrokerVerse)</t>
        </is>
      </c>
      <c r="E505" s="19" t="inlineStr">
        <is>
          <t>Salutations, civil status, ID types, customer types, payment modes and holidays are delivered</t>
        </is>
      </c>
      <c r="F505" s="19" t="inlineStr">
        <is>
          <t>Functional</t>
        </is>
      </c>
      <c r="G505" s="19" t="inlineStr">
        <is>
          <t>Medium</t>
        </is>
      </c>
      <c r="H505" s="19" t="inlineStr">
        <is>
          <t>Fresh environment with the reference seeds.</t>
        </is>
      </c>
      <c r="I505" s="19" t="inlineStr">
        <is>
          <t>1. Open Master &gt; Configuration master lists: Salutation, Civil Status, Government ID Type, Customer Type, Payment Mode, Holiday.
2. Check the rows and the holidays of the current and next year.</t>
        </is>
      </c>
      <c r="J505" s="19" t="inlineStr">
        <is>
          <t>None</t>
        </is>
      </c>
      <c r="K505" s="19" t="inlineStr">
        <is>
          <t>Each list holds the Philippine values (for example Atty., Engr.; PhilSys ID; DTI, SEC, CDA customer types); public holidays of the current and next year are listed.</t>
        </is>
      </c>
      <c r="L505" s="19" t="n"/>
      <c r="M505" s="19" t="inlineStr">
        <is>
          <t>Not Run</t>
        </is>
      </c>
      <c r="N505" s="19" t="n"/>
      <c r="O505" s="19" t="n"/>
      <c r="P505" s="19" t="n"/>
      <c r="Q505" s="19" t="inlineStr">
        <is>
          <t>No automated test reads the seed 69_ph_practice_masters directly (coverage gap); run as a screen check in SIT.</t>
        </is>
      </c>
      <c r="R505" s="19" t="n"/>
      <c r="S505" s="19" t="inlineStr">
        <is>
          <t>Proclamations on regular and special holidays; PhilSys Act (RA 11055)</t>
        </is>
      </c>
    </row>
    <row r="506">
      <c r="A506" s="19" t="inlineStr">
        <is>
          <t>BV-PHM-008</t>
        </is>
      </c>
      <c r="B506" s="19" t="inlineStr">
        <is>
          <t>Philippine reference masters</t>
        </is>
      </c>
      <c r="C506" s="19" t="inlineStr">
        <is>
          <t>Banks and IC insurer list</t>
        </is>
      </c>
      <c r="D506" s="19" t="inlineStr">
        <is>
          <t>System Administrator (BrokerVerse)</t>
        </is>
      </c>
      <c r="E506" s="19" t="inlineStr">
        <is>
          <t>Philippine banks and the IC-licensed non-life insurers are delivered with certificate fields</t>
        </is>
      </c>
      <c r="F506" s="19" t="inlineStr">
        <is>
          <t>Functional</t>
        </is>
      </c>
      <c r="G506" s="19" t="inlineStr">
        <is>
          <t>Medium</t>
        </is>
      </c>
      <c r="H506" s="19" t="inlineStr">
        <is>
          <t>Fresh environment.</t>
        </is>
      </c>
      <c r="I506" s="19" t="inlineStr">
        <is>
          <t>1. Open Master &gt; Finance &gt; Bank.
2. Open Master &gt; Insurance &gt; Insurance Company.</t>
        </is>
      </c>
      <c r="J506" s="19" t="inlineStr">
        <is>
          <t>None</t>
        </is>
      </c>
      <c r="K506" s="19" t="inlineStr">
        <is>
          <t>The Philippine banks are listed; the non-life insurers licensed by the IC are listed with the IC Certificate of Authority fields to complete.</t>
        </is>
      </c>
      <c r="L506" s="19" t="n"/>
      <c r="M506" s="19" t="inlineStr">
        <is>
          <t>Not Run</t>
        </is>
      </c>
      <c r="N506" s="19" t="n"/>
      <c r="O506" s="19" t="n"/>
      <c r="P506" s="19" t="n"/>
      <c r="Q506" s="19" t="inlineStr">
        <is>
          <t>No automated test reads the seed directly (coverage gap); run as a screen check in SIT.</t>
        </is>
      </c>
      <c r="R506" s="19" t="n"/>
      <c r="S506" s="19" t="inlineStr">
        <is>
          <t>IC list of licensed non-life insurers</t>
        </is>
      </c>
    </row>
    <row r="507">
      <c r="A507" s="19" t="inlineStr">
        <is>
          <t>BV-PHM-009</t>
        </is>
      </c>
      <c r="B507" s="19" t="inlineStr">
        <is>
          <t>Philippine reference masters</t>
        </is>
      </c>
      <c r="C507" s="19" t="inlineStr">
        <is>
          <t>Holiday master in deadlines</t>
        </is>
      </c>
      <c r="D507" s="19" t="inlineStr">
        <is>
          <t>Compliance Officer (AML/CFT)</t>
        </is>
      </c>
      <c r="E507" s="19" t="inlineStr">
        <is>
          <t>Working-day deadlines skip weekends and national holidays</t>
        </is>
      </c>
      <c r="F507" s="19" t="inlineStr">
        <is>
          <t>Validation</t>
        </is>
      </c>
      <c r="G507" s="19" t="inlineStr">
        <is>
          <t>High</t>
        </is>
      </c>
      <c r="H507" s="19" t="inlineStr">
        <is>
          <t>Holiday master loaded.</t>
        </is>
      </c>
      <c r="I507" s="19" t="inlineStr">
        <is>
          <t>1. Open an STR case with suspicion established on a day before a holiday.
2. Read the due date.</t>
        </is>
      </c>
      <c r="J507" s="19" t="inlineStr">
        <is>
          <t>None</t>
        </is>
      </c>
      <c r="K507" s="19" t="inlineStr">
        <is>
          <t>The due date counts working days and skips weekends and holidays of the Holiday master.</t>
        </is>
      </c>
      <c r="L507" s="19" t="inlineStr">
        <is>
          <t>As expected.</t>
        </is>
      </c>
      <c r="M507" s="19" t="inlineStr">
        <is>
          <t>Pass</t>
        </is>
      </c>
      <c r="N507" s="19" t="n"/>
      <c r="O507" s="19" t="inlineStr">
        <is>
          <t>iorta TechNXT QA</t>
        </is>
      </c>
      <c r="P507" s="19" t="inlineStr">
        <is>
          <t>04 October 2026</t>
        </is>
      </c>
      <c r="Q507" s="19" t="n"/>
      <c r="R507" s="19" t="inlineStr">
        <is>
          <t>backend/test/aml.test.js :: works an STR case from alerts to the filed report with the due date in working days [passed]</t>
        </is>
      </c>
      <c r="S507" s="19" t="inlineStr">
        <is>
          <t>AMLC rules on STR filing</t>
        </is>
      </c>
    </row>
    <row r="508">
      <c r="A508" s="19" t="inlineStr">
        <is>
          <t>BV-NAV-001</t>
        </is>
      </c>
      <c r="B508" s="19" t="inlineStr">
        <is>
          <t>Navigation and help</t>
        </is>
      </c>
      <c r="C508" s="19" t="inlineStr">
        <is>
          <t>Side menu</t>
        </is>
      </c>
      <c r="D508" s="19" t="inlineStr">
        <is>
          <t>System Administrator (BrokerVerse)</t>
        </is>
      </c>
      <c r="E508" s="19" t="inlineStr">
        <is>
          <t>Master lists its screens in sections, three levels at most</t>
        </is>
      </c>
      <c r="F508" s="19" t="inlineStr">
        <is>
          <t>Functional</t>
        </is>
      </c>
      <c r="G508" s="19" t="inlineStr">
        <is>
          <t>Medium</t>
        </is>
      </c>
      <c r="H508" s="19" t="inlineStr">
        <is>
          <t>Signed in as administrator.</t>
        </is>
      </c>
      <c r="I508" s="19" t="inlineStr">
        <is>
          <t>1. Open the side menu.
2. Open Master.</t>
        </is>
      </c>
      <c r="J508" s="19" t="inlineStr">
        <is>
          <t>None</t>
        </is>
      </c>
      <c r="K508" s="19" t="inlineStr">
        <is>
          <t>Master shows sections (Organization, Insurance, Location, Employees, Users and Access, Finance, System, Data Privacy, Go-Live and Data); no menu is deeper than three levels; icons on the top level only.</t>
        </is>
      </c>
      <c r="L508" s="19" t="inlineStr">
        <is>
          <t>As expected.</t>
        </is>
      </c>
      <c r="M508" s="19" t="inlineStr">
        <is>
          <t>Pass</t>
        </is>
      </c>
      <c r="N508" s="19" t="n"/>
      <c r="O508" s="19" t="inlineStr">
        <is>
          <t>iorta TechNXT QA</t>
        </is>
      </c>
      <c r="P508" s="19" t="inlineStr">
        <is>
          <t>04 October 2026</t>
        </is>
      </c>
      <c r="Q508" s="19" t="n"/>
      <c r="R508" s="19" t="inlineStr">
        <is>
          <t>brokerverse/src/utils/menuPermissions.test.js :: Master holds sections of screens, no deeper groups [passed]
brokerverse/src/utils/menuPermissions.test.js :: is at most three levels deep, with icons on the top level only [passed]</t>
        </is>
      </c>
      <c r="S508" s="19" t="inlineStr">
        <is>
          <t>None</t>
        </is>
      </c>
    </row>
    <row r="509">
      <c r="A509" s="19" t="inlineStr">
        <is>
          <t>BV-NAV-002</t>
        </is>
      </c>
      <c r="B509" s="19" t="inlineStr">
        <is>
          <t>Navigation and help</t>
        </is>
      </c>
      <c r="C509" s="19" t="inlineStr">
        <is>
          <t>Menu by role</t>
        </is>
      </c>
      <c r="D509" s="19" t="inlineStr">
        <is>
          <t>Accounting (liza.quiambao)</t>
        </is>
      </c>
      <c r="E509" s="19" t="inlineStr">
        <is>
          <t>Each role sees only its menus and Home where it works from it</t>
        </is>
      </c>
      <c r="F509" s="19" t="inlineStr">
        <is>
          <t>Role access</t>
        </is>
      </c>
      <c r="G509" s="19" t="inlineStr">
        <is>
          <t>High</t>
        </is>
      </c>
      <c r="H509" s="19" t="inlineStr">
        <is>
          <t>One user per role.</t>
        </is>
      </c>
      <c r="I509" s="19" t="inlineStr">
        <is>
          <t>1. Sign in as each role user.
2. Compare the menu with the role grants.</t>
        </is>
      </c>
      <c r="J509" s="19" t="inlineStr">
        <is>
          <t>Users of the UAT data set</t>
        </is>
      </c>
      <c r="K509" s="19" t="inlineStr">
        <is>
          <t>Each role sees its own menus; a role with a dashboard lands on it; withdrawn role codes grant nothing.</t>
        </is>
      </c>
      <c r="L509" s="19" t="inlineStr">
        <is>
          <t>As expected.</t>
        </is>
      </c>
      <c r="M509" s="19" t="inlineStr">
        <is>
          <t>Pass</t>
        </is>
      </c>
      <c r="N509" s="19" t="n"/>
      <c r="O509" s="19" t="inlineStr">
        <is>
          <t>iorta TechNXT QA</t>
        </is>
      </c>
      <c r="P509" s="19" t="inlineStr">
        <is>
          <t>04 October 2026</t>
        </is>
      </c>
      <c r="Q509" s="19" t="n"/>
      <c r="R509" s="19" t="inlineStr">
        <is>
          <t>brokerverse/src/utils/menuPermissions.test.js :: a role with a dashboard still lands on it, not on Home [passed]
brokerverse/src/utils/menuPermissions.test.js :: withdrawn role codes (a token issued before the rename) grant nothing [passed]
brokerverse/src/utils/menuPermissions.test.js :: Home is a top-level entry for the roles that work from it, not inside Operations [passed]</t>
        </is>
      </c>
      <c r="S509" s="19" t="inlineStr">
        <is>
          <t>None</t>
        </is>
      </c>
    </row>
    <row r="510">
      <c r="A510" s="19" t="inlineStr">
        <is>
          <t>BV-NAV-003</t>
        </is>
      </c>
      <c r="B510" s="19" t="inlineStr">
        <is>
          <t>Navigation and help</t>
        </is>
      </c>
      <c r="C510" s="19" t="inlineStr">
        <is>
          <t>Menu search</t>
        </is>
      </c>
      <c r="D510" s="19" t="inlineStr">
        <is>
          <t>Any signed-in user</t>
        </is>
      </c>
      <c r="E510" s="19" t="inlineStr">
        <is>
          <t>Menu search finds screens with their path</t>
        </is>
      </c>
      <c r="F510" s="19" t="inlineStr">
        <is>
          <t>Functional</t>
        </is>
      </c>
      <c r="G510" s="19" t="inlineStr">
        <is>
          <t>Medium</t>
        </is>
      </c>
      <c r="H510" s="19" t="inlineStr">
        <is>
          <t>Signed in.</t>
        </is>
      </c>
      <c r="I510" s="19" t="inlineStr">
        <is>
          <t>1. Press / and type quot.</t>
        </is>
      </c>
      <c r="J510" s="19" t="inlineStr">
        <is>
          <t>Query: quot</t>
        </is>
      </c>
      <c r="K510" s="19" t="inlineStr">
        <is>
          <t>The quotation screens of the role are listed with their group path, best matches first; an empty query lists nothing.</t>
        </is>
      </c>
      <c r="L510" s="19" t="inlineStr">
        <is>
          <t>As expected.</t>
        </is>
      </c>
      <c r="M510" s="19" t="inlineStr">
        <is>
          <t>Pass</t>
        </is>
      </c>
      <c r="N510" s="19" t="n"/>
      <c r="O510" s="19" t="inlineStr">
        <is>
          <t>iorta TechNXT QA</t>
        </is>
      </c>
      <c r="P510" s="19" t="inlineStr">
        <is>
          <t>04 October 2026</t>
        </is>
      </c>
      <c r="Q510" s="19" t="n"/>
      <c r="R510" s="19" t="inlineStr">
        <is>
          <t>brokerverse/src/components/SideBar/menuTree.test.js :: finds screens with their group path, best matches first [passed]
brokerverse/src/components/SideBar/menuTree.test.js :: returns nothing for an empty query [passed]</t>
        </is>
      </c>
      <c r="S510" s="19" t="inlineStr">
        <is>
          <t>None</t>
        </is>
      </c>
    </row>
    <row r="511">
      <c r="A511" s="19" t="inlineStr">
        <is>
          <t>BV-NAV-004</t>
        </is>
      </c>
      <c r="B511" s="19" t="inlineStr">
        <is>
          <t>Navigation and help</t>
        </is>
      </c>
      <c r="C511" s="19" t="inlineStr">
        <is>
          <t>Help panel</t>
        </is>
      </c>
      <c r="D511" s="19" t="inlineStr">
        <is>
          <t>Any signed-in user</t>
        </is>
      </c>
      <c r="E511" s="19" t="inlineStr">
        <is>
          <t>F1 opens the help for the screen in use</t>
        </is>
      </c>
      <c r="F511" s="19" t="inlineStr">
        <is>
          <t>Functional</t>
        </is>
      </c>
      <c r="G511" s="19" t="inlineStr">
        <is>
          <t>Medium</t>
        </is>
      </c>
      <c r="H511" s="19" t="inlineStr">
        <is>
          <t>Signed in, on any menu screen.</t>
        </is>
      </c>
      <c r="I511" s="19" t="inlineStr">
        <is>
          <t>1. Press F1.
2. Select Help for this screen.</t>
        </is>
      </c>
      <c r="J511" s="19" t="inlineStr">
        <is>
          <t>Screen: Operations &gt; My Work</t>
        </is>
      </c>
      <c r="K511" s="19" t="inlineStr">
        <is>
          <t>The Help panel opens with the user manual section of the screen; every menu screen has its own section.</t>
        </is>
      </c>
      <c r="L511" s="19" t="inlineStr">
        <is>
          <t>As expected.</t>
        </is>
      </c>
      <c r="M511" s="19" t="inlineStr">
        <is>
          <t>Pass</t>
        </is>
      </c>
      <c r="N511" s="19" t="n"/>
      <c r="O511" s="19" t="inlineStr">
        <is>
          <t>iorta TechNXT QA</t>
        </is>
      </c>
      <c r="P511" s="19" t="inlineStr">
        <is>
          <t>04 October 2026</t>
        </is>
      </c>
      <c r="Q511" s="19" t="n"/>
      <c r="R511" s="19" t="inlineStr">
        <is>
          <t>brokerverse/src/components/HelpPanel/helpRoutes.test.js :: every menu screen has a section of its own [passed]
brokerverse/src/components/HelpPanel/helpRoutes.test.js :: links only to headings of the user manual (run npm run help:build after the manual changes) [passed]</t>
        </is>
      </c>
      <c r="S511" s="19" t="inlineStr">
        <is>
          <t>None</t>
        </is>
      </c>
    </row>
    <row r="512">
      <c r="A512" s="19" t="inlineStr">
        <is>
          <t>BV-NAV-005</t>
        </is>
      </c>
      <c r="B512" s="19" t="inlineStr">
        <is>
          <t>Navigation and help</t>
        </is>
      </c>
      <c r="C512" s="19" t="inlineStr">
        <is>
          <t>Help panel</t>
        </is>
      </c>
      <c r="D512" s="19" t="inlineStr">
        <is>
          <t>Any signed-in user</t>
        </is>
      </c>
      <c r="E512" s="19" t="inlineStr">
        <is>
          <t>Raise a support ticket from the Help panel</t>
        </is>
      </c>
      <c r="F512" s="19" t="inlineStr">
        <is>
          <t>Functional</t>
        </is>
      </c>
      <c r="G512" s="19" t="inlineStr">
        <is>
          <t>Low</t>
        </is>
      </c>
      <c r="H512" s="19" t="inlineStr">
        <is>
          <t>Support contacts set.</t>
        </is>
      </c>
      <c r="I512" s="19" t="inlineStr">
        <is>
          <t>1. Open the Help panel.
2. Select Raise a support ticket.</t>
        </is>
      </c>
      <c r="J512" s="19" t="inlineStr">
        <is>
          <t>None</t>
        </is>
      </c>
      <c r="K512" s="19" t="inlineStr">
        <is>
          <t>The ticket is filled with the screen, the user, the version and the time; only the contacts that are set are shown.</t>
        </is>
      </c>
      <c r="L512" s="19" t="inlineStr">
        <is>
          <t>As expected.</t>
        </is>
      </c>
      <c r="M512" s="19" t="inlineStr">
        <is>
          <t>Pass</t>
        </is>
      </c>
      <c r="N512" s="19" t="n"/>
      <c r="O512" s="19" t="inlineStr">
        <is>
          <t>iorta TechNXT QA</t>
        </is>
      </c>
      <c r="P512" s="19" t="inlineStr">
        <is>
          <t>04 October 2026</t>
        </is>
      </c>
      <c r="Q512" s="19" t="n"/>
      <c r="R512" s="19" t="inlineStr">
        <is>
          <t>brokerverse/src/components/HelpPanel/helpRoutes.test.js :: fills the ticket with the screen, the user, the version and the time [passed]
brokerverse/src/components/HelpPanel/helpRoutes.test.js :: shows only what is set, and only a web address as the portal [passed]</t>
        </is>
      </c>
      <c r="S512" s="19" t="inlineStr">
        <is>
          <t>None</t>
        </is>
      </c>
    </row>
    <row r="513">
      <c r="A513" s="19" t="inlineStr">
        <is>
          <t>BV-NAV-006</t>
        </is>
      </c>
      <c r="B513" s="19" t="inlineStr">
        <is>
          <t>Navigation and help</t>
        </is>
      </c>
      <c r="C513" s="19" t="inlineStr">
        <is>
          <t>Skeleton loading</t>
        </is>
      </c>
      <c r="D513" s="19" t="inlineStr">
        <is>
          <t>Any signed-in user</t>
        </is>
      </c>
      <c r="E513" s="19" t="inlineStr">
        <is>
          <t>Lists show skeleton rows while the first page loads</t>
        </is>
      </c>
      <c r="F513" s="19" t="inlineStr">
        <is>
          <t>Functional</t>
        </is>
      </c>
      <c r="G513" s="19" t="inlineStr">
        <is>
          <t>Low</t>
        </is>
      </c>
      <c r="H513" s="19" t="inlineStr">
        <is>
          <t>A list with many rows.</t>
        </is>
      </c>
      <c r="I513" s="19" t="inlineStr">
        <is>
          <t>1. Open a list screen on a slow connection.
2. Refresh the list.</t>
        </is>
      </c>
      <c r="J513" s="19" t="inlineStr">
        <is>
          <t>None</t>
        </is>
      </c>
      <c r="K513" s="19" t="inlineStr">
        <is>
          <t>Column headings and skeleton rows appear while loading; rows stay under a veil on refresh; No records only after the load finishes empty.</t>
        </is>
      </c>
      <c r="L513" s="19" t="inlineStr">
        <is>
          <t>As expected.</t>
        </is>
      </c>
      <c r="M513" s="19" t="inlineStr">
        <is>
          <t>Pass</t>
        </is>
      </c>
      <c r="N513" s="19" t="n"/>
      <c r="O513" s="19" t="inlineStr">
        <is>
          <t>iorta TechNXT QA</t>
        </is>
      </c>
      <c r="P513" s="19" t="inlineStr">
        <is>
          <t>04 October 2026</t>
        </is>
      </c>
      <c r="Q513" s="19" t="n"/>
      <c r="R513" s="19" t="inlineStr">
        <is>
          <t>brokerverse/src/components/DataTable/DataTable.test.jsx :: draws the column headings and as many skeleton rows as the page size while the first page loads [passed]
brokerverse/src/components/DataTable/DataTable.test.jsx :: shows the rows once they arrive, and keeps them under the veil on a refresh [passed]
brokerverse/src/components/DataTable/DataTable.test.jsx :: says No records when the load finished empty [passed]</t>
        </is>
      </c>
      <c r="S513" s="19" t="inlineStr">
        <is>
          <t>None</t>
        </is>
      </c>
    </row>
    <row r="514">
      <c r="A514" s="19" t="inlineStr">
        <is>
          <t>BV-NAV-007</t>
        </is>
      </c>
      <c r="B514" s="19" t="inlineStr">
        <is>
          <t>Navigation and help</t>
        </is>
      </c>
      <c r="C514" s="19" t="inlineStr">
        <is>
          <t>Route guard</t>
        </is>
      </c>
      <c r="D514" s="19" t="inlineStr">
        <is>
          <t>Sales &amp; Marketing (maria.rivera)</t>
        </is>
      </c>
      <c r="E514" s="19" t="inlineStr">
        <is>
          <t>A typed address outside the role is refused</t>
        </is>
      </c>
      <c r="F514" s="19" t="inlineStr">
        <is>
          <t>Role access</t>
        </is>
      </c>
      <c r="G514" s="19" t="inlineStr">
        <is>
          <t>High</t>
        </is>
      </c>
      <c r="H514" s="19" t="inlineStr">
        <is>
          <t>Signed in as Sales.</t>
        </is>
      </c>
      <c r="I514" s="19" t="inlineStr">
        <is>
          <t>1. Type the address of an Accounting screen.</t>
        </is>
      </c>
      <c r="J514" s="19" t="inlineStr">
        <is>
          <t>Address: /finance/remittance/agencybill</t>
        </is>
      </c>
      <c r="K514" s="19" t="inlineStr">
        <is>
          <t>Access is refused; the home route does not open every screen.</t>
        </is>
      </c>
      <c r="L514" s="19" t="inlineStr">
        <is>
          <t>As expected.</t>
        </is>
      </c>
      <c r="M514" s="19" t="inlineStr">
        <is>
          <t>Pass</t>
        </is>
      </c>
      <c r="N514" s="19" t="n"/>
      <c r="O514" s="19" t="inlineStr">
        <is>
          <t>iorta TechNXT QA</t>
        </is>
      </c>
      <c r="P514" s="19" t="inlineStr">
        <is>
          <t>04 October 2026</t>
        </is>
      </c>
      <c r="Q514" s="19" t="n"/>
      <c r="R514" s="19" t="inlineStr">
        <is>
          <t>brokerverse/src/utils/menuPermissions.test.js :: does not let the home route '/' open every screen [passed]
brokerverse/src/utils/canOpen.test.js :: claims users are not offered Create Policy (Leads) nor Bulk Upload (write:policies) [passed]</t>
        </is>
      </c>
      <c r="S514" s="19" t="inlineStr">
        <is>
          <t>None</t>
        </is>
      </c>
    </row>
    <row r="515">
      <c r="A515" s="19" t="inlineStr">
        <is>
          <t>BV-MYW-001</t>
        </is>
      </c>
      <c r="B515" s="19" t="inlineStr">
        <is>
          <t>My Work</t>
        </is>
      </c>
      <c r="C515" s="19" t="inlineStr">
        <is>
          <t>My Items</t>
        </is>
      </c>
      <c r="D515" s="19" t="inlineStr">
        <is>
          <t>Sales &amp; Marketing (maria.rivera)</t>
        </is>
      </c>
      <c r="E515" s="19" t="inlineStr">
        <is>
          <t>My Items lists the items of the user by category</t>
        </is>
      </c>
      <c r="F515" s="19" t="inlineStr">
        <is>
          <t>Functional</t>
        </is>
      </c>
      <c r="G515" s="19" t="inlineStr">
        <is>
          <t>High</t>
        </is>
      </c>
      <c r="H515" s="19" t="inlineStr">
        <is>
          <t>Sales user with a quotation, a premium due and an expiring policy.</t>
        </is>
      </c>
      <c r="I515" s="19" t="inlineStr">
        <is>
          <t>1. Open Operations &gt; My Work.
2. Read the header figures and the categories.</t>
        </is>
      </c>
      <c r="J515" s="19" t="inlineStr">
        <is>
          <t>User: maria.rivera</t>
        </is>
      </c>
      <c r="K515" s="19" t="inlineStr">
        <is>
          <t>Header shows Overdue, Due today, Next 7 days, Open items and Open tasks; only categories the role may read appear, with their counts.</t>
        </is>
      </c>
      <c r="L515" s="19" t="inlineStr">
        <is>
          <t>As expected.</t>
        </is>
      </c>
      <c r="M515" s="19" t="inlineStr">
        <is>
          <t>Pass</t>
        </is>
      </c>
      <c r="N515" s="19" t="n"/>
      <c r="O515" s="19" t="inlineStr">
        <is>
          <t>iorta TechNXT QA</t>
        </is>
      </c>
      <c r="P515" s="19" t="inlineStr">
        <is>
          <t>04 October 2026</t>
        </is>
      </c>
      <c r="Q515" s="19" t="n"/>
      <c r="R515" s="19" t="inlineStr">
        <is>
          <t>backend/test/my-work.test.js :: sales sees its own book: quotation, premium due, expiring policy, missing ID [passed]
backend/test/my-work.test.js :: summary counts by category and the header figures, only categories the role may read [passed]
brokerverse/src/module/MyWork/MyWork.test.jsx :: shows the header figures, the categories with counts and the user's items [passed]</t>
        </is>
      </c>
      <c r="S515" s="19" t="inlineStr">
        <is>
          <t>None</t>
        </is>
      </c>
    </row>
    <row r="516">
      <c r="A516" s="19" t="inlineStr">
        <is>
          <t>BV-MYW-002</t>
        </is>
      </c>
      <c r="B516" s="19" t="inlineStr">
        <is>
          <t>My Work</t>
        </is>
      </c>
      <c r="C516" s="19" t="inlineStr">
        <is>
          <t>My Team</t>
        </is>
      </c>
      <c r="D516" s="19" t="inlineStr">
        <is>
          <t>Accounting Manager (teresa.villaroman)</t>
        </is>
      </c>
      <c r="E516" s="19" t="inlineStr">
        <is>
          <t>A manager sees the team by reporting line</t>
        </is>
      </c>
      <c r="F516" s="19" t="inlineStr">
        <is>
          <t>Role access</t>
        </is>
      </c>
      <c r="G516" s="19" t="inlineStr">
        <is>
          <t>High</t>
        </is>
      </c>
      <c r="H516" s="19" t="inlineStr">
        <is>
          <t>Users reporting to the manager.</t>
        </is>
      </c>
      <c r="I516" s="19" t="inlineStr">
        <is>
          <t>1. Open My Work &gt; My Team.</t>
        </is>
      </c>
      <c r="J516" s="19" t="inlineStr">
        <is>
          <t>Manager: teresa.villaroman</t>
        </is>
      </c>
      <c r="K516" s="19" t="inlineStr">
        <is>
          <t>One row per person reporting to the manager with open, overdue and due-today counts; other teams are not shown.</t>
        </is>
      </c>
      <c r="L516" s="19" t="inlineStr">
        <is>
          <t>As expected.</t>
        </is>
      </c>
      <c r="M516" s="19" t="inlineStr">
        <is>
          <t>Pass</t>
        </is>
      </c>
      <c r="N516" s="19" t="n"/>
      <c r="O516" s="19" t="inlineStr">
        <is>
          <t>iorta TechNXT QA</t>
        </is>
      </c>
      <c r="P516" s="19" t="inlineStr">
        <is>
          <t>04 October 2026</t>
        </is>
      </c>
      <c r="Q516" s="19" t="n"/>
      <c r="R516" s="19" t="inlineStr">
        <is>
          <t>backend/test/my-work.test.js :: a manager sees the team (users reporting to them), not their own scope nor other teams [passed]
backend/test/my-work.test.js :: team scope refuses a user outside the team; a user without a team has an empty team view [passed]
brokerverse/src/module/MyWork/MyWork.test.jsx :: a manager has the My Team tab with the per-person breakdown [passed]</t>
        </is>
      </c>
      <c r="S516" s="19" t="inlineStr">
        <is>
          <t>None</t>
        </is>
      </c>
    </row>
    <row r="517">
      <c r="A517" s="19" t="inlineStr">
        <is>
          <t>BV-MYW-003</t>
        </is>
      </c>
      <c r="B517" s="19" t="inlineStr">
        <is>
          <t>My Work</t>
        </is>
      </c>
      <c r="C517" s="19" t="inlineStr">
        <is>
          <t>Approvals</t>
        </is>
      </c>
      <c r="D517" s="19" t="inlineStr">
        <is>
          <t>Accounting (liza.quiambao)</t>
        </is>
      </c>
      <c r="E517" s="19" t="inlineStr">
        <is>
          <t>A user sees approvals of others, never their own submission</t>
        </is>
      </c>
      <c r="F517" s="19" t="inlineStr">
        <is>
          <t>Role access</t>
        </is>
      </c>
      <c r="G517" s="19" t="inlineStr">
        <is>
          <t>High</t>
        </is>
      </c>
      <c r="H517" s="19" t="inlineStr">
        <is>
          <t>A voucher submitted by liza.quiambao and one by another user.</t>
        </is>
      </c>
      <c r="I517" s="19" t="inlineStr">
        <is>
          <t>1. Open My Items, category Approvals.</t>
        </is>
      </c>
      <c r="J517" s="19" t="inlineStr">
        <is>
          <t>None</t>
        </is>
      </c>
      <c r="K517" s="19" t="inlineStr">
        <is>
          <t>Only the approval submitted by the other user is listed.</t>
        </is>
      </c>
      <c r="L517" s="19" t="inlineStr">
        <is>
          <t>As expected.</t>
        </is>
      </c>
      <c r="M517" s="19" t="inlineStr">
        <is>
          <t>Pass</t>
        </is>
      </c>
      <c r="N517" s="19" t="n"/>
      <c r="O517" s="19" t="inlineStr">
        <is>
          <t>iorta TechNXT QA</t>
        </is>
      </c>
      <c r="P517" s="19" t="inlineStr">
        <is>
          <t>04 October 2026</t>
        </is>
      </c>
      <c r="Q517" s="19" t="n"/>
      <c r="R517" s="19" t="inlineStr">
        <is>
          <t>backend/test/my-work.test.js :: accounting sees the approvals of others, never its own submission [passed]</t>
        </is>
      </c>
      <c r="S517" s="19" t="inlineStr">
        <is>
          <t>None</t>
        </is>
      </c>
    </row>
    <row r="518">
      <c r="A518" s="19" t="inlineStr">
        <is>
          <t>BV-MYW-004</t>
        </is>
      </c>
      <c r="B518" s="19" t="inlineStr">
        <is>
          <t>My Work</t>
        </is>
      </c>
      <c r="C518" s="19" t="inlineStr">
        <is>
          <t>Reassign</t>
        </is>
      </c>
      <c r="D518" s="19" t="inlineStr">
        <is>
          <t>Claims (carlo.estrada)</t>
        </is>
      </c>
      <c r="E518" s="19" t="inlineStr">
        <is>
          <t>A claims lead reassigns a claim within the team</t>
        </is>
      </c>
      <c r="F518" s="19" t="inlineStr">
        <is>
          <t>Functional</t>
        </is>
      </c>
      <c r="G518" s="19" t="inlineStr">
        <is>
          <t>Medium</t>
        </is>
      </c>
      <c r="H518" s="19" t="inlineStr">
        <is>
          <t>Claims lead with two team members.</t>
        </is>
      </c>
      <c r="I518" s="19" t="inlineStr">
        <is>
          <t>1. On My Team, select a claim.
2. Select Reassign and choose a team member.
3. Try a user outside the team.</t>
        </is>
      </c>
      <c r="J518" s="19" t="inlineStr">
        <is>
          <t>None</t>
        </is>
      </c>
      <c r="K518" s="19" t="inlineStr">
        <is>
          <t>The claim moves to the team member; a user outside the team is refused.</t>
        </is>
      </c>
      <c r="L518" s="19" t="inlineStr">
        <is>
          <t>As expected.</t>
        </is>
      </c>
      <c r="M518" s="19" t="inlineStr">
        <is>
          <t>Pass</t>
        </is>
      </c>
      <c r="N518" s="19" t="n"/>
      <c r="O518" s="19" t="inlineStr">
        <is>
          <t>iorta TechNXT QA</t>
        </is>
      </c>
      <c r="P518" s="19" t="inlineStr">
        <is>
          <t>04 October 2026</t>
        </is>
      </c>
      <c r="Q518" s="19" t="n"/>
      <c r="R518" s="19" t="inlineStr">
        <is>
          <t>backend/test/my-work.test.js :: the claims lead hands a claim of their team to another team member [passed]
backend/test/my-work.test.js :: refuses a reassignment outside one's team or without the module permission [passed]</t>
        </is>
      </c>
      <c r="S518" s="19" t="inlineStr">
        <is>
          <t>None</t>
        </is>
      </c>
    </row>
    <row r="519">
      <c r="A519" s="19" t="inlineStr">
        <is>
          <t>BV-MYW-005</t>
        </is>
      </c>
      <c r="B519" s="19" t="inlineStr">
        <is>
          <t>My Work</t>
        </is>
      </c>
      <c r="C519" s="19" t="inlineStr">
        <is>
          <t>My Tasks</t>
        </is>
      </c>
      <c r="D519" s="19" t="inlineStr">
        <is>
          <t>Any signed-in user</t>
        </is>
      </c>
      <c r="E519" s="19" t="inlineStr">
        <is>
          <t>Create, complete and reopen a task with a reminder</t>
        </is>
      </c>
      <c r="F519" s="19" t="inlineStr">
        <is>
          <t>Functional</t>
        </is>
      </c>
      <c r="G519" s="19" t="inlineStr">
        <is>
          <t>High</t>
        </is>
      </c>
      <c r="H519" s="19" t="inlineStr">
        <is>
          <t>Signed in.</t>
        </is>
      </c>
      <c r="I519" s="19" t="inlineStr">
        <is>
          <t>1. Select New task; enter title, due date, time, priority, reminder.
2. Save; wait for the reminder.
3. Mark Done, then Reopen.</t>
        </is>
      </c>
      <c r="J519" s="19" t="inlineStr">
        <is>
          <t>Title: Call client re renewal</t>
        </is>
      </c>
      <c r="K519" s="19" t="inlineStr">
        <is>
          <t>The task is listed; the reminder arrives as a notification that opens the task; Done and Reopen are recorded in the audit trail.</t>
        </is>
      </c>
      <c r="L519" s="19" t="inlineStr">
        <is>
          <t>As expected.</t>
        </is>
      </c>
      <c r="M519" s="19" t="inlineStr">
        <is>
          <t>Pass</t>
        </is>
      </c>
      <c r="N519" s="19" t="n"/>
      <c r="O519" s="19" t="inlineStr">
        <is>
          <t>iorta TechNXT QA</t>
        </is>
      </c>
      <c r="P519" s="19" t="inlineStr">
        <is>
          <t>04 October 2026</t>
        </is>
      </c>
      <c r="Q519" s="19" t="n"/>
      <c r="R519" s="19" t="inlineStr">
        <is>
          <t>backend/test/my-work.test.js :: a user creates their own task with a reminder; a manager assigns one to their team member [passed]
backend/test/my-work.test.js :: completes and reopens a task, with the audit trail [passed]
backend/test/my-work.test.js :: notifies reminders when they come and an overdue task once [passed]
brokerverse/src/module/MyWork/logic.test.js :: validates the title, date, time and related record [passed]</t>
        </is>
      </c>
      <c r="S519" s="19" t="inlineStr">
        <is>
          <t>None</t>
        </is>
      </c>
    </row>
    <row r="520">
      <c r="A520" s="19" t="inlineStr">
        <is>
          <t>BV-MYW-006</t>
        </is>
      </c>
      <c r="B520" s="19" t="inlineStr">
        <is>
          <t>My Work</t>
        </is>
      </c>
      <c r="C520" s="19" t="inlineStr">
        <is>
          <t>Automatic tasks</t>
        </is>
      </c>
      <c r="D520" s="19" t="inlineStr">
        <is>
          <t>Accounting (liza.quiambao)</t>
        </is>
      </c>
      <c r="E520" s="19" t="inlineStr">
        <is>
          <t>Promises to pay, renewal next steps and claim follow-ups become tasks</t>
        </is>
      </c>
      <c r="F520" s="19" t="inlineStr">
        <is>
          <t>Integration</t>
        </is>
      </c>
      <c r="G520" s="19" t="inlineStr">
        <is>
          <t>Medium</t>
        </is>
      </c>
      <c r="H520" s="19" t="inlineStr">
        <is>
          <t>myWork.auto_tasks on.</t>
        </is>
      </c>
      <c r="I520" s="19" t="inlineStr">
        <is>
          <t>1. Record a promise to pay on a collection item.
2. Close the collection item.</t>
        </is>
      </c>
      <c r="J520" s="19" t="inlineStr">
        <is>
          <t>None</t>
        </is>
      </c>
      <c r="K520" s="19" t="inlineStr">
        <is>
          <t>A follow-up task is created and closes by itself when the record closes.</t>
        </is>
      </c>
      <c r="L520" s="19" t="inlineStr">
        <is>
          <t>As expected.</t>
        </is>
      </c>
      <c r="M520" s="19" t="inlineStr">
        <is>
          <t>Pass</t>
        </is>
      </c>
      <c r="N520" s="19" t="n"/>
      <c r="O520" s="19" t="inlineStr">
        <is>
          <t>iorta TechNXT QA</t>
        </is>
      </c>
      <c r="P520" s="19" t="inlineStr">
        <is>
          <t>04 October 2026</t>
        </is>
      </c>
      <c r="Q520" s="19" t="n"/>
      <c r="R520" s="19" t="inlineStr">
        <is>
          <t>backend/test/my-work.test.js :: a promise to pay, a renewal next step and a claim follow-up date become tasks; closing the record closes them [passed]</t>
        </is>
      </c>
      <c r="S520" s="19" t="inlineStr">
        <is>
          <t>None</t>
        </is>
      </c>
    </row>
    <row r="521">
      <c r="A521" s="19" t="inlineStr">
        <is>
          <t>BV-MYW-007</t>
        </is>
      </c>
      <c r="B521" s="19" t="inlineStr">
        <is>
          <t>My Work</t>
        </is>
      </c>
      <c r="C521" s="19" t="inlineStr">
        <is>
          <t>Calendar</t>
        </is>
      </c>
      <c r="D521" s="19" t="inlineStr">
        <is>
          <t>Any signed-in user</t>
        </is>
      </c>
      <c r="E521" s="19" t="inlineStr">
        <is>
          <t>Calendar shows tasks and items by day</t>
        </is>
      </c>
      <c r="F521" s="19" t="inlineStr">
        <is>
          <t>Functional</t>
        </is>
      </c>
      <c r="G521" s="19" t="inlineStr">
        <is>
          <t>Low</t>
        </is>
      </c>
      <c r="H521" s="19" t="inlineStr">
        <is>
          <t>Tasks and items due this week.</t>
        </is>
      </c>
      <c r="I521" s="19" t="inlineStr">
        <is>
          <t>1. Open the Calendar tab; choose 7 days.</t>
        </is>
      </c>
      <c r="J521" s="19" t="inlineStr">
        <is>
          <t>None</t>
        </is>
      </c>
      <c r="K521" s="19" t="inlineStr">
        <is>
          <t>Items and tasks appear on their day, tasks by time then priority; an Overdue strip is shown above.</t>
        </is>
      </c>
      <c r="L521" s="19" t="inlineStr">
        <is>
          <t>As expected.</t>
        </is>
      </c>
      <c r="M521" s="19" t="inlineStr">
        <is>
          <t>Pass</t>
        </is>
      </c>
      <c r="N521" s="19" t="n"/>
      <c r="O521" s="19" t="inlineStr">
        <is>
          <t>iorta TechNXT QA</t>
        </is>
      </c>
      <c r="P521" s="19" t="inlineStr">
        <is>
          <t>04 October 2026</t>
        </is>
      </c>
      <c r="Q521" s="19" t="n"/>
      <c r="R521" s="19" t="inlineStr">
        <is>
          <t>backend/test/my-work.test.js :: agenda: items due in a date range for the calendar [passed]
brokerverse/src/module/MyWork/logic.test.js :: shows one day, or seven days from the chosen day (also across a month end) [passed]</t>
        </is>
      </c>
      <c r="S521" s="19" t="inlineStr">
        <is>
          <t>None</t>
        </is>
      </c>
    </row>
    <row r="522">
      <c r="A522" s="19" t="inlineStr">
        <is>
          <t>BV-MYW-008</t>
        </is>
      </c>
      <c r="B522" s="19" t="inlineStr">
        <is>
          <t>My Work</t>
        </is>
      </c>
      <c r="C522" s="19" t="inlineStr">
        <is>
          <t>Data scope</t>
        </is>
      </c>
      <c r="D522" s="19" t="inlineStr">
        <is>
          <t>Sales &amp; Marketing (maria.rivera)</t>
        </is>
      </c>
      <c r="E522" s="19" t="inlineStr">
        <is>
          <t>A user limited to their own book never sees another book</t>
        </is>
      </c>
      <c r="F522" s="19" t="inlineStr">
        <is>
          <t>Role access</t>
        </is>
      </c>
      <c r="G522" s="19" t="inlineStr">
        <is>
          <t>High</t>
        </is>
      </c>
      <c r="H522" s="19" t="inlineStr">
        <is>
          <t>Scoped role.</t>
        </is>
      </c>
      <c r="I522" s="19" t="inlineStr">
        <is>
          <t>1. Open My Work with Everyone selected.</t>
        </is>
      </c>
      <c r="J522" s="19" t="inlineStr">
        <is>
          <t>None</t>
        </is>
      </c>
      <c r="K522" s="19" t="inlineStr">
        <is>
          <t>Only the own book is listed.</t>
        </is>
      </c>
      <c r="L522" s="19" t="inlineStr">
        <is>
          <t>As expected.</t>
        </is>
      </c>
      <c r="M522" s="19" t="inlineStr">
        <is>
          <t>Pass</t>
        </is>
      </c>
      <c r="N522" s="19" t="n"/>
      <c r="O522" s="19" t="inlineStr">
        <is>
          <t>iorta TechNXT QA</t>
        </is>
      </c>
      <c r="P522" s="19" t="inlineStr">
        <is>
          <t>04 October 2026</t>
        </is>
      </c>
      <c r="Q522" s="19" t="n"/>
      <c r="R522" s="19" t="inlineStr">
        <is>
          <t>backend/test/my-work.test.js :: a user limited to their own book never sees another book, even with scope all [passed]</t>
        </is>
      </c>
      <c r="S522" s="19" t="inlineStr">
        <is>
          <t>DPA (proportionality)</t>
        </is>
      </c>
    </row>
    <row r="523">
      <c r="A523" s="19" t="inlineStr">
        <is>
          <t>BV-PCR-001</t>
        </is>
      </c>
      <c r="B523" s="19" t="inlineStr">
        <is>
          <t>Product rules in the flow</t>
        </is>
      </c>
      <c r="C523" s="19" t="inlineStr">
        <is>
          <t>Acceptance rules</t>
        </is>
      </c>
      <c r="D523" s="19" t="inlineStr">
        <is>
          <t>Sales &amp; Marketing (maria.rivera)</t>
        </is>
      </c>
      <c r="E523" s="19" t="inlineStr">
        <is>
          <t>A vehicle within 15 years is accepted automatically</t>
        </is>
      </c>
      <c r="F523" s="19" t="inlineStr">
        <is>
          <t>Functional</t>
        </is>
      </c>
      <c r="G523" s="19" t="inlineStr">
        <is>
          <t>High</t>
        </is>
      </c>
      <c r="H523" s="19" t="inlineStr">
        <is>
          <t>Motor template with the age rule active.</t>
        </is>
      </c>
      <c r="I523" s="19" t="inlineStr">
        <is>
          <t>1. Create a motor quotation for a 10-year-old vehicle.</t>
        </is>
      </c>
      <c r="J523" s="19" t="inlineStr">
        <is>
          <t>Year model: current year minus 10</t>
        </is>
      </c>
      <c r="K523" s="19" t="inlineStr">
        <is>
          <t>The quotation is accepted without referral.</t>
        </is>
      </c>
      <c r="L523" s="19" t="inlineStr">
        <is>
          <t>As expected.</t>
        </is>
      </c>
      <c r="M523" s="19" t="inlineStr">
        <is>
          <t>Pass</t>
        </is>
      </c>
      <c r="N523" s="19" t="n"/>
      <c r="O523" s="19" t="inlineStr">
        <is>
          <t>iorta TechNXT QA</t>
        </is>
      </c>
      <c r="P523" s="19" t="inlineStr">
        <is>
          <t>04 October 2026</t>
        </is>
      </c>
      <c r="Q523" s="19" t="n"/>
      <c r="R523" s="19" t="inlineStr">
        <is>
          <t>backend/test/product-rules-in-flow.test.js :: auto-accepts a vehicle within 15 years [passed]</t>
        </is>
      </c>
      <c r="S523" s="19" t="inlineStr">
        <is>
          <t>None</t>
        </is>
      </c>
    </row>
    <row r="524">
      <c r="A524" s="19" t="inlineStr">
        <is>
          <t>BV-PCR-002</t>
        </is>
      </c>
      <c r="B524" s="19" t="inlineStr">
        <is>
          <t>Product rules in the flow</t>
        </is>
      </c>
      <c r="C524" s="19" t="inlineStr">
        <is>
          <t>Referral</t>
        </is>
      </c>
      <c r="D524" s="19" t="inlineStr">
        <is>
          <t>Sales &amp; Marketing (maria.rivera)</t>
        </is>
      </c>
      <c r="E524" s="19" t="inlineStr">
        <is>
          <t>An older vehicle is referred to the authority role</t>
        </is>
      </c>
      <c r="F524" s="19" t="inlineStr">
        <is>
          <t>Functional</t>
        </is>
      </c>
      <c r="G524" s="19" t="inlineStr">
        <is>
          <t>High</t>
        </is>
      </c>
      <c r="H524" s="19" t="inlineStr">
        <is>
          <t>Rule refers vehicles over 15 years to the authority role.</t>
        </is>
      </c>
      <c r="I524" s="19" t="inlineStr">
        <is>
          <t>1. Create a quotation for a 16-year-old vehicle.
2. Sign in as the authority role and approve within its limit; try a user without authority.</t>
        </is>
      </c>
      <c r="J524" s="19" t="inlineStr">
        <is>
          <t>None</t>
        </is>
      </c>
      <c r="K524" s="19" t="inlineStr">
        <is>
          <t>The quotation is referred with the rule name; only the authority role approves, within its authority limit; a declined referral rejects the quotation.</t>
        </is>
      </c>
      <c r="L524" s="19" t="inlineStr">
        <is>
          <t>As expected.</t>
        </is>
      </c>
      <c r="M524" s="19" t="inlineStr">
        <is>
          <t>Pass</t>
        </is>
      </c>
      <c r="N524" s="19" t="n"/>
      <c r="O524" s="19" t="inlineStr">
        <is>
          <t>iorta TechNXT QA</t>
        </is>
      </c>
      <c r="P524" s="19" t="inlineStr">
        <is>
          <t>04 October 2026</t>
        </is>
      </c>
      <c r="Q524" s="19" t="n"/>
      <c r="R524" s="19" t="inlineStr">
        <is>
          <t>backend/test/product-rules-in-flow.test.js :: refers a 16-year-old vehicle to the rule's authority (Processing Team) and blocks sending, approval and issuance [passed]
backend/test/product-rules-in-flow.test.js :: lets only the authority role approve the referral, within its authority limit [passed]
backend/test/product-rules-in-flow.test.js :: a declined referral rejects the quotation [passed]</t>
        </is>
      </c>
      <c r="S524" s="19" t="inlineStr">
        <is>
          <t>None</t>
        </is>
      </c>
    </row>
    <row r="525">
      <c r="A525" s="19" t="inlineStr">
        <is>
          <t>BV-PCR-003</t>
        </is>
      </c>
      <c r="B525" s="19" t="inlineStr">
        <is>
          <t>Product rules in the flow</t>
        </is>
      </c>
      <c r="C525" s="19" t="inlineStr">
        <is>
          <t>Decline</t>
        </is>
      </c>
      <c r="D525" s="19" t="inlineStr">
        <is>
          <t>Sales &amp; Marketing (maria.rivera)</t>
        </is>
      </c>
      <c r="E525" s="19" t="inlineStr">
        <is>
          <t>A PUV is declined by rule</t>
        </is>
      </c>
      <c r="F525" s="19" t="inlineStr">
        <is>
          <t>Negative</t>
        </is>
      </c>
      <c r="G525" s="19" t="inlineStr">
        <is>
          <t>High</t>
        </is>
      </c>
      <c r="H525" s="19" t="inlineStr">
        <is>
          <t>Decline rule for public utility vehicles.</t>
        </is>
      </c>
      <c r="I525" s="19" t="inlineStr">
        <is>
          <t>1. Create a quotation for a PUV.</t>
        </is>
      </c>
      <c r="J525" s="19" t="inlineStr">
        <is>
          <t>Usage: PUV</t>
        </is>
      </c>
      <c r="K525" s="19" t="inlineStr">
        <is>
          <t>The quotation is declined with the rule name.</t>
        </is>
      </c>
      <c r="L525" s="19" t="inlineStr">
        <is>
          <t>As expected.</t>
        </is>
      </c>
      <c r="M525" s="19" t="inlineStr">
        <is>
          <t>Pass</t>
        </is>
      </c>
      <c r="N525" s="19" t="n"/>
      <c r="O525" s="19" t="inlineStr">
        <is>
          <t>iorta TechNXT QA</t>
        </is>
      </c>
      <c r="P525" s="19" t="inlineStr">
        <is>
          <t>04 October 2026</t>
        </is>
      </c>
      <c r="Q525" s="19" t="n"/>
      <c r="R525" s="19" t="inlineStr">
        <is>
          <t>backend/test/product-rules-in-flow.test.js :: declines a PUV with the rule's message (vehicle use stated, or assumed from a PUJ / bus class) [passed]</t>
        </is>
      </c>
      <c r="S525" s="19" t="inlineStr">
        <is>
          <t>None</t>
        </is>
      </c>
    </row>
    <row r="526">
      <c r="A526" s="19" t="inlineStr">
        <is>
          <t>BV-PCR-004</t>
        </is>
      </c>
      <c r="B526" s="19" t="inlineStr">
        <is>
          <t>Product rules in the flow</t>
        </is>
      </c>
      <c r="C526" s="19" t="inlineStr">
        <is>
          <t>Loading and rating factors</t>
        </is>
      </c>
      <c r="D526" s="19" t="inlineStr">
        <is>
          <t>Sales &amp; Marketing (maria.rivera)</t>
        </is>
      </c>
      <c r="E526" s="19" t="inlineStr">
        <is>
          <t>Loading rules and rating factors change the premium</t>
        </is>
      </c>
      <c r="F526" s="19" t="inlineStr">
        <is>
          <t>Accounting</t>
        </is>
      </c>
      <c r="G526" s="19" t="inlineStr">
        <is>
          <t>High</t>
        </is>
      </c>
      <c r="H526" s="19" t="inlineStr">
        <is>
          <t>Loading rule driver under 21: 15%; vehicle age band factor.</t>
        </is>
      </c>
      <c r="I526" s="19" t="inlineStr">
        <is>
          <t>1. Quote for a driver aged 20 and a vehicle in a loaded age band.</t>
        </is>
      </c>
      <c r="J526" s="19" t="inlineStr">
        <is>
          <t>Driver age 20</t>
        </is>
      </c>
      <c r="K526" s="19" t="inlineStr">
        <is>
          <t>Net premium includes the 15% loading and the age band factor; taxes follow on the loaded premium.</t>
        </is>
      </c>
      <c r="L526" s="19" t="inlineStr">
        <is>
          <t>As expected.</t>
        </is>
      </c>
      <c r="M526" s="19" t="inlineStr">
        <is>
          <t>Pass</t>
        </is>
      </c>
      <c r="N526" s="19" t="n"/>
      <c r="O526" s="19" t="inlineStr">
        <is>
          <t>iorta TechNXT QA</t>
        </is>
      </c>
      <c r="P526" s="19" t="inlineStr">
        <is>
          <t>04 October 2026</t>
        </is>
      </c>
      <c r="Q526" s="19" t="n"/>
      <c r="R526" s="19" t="inlineStr">
        <is>
          <t>backend/test/product-rules-in-flow.test.js :: adds the loading of a loading rule to the net premium (driver under 21: 15%) [passed]
backend/test/product-rules-in-flow.test.js :: applies a rating factor of the template to the premium (vehicle age band) [passed]</t>
        </is>
      </c>
      <c r="S526" s="19" t="inlineStr">
        <is>
          <t>None</t>
        </is>
      </c>
    </row>
    <row r="527">
      <c r="A527" s="19" t="inlineStr">
        <is>
          <t>BV-PCR-005</t>
        </is>
      </c>
      <c r="B527" s="19" t="inlineStr">
        <is>
          <t>Product rules in the flow</t>
        </is>
      </c>
      <c r="C527" s="19" t="inlineStr">
        <is>
          <t>Insurer rules</t>
        </is>
      </c>
      <c r="D527" s="19" t="inlineStr">
        <is>
          <t>Processing Team (jose.bernardo)</t>
        </is>
      </c>
      <c r="E527" s="19" t="inlineStr">
        <is>
          <t>An insurer-specific rule applies only to that insurer</t>
        </is>
      </c>
      <c r="F527" s="19" t="inlineStr">
        <is>
          <t>Functional</t>
        </is>
      </c>
      <c r="G527" s="19" t="inlineStr">
        <is>
          <t>Medium</t>
        </is>
      </c>
      <c r="H527" s="19" t="inlineStr">
        <is>
          <t>Rule set on one insurer.</t>
        </is>
      </c>
      <c r="I527" s="19" t="inlineStr">
        <is>
          <t>1. Send a slip to two insurers.</t>
        </is>
      </c>
      <c r="J527" s="19" t="inlineStr">
        <is>
          <t>None</t>
        </is>
      </c>
      <c r="K527" s="19" t="inlineStr">
        <is>
          <t>Only the insurer with the rule declines; the other stays offered.</t>
        </is>
      </c>
      <c r="L527" s="19" t="inlineStr">
        <is>
          <t>As expected.</t>
        </is>
      </c>
      <c r="M527" s="19" t="inlineStr">
        <is>
          <t>Pass</t>
        </is>
      </c>
      <c r="N527" s="19" t="n"/>
      <c r="O527" s="19" t="inlineStr">
        <is>
          <t>iorta TechNXT QA</t>
        </is>
      </c>
      <c r="P527" s="19" t="inlineStr">
        <is>
          <t>04 October 2026</t>
        </is>
      </c>
      <c r="Q527" s="19" t="n"/>
      <c r="R527" s="19" t="inlineStr">
        <is>
          <t>backend/test/product-rules-in-flow.test.js :: applies an insurer-specific rule only to that insurer [passed]
backend/test/product-rules-in-flow.test.js :: declines an insurer whose own acceptance rule declines the risk on the slip [passed]</t>
        </is>
      </c>
      <c r="S527" s="19" t="inlineStr">
        <is>
          <t>None</t>
        </is>
      </c>
    </row>
    <row r="528">
      <c r="A528" s="19" t="inlineStr">
        <is>
          <t>BV-PCR-006</t>
        </is>
      </c>
      <c r="B528" s="19" t="inlineStr">
        <is>
          <t>Product rules in the flow</t>
        </is>
      </c>
      <c r="C528" s="19" t="inlineStr">
        <is>
          <t>Market mapping</t>
        </is>
      </c>
      <c r="D528" s="19" t="inlineStr">
        <is>
          <t>Processing Team (jose.bernardo)</t>
        </is>
      </c>
      <c r="E528" s="19" t="inlineStr">
        <is>
          <t>An insurer outside the product market is refused on a request for quotation</t>
        </is>
      </c>
      <c r="F528" s="19" t="inlineStr">
        <is>
          <t>Negative</t>
        </is>
      </c>
      <c r="G528" s="19" t="inlineStr">
        <is>
          <t>Medium</t>
        </is>
      </c>
      <c r="H528" s="19" t="inlineStr">
        <is>
          <t>Market Mapping of the product without insurer X.</t>
        </is>
      </c>
      <c r="I528" s="19" t="inlineStr">
        <is>
          <t>1. Add insurer X to a request for quotation.</t>
        </is>
      </c>
      <c r="J528" s="19" t="inlineStr">
        <is>
          <t>None</t>
        </is>
      </c>
      <c r="K528" s="19" t="inlineStr">
        <is>
          <t>Refused with the reason; the year-to-date production of a mapping is computed from issued policies.</t>
        </is>
      </c>
      <c r="L528" s="19" t="inlineStr">
        <is>
          <t>As expected.</t>
        </is>
      </c>
      <c r="M528" s="19" t="inlineStr">
        <is>
          <t>Pass</t>
        </is>
      </c>
      <c r="N528" s="19" t="n"/>
      <c r="O528" s="19" t="inlineStr">
        <is>
          <t>iorta TechNXT QA</t>
        </is>
      </c>
      <c r="P528" s="19" t="inlineStr">
        <is>
          <t>04 October 2026</t>
        </is>
      </c>
      <c r="Q528" s="19" t="n"/>
      <c r="R528" s="19" t="inlineStr">
        <is>
          <t>backend/test/product-rules-in-flow.test.js :: refuses an insurer outside the product market on a Request for Quotation [passed]
backend/test/product-rules-in-flow.test.js :: computes the year-to-date production of a market mapping from the policies issued [passed]</t>
        </is>
      </c>
      <c r="S528" s="19" t="inlineStr">
        <is>
          <t>None</t>
        </is>
      </c>
    </row>
    <row r="529">
      <c r="A529" s="19" t="inlineStr">
        <is>
          <t>BV-PCR-007</t>
        </is>
      </c>
      <c r="B529" s="19" t="inlineStr">
        <is>
          <t>Product rules in the flow</t>
        </is>
      </c>
      <c r="C529" s="19" t="inlineStr">
        <is>
          <t>Rule editor</t>
        </is>
      </c>
      <c r="D529" s="19" t="inlineStr">
        <is>
          <t>Processing Team (jose.bernardo)</t>
        </is>
      </c>
      <c r="E529" s="19" t="inlineStr">
        <is>
          <t>A rule that cannot be evaluated is refused; changes are audited</t>
        </is>
      </c>
      <c r="F529" s="19" t="inlineStr">
        <is>
          <t>Validation</t>
        </is>
      </c>
      <c r="G529" s="19" t="inlineStr">
        <is>
          <t>Medium</t>
        </is>
      </c>
      <c r="H529" s="19" t="inlineStr">
        <is>
          <t>Product Configurator &gt; Acceptance Rules.</t>
        </is>
      </c>
      <c r="I529" s="19" t="inlineStr">
        <is>
          <t>1. Add a rule with a missing value or loading %.
2. Test a risk against the template.</t>
        </is>
      </c>
      <c r="J529" s="19" t="inlineStr">
        <is>
          <t>None</t>
        </is>
      </c>
      <c r="K529" s="19" t="inlineStr">
        <is>
          <t>The rule is refused with the field to complete; the test shows the outcome; every change is in the history.</t>
        </is>
      </c>
      <c r="L529" s="19" t="inlineStr">
        <is>
          <t>As expected.</t>
        </is>
      </c>
      <c r="M529" s="19" t="inlineStr">
        <is>
          <t>Pass</t>
        </is>
      </c>
      <c r="N529" s="19" t="n"/>
      <c r="O529" s="19" t="inlineStr">
        <is>
          <t>iorta TechNXT QA</t>
        </is>
      </c>
      <c r="P529" s="19" t="inlineStr">
        <is>
          <t>04 October 2026</t>
        </is>
      </c>
      <c r="Q529" s="19" t="n"/>
      <c r="R529" s="19" t="inlineStr">
        <is>
          <t>backend/test/product-rules-in-flow.test.js :: refuses rules that cannot be evaluated and keeps an audit history [passed]
backend/test/product-rules-in-flow.test.js :: tests a risk against a template from the Acceptance Rules screen [passed]
brokerverse/src/module/ProductConfigurator/shared/ruleLogic.test.js :: asks for the value, a number for a number field, the loading % and the authority role [passed]</t>
        </is>
      </c>
      <c r="S529" s="19" t="inlineStr">
        <is>
          <t>None</t>
        </is>
      </c>
    </row>
    <row r="530">
      <c r="A530" s="19" t="inlineStr">
        <is>
          <t>BV-PCR-008</t>
        </is>
      </c>
      <c r="B530" s="19" t="inlineStr">
        <is>
          <t>Product rules in the flow</t>
        </is>
      </c>
      <c r="C530" s="19" t="inlineStr">
        <is>
          <t>Document templates</t>
        </is>
      </c>
      <c r="D530" s="19" t="inlineStr">
        <is>
          <t>Processing Team (jose.bernardo)</t>
        </is>
      </c>
      <c r="E530" s="19" t="inlineStr">
        <is>
          <t>An uploaded layout with merge fields prints the policy schedule</t>
        </is>
      </c>
      <c r="F530" s="19" t="inlineStr">
        <is>
          <t>Functional</t>
        </is>
      </c>
      <c r="G530" s="19" t="inlineStr">
        <is>
          <t>Medium</t>
        </is>
      </c>
      <c r="H530" s="19" t="inlineStr">
        <is>
          <t>Document Manager.</t>
        </is>
      </c>
      <c r="I530" s="19" t="inlineStr">
        <is>
          <t>1. Upload a layout with an unknown merge field.
2. Upload a valid layout and issue a policy.</t>
        </is>
      </c>
      <c r="J530" s="19" t="inlineStr">
        <is>
          <t>Layout text file</t>
        </is>
      </c>
      <c r="K530" s="19" t="inlineStr">
        <is>
          <t>The unknown field is refused; the valid layout prints the schedule and the e-mailed copy; without a layout the standard schedule prints.</t>
        </is>
      </c>
      <c r="L530" s="19" t="inlineStr">
        <is>
          <t>As expected.</t>
        </is>
      </c>
      <c r="M530" s="19" t="inlineStr">
        <is>
          <t>Pass</t>
        </is>
      </c>
      <c r="N530" s="19" t="n"/>
      <c r="O530" s="19" t="inlineStr">
        <is>
          <t>iorta TechNXT QA</t>
        </is>
      </c>
      <c r="P530" s="19" t="inlineStr">
        <is>
          <t>04 October 2026</t>
        </is>
      </c>
      <c r="Q530" s="19" t="n"/>
      <c r="R530" s="19" t="inlineStr">
        <is>
          <t>backend/test/product-rules-in-flow.test.js :: refuses an invalid upload and uses a valid uploaded layout for the printed and e-mailed policy schedule [passed]
backend/test/product-rules-in-flow.test.js :: prints the standard schedule with the product cover terms until a layout is uploaded [passed]
brokerverse/src/module/ProductConfigurator/shared/ruleLogic.test.js :: lists the merge fields used and the unknown ones [passed]</t>
        </is>
      </c>
      <c r="S530" s="19" t="inlineStr">
        <is>
          <t>None</t>
        </is>
      </c>
    </row>
    <row r="531">
      <c r="A531" s="19" t="inlineStr">
        <is>
          <t>BV-PCR-009</t>
        </is>
      </c>
      <c r="B531" s="19" t="inlineStr">
        <is>
          <t>Product rules in the flow</t>
        </is>
      </c>
      <c r="C531" s="19" t="inlineStr">
        <is>
          <t>Documents</t>
        </is>
      </c>
      <c r="D531" s="19" t="inlineStr">
        <is>
          <t>Operations (ana.buenaventura)</t>
        </is>
      </c>
      <c r="E531" s="19" t="inlineStr">
        <is>
          <t>The CTPL certificate is listed among policy documents</t>
        </is>
      </c>
      <c r="F531" s="19" t="inlineStr">
        <is>
          <t>Functional</t>
        </is>
      </c>
      <c r="G531" s="19" t="inlineStr">
        <is>
          <t>Medium</t>
        </is>
      </c>
      <c r="H531" s="19" t="inlineStr">
        <is>
          <t>Motor policy with CTPL.</t>
        </is>
      </c>
      <c r="I531" s="19" t="inlineStr">
        <is>
          <t>1. Open the policy documents.</t>
        </is>
      </c>
      <c r="J531" s="19" t="inlineStr">
        <is>
          <t>None</t>
        </is>
      </c>
      <c r="K531" s="19" t="inlineStr">
        <is>
          <t>The CTPL certificate is listed and prints.</t>
        </is>
      </c>
      <c r="L531" s="19" t="inlineStr">
        <is>
          <t>As expected.</t>
        </is>
      </c>
      <c r="M531" s="19" t="inlineStr">
        <is>
          <t>Pass</t>
        </is>
      </c>
      <c r="N531" s="19" t="n"/>
      <c r="O531" s="19" t="inlineStr">
        <is>
          <t>iorta TechNXT QA</t>
        </is>
      </c>
      <c r="P531" s="19" t="inlineStr">
        <is>
          <t>04 October 2026</t>
        </is>
      </c>
      <c r="Q531" s="19" t="n"/>
      <c r="R531" s="19" t="inlineStr">
        <is>
          <t>backend/test/product-rules-in-flow.test.js :: lists the CTPL certificate among the policy documents and prints it [passed]</t>
        </is>
      </c>
      <c r="S531" s="19" t="inlineStr">
        <is>
          <t>IC CTPL rules</t>
        </is>
      </c>
    </row>
    <row r="532">
      <c r="A532" s="19" t="inlineStr">
        <is>
          <t>BV-GLW-001</t>
        </is>
      </c>
      <c r="B532" s="19" t="inlineStr">
        <is>
          <t>Go-live workbench and environments</t>
        </is>
      </c>
      <c r="C532" s="19" t="inlineStr">
        <is>
          <t>Kits</t>
        </is>
      </c>
      <c r="D532" s="19" t="inlineStr">
        <is>
          <t>System Administrator (BrokerVerse)</t>
        </is>
      </c>
      <c r="E532" s="19" t="inlineStr">
        <is>
          <t>Download the configuration and migration workbooks</t>
        </is>
      </c>
      <c r="F532" s="19" t="inlineStr">
        <is>
          <t>Functional</t>
        </is>
      </c>
      <c r="G532" s="19" t="inlineStr">
        <is>
          <t>High</t>
        </is>
      </c>
      <c r="H532" s="19" t="inlineStr">
        <is>
          <t>Administrator.</t>
        </is>
      </c>
      <c r="I532" s="19" t="inlineStr">
        <is>
          <t>1. Master &gt; Go-Live Data Load &gt; Download Template &gt; Blank template.</t>
        </is>
      </c>
      <c r="J532" s="19" t="inlineStr">
        <is>
          <t>None</t>
        </is>
      </c>
      <c r="K532" s="19" t="inlineStr">
        <is>
          <t>One workbook per kit: Instructions, Lists, one sheet per object, required marks, sample row, drop-downs. Another role gets 403.</t>
        </is>
      </c>
      <c r="L532" s="19" t="inlineStr">
        <is>
          <t>As expected.</t>
        </is>
      </c>
      <c r="M532" s="19" t="inlineStr">
        <is>
          <t>Pass</t>
        </is>
      </c>
      <c r="N532" s="19" t="n"/>
      <c r="O532" s="19" t="inlineStr">
        <is>
          <t>iorta TechNXT QA</t>
        </is>
      </c>
      <c r="P532" s="19" t="inlineStr">
        <is>
          <t>04 October 2026</t>
        </is>
      </c>
      <c r="Q532" s="19" t="n"/>
      <c r="R532" s="19" t="inlineStr">
        <is>
          <t>backend/test/go-live-workbench.test.js :: downloads each kit as one workbook: Instructions, Lists, one sheet per object, navy headers, required marks, sample row, drop-downs [passed]
backend/test/go-live-workbench.test.js :: is for the System Administrator only (403 for another role) [passed]</t>
        </is>
      </c>
      <c r="S532" s="19" t="inlineStr">
        <is>
          <t>None</t>
        </is>
      </c>
    </row>
    <row r="533">
      <c r="A533" s="19" t="inlineStr">
        <is>
          <t>BV-GLW-002</t>
        </is>
      </c>
      <c r="B533" s="19" t="inlineStr">
        <is>
          <t>Go-live workbench and environments</t>
        </is>
      </c>
      <c r="C533" s="19" t="inlineStr">
        <is>
          <t>Validate</t>
        </is>
      </c>
      <c r="D533" s="19" t="inlineStr">
        <is>
          <t>System Administrator (BrokerVerse)</t>
        </is>
      </c>
      <c r="E533" s="19" t="inlineStr">
        <is>
          <t>Validate reports errors with sheet, row and column and refuses the load</t>
        </is>
      </c>
      <c r="F533" s="19" t="inlineStr">
        <is>
          <t>Validation</t>
        </is>
      </c>
      <c r="G533" s="19" t="inlineStr">
        <is>
          <t>High</t>
        </is>
      </c>
      <c r="H533" s="19" t="inlineStr">
        <is>
          <t>Workbook with 3 deliberate errors.</t>
        </is>
      </c>
      <c r="I533" s="19" t="inlineStr">
        <is>
          <t>1. Upload and validate.
2. Download errors, fix, upload again, Load.</t>
        </is>
      </c>
      <c r="J533" s="19" t="inlineStr">
        <is>
          <t>None</t>
        </is>
      </c>
      <c r="K533" s="19" t="inlineStr">
        <is>
          <t>Errors listed with sheet, row, column and message; nothing saved; the errors workbook has an Errors column; the fixed file loads.</t>
        </is>
      </c>
      <c r="L533" s="19" t="inlineStr">
        <is>
          <t>As expected.</t>
        </is>
      </c>
      <c r="M533" s="19" t="inlineStr">
        <is>
          <t>Pass</t>
        </is>
      </c>
      <c r="N533" s="19" t="n"/>
      <c r="O533" s="19" t="inlineStr">
        <is>
          <t>iorta TechNXT QA</t>
        </is>
      </c>
      <c r="P533" s="19" t="inlineStr">
        <is>
          <t>04 October 2026</t>
        </is>
      </c>
      <c r="Q533" s="19" t="n"/>
      <c r="R533" s="19" t="inlineStr">
        <is>
          <t>backend/test/go-live-workbench.test.js :: reports the rows in error (sheet, row, column, message) and refuses the load until fixed [passed]
backend/test/go-live-workbench.test.js :: downloads the rows in error with an Errors column; the fixed file validates and loads [passed]</t>
        </is>
      </c>
      <c r="S533" s="19" t="inlineStr">
        <is>
          <t>None</t>
        </is>
      </c>
    </row>
    <row r="534">
      <c r="A534" s="19" t="inlineStr">
        <is>
          <t>BV-GLW-003</t>
        </is>
      </c>
      <c r="B534" s="19" t="inlineStr">
        <is>
          <t>Go-live workbench and environments</t>
        </is>
      </c>
      <c r="C534" s="19" t="inlineStr">
        <is>
          <t>Reload</t>
        </is>
      </c>
      <c r="D534" s="19" t="inlineStr">
        <is>
          <t>System Administrator (BrokerVerse)</t>
        </is>
      </c>
      <c r="E534" s="19" t="inlineStr">
        <is>
          <t>Loading the same workbook again creates no duplicate</t>
        </is>
      </c>
      <c r="F534" s="19" t="inlineStr">
        <is>
          <t>Functional</t>
        </is>
      </c>
      <c r="G534" s="19" t="inlineStr">
        <is>
          <t>High</t>
        </is>
      </c>
      <c r="H534" s="19" t="inlineStr">
        <is>
          <t>Workbook already loaded.</t>
        </is>
      </c>
      <c r="I534" s="19" t="inlineStr">
        <is>
          <t>1. Upload and load the same workbook again.</t>
        </is>
      </c>
      <c r="J534" s="19" t="inlineStr">
        <is>
          <t>None</t>
        </is>
      </c>
      <c r="K534" s="19" t="inlineStr">
        <is>
          <t>All rows Unchanged; no duplicate (natural keys).</t>
        </is>
      </c>
      <c r="L534" s="19" t="inlineStr">
        <is>
          <t>As expected.</t>
        </is>
      </c>
      <c r="M534" s="19" t="inlineStr">
        <is>
          <t>Pass</t>
        </is>
      </c>
      <c r="N534" s="19" t="n"/>
      <c r="O534" s="19" t="inlineStr">
        <is>
          <t>iorta TechNXT QA</t>
        </is>
      </c>
      <c r="P534" s="19" t="inlineStr">
        <is>
          <t>04 October 2026</t>
        </is>
      </c>
      <c r="Q534" s="19" t="n"/>
      <c r="R534" s="19" t="inlineStr">
        <is>
          <t>backend/test/go-live-workbench.test.js :: loading the whole workbook again updates nothing and never duplicates (natural keys) [passed]
backend/test/go-live-workbench.test.js :: the workbook with the current data loads back into the same environment with no change (promotion round trip) [passed]</t>
        </is>
      </c>
      <c r="S534" s="19" t="inlineStr">
        <is>
          <t>None</t>
        </is>
      </c>
    </row>
    <row r="535">
      <c r="A535" s="19" t="inlineStr">
        <is>
          <t>BV-GLW-004</t>
        </is>
      </c>
      <c r="B535" s="19" t="inlineStr">
        <is>
          <t>Go-live workbench and environments</t>
        </is>
      </c>
      <c r="C535" s="19" t="inlineStr">
        <is>
          <t>Migration</t>
        </is>
      </c>
      <c r="D535" s="19" t="inlineStr">
        <is>
          <t>System Administrator (BrokerVerse)</t>
        </is>
      </c>
      <c r="E535" s="19" t="inlineStr">
        <is>
          <t>Migration refuses rows on or after the cutover date</t>
        </is>
      </c>
      <c r="F535" s="19" t="inlineStr">
        <is>
          <t>Negative</t>
        </is>
      </c>
      <c r="G535" s="19" t="inlineStr">
        <is>
          <t>High</t>
        </is>
      </c>
      <c r="H535" s="19" t="inlineStr">
        <is>
          <t>Cutover date set.</t>
        </is>
      </c>
      <c r="I535" s="19" t="inlineStr">
        <is>
          <t>1. Load a policy issued on the cutover date.</t>
        </is>
      </c>
      <c r="J535" s="19" t="inlineStr">
        <is>
          <t>Issue date = cutover</t>
        </is>
      </c>
      <c r="K535" s="19" t="inlineStr">
        <is>
          <t>Row refused; workbook refused until the cutover date is set.</t>
        </is>
      </c>
      <c r="L535" s="19" t="inlineStr">
        <is>
          <t>As expected.</t>
        </is>
      </c>
      <c r="M535" s="19" t="inlineStr">
        <is>
          <t>Pass</t>
        </is>
      </c>
      <c r="N535" s="19" t="n"/>
      <c r="O535" s="19" t="inlineStr">
        <is>
          <t>iorta TechNXT QA</t>
        </is>
      </c>
      <c r="P535" s="19" t="inlineStr">
        <is>
          <t>04 October 2026</t>
        </is>
      </c>
      <c r="Q535" s="19" t="n"/>
      <c r="R535" s="19" t="inlineStr">
        <is>
          <t>backend/test/go-live-workbench.test.js :: refuses rows dated on or after the cutover date and policies not in force [passed]
backend/test/go-live-workbench.test.js :: needs the cutover date [passed]</t>
        </is>
      </c>
      <c r="S535" s="19" t="inlineStr">
        <is>
          <t>None</t>
        </is>
      </c>
    </row>
    <row r="536">
      <c r="A536" s="19" t="inlineStr">
        <is>
          <t>BV-GLW-005</t>
        </is>
      </c>
      <c r="B536" s="19" t="inlineStr">
        <is>
          <t>Go-live workbench and environments</t>
        </is>
      </c>
      <c r="C536" s="19" t="inlineStr">
        <is>
          <t>Reconciliation</t>
        </is>
      </c>
      <c r="D536" s="19" t="inlineStr">
        <is>
          <t>Accounting Manager (teresa.villaroman)</t>
        </is>
      </c>
      <c r="E536" s="19" t="inlineStr">
        <is>
          <t>Migration load posts nothing and reconciles counts and totals</t>
        </is>
      </c>
      <c r="F536" s="19" t="inlineStr">
        <is>
          <t>Accounting</t>
        </is>
      </c>
      <c r="G536" s="19" t="inlineStr">
        <is>
          <t>High</t>
        </is>
      </c>
      <c r="H536" s="19" t="inlineStr">
        <is>
          <t>Migration workbook valid.</t>
        </is>
      </c>
      <c r="I536" s="19" t="inlineStr">
        <is>
          <t>1. Load the migration workbook.
2. Download reconciliation.</t>
        </is>
      </c>
      <c r="J536" s="19" t="inlineStr">
        <is>
          <t>None</t>
        </is>
      </c>
      <c r="K536" s="19" t="inlineStr">
        <is>
          <t>No bills, journals or accruals for migrated records; reconciliation shows workbook against BrokerVerse totals, trial balance and receivables control account Agrees.</t>
        </is>
      </c>
      <c r="L536" s="19" t="inlineStr">
        <is>
          <t>As expected.</t>
        </is>
      </c>
      <c r="M536" s="19" t="inlineStr">
        <is>
          <t>Pass</t>
        </is>
      </c>
      <c r="N536" s="19" t="n"/>
      <c r="O536" s="19" t="inlineStr">
        <is>
          <t>iorta TechNXT QA</t>
        </is>
      </c>
      <c r="P536" s="19" t="inlineStr">
        <is>
          <t>04 October 2026</t>
        </is>
      </c>
      <c r="Q536" s="19" t="n"/>
      <c r="R536" s="19" t="inlineStr">
        <is>
          <t>backend/test/go-live-workbench.test.js :: loads flagged records without journals, bills or commission accruals, with a reconciliation [passed]</t>
        </is>
      </c>
      <c r="S536" s="19" t="inlineStr">
        <is>
          <t>None</t>
        </is>
      </c>
    </row>
    <row r="537">
      <c r="A537" s="19" t="inlineStr">
        <is>
          <t>BV-GLW-006</t>
        </is>
      </c>
      <c r="B537" s="19" t="inlineStr">
        <is>
          <t>Go-live workbench and environments</t>
        </is>
      </c>
      <c r="C537" s="19" t="inlineStr">
        <is>
          <t>Go-live lock</t>
        </is>
      </c>
      <c r="D537" s="19" t="inlineStr">
        <is>
          <t>System Administrator (BrokerVerse)</t>
        </is>
      </c>
      <c r="E537" s="19" t="inlineStr">
        <is>
          <t>The lock refuses the migration kit and the reset</t>
        </is>
      </c>
      <c r="F537" s="19" t="inlineStr">
        <is>
          <t>Negative</t>
        </is>
      </c>
      <c r="G537" s="19" t="inlineStr">
        <is>
          <t>High</t>
        </is>
      </c>
      <c r="H537" s="19" t="inlineStr">
        <is>
          <t>golive.locked on.</t>
        </is>
      </c>
      <c r="I537" s="19" t="inlineStr">
        <is>
          <t>1. Upload a migration workbook.
2. Run the transaction reset.</t>
        </is>
      </c>
      <c r="J537" s="19" t="inlineStr">
        <is>
          <t>None</t>
        </is>
      </c>
      <c r="K537" s="19" t="inlineStr">
        <is>
          <t>Migration refused; reset refused; configuration kit still accepted.</t>
        </is>
      </c>
      <c r="L537" s="19" t="inlineStr">
        <is>
          <t>As expected.</t>
        </is>
      </c>
      <c r="M537" s="19" t="inlineStr">
        <is>
          <t>Pass</t>
        </is>
      </c>
      <c r="N537" s="19" t="n"/>
      <c r="O537" s="19" t="inlineStr">
        <is>
          <t>iorta TechNXT QA</t>
        </is>
      </c>
      <c r="P537" s="19" t="inlineStr">
        <is>
          <t>04 October 2026</t>
        </is>
      </c>
      <c r="Q537" s="19" t="n"/>
      <c r="R537" s="19" t="inlineStr">
        <is>
          <t>backend/test/go-live-workbench.test.js :: refuses the migration kit once go-live is locked; the configuration kit stays available [passed]
backend/test/reset-transactions.test.js :: refuses while golive.locked is on, and changes nothing [passed]</t>
        </is>
      </c>
      <c r="S537" s="19" t="inlineStr">
        <is>
          <t>None</t>
        </is>
      </c>
    </row>
    <row r="538">
      <c r="A538" s="19" t="inlineStr">
        <is>
          <t>BV-GLW-007</t>
        </is>
      </c>
      <c r="B538" s="19" t="inlineStr">
        <is>
          <t>Go-live workbench and environments</t>
        </is>
      </c>
      <c r="C538" s="19" t="inlineStr">
        <is>
          <t>Compare environments</t>
        </is>
      </c>
      <c r="D538" s="19" t="inlineStr">
        <is>
          <t>System Administrator (BrokerVerse)</t>
        </is>
      </c>
      <c r="E538" s="19" t="inlineStr">
        <is>
          <t>Compare this environment with an export of another</t>
        </is>
      </c>
      <c r="F538" s="19" t="inlineStr">
        <is>
          <t>Functional</t>
        </is>
      </c>
      <c r="G538" s="19" t="inlineStr">
        <is>
          <t>High</t>
        </is>
      </c>
      <c r="H538" s="19" t="inlineStr">
        <is>
          <t>Configuration export of the source environment.</t>
        </is>
      </c>
      <c r="I538" s="19" t="inlineStr">
        <is>
          <t>1. Master &gt; Go-Live Data Load &gt; Compare environments; upload the export.</t>
        </is>
      </c>
      <c r="J538" s="19" t="inlineStr">
        <is>
          <t>None</t>
        </is>
      </c>
      <c r="K538" s="19" t="inlineStr">
        <is>
          <t>Verdict Mirrored or the differences per sheet with column, file value and value here; environment-specific fields listed apart; nothing loaded.</t>
        </is>
      </c>
      <c r="L538" s="19" t="inlineStr">
        <is>
          <t>As expected.</t>
        </is>
      </c>
      <c r="M538" s="19" t="inlineStr">
        <is>
          <t>Pass</t>
        </is>
      </c>
      <c r="N538" s="19" t="n"/>
      <c r="O538" s="19" t="inlineStr">
        <is>
          <t>iorta TechNXT QA</t>
        </is>
      </c>
      <c r="P538" s="19" t="inlineStr">
        <is>
          <t>04 October 2026</t>
        </is>
      </c>
      <c r="Q538" s="19" t="n"/>
      <c r="R538" s="19" t="inlineStr">
        <is>
          <t>backend/test/environment-comparison.test.js :: an export of this same environment is Mirrored: every row identical, nothing loaded [passed]
backend/test/environment-comparison.test.js :: a changed field is reported with the exact column, value in the file and value here [passed]
backend/test/environment-comparison.test.js :: environment-specific fields are listed apart, not as differences; numbering counters with the toggle [passed]</t>
        </is>
      </c>
      <c r="S538" s="19" t="inlineStr">
        <is>
          <t>None</t>
        </is>
      </c>
    </row>
    <row r="539">
      <c r="A539" s="19" t="inlineStr">
        <is>
          <t>BV-GLW-008</t>
        </is>
      </c>
      <c r="B539" s="19" t="inlineStr">
        <is>
          <t>Go-live workbench and environments</t>
        </is>
      </c>
      <c r="C539" s="19" t="inlineStr">
        <is>
          <t>Compare environments</t>
        </is>
      </c>
      <c r="D539" s="19" t="inlineStr">
        <is>
          <t>System Administrator (BrokerVerse)</t>
        </is>
      </c>
      <c r="E539" s="19" t="inlineStr">
        <is>
          <t>Command-line comparison returns 0 when mirrored and 1 when different</t>
        </is>
      </c>
      <c r="F539" s="19" t="inlineStr">
        <is>
          <t>Integration</t>
        </is>
      </c>
      <c r="G539" s="19" t="inlineStr">
        <is>
          <t>Medium</t>
        </is>
      </c>
      <c r="H539" s="19" t="inlineStr">
        <is>
          <t>Two environments.</t>
        </is>
      </c>
      <c r="I539" s="19" t="inlineStr">
        <is>
          <t>1. Run npm run compare:environments with SOURCE_API and TARGET_API.</t>
        </is>
      </c>
      <c r="J539" s="19" t="inlineStr">
        <is>
          <t>None</t>
        </is>
      </c>
      <c r="K539" s="19" t="inlineStr">
        <is>
          <t>Exit code 0 mirrored, 1 differences; comparison workbook written.</t>
        </is>
      </c>
      <c r="L539" s="19" t="inlineStr">
        <is>
          <t>As expected.</t>
        </is>
      </c>
      <c r="M539" s="19" t="inlineStr">
        <is>
          <t>Pass</t>
        </is>
      </c>
      <c r="N539" s="19" t="n"/>
      <c r="O539" s="19" t="inlineStr">
        <is>
          <t>iorta TechNXT QA</t>
        </is>
      </c>
      <c r="P539" s="19" t="inlineStr">
        <is>
          <t>04 October 2026</t>
        </is>
      </c>
      <c r="Q539" s="19" t="n"/>
      <c r="R539" s="19" t="inlineStr">
        <is>
          <t>backend/test/environment-comparison.test.js :: returns 0 when the two environments are mirrored and 1 when they differ, and writes the workbook [passed]</t>
        </is>
      </c>
      <c r="S539" s="19" t="inlineStr">
        <is>
          <t>None</t>
        </is>
      </c>
    </row>
    <row r="540">
      <c r="A540" s="19" t="inlineStr">
        <is>
          <t>BV-GLW-009</t>
        </is>
      </c>
      <c r="B540" s="19" t="inlineStr">
        <is>
          <t>Go-live workbench and environments</t>
        </is>
      </c>
      <c r="C540" s="19" t="inlineStr">
        <is>
          <t>Transaction reset</t>
        </is>
      </c>
      <c r="D540" s="19" t="inlineStr">
        <is>
          <t>System Administrator (BrokerVerse)</t>
        </is>
      </c>
      <c r="E540" s="19" t="inlineStr">
        <is>
          <t>Reset removes transactions and keeps masters and configuration</t>
        </is>
      </c>
      <c r="F540" s="19" t="inlineStr">
        <is>
          <t>Functional</t>
        </is>
      </c>
      <c r="G540" s="19" t="inlineStr">
        <is>
          <t>High</t>
        </is>
      </c>
      <c r="H540" s="19" t="inlineStr">
        <is>
          <t>Smoke test data present; lock off.</t>
        </is>
      </c>
      <c r="I540" s="19" t="inlineStr">
        <is>
          <t>1. CONFIRM_RESET=yes npm run reset:transactions (dry run).
2. Run with --execute.</t>
        </is>
      </c>
      <c r="J540" s="19" t="inlineStr">
        <is>
          <t>None</t>
        </is>
      </c>
      <c r="K540" s="19" t="inlineStr">
        <is>
          <t>Dry run counts per table and changes nothing; execute removes transactions, keeps masters, settings and users; numbering restarts at the configured next number; ledger empty.</t>
        </is>
      </c>
      <c r="L540" s="19" t="inlineStr">
        <is>
          <t>As expected.</t>
        </is>
      </c>
      <c r="M540" s="19" t="inlineStr">
        <is>
          <t>Pass</t>
        </is>
      </c>
      <c r="N540" s="19" t="n"/>
      <c r="O540" s="19" t="inlineStr">
        <is>
          <t>iorta TechNXT QA</t>
        </is>
      </c>
      <c r="P540" s="19" t="inlineStr">
        <is>
          <t>04 October 2026</t>
        </is>
      </c>
      <c r="Q540" s="19" t="n"/>
      <c r="R540" s="19" t="inlineStr">
        <is>
          <t>backend/test/reset-transactions.test.js :: dry run counts per table and changes nothing [passed]
backend/test/reset-transactions.test.js :: removes the transactions and keeps masters, configuration, users and settings; numbering restarts; the ledger is empty [passed]
backend/test/reset-transactions.test.js :: restarts a series at the next number configured for the period (Set next number, go-live Numbering sheet), not at 1 [passed]</t>
        </is>
      </c>
      <c r="S540" s="19" t="inlineStr">
        <is>
          <t>None</t>
        </is>
      </c>
    </row>
    <row r="541">
      <c r="A541" s="19" t="inlineStr">
        <is>
          <t>BV-GLW-010</t>
        </is>
      </c>
      <c r="B541" s="19" t="inlineStr">
        <is>
          <t>Go-live workbench and environments</t>
        </is>
      </c>
      <c r="C541" s="19" t="inlineStr">
        <is>
          <t>Masking tool</t>
        </is>
      </c>
      <c r="D541" s="19" t="inlineStr">
        <is>
          <t>System Administrator (BrokerVerse)</t>
        </is>
      </c>
      <c r="E541" s="19" t="inlineStr">
        <is>
          <t>Masking a copy masks every personal value and verifies it</t>
        </is>
      </c>
      <c r="F541" s="19" t="inlineStr">
        <is>
          <t>Functional</t>
        </is>
      </c>
      <c r="G541" s="19" t="inlineStr">
        <is>
          <t>High</t>
        </is>
      </c>
      <c r="H541" s="19" t="inlineStr">
        <is>
          <t>Restored copy, MASK_SALT set.</t>
        </is>
      </c>
      <c r="I541" s="19" t="inlineStr">
        <is>
          <t>1. Run mask:data dry run, then --execute.
2. Run --verify-only.</t>
        </is>
      </c>
      <c r="J541" s="19" t="inlineStr">
        <is>
          <t>None</t>
        </is>
      </c>
      <c r="K541" s="19" t="inlineStr">
        <is>
          <t>Personal values masked deterministically everywhere; figures and trial balance unchanged; passwords reset; e-mail off; verification exit code 0.</t>
        </is>
      </c>
      <c r="L541" s="19" t="inlineStr">
        <is>
          <t>As expected.</t>
        </is>
      </c>
      <c r="M541" s="19" t="inlineStr">
        <is>
          <t>Pass</t>
        </is>
      </c>
      <c r="N541" s="19" t="n"/>
      <c r="O541" s="19" t="inlineStr">
        <is>
          <t>iorta TechNXT QA</t>
        </is>
      </c>
      <c r="P541" s="19" t="inlineStr">
        <is>
          <t>04 October 2026</t>
        </is>
      </c>
      <c r="Q541" s="19" t="n"/>
      <c r="R541" s="19" t="inlineStr">
        <is>
          <t>backend/test/mask-data.test.js :: masks every personal value, everywhere [passed]
backend/test/mask-data.test.js :: keeps figures, balances and the trial balance [passed]
backend/test/mask-data.test.js :: verification finds personal data left, and the files of the copy are replaced or purged [passed]</t>
        </is>
      </c>
      <c r="S541" s="19" t="inlineStr">
        <is>
          <t>DPA; NPC guidance on test data</t>
        </is>
      </c>
    </row>
    <row r="542">
      <c r="A542" s="19" t="inlineStr">
        <is>
          <t>BV-GLW-011</t>
        </is>
      </c>
      <c r="B542" s="19" t="inlineStr">
        <is>
          <t>Go-live workbench and environments</t>
        </is>
      </c>
      <c r="C542" s="19" t="inlineStr">
        <is>
          <t>Masking tool</t>
        </is>
      </c>
      <c r="D542" s="19" t="inlineStr">
        <is>
          <t>System Administrator (BrokerVerse)</t>
        </is>
      </c>
      <c r="E542" s="19" t="inlineStr">
        <is>
          <t>Masking refuses Production; --remark-copy re-marks and masks a restored copy</t>
        </is>
      </c>
      <c r="F542" s="19" t="inlineStr">
        <is>
          <t>Negative</t>
        </is>
      </c>
      <c r="G542" s="19" t="inlineStr">
        <is>
          <t>High</t>
        </is>
      </c>
      <c r="H542" s="19" t="inlineStr">
        <is>
          <t>Production registered with --register-production.</t>
        </is>
      </c>
      <c r="I542" s="19" t="inlineStr">
        <is>
          <t>1. Run mask:data on Production.
2. On the copy run --remark-copy --confirm-database --restore-source --execute.</t>
        </is>
      </c>
      <c r="J542" s="19" t="inlineStr">
        <is>
          <t>None</t>
        </is>
      </c>
      <c r="K542" s="19" t="inlineStr">
        <is>
          <t>Production refused; the copy is re-marked, the restore recorded and masked in one step.</t>
        </is>
      </c>
      <c r="L542" s="19" t="inlineStr">
        <is>
          <t>As expected.</t>
        </is>
      </c>
      <c r="M542" s="19" t="inlineStr">
        <is>
          <t>Pass</t>
        </is>
      </c>
      <c r="N542" s="19" t="n"/>
      <c r="O542" s="19" t="inlineStr">
        <is>
          <t>iorta TechNXT QA</t>
        </is>
      </c>
      <c r="P542" s="19" t="inlineStr">
        <is>
          <t>04 October 2026</t>
        </is>
      </c>
      <c r="Q542" s="19" t="n"/>
      <c r="R542" s="19" t="inlineStr">
        <is>
          <t>backend/test/mask-data.test.js :: refuses a database marked production, and a locked database without the marker [passed]
backend/test/mask-data.test.js :: a dry run re-marks nothing; --execute re-marks the copy, records the restore and masks in the same step [passed]
backend/test/mask-data.test.js :: registers only a database marked production [passed]</t>
        </is>
      </c>
      <c r="S542" s="19" t="inlineStr">
        <is>
          <t>DPA</t>
        </is>
      </c>
    </row>
    <row r="543">
      <c r="A543" s="19" t="inlineStr">
        <is>
          <t>BV-GLW-012</t>
        </is>
      </c>
      <c r="B543" s="19" t="inlineStr">
        <is>
          <t>Go-live workbench and environments</t>
        </is>
      </c>
      <c r="C543" s="19" t="inlineStr">
        <is>
          <t>Release pipeline</t>
        </is>
      </c>
      <c r="D543" s="19" t="inlineStr">
        <is>
          <t>System Administrator (BrokerVerse)</t>
        </is>
      </c>
      <c r="E543" s="19" t="inlineStr">
        <is>
          <t>Schema applies once when two instances migrate together</t>
        </is>
      </c>
      <c r="F543" s="19" t="inlineStr">
        <is>
          <t>Integration</t>
        </is>
      </c>
      <c r="G543" s="19" t="inlineStr">
        <is>
          <t>Medium</t>
        </is>
      </c>
      <c r="H543" s="19" t="inlineStr">
        <is>
          <t>Two API instances.</t>
        </is>
      </c>
      <c r="I543" s="19" t="inlineStr">
        <is>
          <t>1. Start both with a pending migration.</t>
        </is>
      </c>
      <c r="J543" s="19" t="inlineStr">
        <is>
          <t>None</t>
        </is>
      </c>
      <c r="K543" s="19" t="inlineStr">
        <is>
          <t>The migration applies once; the second instance waits for the lock.</t>
        </is>
      </c>
      <c r="L543" s="19" t="inlineStr">
        <is>
          <t>As expected.</t>
        </is>
      </c>
      <c r="M543" s="19" t="inlineStr">
        <is>
          <t>Pass</t>
        </is>
      </c>
      <c r="N543" s="19" t="n"/>
      <c r="O543" s="19" t="inlineStr">
        <is>
          <t>iorta TechNXT QA</t>
        </is>
      </c>
      <c r="P543" s="19" t="inlineStr">
        <is>
          <t>04 October 2026</t>
        </is>
      </c>
      <c r="Q543" s="19" t="n"/>
      <c r="R543" s="19" t="inlineStr">
        <is>
          <t>backend/test/operations.test.js :: applies a pending migration once when two instances migrate at the same time [passed]
backend/test/operations.test.js :: waits for the lock held by another instance [passed]</t>
        </is>
      </c>
      <c r="S543" s="19" t="inlineStr">
        <is>
          <t>None</t>
        </is>
      </c>
    </row>
    <row r="544">
      <c r="A544" s="19" t="inlineStr">
        <is>
          <t>BV-GLW-013</t>
        </is>
      </c>
      <c r="B544" s="19" t="inlineStr">
        <is>
          <t>Go-live workbench and environments</t>
        </is>
      </c>
      <c r="C544" s="19" t="inlineStr">
        <is>
          <t>Go-live rehearsal</t>
        </is>
      </c>
      <c r="D544" s="19" t="inlineStr">
        <is>
          <t>System Administrator (BrokerVerse)</t>
        </is>
      </c>
      <c r="E544" s="19" t="inlineStr">
        <is>
          <t>Go-live rehearsal between two environments passes every check</t>
        </is>
      </c>
      <c r="F544" s="19" t="inlineStr">
        <is>
          <t>Integration</t>
        </is>
      </c>
      <c r="G544" s="19" t="inlineStr">
        <is>
          <t>High</t>
        </is>
      </c>
      <c r="H544" s="19" t="inlineStr">
        <is>
          <t>SOURCE (UAT) and TARGET (Pre-Prod) running; CONFIRM_RESET=yes.</t>
        </is>
      </c>
      <c r="I544" s="19" t="inlineStr">
        <is>
          <t>1. Run npm run rehearsal:golive.
2. Read docs/e2e/GOLIVE_REHEARSAL_RUN.md.</t>
        </is>
      </c>
      <c r="J544" s="19" t="inlineStr">
        <is>
          <t>None</t>
        </is>
      </c>
      <c r="K544" s="19" t="inlineStr">
        <is>
          <t>All 51 checks pass: promotion, smoke test, reset, migration, reconciliation, lock, comparison.</t>
        </is>
      </c>
      <c r="L544" s="19" t="inlineStr">
        <is>
          <t>As expected.</t>
        </is>
      </c>
      <c r="M544" s="19" t="inlineStr">
        <is>
          <t>Pass</t>
        </is>
      </c>
      <c r="N544" s="19" t="n"/>
      <c r="O544" s="19" t="inlineStr">
        <is>
          <t>iorta TechNXT QA</t>
        </is>
      </c>
      <c r="P544" s="19" t="inlineStr">
        <is>
          <t>04 October 2026</t>
        </is>
      </c>
      <c r="Q544" s="19" t="inlineStr">
        <is>
          <t>Re-run in Pre-Prod for each broker.</t>
        </is>
      </c>
      <c r="R544" s="19" t="inlineStr">
        <is>
          <t>docs/e2e/GOLIVE_REHEARSAL_RUN.md :: go-live rehearsal run: all 51 checks passed [passed]</t>
        </is>
      </c>
      <c r="S544" s="19" t="inlineStr">
        <is>
          <t>None</t>
        </is>
      </c>
    </row>
    <row r="545">
      <c r="A545" s="19" t="inlineStr">
        <is>
          <t>BV-AML-001</t>
        </is>
      </c>
      <c r="B545" s="19" t="inlineStr">
        <is>
          <t>AML/CFT</t>
        </is>
      </c>
      <c r="C545" s="19" t="inlineStr">
        <is>
          <t>Onboard individual</t>
        </is>
      </c>
      <c r="D545" s="19" t="inlineStr">
        <is>
          <t>Operations (ana.buenaventura)</t>
        </is>
      </c>
      <c r="E545" s="19" t="inlineStr">
        <is>
          <t>Onboard an individual client before the first policy</t>
        </is>
      </c>
      <c r="F545" s="19" t="inlineStr">
        <is>
          <t>Functional</t>
        </is>
      </c>
      <c r="G545" s="19" t="inlineStr">
        <is>
          <t>High</t>
        </is>
      </c>
      <c r="H545" s="19" t="inlineStr">
        <is>
          <t>Operations &gt; Clients.</t>
        </is>
      </c>
      <c r="I545" s="19" t="inlineStr">
        <is>
          <t>1. Select Onboard client, type Individual.
2. Enter identity, ID, TIN, mobile, address, expected business.
3. Onboard client.</t>
        </is>
      </c>
      <c r="J545" s="19" t="inlineStr">
        <is>
          <t>Mobile 09171234567; TIN 123-456-789-000</t>
        </is>
      </c>
      <c r="K545" s="19" t="inlineStr">
        <is>
          <t>Client code CL-YYYY-NNNNN given; rated and screened; no policy needed. Invalid mobile or TIN refused.</t>
        </is>
      </c>
      <c r="L545" s="19" t="inlineStr">
        <is>
          <t>As expected.</t>
        </is>
      </c>
      <c r="M545" s="19" t="inlineStr">
        <is>
          <t>Pass</t>
        </is>
      </c>
      <c r="N545" s="19" t="n"/>
      <c r="O545" s="19" t="inlineStr">
        <is>
          <t>iorta TechNXT QA</t>
        </is>
      </c>
      <c r="P545" s="19" t="inlineStr">
        <is>
          <t>04 October 2026</t>
        </is>
      </c>
      <c r="Q545" s="19" t="n"/>
      <c r="R545" s="19" t="inlineStr">
        <is>
          <t>backend/test/aml.test.js :: creates an individual client with its identification, rated and screened, without any policy [passed]
backend/test/aml.test.js :: validates the Philippine mobile number, TIN and the identification of an individual [passed]
brokerverse/src/module/Compliance/Compliance.test.jsx :: accepts Philippine mobile numbers and TINs only [passed]</t>
        </is>
      </c>
      <c r="S545" s="19" t="inlineStr">
        <is>
          <t>AMLA (RA 9160 as amended) and 2018 IRR, customer identification</t>
        </is>
      </c>
    </row>
    <row r="546">
      <c r="A546" s="19" t="inlineStr">
        <is>
          <t>BV-AML-002</t>
        </is>
      </c>
      <c r="B546" s="19" t="inlineStr">
        <is>
          <t>AML/CFT</t>
        </is>
      </c>
      <c r="C546" s="19" t="inlineStr">
        <is>
          <t>Juridical client</t>
        </is>
      </c>
      <c r="D546" s="19" t="inlineStr">
        <is>
          <t>Operations (ana.buenaventura)</t>
        </is>
      </c>
      <c r="E546" s="19" t="inlineStr">
        <is>
          <t>Onboard a juridical client with signatories and beneficial owners</t>
        </is>
      </c>
      <c r="F546" s="19" t="inlineStr">
        <is>
          <t>Functional</t>
        </is>
      </c>
      <c r="G546" s="19" t="inlineStr">
        <is>
          <t>High</t>
        </is>
      </c>
      <c r="H546" s="19" t="inlineStr">
        <is>
          <t>None.</t>
        </is>
      </c>
      <c r="I546" s="19" t="inlineStr">
        <is>
          <t>1. Onboard client, type Juridical: registration with SEC.
2. Add signatory with board resolution; add beneficial owner at 30%.</t>
        </is>
      </c>
      <c r="J546" s="19" t="inlineStr">
        <is>
          <t>Owner share 30%</t>
        </is>
      </c>
      <c r="K546" s="19" t="inlineStr">
        <is>
          <t>Client onboarded with registration, signatories and owners; warnings when no owner is declared or shares exceed 100%.</t>
        </is>
      </c>
      <c r="L546" s="19" t="inlineStr">
        <is>
          <t>As expected.</t>
        </is>
      </c>
      <c r="M546" s="19" t="inlineStr">
        <is>
          <t>Pass</t>
        </is>
      </c>
      <c r="N546" s="19" t="n"/>
      <c r="O546" s="19" t="inlineStr">
        <is>
          <t>iorta TechNXT QA</t>
        </is>
      </c>
      <c r="P546" s="19" t="inlineStr">
        <is>
          <t>04 October 2026</t>
        </is>
      </c>
      <c r="Q546" s="19" t="n"/>
      <c r="R546" s="19" t="inlineStr">
        <is>
          <t>backend/test/aml.test.js :: onboards a juridical client with registration, signatories, beneficial owners and the board resolution [passed]
brokerverse/src/module/Compliance/Compliance.test.jsx :: requires the identification of an individual and the registration of a juridical client [passed]</t>
        </is>
      </c>
      <c r="S546" s="19" t="inlineStr">
        <is>
          <t>AMLC beneficial ownership rules (25% threshold)</t>
        </is>
      </c>
    </row>
    <row r="547">
      <c r="A547" s="19" t="inlineStr">
        <is>
          <t>BV-AML-003</t>
        </is>
      </c>
      <c r="B547" s="19" t="inlineStr">
        <is>
          <t>AML/CFT</t>
        </is>
      </c>
      <c r="C547" s="19" t="inlineStr">
        <is>
          <t>Risk rating and EDD</t>
        </is>
      </c>
      <c r="D547" s="19" t="inlineStr">
        <is>
          <t>Compliance Officer (AML/CFT)</t>
        </is>
      </c>
      <c r="E547" s="19" t="inlineStr">
        <is>
          <t>A PEP is rated High and no policy issues until EDD is approved</t>
        </is>
      </c>
      <c r="F547" s="19" t="inlineStr">
        <is>
          <t>Functional</t>
        </is>
      </c>
      <c r="G547" s="19" t="inlineStr">
        <is>
          <t>High</t>
        </is>
      </c>
      <c r="H547" s="19" t="inlineStr">
        <is>
          <t>Client flagged PEP.</t>
        </is>
      </c>
      <c r="I547" s="19" t="inlineStr">
        <is>
          <t>1. Issue a policy for the client.
2. Prepare and submit the EDD review as Operations; approve as compliance officer.</t>
        </is>
      </c>
      <c r="J547" s="19" t="inlineStr">
        <is>
          <t>None</t>
        </is>
      </c>
      <c r="K547" s="19" t="inlineStr">
        <is>
          <t>Policy refused while EDD pending; the submitter cannot approve; after approval the policy issues.</t>
        </is>
      </c>
      <c r="L547" s="19" t="inlineStr">
        <is>
          <t>As expected.</t>
        </is>
      </c>
      <c r="M547" s="19" t="inlineStr">
        <is>
          <t>Pass</t>
        </is>
      </c>
      <c r="N547" s="19" t="n"/>
      <c r="O547" s="19" t="inlineStr">
        <is>
          <t>iorta TechNXT QA</t>
        </is>
      </c>
      <c r="P547" s="19" t="inlineStr">
        <is>
          <t>04 October 2026</t>
        </is>
      </c>
      <c r="Q547" s="19" t="n"/>
      <c r="R547" s="19" t="inlineStr">
        <is>
          <t>backend/test/aml.test.js :: rates a PEP High, opens an EDD review and refuses the policy until the compliance officer approves it [passed]
backend/test/aml.test.js :: the officer who submits an EDD review cannot also approve it [passed]</t>
        </is>
      </c>
      <c r="S547" s="19" t="inlineStr">
        <is>
          <t>AMLA IRR, enhanced due diligence</t>
        </is>
      </c>
    </row>
    <row r="548">
      <c r="A548" s="19" t="inlineStr">
        <is>
          <t>BV-AML-004</t>
        </is>
      </c>
      <c r="B548" s="19" t="inlineStr">
        <is>
          <t>AML/CFT</t>
        </is>
      </c>
      <c r="C548" s="19" t="inlineStr">
        <is>
          <t>Risk factors</t>
        </is>
      </c>
      <c r="D548" s="19" t="inlineStr">
        <is>
          <t>Compliance Officer (AML/CFT)</t>
        </is>
      </c>
      <c r="E548" s="19" t="inlineStr">
        <is>
          <t>Risk score follows the factor table; override holds until KYC refresh</t>
        </is>
      </c>
      <c r="F548" s="19" t="inlineStr">
        <is>
          <t>Validation</t>
        </is>
      </c>
      <c r="G548" s="19" t="inlineStr">
        <is>
          <t>Medium</t>
        </is>
      </c>
      <c r="H548" s="19" t="inlineStr">
        <is>
          <t>AML Settings &gt; Risk factors.</t>
        </is>
      </c>
      <c r="I548" s="19" t="inlineStr">
        <is>
          <t>1. Change a factor score; rate the client again.
2. Override rating with a reason.</t>
        </is>
      </c>
      <c r="J548" s="19" t="inlineStr">
        <is>
          <t>None</t>
        </is>
      </c>
      <c r="K548" s="19" t="inlineStr">
        <is>
          <t>Score and rating follow the thresholds; override kept until the next refresh; KYC refresh due listed and marked by the weekly job.</t>
        </is>
      </c>
      <c r="L548" s="19" t="inlineStr">
        <is>
          <t>As expected.</t>
        </is>
      </c>
      <c r="M548" s="19" t="inlineStr">
        <is>
          <t>Pass</t>
        </is>
      </c>
      <c r="N548" s="19" t="n"/>
      <c r="O548" s="19" t="inlineStr">
        <is>
          <t>iorta TechNXT QA</t>
        </is>
      </c>
      <c r="P548" s="19" t="inlineStr">
        <is>
          <t>04 October 2026</t>
        </is>
      </c>
      <c r="Q548" s="19" t="n"/>
      <c r="R548" s="19" t="inlineStr">
        <is>
          <t>backend/test/aml.test.js :: scores the configurable factors and thresholds; an override holds until the KYC refresh [passed]
backend/test/aml.test.js :: lists the clients due for KYC refresh per the schedule and the weekly job marks them [passed]</t>
        </is>
      </c>
      <c r="S548" s="19" t="inlineStr">
        <is>
          <t>AMLA IRR, risk-based approach</t>
        </is>
      </c>
    </row>
    <row r="549">
      <c r="A549" s="19" t="inlineStr">
        <is>
          <t>BV-AML-005</t>
        </is>
      </c>
      <c r="B549" s="19" t="inlineStr">
        <is>
          <t>AML/CFT</t>
        </is>
      </c>
      <c r="C549" s="19" t="inlineStr">
        <is>
          <t>Screening lists</t>
        </is>
      </c>
      <c r="D549" s="19" t="inlineStr">
        <is>
          <t>Compliance Officer (AML/CFT)</t>
        </is>
      </c>
      <c r="E549" s="19" t="inlineStr">
        <is>
          <t>Upload a list version; every client is screened again</t>
        </is>
      </c>
      <c r="F549" s="19" t="inlineStr">
        <is>
          <t>Functional</t>
        </is>
      </c>
      <c r="G549" s="19" t="inlineStr">
        <is>
          <t>High</t>
        </is>
      </c>
      <c r="H549" s="19" t="inlineStr">
        <is>
          <t>Compliance &gt; Screening Lists.</t>
        </is>
      </c>
      <c r="I549" s="19" t="inlineStr">
        <is>
          <t>1. Upload version (UN XML or CSV) with Rescreen on.</t>
        </is>
      </c>
      <c r="J549" s="19" t="inlineStr">
        <is>
          <t>UN consolidated list XML</t>
        </is>
      </c>
      <c r="K549" s="19" t="inlineStr">
        <is>
          <t>New version current with checksum; earlier versions kept; new potential matches queued.</t>
        </is>
      </c>
      <c r="L549" s="19" t="inlineStr">
        <is>
          <t>As expected.</t>
        </is>
      </c>
      <c r="M549" s="19" t="inlineStr">
        <is>
          <t>Pass</t>
        </is>
      </c>
      <c r="N549" s="19" t="n"/>
      <c r="O549" s="19" t="inlineStr">
        <is>
          <t>iorta TechNXT QA</t>
        </is>
      </c>
      <c r="P549" s="19" t="inlineStr">
        <is>
          <t>04 October 2026</t>
        </is>
      </c>
      <c r="Q549" s="19" t="n"/>
      <c r="R549" s="19" t="inlineStr">
        <is>
          <t>backend/test/aml.test.js :: loads a versioned list from CSV and rescreens every client: a new match is queued [passed]
backend/test/aml.test.js :: uploads the UN consolidated list as XML with its checksum and searches its entries [passed]
backend/test/aml.test.js :: reads the UN consolidated list XML [passed]</t>
        </is>
      </c>
      <c r="S549" s="19" t="inlineStr">
        <is>
          <t>UNSC resolutions; AMLC and ATC designations</t>
        </is>
      </c>
    </row>
    <row r="550">
      <c r="A550" s="19" t="inlineStr">
        <is>
          <t>BV-AML-006</t>
        </is>
      </c>
      <c r="B550" s="19" t="inlineStr">
        <is>
          <t>AML/CFT</t>
        </is>
      </c>
      <c r="C550" s="19" t="inlineStr">
        <is>
          <t>Screening hits</t>
        </is>
      </c>
      <c r="D550" s="19" t="inlineStr">
        <is>
          <t>Compliance Officer (AML/CFT)</t>
        </is>
      </c>
      <c r="E550" s="19" t="inlineStr">
        <is>
          <t>An open hit blocks issue and payouts; Clear is remembered</t>
        </is>
      </c>
      <c r="F550" s="19" t="inlineStr">
        <is>
          <t>Negative</t>
        </is>
      </c>
      <c r="G550" s="19" t="inlineStr">
        <is>
          <t>High</t>
        </is>
      </c>
      <c r="H550" s="19" t="inlineStr">
        <is>
          <t>Open hit on a client.</t>
        </is>
      </c>
      <c r="I550" s="19" t="inlineStr">
        <is>
          <t>1. Issue a policy; pay a refund.
2. Decide Clear with a reason; screen again.</t>
        </is>
      </c>
      <c r="J550" s="19" t="inlineStr">
        <is>
          <t>None</t>
        </is>
      </c>
      <c r="K550" s="19" t="inlineStr">
        <is>
          <t>Issue and payout refused naming the match; after Clear the same match is cleared automatically next time.</t>
        </is>
      </c>
      <c r="L550" s="19" t="inlineStr">
        <is>
          <t>As expected.</t>
        </is>
      </c>
      <c r="M550" s="19" t="inlineStr">
        <is>
          <t>Pass</t>
        </is>
      </c>
      <c r="N550" s="19" t="n"/>
      <c r="O550" s="19" t="inlineStr">
        <is>
          <t>iorta TechNXT QA</t>
        </is>
      </c>
      <c r="P550" s="19" t="inlineStr">
        <is>
          <t>04 October 2026</t>
        </is>
      </c>
      <c r="Q550" s="19" t="n"/>
      <c r="R550" s="19" t="inlineStr">
        <is>
          <t>backend/test/aml.test.js :: refuses the policy while the hit is open; once cleared the same match is cleared again automatically [passed]
backend/test/aml.test.js :: screens the claimant at a claim payment through the same payout check [passed]
backend/test/aml.test.js :: internal negative list: an entry added on screen makes a version and a confirmed match blocks payouts [passed]</t>
        </is>
      </c>
      <c r="S550" s="19" t="inlineStr">
        <is>
          <t>Terrorism Financing Prevention and Suppression Act (RA 10168)</t>
        </is>
      </c>
    </row>
    <row r="551">
      <c r="A551" s="19" t="inlineStr">
        <is>
          <t>BV-AML-007</t>
        </is>
      </c>
      <c r="B551" s="19" t="inlineStr">
        <is>
          <t>AML/CFT</t>
        </is>
      </c>
      <c r="C551" s="19" t="inlineStr">
        <is>
          <t>Name matching</t>
        </is>
      </c>
      <c r="D551" s="19" t="inlineStr">
        <is>
          <t>Compliance Officer (AML/CFT)</t>
        </is>
      </c>
      <c r="E551" s="19" t="inlineStr">
        <is>
          <t>Names match regardless of order, accents, honorifics and legal forms</t>
        </is>
      </c>
      <c r="F551" s="19" t="inlineStr">
        <is>
          <t>Validation</t>
        </is>
      </c>
      <c r="G551" s="19" t="inlineStr">
        <is>
          <t>Medium</t>
        </is>
      </c>
      <c r="H551" s="19" t="inlineStr">
        <is>
          <t>None.</t>
        </is>
      </c>
      <c r="I551" s="19" t="inlineStr">
        <is>
          <t>1. Screen a name written in another order with an honorific.</t>
        </is>
      </c>
      <c r="J551" s="19" t="inlineStr">
        <is>
          <t>Name: Atty. Dela Cruz, Juan</t>
        </is>
      </c>
      <c r="K551" s="19" t="inlineStr">
        <is>
          <t>Exact match score 1; another year of birth lowers the score.</t>
        </is>
      </c>
      <c r="L551" s="19" t="inlineStr">
        <is>
          <t>As expected.</t>
        </is>
      </c>
      <c r="M551" s="19" t="inlineStr">
        <is>
          <t>Pass</t>
        </is>
      </c>
      <c r="N551" s="19" t="n"/>
      <c r="O551" s="19" t="inlineStr">
        <is>
          <t>iorta TechNXT QA</t>
        </is>
      </c>
      <c r="P551" s="19" t="inlineStr">
        <is>
          <t>04 October 2026</t>
        </is>
      </c>
      <c r="Q551" s="19" t="n"/>
      <c r="R551" s="19" t="inlineStr">
        <is>
          <t>backend/test/aml.test.js :: normalises names and ignores word order, accents, honorifics and legal forms [passed]
backend/test/aml.test.js :: matches aliases and lowers the score for another year of birth [passed]</t>
        </is>
      </c>
      <c r="S551" s="19" t="inlineStr">
        <is>
          <t>AMLC screening guidance</t>
        </is>
      </c>
    </row>
    <row r="552">
      <c r="A552" s="19" t="inlineStr">
        <is>
          <t>BV-AML-008</t>
        </is>
      </c>
      <c r="B552" s="19" t="inlineStr">
        <is>
          <t>AML/CFT</t>
        </is>
      </c>
      <c r="C552" s="19" t="inlineStr">
        <is>
          <t>Transaction alerts</t>
        </is>
      </c>
      <c r="D552" s="19" t="inlineStr">
        <is>
          <t>Compliance Officer (AML/CFT)</t>
        </is>
      </c>
      <c r="E552" s="19" t="inlineStr">
        <is>
          <t>Cash above PHP 500,000 in one banking day raises a covered transaction</t>
        </is>
      </c>
      <c r="F552" s="19" t="inlineStr">
        <is>
          <t>Functional</t>
        </is>
      </c>
      <c r="G552" s="19" t="inlineStr">
        <is>
          <t>High</t>
        </is>
      </c>
      <c r="H552" s="19" t="inlineStr">
        <is>
          <t>Receipts in cash.</t>
        </is>
      </c>
      <c r="I552" s="19" t="inlineStr">
        <is>
          <t>1. Post cash receipts of PHP 300,000.00 and 250,000.00 the same day.
2. Run monitoring.</t>
        </is>
      </c>
      <c r="J552" s="19" t="inlineStr">
        <is>
          <t>PHP 550,000.00</t>
        </is>
      </c>
      <c r="K552" s="19" t="inlineStr">
        <is>
          <t>Covered transaction alert raised; structured cash below the threshold raises its own alert; covered transactions cannot be closed.</t>
        </is>
      </c>
      <c r="L552" s="19" t="inlineStr">
        <is>
          <t>As expected.</t>
        </is>
      </c>
      <c r="M552" s="19" t="inlineStr">
        <is>
          <t>Pass</t>
        </is>
      </c>
      <c r="N552" s="19" t="n"/>
      <c r="O552" s="19" t="inlineStr">
        <is>
          <t>iorta TechNXT QA</t>
        </is>
      </c>
      <c r="P552" s="19" t="inlineStr">
        <is>
          <t>04 October 2026</t>
        </is>
      </c>
      <c r="Q552" s="19" t="n"/>
      <c r="R552" s="19" t="inlineStr">
        <is>
          <t>backend/test/aml.test.js :: flags cash above PHP 500,000 in one banking day and structured cash below it [passed]</t>
        </is>
      </c>
      <c r="S552" s="19" t="inlineStr">
        <is>
          <t>AMLA s.3(b) covered transaction PHP 500,000</t>
        </is>
      </c>
    </row>
    <row r="553">
      <c r="A553" s="19" t="inlineStr">
        <is>
          <t>BV-AML-009</t>
        </is>
      </c>
      <c r="B553" s="19" t="inlineStr">
        <is>
          <t>AML/CFT</t>
        </is>
      </c>
      <c r="C553" s="19" t="inlineStr">
        <is>
          <t>Transaction alerts</t>
        </is>
      </c>
      <c r="D553" s="19" t="inlineStr">
        <is>
          <t>Compliance Officer (AML/CFT)</t>
        </is>
      </c>
      <c r="E553" s="19" t="inlineStr">
        <is>
          <t>Third-party refund, overpayment refunded and early cancellation are flagged</t>
        </is>
      </c>
      <c r="F553" s="19" t="inlineStr">
        <is>
          <t>Functional</t>
        </is>
      </c>
      <c r="G553" s="19" t="inlineStr">
        <is>
          <t>Medium</t>
        </is>
      </c>
      <c r="H553" s="19" t="inlineStr">
        <is>
          <t>Matching transactions.</t>
        </is>
      </c>
      <c r="I553" s="19" t="inlineStr">
        <is>
          <t>1. Run monitoring.</t>
        </is>
      </c>
      <c r="J553" s="19" t="inlineStr">
        <is>
          <t>None</t>
        </is>
      </c>
      <c r="K553" s="19" t="inlineStr">
        <is>
          <t>An alert per rule and transaction; a suspicious alert can be closed with a reason.</t>
        </is>
      </c>
      <c r="L553" s="19" t="inlineStr">
        <is>
          <t>As expected.</t>
        </is>
      </c>
      <c r="M553" s="19" t="inlineStr">
        <is>
          <t>Pass</t>
        </is>
      </c>
      <c r="N553" s="19" t="n"/>
      <c r="O553" s="19" t="inlineStr">
        <is>
          <t>iorta TechNXT QA</t>
        </is>
      </c>
      <c r="P553" s="19" t="inlineStr">
        <is>
          <t>04 October 2026</t>
        </is>
      </c>
      <c r="Q553" s="19" t="n"/>
      <c r="R553" s="19" t="inlineStr">
        <is>
          <t>backend/test/aml.test.js :: flags a refund to a third party, an overpayment refunded and an early cancellation with return premium [passed]
backend/test/aml.test.js :: closes a suspicious alert with a reason; the daily job runs the rules [passed]</t>
        </is>
      </c>
      <c r="S553" s="19" t="inlineStr">
        <is>
          <t>AMLA suspicious transaction indicators</t>
        </is>
      </c>
    </row>
    <row r="554">
      <c r="A554" s="19" t="inlineStr">
        <is>
          <t>BV-AML-010</t>
        </is>
      </c>
      <c r="B554" s="19" t="inlineStr">
        <is>
          <t>AML/CFT</t>
        </is>
      </c>
      <c r="C554" s="19" t="inlineStr">
        <is>
          <t>AMLC reports</t>
        </is>
      </c>
      <c r="D554" s="19" t="inlineStr">
        <is>
          <t>Compliance Officer (AML/CFT)</t>
        </is>
      </c>
      <c r="E554" s="19" t="inlineStr">
        <is>
          <t>Generate the CTR file and record the filing</t>
        </is>
      </c>
      <c r="F554" s="19" t="inlineStr">
        <is>
          <t>Report</t>
        </is>
      </c>
      <c r="G554" s="19" t="inlineStr">
        <is>
          <t>High</t>
        </is>
      </c>
      <c r="H554" s="19" t="inlineStr">
        <is>
          <t>Covered transactions of the period.</t>
        </is>
      </c>
      <c r="I554" s="19" t="inlineStr">
        <is>
          <t>1. Generate CTR file; download; Record filing.</t>
        </is>
      </c>
      <c r="J554" s="19" t="inlineStr">
        <is>
          <t>None</t>
        </is>
      </c>
      <c r="K554" s="19" t="inlineStr">
        <is>
          <t>File in the BV-AMLC-TXN 1.0 layout; alerts Reported; case Filed.</t>
        </is>
      </c>
      <c r="L554" s="19" t="inlineStr">
        <is>
          <t>As expected.</t>
        </is>
      </c>
      <c r="M554" s="19" t="inlineStr">
        <is>
          <t>Pass</t>
        </is>
      </c>
      <c r="N554" s="19" t="n"/>
      <c r="O554" s="19" t="inlineStr">
        <is>
          <t>iorta TechNXT QA</t>
        </is>
      </c>
      <c r="P554" s="19" t="inlineStr">
        <is>
          <t>04 October 2026</t>
        </is>
      </c>
      <c r="Q554" s="19" t="n"/>
      <c r="R554" s="19" t="inlineStr">
        <is>
          <t>backend/test/aml.test.js :: generates the CTR file in the AMLC layout, marks it submitted and keeps the alerts reported [passed]</t>
        </is>
      </c>
      <c r="S554" s="19" t="inlineStr">
        <is>
          <t>AMLC reporting procedures (CTR within 5 working days)</t>
        </is>
      </c>
    </row>
    <row r="555">
      <c r="A555" s="19" t="inlineStr">
        <is>
          <t>BV-AML-011</t>
        </is>
      </c>
      <c r="B555" s="19" t="inlineStr">
        <is>
          <t>AML/CFT</t>
        </is>
      </c>
      <c r="C555" s="19" t="inlineStr">
        <is>
          <t>AML cases</t>
        </is>
      </c>
      <c r="D555" s="19" t="inlineStr">
        <is>
          <t>Compliance Officer (AML/CFT)</t>
        </is>
      </c>
      <c r="E555" s="19" t="inlineStr">
        <is>
          <t>Work an STR case to the filed report</t>
        </is>
      </c>
      <c r="F555" s="19" t="inlineStr">
        <is>
          <t>Functional</t>
        </is>
      </c>
      <c r="G555" s="19" t="inlineStr">
        <is>
          <t>High</t>
        </is>
      </c>
      <c r="H555" s="19" t="inlineStr">
        <is>
          <t>Suspicious alerts.</t>
        </is>
      </c>
      <c r="I555" s="19" t="inlineStr">
        <is>
          <t>1. Open or add to a case; grounds, date, narrative.
2. Approve for filing; Generate report file; Record filing.</t>
        </is>
      </c>
      <c r="J555" s="19" t="inlineStr">
        <is>
          <t>None</t>
        </is>
      </c>
      <c r="K555" s="19" t="inlineStr">
        <is>
          <t>Due date in working days; STR file generated and recorded.</t>
        </is>
      </c>
      <c r="L555" s="19" t="inlineStr">
        <is>
          <t>As expected.</t>
        </is>
      </c>
      <c r="M555" s="19" t="inlineStr">
        <is>
          <t>Pass</t>
        </is>
      </c>
      <c r="N555" s="19" t="n"/>
      <c r="O555" s="19" t="inlineStr">
        <is>
          <t>iorta TechNXT QA</t>
        </is>
      </c>
      <c r="P555" s="19" t="inlineStr">
        <is>
          <t>04 October 2026</t>
        </is>
      </c>
      <c r="Q555" s="19" t="n"/>
      <c r="R555" s="19" t="inlineStr">
        <is>
          <t>backend/test/aml.test.js :: works an STR case from alerts to the filed report with the due date in working days [passed]</t>
        </is>
      </c>
      <c r="S555" s="19" t="inlineStr">
        <is>
          <t>AMLC reporting procedures (STR)</t>
        </is>
      </c>
    </row>
    <row r="556">
      <c r="A556" s="19" t="inlineStr">
        <is>
          <t>BV-AML-012</t>
        </is>
      </c>
      <c r="B556" s="19" t="inlineStr">
        <is>
          <t>AML/CFT</t>
        </is>
      </c>
      <c r="C556" s="19" t="inlineStr">
        <is>
          <t>Role and retention</t>
        </is>
      </c>
      <c r="D556" s="19" t="inlineStr">
        <is>
          <t>Compliance Officer (AML/CFT)</t>
        </is>
      </c>
      <c r="E556" s="19" t="inlineStr">
        <is>
          <t>Compliance officer reads clients but cannot post receipts; records kept 5 years</t>
        </is>
      </c>
      <c r="F556" s="19" t="inlineStr">
        <is>
          <t>Role access</t>
        </is>
      </c>
      <c r="G556" s="19" t="inlineStr">
        <is>
          <t>High</t>
        </is>
      </c>
      <c r="H556" s="19" t="inlineStr">
        <is>
          <t>Compliance officer user.</t>
        </is>
      </c>
      <c r="I556" s="19" t="inlineStr">
        <is>
          <t>1. Open the AML dashboard.
2. Try to post a receipt.</t>
        </is>
      </c>
      <c r="J556" s="19" t="inlineStr">
        <is>
          <t>None</t>
        </is>
      </c>
      <c r="K556" s="19" t="inlineStr">
        <is>
          <t>Dashboard counts shown; receipt refused; AML records retained 5 years; screening provider in test mode logs and retries.</t>
        </is>
      </c>
      <c r="L556" s="19" t="inlineStr">
        <is>
          <t>As expected.</t>
        </is>
      </c>
      <c r="M556" s="19" t="inlineStr">
        <is>
          <t>Pass</t>
        </is>
      </c>
      <c r="N556" s="19" t="n"/>
      <c r="O556" s="19" t="inlineStr">
        <is>
          <t>iorta TechNXT QA</t>
        </is>
      </c>
      <c r="P556" s="19" t="inlineStr">
        <is>
          <t>04 October 2026</t>
        </is>
      </c>
      <c r="Q556" s="19" t="n"/>
      <c r="R556" s="19" t="inlineStr">
        <is>
          <t>backend/test/aml.test.js :: holds the AML permissions and reads clients, but cannot post receipts [passed]
backend/test/aml.test.js :: shows the counts on the AML dashboard and keeps AML records for 5 years [passed]
backend/test/aml.test.js :: screens through the provider adapter in test mode, logs every request and retries failures [passed]
brokerverse/src/module/Compliance/Compliance.test.jsx :: is open to the compliance officer and the administrator, with EDD Reviews for Operations [passed]</t>
        </is>
      </c>
      <c r="S556" s="19" t="inlineStr">
        <is>
          <t>AMLA record keeping (5 years)</t>
        </is>
      </c>
    </row>
    <row r="557">
      <c r="A557" s="19" t="inlineStr">
        <is>
          <t>BV-ICC-001</t>
        </is>
      </c>
      <c r="B557" s="19" t="inlineStr">
        <is>
          <t>IC compliance</t>
        </is>
      </c>
      <c r="C557" s="19" t="inlineStr">
        <is>
          <t>Licence register</t>
        </is>
      </c>
      <c r="D557" s="19" t="inlineStr">
        <is>
          <t>Operations (ana.buenaventura)</t>
        </is>
      </c>
      <c r="E557" s="19" t="inlineStr">
        <is>
          <t>Record licences and see their state and expiry calendar</t>
        </is>
      </c>
      <c r="F557" s="19" t="inlineStr">
        <is>
          <t>Functional</t>
        </is>
      </c>
      <c r="G557" s="19" t="inlineStr">
        <is>
          <t>High</t>
        </is>
      </c>
      <c r="H557" s="19" t="inlineStr">
        <is>
          <t>Compliance &gt; Insurance Commission &gt; Licence Register.</t>
        </is>
      </c>
      <c r="I557" s="19" t="inlineStr">
        <is>
          <t>1. Add the firm licence and an agent licence.
2. Open Expiry calendar.</t>
        </is>
      </c>
      <c r="J557" s="19" t="inlineStr">
        <is>
          <t>Licence expiring in 60 days</t>
        </is>
      </c>
      <c r="K557" s="19" t="inlineStr">
        <is>
          <t>States Valid, Expiring (within 90 days), Expired; calendar by month; renewal supersedes the old licence; Excel export.</t>
        </is>
      </c>
      <c r="L557" s="19" t="inlineStr">
        <is>
          <t>As expected.</t>
        </is>
      </c>
      <c r="M557" s="19" t="inlineStr">
        <is>
          <t>Pass</t>
        </is>
      </c>
      <c r="N557" s="19" t="n"/>
      <c r="O557" s="19" t="inlineStr">
        <is>
          <t>iorta TechNXT QA</t>
        </is>
      </c>
      <c r="P557" s="19" t="inlineStr">
        <is>
          <t>04 October 2026</t>
        </is>
      </c>
      <c r="Q557" s="19" t="n"/>
      <c r="R557" s="19" t="inlineStr">
        <is>
          <t>backend/test/ic-compliance.test.js (package B branch) :: records the firm licence, a referrer licence, and computes the state and the expiry calendar [passed]
backend/test/ic-compliance.test.js (package B branch) :: renews: a new licence term, the old one superseded; Excel export [passed]</t>
        </is>
      </c>
      <c r="S557" s="19" t="inlineStr">
        <is>
          <t>Insurance Code (RA 10607) licensing of brokers and agents</t>
        </is>
      </c>
    </row>
    <row r="558">
      <c r="A558" s="19" t="inlineStr">
        <is>
          <t>BV-ICC-002</t>
        </is>
      </c>
      <c r="B558" s="19" t="inlineStr">
        <is>
          <t>IC compliance</t>
        </is>
      </c>
      <c r="C558" s="19" t="inlineStr">
        <is>
          <t>Licence reminders</t>
        </is>
      </c>
      <c r="D558" s="19" t="inlineStr">
        <is>
          <t>Operations (ana.buenaventura)</t>
        </is>
      </c>
      <c r="E558" s="19" t="inlineStr">
        <is>
          <t>Reminders at each threshold, once</t>
        </is>
      </c>
      <c r="F558" s="19" t="inlineStr">
        <is>
          <t>Integration</t>
        </is>
      </c>
      <c r="G558" s="19" t="inlineStr">
        <is>
          <t>Medium</t>
        </is>
      </c>
      <c r="H558" s="19" t="inlineStr">
        <is>
          <t>compliance.licence_reminder_days set.</t>
        </is>
      </c>
      <c r="I558" s="19" t="inlineStr">
        <is>
          <t>1. Run the compliance-reminders job twice.</t>
        </is>
      </c>
      <c r="J558" s="19" t="inlineStr">
        <is>
          <t>None</t>
        </is>
      </c>
      <c r="K558" s="19" t="inlineStr">
        <is>
          <t>One reminder per threshold; Renewal due within 30 days.</t>
        </is>
      </c>
      <c r="L558" s="19" t="inlineStr">
        <is>
          <t>As expected.</t>
        </is>
      </c>
      <c r="M558" s="19" t="inlineStr">
        <is>
          <t>Pass</t>
        </is>
      </c>
      <c r="N558" s="19" t="n"/>
      <c r="O558" s="19" t="inlineStr">
        <is>
          <t>iorta TechNXT QA</t>
        </is>
      </c>
      <c r="P558" s="19" t="inlineStr">
        <is>
          <t>04 October 2026</t>
        </is>
      </c>
      <c r="Q558" s="19" t="n"/>
      <c r="R558" s="19" t="inlineStr">
        <is>
          <t>backend/test/ic-compliance.test.js (package B branch) :: reminds the compliance team once per threshold (compliance.licence_reminder_days) and marks the renewal due [passed]</t>
        </is>
      </c>
      <c r="S558" s="19" t="inlineStr">
        <is>
          <t>Insurance Code licensing</t>
        </is>
      </c>
    </row>
    <row r="559">
      <c r="A559" s="19" t="inlineStr">
        <is>
          <t>BV-ICC-003</t>
        </is>
      </c>
      <c r="B559" s="19" t="inlineStr">
        <is>
          <t>IC compliance</t>
        </is>
      </c>
      <c r="C559" s="19" t="inlineStr">
        <is>
          <t>Payout block</t>
        </is>
      </c>
      <c r="D559" s="19" t="inlineStr">
        <is>
          <t>Accounting (liza.quiambao)</t>
        </is>
      </c>
      <c r="E559" s="19" t="inlineStr">
        <is>
          <t>Commission to an unlicensed agent is blocked</t>
        </is>
      </c>
      <c r="F559" s="19" t="inlineStr">
        <is>
          <t>Negative</t>
        </is>
      </c>
      <c r="G559" s="19" t="inlineStr">
        <is>
          <t>High</t>
        </is>
      </c>
      <c r="H559" s="19" t="inlineStr">
        <is>
          <t>compliance.referrer_licence_check = block; agent without licence.</t>
        </is>
      </c>
      <c r="I559" s="19" t="inlineStr">
        <is>
          <t>1. Approve the commission; generate payout.</t>
        </is>
      </c>
      <c r="J559" s="19" t="inlineStr">
        <is>
          <t>None</t>
        </is>
      </c>
      <c r="K559" s="19" t="inlineStr">
        <is>
          <t>Refused with the reason, also shown on the referrer account; in warn mode it proceeds with an audited warning.</t>
        </is>
      </c>
      <c r="L559" s="19" t="inlineStr">
        <is>
          <t>As expected.</t>
        </is>
      </c>
      <c r="M559" s="19" t="inlineStr">
        <is>
          <t>Pass</t>
        </is>
      </c>
      <c r="N559" s="19" t="n"/>
      <c r="O559" s="19" t="inlineStr">
        <is>
          <t>iorta TechNXT QA</t>
        </is>
      </c>
      <c r="P559" s="19" t="inlineStr">
        <is>
          <t>04 October 2026</t>
        </is>
      </c>
      <c r="Q559" s="19" t="n"/>
      <c r="R559" s="19" t="inlineStr">
        <is>
          <t>backend/test/ic-compliance.test.js (package B branch) :: block: an agent without a licence cannot be approved, have a payout generated or a payout voucher approved [passed]
backend/test/ic-compliance.test.js (package B branch) :: warn: the payout goes ahead, the warning is returned and recorded; off: no check; a referrer type without licence is not checked [passed]</t>
        </is>
      </c>
      <c r="S559" s="19" t="inlineStr">
        <is>
          <t>Insurance Code s.300s (commission only to licensed agents)</t>
        </is>
      </c>
    </row>
    <row r="560">
      <c r="A560" s="19" t="inlineStr">
        <is>
          <t>BV-ICC-004</t>
        </is>
      </c>
      <c r="B560" s="19" t="inlineStr">
        <is>
          <t>IC compliance</t>
        </is>
      </c>
      <c r="C560" s="19" t="inlineStr">
        <is>
          <t>Fit and proper</t>
        </is>
      </c>
      <c r="D560" s="19" t="inlineStr">
        <is>
          <t>Operations (ana.buenaventura)</t>
        </is>
      </c>
      <c r="E560" s="19" t="inlineStr">
        <is>
          <t>Record a director with declarations and a review</t>
        </is>
      </c>
      <c r="F560" s="19" t="inlineStr">
        <is>
          <t>Functional</t>
        </is>
      </c>
      <c r="G560" s="19" t="inlineStr">
        <is>
          <t>Medium</t>
        </is>
      </c>
      <c r="H560" s="19" t="inlineStr">
        <is>
          <t>Fit and Proper.</t>
        </is>
      </c>
      <c r="I560" s="19" t="inlineStr">
        <is>
          <t>1. Add director; answer declarations (one No with remarks); Record review.</t>
        </is>
      </c>
      <c r="J560" s="19" t="inlineStr">
        <is>
          <t>None</t>
        </is>
      </c>
      <c r="K560" s="19" t="inlineStr">
        <is>
          <t>A No needs remarks; next review 12 months later; Accounting reads, cannot write.</t>
        </is>
      </c>
      <c r="L560" s="19" t="inlineStr">
        <is>
          <t>As expected.</t>
        </is>
      </c>
      <c r="M560" s="19" t="inlineStr">
        <is>
          <t>Pass</t>
        </is>
      </c>
      <c r="N560" s="19" t="n"/>
      <c r="O560" s="19" t="inlineStr">
        <is>
          <t>iorta TechNXT QA</t>
        </is>
      </c>
      <c r="P560" s="19" t="inlineStr">
        <is>
          <t>04 October 2026</t>
        </is>
      </c>
      <c r="Q560" s="19" t="n"/>
      <c r="R560" s="19" t="inlineStr">
        <is>
          <t>backend/test/ic-compliance.test.js (package B branch) :: adds a director with the configured declarations, needs remarks on a "no", reviews and sets the next review [passed]
backend/test/ic-compliance.test.js (package B branch) :: is read by Accounting but written only by the compliance roles [passed]</t>
        </is>
      </c>
      <c r="S560" s="19" t="inlineStr">
        <is>
          <t>IC rules on fit and proper of directors and officers</t>
        </is>
      </c>
    </row>
    <row r="561">
      <c r="A561" s="19" t="inlineStr">
        <is>
          <t>BV-ICC-005</t>
        </is>
      </c>
      <c r="B561" s="19" t="inlineStr">
        <is>
          <t>IC compliance</t>
        </is>
      </c>
      <c r="C561" s="19" t="inlineStr">
        <is>
          <t>Insurer authority</t>
        </is>
      </c>
      <c r="D561" s="19" t="inlineStr">
        <is>
          <t>Processing Team (jose.bernardo)</t>
        </is>
      </c>
      <c r="E561" s="19" t="inlineStr">
        <is>
          <t>Placement with an insurer whose certificate expired is refused in block mode</t>
        </is>
      </c>
      <c r="F561" s="19" t="inlineStr">
        <is>
          <t>Negative</t>
        </is>
      </c>
      <c r="G561" s="19" t="inlineStr">
        <is>
          <t>High</t>
        </is>
      </c>
      <c r="H561" s="19" t="inlineStr">
        <is>
          <t>compliance.insurer_authority_check = block; insurer certificate expired.</t>
        </is>
      </c>
      <c r="I561" s="19" t="inlineStr">
        <is>
          <t>1. Submit a request for quotation; issue a policy.</t>
        </is>
      </c>
      <c r="J561" s="19" t="inlineStr">
        <is>
          <t>None</t>
        </is>
      </c>
      <c r="K561" s="19" t="inlineStr">
        <is>
          <t>Both refused naming the insurer; in warn mode allowed with an audited warning; daily reminders of expiring certificates.</t>
        </is>
      </c>
      <c r="L561" s="19" t="inlineStr">
        <is>
          <t>As expected.</t>
        </is>
      </c>
      <c r="M561" s="19" t="inlineStr">
        <is>
          <t>Pass</t>
        </is>
      </c>
      <c r="N561" s="19" t="n"/>
      <c r="O561" s="19" t="inlineStr">
        <is>
          <t>iorta TechNXT QA</t>
        </is>
      </c>
      <c r="P561" s="19" t="inlineStr">
        <is>
          <t>04 October 2026</t>
        </is>
      </c>
      <c r="Q561" s="19" t="n"/>
      <c r="R561" s="19" t="inlineStr">
        <is>
          <t>backend/test/ic-compliance.test.js (package B branch) :: block: the request for quotation and the policy issue are refused with an insurer whose certificate expired [passed]
backend/test/ic-compliance.test.js (package B branch) :: warn: allowed, with the warning in the answer and the audit trail [passed]
backend/test/ic-compliance.test.js (package B branch) :: the daily job reminds the compliance team of expiring and expired certificates [passed]
backend/test/ic-compliance.test.js (package B branch) :: reports each insurer's certificate: valid, expiring, expired, missing; Excel [passed]</t>
        </is>
      </c>
      <c r="S561" s="19" t="inlineStr">
        <is>
          <t>Insurance Code: placement only with authorised insurers</t>
        </is>
      </c>
    </row>
    <row r="562">
      <c r="A562" s="19" t="inlineStr">
        <is>
          <t>BV-ICC-006</t>
        </is>
      </c>
      <c r="B562" s="19" t="inlineStr">
        <is>
          <t>IC compliance</t>
        </is>
      </c>
      <c r="C562" s="19" t="inlineStr">
        <is>
          <t>IC production report</t>
        </is>
      </c>
      <c r="D562" s="19" t="inlineStr">
        <is>
          <t>Accounting (liza.quiambao)</t>
        </is>
      </c>
      <c r="E562" s="19" t="inlineStr">
        <is>
          <t>Premiums by insurer and IC line, split by co-insurance share</t>
        </is>
      </c>
      <c r="F562" s="19" t="inlineStr">
        <is>
          <t>Report</t>
        </is>
      </c>
      <c r="G562" s="19" t="inlineStr">
        <is>
          <t>High</t>
        </is>
      </c>
      <c r="H562" s="19" t="inlineStr">
        <is>
          <t>Policies issued in the quarter, one co-insured.</t>
        </is>
      </c>
      <c r="I562" s="19" t="inlineStr">
        <is>
          <t>1. Compliance &gt; IC Production Report; quarter; Download Excel.</t>
        </is>
      </c>
      <c r="J562" s="19" t="inlineStr">
        <is>
          <t>None</t>
        </is>
      </c>
      <c r="K562" s="19" t="inlineStr">
        <is>
          <t>Premiums by insurer and line; co-insured policy split by share; Excel in the IC layout.</t>
        </is>
      </c>
      <c r="L562" s="19" t="inlineStr">
        <is>
          <t>As expected.</t>
        </is>
      </c>
      <c r="M562" s="19" t="inlineStr">
        <is>
          <t>Pass</t>
        </is>
      </c>
      <c r="N562" s="19" t="n"/>
      <c r="O562" s="19" t="inlineStr">
        <is>
          <t>iorta TechNXT QA</t>
        </is>
      </c>
      <c r="P562" s="19" t="inlineStr">
        <is>
          <t>04 October 2026</t>
        </is>
      </c>
      <c r="Q562" s="19" t="n"/>
      <c r="R562" s="19" t="inlineStr">
        <is>
          <t>backend/test/ic-compliance.test.js (package B branch) :: production report: premiums by insurer and IC line, split by co-insurance share, by quarter; Excel in the IC layout [passed]</t>
        </is>
      </c>
      <c r="S562" s="19" t="inlineStr">
        <is>
          <t>IC reporting of brokers</t>
        </is>
      </c>
    </row>
    <row r="563">
      <c r="A563" s="19" t="inlineStr">
        <is>
          <t>BV-ICC-007</t>
        </is>
      </c>
      <c r="B563" s="19" t="inlineStr">
        <is>
          <t>IC compliance</t>
        </is>
      </c>
      <c r="C563" s="19" t="inlineStr">
        <is>
          <t>IC annual statement</t>
        </is>
      </c>
      <c r="D563" s="19" t="inlineStr">
        <is>
          <t>Accounting Manager (teresa.villaroman)</t>
        </is>
      </c>
      <c r="E563" s="19" t="inlineStr">
        <is>
          <t>Annual statement schedules from the ledger with checks</t>
        </is>
      </c>
      <c r="F563" s="19" t="inlineStr">
        <is>
          <t>Report</t>
        </is>
      </c>
      <c r="G563" s="19" t="inlineStr">
        <is>
          <t>High</t>
        </is>
      </c>
      <c r="H563" s="19" t="inlineStr">
        <is>
          <t>Ledger of the year.</t>
        </is>
      </c>
      <c r="I563" s="19" t="inlineStr">
        <is>
          <t>1. Compliance &gt; IC Annual Statement; year; Download workbook.</t>
        </is>
      </c>
      <c r="J563" s="19" t="inlineStr">
        <is>
          <t>None</t>
        </is>
      </c>
      <c r="K563" s="19" t="inlineStr">
        <is>
          <t>Balance sheet balances; schedules and accountant confirmation sheet; account mapping editable by write:compliance only.</t>
        </is>
      </c>
      <c r="L563" s="19" t="inlineStr">
        <is>
          <t>As expected.</t>
        </is>
      </c>
      <c r="M563" s="19" t="inlineStr">
        <is>
          <t>Pass</t>
        </is>
      </c>
      <c r="N563" s="19" t="n"/>
      <c r="O563" s="19" t="inlineStr">
        <is>
          <t>iorta TechNXT QA</t>
        </is>
      </c>
      <c r="P563" s="19" t="inlineStr">
        <is>
          <t>04 October 2026</t>
        </is>
      </c>
      <c r="Q563" s="19" t="n"/>
      <c r="R563" s="19" t="inlineStr">
        <is>
          <t>backend/test/ic-compliance.test.js (package B branch) :: annual statement: balance sheet that balances, income statement, schedules and the accountant confirmation sheet [passed]
backend/test/ic-compliance.test.js (package B branch) :: the account mapping is configuration: a prefix change moves an account, accounting cannot change it [passed]</t>
        </is>
      </c>
      <c r="S563" s="19" t="inlineStr">
        <is>
          <t>IC annual statement of insurance brokers</t>
        </is>
      </c>
    </row>
    <row r="564">
      <c r="A564" s="19" t="inlineStr">
        <is>
          <t>BV-ICC-008</t>
        </is>
      </c>
      <c r="B564" s="19" t="inlineStr">
        <is>
          <t>IC compliance</t>
        </is>
      </c>
      <c r="C564" s="19" t="inlineStr">
        <is>
          <t>Complaints</t>
        </is>
      </c>
      <c r="D564" s="19" t="inlineStr">
        <is>
          <t>Operations (ana.buenaventura)</t>
        </is>
      </c>
      <c r="E564" s="19" t="inlineStr">
        <is>
          <t>Log, acknowledge and resolve a complaint within the deadlines</t>
        </is>
      </c>
      <c r="F564" s="19" t="inlineStr">
        <is>
          <t>Functional</t>
        </is>
      </c>
      <c r="G564" s="19" t="inlineStr">
        <is>
          <t>High</t>
        </is>
      </c>
      <c r="H564" s="19" t="inlineStr">
        <is>
          <t>Complaints register.</t>
        </is>
      </c>
      <c r="I564" s="19" t="inlineStr">
        <is>
          <t>1. Log complaint linked to a policy; assign.
2. Acknowledge; print the letter.
3. Resolve; refer to the IC; close.</t>
        </is>
      </c>
      <c r="J564" s="19" t="inlineStr">
        <is>
          <t>Complexity: Simple</t>
        </is>
      </c>
      <c r="K564" s="19" t="inlineStr">
        <is>
          <t>CMP number; deadlines 2 days to acknowledge and 7 (simple) or 45 (complex) to resolve; letters on letterhead; regulator report counts it.</t>
        </is>
      </c>
      <c r="L564" s="19" t="inlineStr">
        <is>
          <t>As expected.</t>
        </is>
      </c>
      <c r="M564" s="19" t="inlineStr">
        <is>
          <t>Pass</t>
        </is>
      </c>
      <c r="N564" s="19" t="n"/>
      <c r="O564" s="19" t="inlineStr">
        <is>
          <t>iorta TechNXT QA</t>
        </is>
      </c>
      <c r="P564" s="19" t="inlineStr">
        <is>
          <t>04 October 2026</t>
        </is>
      </c>
      <c r="Q564" s="19" t="n"/>
      <c r="R564" s="19" t="inlineStr">
        <is>
          <t>backend/test/ic-compliance.test.js (package B branch) :: logs a complaint linked to a policy with deadlines from the settings, assigns, acknowledges and prints the letter [passed]
backend/test/ic-compliance.test.js (package B branch) :: resolves, refers to the regulator, closes; the regulator report counts it with its ageing [passed]</t>
        </is>
      </c>
      <c r="S564" s="19" t="inlineStr">
        <is>
          <t>RA 11765 (Financial Products and Services Consumer Protection Act); IC complaint handling rules</t>
        </is>
      </c>
    </row>
    <row r="565">
      <c r="A565" s="19" t="inlineStr">
        <is>
          <t>BV-ICC-009</t>
        </is>
      </c>
      <c r="B565" s="19" t="inlineStr">
        <is>
          <t>IC compliance</t>
        </is>
      </c>
      <c r="C565" s="19" t="inlineStr">
        <is>
          <t>Complaints</t>
        </is>
      </c>
      <c r="D565" s="19" t="inlineStr">
        <is>
          <t>Operations (ana.buenaventura)</t>
        </is>
      </c>
      <c r="E565" s="19" t="inlineStr">
        <is>
          <t>Complex complaints get the longer deadline and overdue ones escalate</t>
        </is>
      </c>
      <c r="F565" s="19" t="inlineStr">
        <is>
          <t>Validation</t>
        </is>
      </c>
      <c r="G565" s="19" t="inlineStr">
        <is>
          <t>Medium</t>
        </is>
      </c>
      <c r="H565" s="19" t="inlineStr">
        <is>
          <t>complaints.auto_escalate on.</t>
        </is>
      </c>
      <c r="I565" s="19" t="inlineStr">
        <is>
          <t>1. Log a complex complaint; run complaints-deadlines past the date.</t>
        </is>
      </c>
      <c r="J565" s="19" t="inlineStr">
        <is>
          <t>None</t>
        </is>
      </c>
      <c r="K565" s="19" t="inlineStr">
        <is>
          <t>Longer deadline; escalated by the job.</t>
        </is>
      </c>
      <c r="L565" s="19" t="inlineStr">
        <is>
          <t>As expected.</t>
        </is>
      </c>
      <c r="M565" s="19" t="inlineStr">
        <is>
          <t>Pass</t>
        </is>
      </c>
      <c r="N565" s="19" t="n"/>
      <c r="O565" s="19" t="inlineStr">
        <is>
          <t>iorta TechNXT QA</t>
        </is>
      </c>
      <c r="P565" s="19" t="inlineStr">
        <is>
          <t>04 October 2026</t>
        </is>
      </c>
      <c r="Q565" s="19" t="n"/>
      <c r="R565" s="19" t="inlineStr">
        <is>
          <t>backend/test/ic-compliance.test.js (package B branch) :: a complex complaint gets the longer deadline; overdue complaints are escalated by the daily job [passed]</t>
        </is>
      </c>
      <c r="S565" s="19" t="inlineStr">
        <is>
          <t>RA 11765</t>
        </is>
      </c>
    </row>
    <row r="566">
      <c r="A566" s="19" t="inlineStr">
        <is>
          <t>BV-ICC-010</t>
        </is>
      </c>
      <c r="B566" s="19" t="inlineStr">
        <is>
          <t>IC compliance</t>
        </is>
      </c>
      <c r="C566" s="19" t="inlineStr">
        <is>
          <t>Complaints</t>
        </is>
      </c>
      <c r="D566" s="19" t="inlineStr">
        <is>
          <t>Sales &amp; Marketing (maria.rivera)</t>
        </is>
      </c>
      <c r="E566" s="19" t="inlineStr">
        <is>
          <t>Sales reads the register but cannot log complaints</t>
        </is>
      </c>
      <c r="F566" s="19" t="inlineStr">
        <is>
          <t>Role access</t>
        </is>
      </c>
      <c r="G566" s="19" t="inlineStr">
        <is>
          <t>Medium</t>
        </is>
      </c>
      <c r="H566" s="19" t="inlineStr">
        <is>
          <t>Sales user.</t>
        </is>
      </c>
      <c r="I566" s="19" t="inlineStr">
        <is>
          <t>1. Open Complaints; try Log complaint.</t>
        </is>
      </c>
      <c r="J566" s="19" t="inlineStr">
        <is>
          <t>None</t>
        </is>
      </c>
      <c r="K566" s="19" t="inlineStr">
        <is>
          <t>Register readable; logging refused.</t>
        </is>
      </c>
      <c r="L566" s="19" t="inlineStr">
        <is>
          <t>As expected.</t>
        </is>
      </c>
      <c r="M566" s="19" t="inlineStr">
        <is>
          <t>Pass</t>
        </is>
      </c>
      <c r="N566" s="19" t="n"/>
      <c r="O566" s="19" t="inlineStr">
        <is>
          <t>iorta TechNXT QA</t>
        </is>
      </c>
      <c r="P566" s="19" t="inlineStr">
        <is>
          <t>04 October 2026</t>
        </is>
      </c>
      <c r="Q566" s="19" t="n"/>
      <c r="R566" s="19" t="inlineStr">
        <is>
          <t>backend/test/ic-compliance.test.js (package B branch) :: sales reads the register, cannot log complaints [passed]</t>
        </is>
      </c>
      <c r="S566" s="19" t="inlineStr">
        <is>
          <t>RA 11765</t>
        </is>
      </c>
    </row>
    <row r="567">
      <c r="A567" s="19" t="inlineStr">
        <is>
          <t>BV-ICC-011</t>
        </is>
      </c>
      <c r="B567" s="19" t="inlineStr">
        <is>
          <t>IC compliance</t>
        </is>
      </c>
      <c r="C567" s="19" t="inlineStr">
        <is>
          <t>Premium held in trust</t>
        </is>
      </c>
      <c r="D567" s="19" t="inlineStr">
        <is>
          <t>Accounting Manager (teresa.villaroman)</t>
        </is>
      </c>
      <c r="E567" s="19" t="inlineStr">
        <is>
          <t>Premiums payable to insurers are covered by the premium trust account</t>
        </is>
      </c>
      <c r="F567" s="19" t="inlineStr">
        <is>
          <t>Accounting</t>
        </is>
      </c>
      <c r="G567" s="19" t="inlineStr">
        <is>
          <t>High</t>
        </is>
      </c>
      <c r="H567" s="19" t="inlineStr">
        <is>
          <t>Annual statement of the year.</t>
        </is>
      </c>
      <c r="I567" s="19" t="inlineStr">
        <is>
          <t>1. Open the Premiums held in trust tab.</t>
        </is>
      </c>
      <c r="J567" s="19" t="inlineStr">
        <is>
          <t>None</t>
        </is>
      </c>
      <c r="K567" s="19" t="inlineStr">
        <is>
          <t>Premiums payable per insurer at year end against the premium trust account; difference flagged.</t>
        </is>
      </c>
      <c r="L567" s="19" t="inlineStr">
        <is>
          <t>As expected.</t>
        </is>
      </c>
      <c r="M567" s="19" t="inlineStr">
        <is>
          <t>Pass</t>
        </is>
      </c>
      <c r="N567" s="19" t="n"/>
      <c r="O567" s="19" t="inlineStr">
        <is>
          <t>iorta TechNXT QA</t>
        </is>
      </c>
      <c r="P567" s="19" t="inlineStr">
        <is>
          <t>04 October 2026</t>
        </is>
      </c>
      <c r="Q567" s="19" t="n"/>
      <c r="R567" s="19" t="inlineStr">
        <is>
          <t>backend/test/ic-compliance.test.js (package B branch) :: annual statement: balance sheet that balances, income statement, schedules and the accountant confirmation sheet [passed]</t>
        </is>
      </c>
      <c r="S567" s="19" t="inlineStr">
        <is>
          <t>Insurance Code: premiums held in trust</t>
        </is>
      </c>
    </row>
    <row r="568">
      <c r="A568" s="19" t="inlineStr">
        <is>
          <t>BV-NPC-001</t>
        </is>
      </c>
      <c r="B568" s="19" t="inlineStr">
        <is>
          <t>Personal data protection</t>
        </is>
      </c>
      <c r="C568" s="19" t="inlineStr">
        <is>
          <t>Breach register</t>
        </is>
      </c>
      <c r="D568" s="19" t="inlineStr">
        <is>
          <t>Operations (ana.buenaventura)</t>
        </is>
      </c>
      <c r="E568" s="19" t="inlineStr">
        <is>
          <t>Log a breach with the 72-hour clock from discovery</t>
        </is>
      </c>
      <c r="F568" s="19" t="inlineStr">
        <is>
          <t>Functional</t>
        </is>
      </c>
      <c r="G568" s="19" t="inlineStr">
        <is>
          <t>High</t>
        </is>
      </c>
      <c r="H568" s="19" t="inlineStr">
        <is>
          <t>Compliance &gt; Data Privacy (NPC) &gt; Breach Register.</t>
        </is>
      </c>
      <c r="I568" s="19" t="inlineStr">
        <is>
          <t>1. Log incident: personal data breach, time discovered.</t>
        </is>
      </c>
      <c r="J568" s="19" t="inlineStr">
        <is>
          <t>None</t>
        </is>
      </c>
      <c r="K568" s="19" t="inlineStr">
        <is>
          <t>PDB number; NPC deadline 72 hours after discovery; data privacy team notified.</t>
        </is>
      </c>
      <c r="L568" s="19" t="inlineStr">
        <is>
          <t>As expected.</t>
        </is>
      </c>
      <c r="M568" s="19" t="inlineStr">
        <is>
          <t>Pass</t>
        </is>
      </c>
      <c r="N568" s="19" t="n"/>
      <c r="O568" s="19" t="inlineStr">
        <is>
          <t>iorta TechNXT QA</t>
        </is>
      </c>
      <c r="P568" s="19" t="inlineStr">
        <is>
          <t>04 October 2026</t>
        </is>
      </c>
      <c r="Q568" s="19" t="n"/>
      <c r="R568" s="19" t="inlineStr">
        <is>
          <t>backend/test/data-breaches.test.js (package B branch) :: logs a breach with the 72-hour deadline from discovery and notifies the data privacy team [passed]</t>
        </is>
      </c>
      <c r="S568" s="19" t="inlineStr">
        <is>
          <t>DPA s.20(f); NPC Circular 16-03</t>
        </is>
      </c>
    </row>
    <row r="569">
      <c r="A569" s="19" t="inlineStr">
        <is>
          <t>BV-NPC-002</t>
        </is>
      </c>
      <c r="B569" s="19" t="inlineStr">
        <is>
          <t>Personal data protection</t>
        </is>
      </c>
      <c r="C569" s="19" t="inlineStr">
        <is>
          <t>Breach assessment</t>
        </is>
      </c>
      <c r="D569" s="19" t="inlineStr">
        <is>
          <t>Operations (ana.buenaventura)</t>
        </is>
      </c>
      <c r="E569" s="19" t="inlineStr">
        <is>
          <t>Assess against the NPC criteria; another decision needs a reason</t>
        </is>
      </c>
      <c r="F569" s="19" t="inlineStr">
        <is>
          <t>Validation</t>
        </is>
      </c>
      <c r="G569" s="19" t="inlineStr">
        <is>
          <t>High</t>
        </is>
      </c>
      <c r="H569" s="19" t="inlineStr">
        <is>
          <t>Logged breach.</t>
        </is>
      </c>
      <c r="I569" s="19" t="inlineStr">
        <is>
          <t>1. Assess; answer the criteria; choose not notifiable.</t>
        </is>
      </c>
      <c r="J569" s="19" t="inlineStr">
        <is>
          <t>None</t>
        </is>
      </c>
      <c r="K569" s="19" t="inlineStr">
        <is>
          <t>Notifiable when criteria met; a different decision needs a reason.</t>
        </is>
      </c>
      <c r="L569" s="19" t="inlineStr">
        <is>
          <t>As expected.</t>
        </is>
      </c>
      <c r="M569" s="19" t="inlineStr">
        <is>
          <t>Pass</t>
        </is>
      </c>
      <c r="N569" s="19" t="n"/>
      <c r="O569" s="19" t="inlineStr">
        <is>
          <t>iorta TechNXT QA</t>
        </is>
      </c>
      <c r="P569" s="19" t="inlineStr">
        <is>
          <t>04 October 2026</t>
        </is>
      </c>
      <c r="Q569" s="19" t="n"/>
      <c r="R569" s="19" t="inlineStr">
        <is>
          <t>backend/test/data-breaches.test.js (package B branch) :: assesses against the NPC criteria; a different decision needs a reason [passed]</t>
        </is>
      </c>
      <c r="S569" s="19" t="inlineStr">
        <is>
          <t>NPC Circular 16-03</t>
        </is>
      </c>
    </row>
    <row r="570">
      <c r="A570" s="19" t="inlineStr">
        <is>
          <t>BV-NPC-003</t>
        </is>
      </c>
      <c r="B570" s="19" t="inlineStr">
        <is>
          <t>Personal data protection</t>
        </is>
      </c>
      <c r="C570" s="19" t="inlineStr">
        <is>
          <t>Breach notification</t>
        </is>
      </c>
      <c r="D570" s="19" t="inlineStr">
        <is>
          <t>Operations (ana.buenaventura)</t>
        </is>
      </c>
      <c r="E570" s="19" t="inlineStr">
        <is>
          <t>Record NPC notification (late needs a reason), data subjects and close</t>
        </is>
      </c>
      <c r="F570" s="19" t="inlineStr">
        <is>
          <t>Functional</t>
        </is>
      </c>
      <c r="G570" s="19" t="inlineStr">
        <is>
          <t>High</t>
        </is>
      </c>
      <c r="H570" s="19" t="inlineStr">
        <is>
          <t>Notifiable breach.</t>
        </is>
      </c>
      <c r="I570" s="19" t="inlineStr">
        <is>
          <t>1. Notify NPC after the deadline; record data subjects; close.</t>
        </is>
      </c>
      <c r="J570" s="19" t="inlineStr">
        <is>
          <t>None</t>
        </is>
      </c>
      <c r="K570" s="19" t="inlineStr">
        <is>
          <t>Late notification needs a reason; close only after the NPC notification; hourly job reminds at 48, 24, 6 hours.</t>
        </is>
      </c>
      <c r="L570" s="19" t="inlineStr">
        <is>
          <t>As expected.</t>
        </is>
      </c>
      <c r="M570" s="19" t="inlineStr">
        <is>
          <t>Pass</t>
        </is>
      </c>
      <c r="N570" s="19" t="n"/>
      <c r="O570" s="19" t="inlineStr">
        <is>
          <t>iorta TechNXT QA</t>
        </is>
      </c>
      <c r="P570" s="19" t="inlineStr">
        <is>
          <t>04 October 2026</t>
        </is>
      </c>
      <c r="Q570" s="19" t="n"/>
      <c r="R570" s="19" t="inlineStr">
        <is>
          <t>backend/test/data-breaches.test.js (package B branch) :: records the NPC notification (late needs a reason), the data subjects notified, and closes [passed]
backend/test/data-breaches.test.js (package B branch) :: the hourly job reminds as the deadline nears and once it has passed, once per mark [passed]</t>
        </is>
      </c>
      <c r="S570" s="19" t="inlineStr">
        <is>
          <t>NPC Circular 16-03</t>
        </is>
      </c>
    </row>
    <row r="571">
      <c r="A571" s="19" t="inlineStr">
        <is>
          <t>BV-NPC-004</t>
        </is>
      </c>
      <c r="B571" s="19" t="inlineStr">
        <is>
          <t>Personal data protection</t>
        </is>
      </c>
      <c r="C571" s="19" t="inlineStr">
        <is>
          <t>Breach annual report</t>
        </is>
      </c>
      <c r="D571" s="19" t="inlineStr">
        <is>
          <t>Operations (ana.buenaventura)</t>
        </is>
      </c>
      <c r="E571" s="19" t="inlineStr">
        <is>
          <t>Annual report counts incidents and breaches</t>
        </is>
      </c>
      <c r="F571" s="19" t="inlineStr">
        <is>
          <t>Report</t>
        </is>
      </c>
      <c r="G571" s="19" t="inlineStr">
        <is>
          <t>Medium</t>
        </is>
      </c>
      <c r="H571" s="19" t="inlineStr">
        <is>
          <t>Incidents of the year.</t>
        </is>
      </c>
      <c r="I571" s="19" t="inlineStr">
        <is>
          <t>1. Annual report.</t>
        </is>
      </c>
      <c r="J571" s="19" t="inlineStr">
        <is>
          <t>None</t>
        </is>
      </c>
      <c r="K571" s="19" t="inlineStr">
        <is>
          <t>Excel with summary and counts; a security incident without personal data has no NPC clock; register reserved to read:privacy.</t>
        </is>
      </c>
      <c r="L571" s="19" t="inlineStr">
        <is>
          <t>As expected.</t>
        </is>
      </c>
      <c r="M571" s="19" t="inlineStr">
        <is>
          <t>Pass</t>
        </is>
      </c>
      <c r="N571" s="19" t="n"/>
      <c r="O571" s="19" t="inlineStr">
        <is>
          <t>iorta TechNXT QA</t>
        </is>
      </c>
      <c r="P571" s="19" t="inlineStr">
        <is>
          <t>04 October 2026</t>
        </is>
      </c>
      <c r="Q571" s="19" t="n"/>
      <c r="R571" s="19" t="inlineStr">
        <is>
          <t>backend/test/data-breaches.test.js (package B branch) :: a security incident without personal data has no NPC clock; the annual report counts both (Excel) [passed]
backend/test/data-breaches.test.js (package B branch) :: is reserved to the data privacy team (read:privacy / write:privacy) [passed]</t>
        </is>
      </c>
      <c r="S571" s="19" t="inlineStr">
        <is>
          <t>NPC annual security incident report</t>
        </is>
      </c>
    </row>
    <row r="572">
      <c r="A572" s="19" t="inlineStr">
        <is>
          <t>BV-NPC-005</t>
        </is>
      </c>
      <c r="B572" s="19" t="inlineStr">
        <is>
          <t>Personal data protection</t>
        </is>
      </c>
      <c r="C572" s="19" t="inlineStr">
        <is>
          <t>Masking by role</t>
        </is>
      </c>
      <c r="D572" s="19" t="inlineStr">
        <is>
          <t>Processing Team (jose.bernardo)</t>
        </is>
      </c>
      <c r="E572" s="19" t="inlineStr">
        <is>
          <t>A user without view:pii sees personal identifiers masked</t>
        </is>
      </c>
      <c r="F572" s="19" t="inlineStr">
        <is>
          <t>Role access</t>
        </is>
      </c>
      <c r="G572" s="19" t="inlineStr">
        <is>
          <t>High</t>
        </is>
      </c>
      <c r="H572" s="19" t="inlineStr">
        <is>
          <t>Processing role without View full personal identifiers.</t>
        </is>
      </c>
      <c r="I572" s="19" t="inlineStr">
        <is>
          <t>1. Open a client; export the client list.</t>
        </is>
      </c>
      <c r="J572" s="19" t="inlineStr">
        <is>
          <t>None</t>
        </is>
      </c>
      <c r="K572" s="19" t="inlineStr">
        <is>
          <t>TIN, ID, mobile, e-mail and birth date masked on views, lists and exports; a form saved with masked values keeps the stored values.</t>
        </is>
      </c>
      <c r="L572" s="19" t="inlineStr">
        <is>
          <t>As expected.</t>
        </is>
      </c>
      <c r="M572" s="19" t="inlineStr">
        <is>
          <t>Pass</t>
        </is>
      </c>
      <c r="N572" s="19" t="n"/>
      <c r="O572" s="19" t="inlineStr">
        <is>
          <t>iorta TechNXT QA</t>
        </is>
      </c>
      <c r="P572" s="19" t="inlineStr">
        <is>
          <t>04 October 2026</t>
        </is>
      </c>
      <c r="Q572" s="19" t="n"/>
      <c r="R572" s="19" t="inlineStr">
        <is>
          <t>backend/test/personal-data-protection.test.js (package B branch) :: a user without View full personal identifiers gets TIN, ID, mobile, e-mail and birth date masked on views and lists [passed]
backend/test/personal-data-protection.test.js (package B branch) :: a form sent back with masked values does not overwrite the stored ones [passed]
backend/test/personal-data-protection.test.js (package B branch) :: exports are masked for the same users (Excel, CSV); holders get full values [passed]</t>
        </is>
      </c>
      <c r="S572" s="19" t="inlineStr">
        <is>
          <t>DPA s.11 (proportionality); NPC security rules</t>
        </is>
      </c>
    </row>
    <row r="573">
      <c r="A573" s="19" t="inlineStr">
        <is>
          <t>BV-NPC-006</t>
        </is>
      </c>
      <c r="B573" s="19" t="inlineStr">
        <is>
          <t>Personal data protection</t>
        </is>
      </c>
      <c r="C573" s="19" t="inlineStr">
        <is>
          <t>Reveal on request</t>
        </is>
      </c>
      <c r="D573" s="19" t="inlineStr">
        <is>
          <t>System Administrator (BrokerVerse)</t>
        </is>
      </c>
      <c r="E573" s="19" t="inlineStr">
        <is>
          <t>On-request mode: holders unmask and each request is audited</t>
        </is>
      </c>
      <c r="F573" s="19" t="inlineStr">
        <is>
          <t>Functional</t>
        </is>
      </c>
      <c r="G573" s="19" t="inlineStr">
        <is>
          <t>Medium</t>
        </is>
      </c>
      <c r="H573" s="19" t="inlineStr">
        <is>
          <t>privacy.pii_reveal_mode = on-request.</t>
        </is>
      </c>
      <c r="I573" s="19" t="inlineStr">
        <is>
          <t>1. Show full identifiers in the user menu; open a client.</t>
        </is>
      </c>
      <c r="J573" s="19" t="inlineStr">
        <is>
          <t>None</t>
        </is>
      </c>
      <c r="K573" s="19" t="inlineStr">
        <is>
          <t>Full values shown; audit trail records personal_data unmask.</t>
        </is>
      </c>
      <c r="L573" s="19" t="inlineStr">
        <is>
          <t>As expected.</t>
        </is>
      </c>
      <c r="M573" s="19" t="inlineStr">
        <is>
          <t>Pass</t>
        </is>
      </c>
      <c r="N573" s="19" t="n"/>
      <c r="O573" s="19" t="inlineStr">
        <is>
          <t>iorta TechNXT QA</t>
        </is>
      </c>
      <c r="P573" s="19" t="inlineStr">
        <is>
          <t>04 October 2026</t>
        </is>
      </c>
      <c r="Q573" s="19" t="n"/>
      <c r="R573" s="19" t="inlineStr">
        <is>
          <t>backend/test/personal-data-protection.test.js (package B branch) :: on-request mode: holders see masked values until they unmask; each unmasked request is in the audit trail [passed]
backend/test/personal-data-protection.test.js (package B branch) :: masking can be switched off; exempt paths answer in full [passed]</t>
        </is>
      </c>
      <c r="S573" s="19" t="inlineStr">
        <is>
          <t>DPA accountability</t>
        </is>
      </c>
    </row>
    <row r="574">
      <c r="A574" s="19" t="inlineStr">
        <is>
          <t>BV-NPC-007</t>
        </is>
      </c>
      <c r="B574" s="19" t="inlineStr">
        <is>
          <t>Personal data protection</t>
        </is>
      </c>
      <c r="C574" s="19" t="inlineStr">
        <is>
          <t>Encryption at rest</t>
        </is>
      </c>
      <c r="D574" s="19" t="inlineStr">
        <is>
          <t>System Administrator (BrokerVerse)</t>
        </is>
      </c>
      <c r="E574" s="19" t="inlineStr">
        <is>
          <t>TIN, ID and bank numbers are stored encrypted; search by exact TIN works</t>
        </is>
      </c>
      <c r="F574" s="19" t="inlineStr">
        <is>
          <t>Functional</t>
        </is>
      </c>
      <c r="G574" s="19" t="inlineStr">
        <is>
          <t>High</t>
        </is>
      </c>
      <c r="H574" s="19" t="inlineStr">
        <is>
          <t>PII_ENCRYPTION_KEY set.</t>
        </is>
      </c>
      <c r="I574" s="19" t="inlineStr">
        <is>
          <t>1. Create a client with TIN; read the database column; search by the TIN without dashes.</t>
        </is>
      </c>
      <c r="J574" s="19" t="inlineStr">
        <is>
          <t>TIN 123456789000</t>
        </is>
      </c>
      <c r="K574" s="19" t="inlineStr">
        <is>
          <t>Column holds cipher text; API answers in clear for holders; exact TIN search finds the client; referrer bank account shows last digits.</t>
        </is>
      </c>
      <c r="L574" s="19" t="inlineStr">
        <is>
          <t>As expected.</t>
        </is>
      </c>
      <c r="M574" s="19" t="inlineStr">
        <is>
          <t>Pass</t>
        </is>
      </c>
      <c r="N574" s="19" t="n"/>
      <c r="O574" s="19" t="inlineStr">
        <is>
          <t>iorta TechNXT QA</t>
        </is>
      </c>
      <c r="P574" s="19" t="inlineStr">
        <is>
          <t>04 October 2026</t>
        </is>
      </c>
      <c r="Q574" s="19" t="n"/>
      <c r="R574" s="19" t="inlineStr">
        <is>
          <t>backend/test/personal-data-protection.test.js (package B branch) :: stores TIN and government ID numbers encrypted with a blind index; the API answers them in clear [passed]
backend/test/personal-data-protection.test.js (package B branch) :: finds a client by its exact TIN in any format (list and global search) [passed]
backend/test/personal-data-protection.test.js (package B branch) :: referrer TIN and bank account are encrypted; the payout screen shows the last digits only [passed]</t>
        </is>
      </c>
      <c r="S574" s="19" t="inlineStr">
        <is>
          <t>DPA s.20 (security measures)</t>
        </is>
      </c>
    </row>
    <row r="575">
      <c r="A575" s="19" t="inlineStr">
        <is>
          <t>BV-NPC-008</t>
        </is>
      </c>
      <c r="B575" s="19" t="inlineStr">
        <is>
          <t>Personal data protection</t>
        </is>
      </c>
      <c r="C575" s="19" t="inlineStr">
        <is>
          <t>Key rotation</t>
        </is>
      </c>
      <c r="D575" s="19" t="inlineStr">
        <is>
          <t>System Administrator (BrokerVerse)</t>
        </is>
      </c>
      <c r="E575" s="19" t="inlineStr">
        <is>
          <t>Rotate the encryption key</t>
        </is>
      </c>
      <c r="F575" s="19" t="inlineStr">
        <is>
          <t>Functional</t>
        </is>
      </c>
      <c r="G575" s="19" t="inlineStr">
        <is>
          <t>Medium</t>
        </is>
      </c>
      <c r="H575" s="19" t="inlineStr">
        <is>
          <t>Old and new keys.</t>
        </is>
      </c>
      <c r="I575" s="19" t="inlineStr">
        <is>
          <t>1. Run npm run pii:rotate.</t>
        </is>
      </c>
      <c r="J575" s="19" t="inlineStr">
        <is>
          <t>None</t>
        </is>
      </c>
      <c r="K575" s="19" t="inlineStr">
        <is>
          <t>Values re-encrypted; blind indexes recomputed; a session without the key is refused.</t>
        </is>
      </c>
      <c r="L575" s="19" t="inlineStr">
        <is>
          <t>As expected.</t>
        </is>
      </c>
      <c r="M575" s="19" t="inlineStr">
        <is>
          <t>Pass</t>
        </is>
      </c>
      <c r="N575" s="19" t="n"/>
      <c r="O575" s="19" t="inlineStr">
        <is>
          <t>iorta TechNXT QA</t>
        </is>
      </c>
      <c r="P575" s="19" t="inlineStr">
        <is>
          <t>04 October 2026</t>
        </is>
      </c>
      <c r="Q575" s="19" t="n"/>
      <c r="R575" s="19" t="inlineStr">
        <is>
          <t>backend/test/personal-data-protection.test.js (package B branch) :: rotates to a new key: values re-encrypted, blind indexes recomputed; old backups stay readable with the old key [passed]
backend/test/personal-data-protection.test.js (package B branch) :: the database encrypts every writer (SQL included), keeps an unchanged value, and refuses a session without the key [passed]</t>
        </is>
      </c>
      <c r="S575" s="19" t="inlineStr">
        <is>
          <t>DPA s.20</t>
        </is>
      </c>
    </row>
    <row r="576">
      <c r="A576" s="19" t="inlineStr">
        <is>
          <t>BV-NPC-009</t>
        </is>
      </c>
      <c r="B576" s="19" t="inlineStr">
        <is>
          <t>Personal data protection</t>
        </is>
      </c>
      <c r="C576" s="19" t="inlineStr">
        <is>
          <t>Consent</t>
        </is>
      </c>
      <c r="D576" s="19" t="inlineStr">
        <is>
          <t>Operations (ana.buenaventura)</t>
        </is>
      </c>
      <c r="E576" s="19" t="inlineStr">
        <is>
          <t>Record and withdraw consent per purpose</t>
        </is>
      </c>
      <c r="F576" s="19" t="inlineStr">
        <is>
          <t>Functional</t>
        </is>
      </c>
      <c r="G576" s="19" t="inlineStr">
        <is>
          <t>High</t>
        </is>
      </c>
      <c r="H576" s="19" t="inlineStr">
        <is>
          <t>Client Data privacy tab.</t>
        </is>
      </c>
      <c r="I576" s="19" t="inlineStr">
        <is>
          <t>1. Record consent Marketing given.
2. Withdraw with a reason.</t>
        </is>
      </c>
      <c r="J576" s="19" t="inlineStr">
        <is>
          <t>None</t>
        </is>
      </c>
      <c r="K576" s="19" t="inlineStr">
        <is>
          <t>Current status per purpose; history keeps both.</t>
        </is>
      </c>
      <c r="L576" s="19" t="inlineStr">
        <is>
          <t>As expected.</t>
        </is>
      </c>
      <c r="M576" s="19" t="inlineStr">
        <is>
          <t>Pass</t>
        </is>
      </c>
      <c r="N576" s="19" t="n"/>
      <c r="O576" s="19" t="inlineStr">
        <is>
          <t>iorta TechNXT QA</t>
        </is>
      </c>
      <c r="P576" s="19" t="inlineStr">
        <is>
          <t>04 October 2026</t>
        </is>
      </c>
      <c r="Q576" s="19" t="n"/>
      <c r="R576" s="19" t="inlineStr">
        <is>
          <t>backend/test/privacy.test.js :: records consent per purpose with the notice version in force, and lists the current status per purpose [passed]
backend/test/privacy.test.js :: withdraws a consent; the history keeps both records and a later grant becomes current [passed]</t>
        </is>
      </c>
      <c r="S576" s="19" t="inlineStr">
        <is>
          <t>DPA s.12 and s.16</t>
        </is>
      </c>
    </row>
    <row r="577">
      <c r="A577" s="19" t="inlineStr">
        <is>
          <t>BV-NPC-010</t>
        </is>
      </c>
      <c r="B577" s="19" t="inlineStr">
        <is>
          <t>Personal data protection</t>
        </is>
      </c>
      <c r="C577" s="19" t="inlineStr">
        <is>
          <t>Data subject requests</t>
        </is>
      </c>
      <c r="D577" s="19" t="inlineStr">
        <is>
          <t>Operations (ana.buenaventura)</t>
        </is>
      </c>
      <c r="E577" s="19" t="inlineStr">
        <is>
          <t>Log a request with its due date; export; anonymise with checks</t>
        </is>
      </c>
      <c r="F577" s="19" t="inlineStr">
        <is>
          <t>Functional</t>
        </is>
      </c>
      <c r="G577" s="19" t="inlineStr">
        <is>
          <t>High</t>
        </is>
      </c>
      <c r="H577" s="19" t="inlineStr">
        <is>
          <t>Master &gt; Data Privacy &gt; Data Subject Requests.</t>
        </is>
      </c>
      <c r="I577" s="19" t="inlineStr">
        <is>
          <t>1. Log request; export personal data.
2. Anonymise a client with a policy in force.</t>
        </is>
      </c>
      <c r="J577" s="19" t="inlineStr">
        <is>
          <t>None</t>
        </is>
      </c>
      <c r="K577" s="19" t="inlineStr">
        <is>
          <t>DSR number, due 15 days after receipt; export workbook; anonymisation refused with the reasons while records must be kept.</t>
        </is>
      </c>
      <c r="L577" s="19" t="inlineStr">
        <is>
          <t>As expected.</t>
        </is>
      </c>
      <c r="M577" s="19" t="inlineStr">
        <is>
          <t>Pass</t>
        </is>
      </c>
      <c r="N577" s="19" t="n"/>
      <c r="O577" s="19" t="inlineStr">
        <is>
          <t>iorta TechNXT QA</t>
        </is>
      </c>
      <c r="P577" s="19" t="inlineStr">
        <is>
          <t>04 October 2026</t>
        </is>
      </c>
      <c r="Q577" s="19" t="n"/>
      <c r="R577" s="19" t="inlineStr">
        <is>
          <t>backend/test/privacy.test.js :: numbers a request from the DSR series and sets the due date privacy.request_due_days after receipt [passed]
backend/test/privacy.test.js :: downloads the export as a workbook [passed]
backend/test/privacy.test.js :: refuses a client with a policy in force, a balance due and an open claim, listing the reasons [passed]</t>
        </is>
      </c>
      <c r="S577" s="19" t="inlineStr">
        <is>
          <t>DPA s.16; NPC rules on data subject rights</t>
        </is>
      </c>
    </row>
    <row r="578">
      <c r="A578" s="19" t="inlineStr">
        <is>
          <t>BV-NPC-011</t>
        </is>
      </c>
      <c r="B578" s="19" t="inlineStr">
        <is>
          <t>Personal data protection</t>
        </is>
      </c>
      <c r="C578" s="19" t="inlineStr">
        <is>
          <t>Audit trail</t>
        </is>
      </c>
      <c r="D578" s="19" t="inlineStr">
        <is>
          <t>System Administrator (BrokerVerse)</t>
        </is>
      </c>
      <c r="E578" s="19" t="inlineStr">
        <is>
          <t>Audit Trail screen shows labelled events and masks ID numbers</t>
        </is>
      </c>
      <c r="F578" s="19" t="inlineStr">
        <is>
          <t>Functional</t>
        </is>
      </c>
      <c r="G578" s="19" t="inlineStr">
        <is>
          <t>Medium</t>
        </is>
      </c>
      <c r="H578" s="19" t="inlineStr">
        <is>
          <t>Master &gt; Audit Trail.</t>
        </is>
      </c>
      <c r="I578" s="19" t="inlineStr">
        <is>
          <t>1. Filter on a record; open its history; download.</t>
        </is>
      </c>
      <c r="J578" s="19" t="inlineStr">
        <is>
          <t>None</t>
        </is>
      </c>
      <c r="K578" s="19" t="inlineStr">
        <is>
          <t>Events with business labels in the business time zone; ID numbers masked without read:privacy; no secrets or password hashes; one row per changed field in the download.</t>
        </is>
      </c>
      <c r="L578" s="19" t="inlineStr">
        <is>
          <t>As expected.</t>
        </is>
      </c>
      <c r="M578" s="19" t="inlineStr">
        <is>
          <t>Pass</t>
        </is>
      </c>
      <c r="N578" s="19" t="n"/>
      <c r="O578" s="19" t="inlineStr">
        <is>
          <t>iorta TechNXT QA</t>
        </is>
      </c>
      <c r="P578" s="19" t="inlineStr">
        <is>
          <t>04 October 2026</t>
        </is>
      </c>
      <c r="Q578" s="19" t="n"/>
      <c r="R578" s="19" t="inlineStr">
        <is>
          <t>backend/test/audit-events.test.js :: never shows secrets and masks ID numbers without read:privacy [passed]
backend/test/audit-events.test.js :: pages the audit log as events with filters and downloads it [passed]
backend/test/audit-events.test.js :: never shows password hashes or secrets in the trail [passed]</t>
        </is>
      </c>
      <c r="S578" s="19" t="inlineStr">
        <is>
          <t>DPA accountability; BIR CAS audit trail</t>
        </is>
      </c>
    </row>
    <row r="579">
      <c r="A579" s="19" t="inlineStr">
        <is>
          <t>BV-BIR-001</t>
        </is>
      </c>
      <c r="B579" s="19" t="inlineStr">
        <is>
          <t>BIR forms and invoicing</t>
        </is>
      </c>
      <c r="C579" s="19" t="inlineStr">
        <is>
          <t>1601-EQ</t>
        </is>
      </c>
      <c r="D579" s="19" t="inlineStr">
        <is>
          <t>Accounting (liza.quiambao)</t>
        </is>
      </c>
      <c r="E579" s="19" t="inlineStr">
        <is>
          <t>Quarterly EWT return per ATC reconciled with QAP and ledger</t>
        </is>
      </c>
      <c r="F579" s="19" t="inlineStr">
        <is>
          <t>Report</t>
        </is>
      </c>
      <c r="G579" s="19" t="inlineStr">
        <is>
          <t>High</t>
        </is>
      </c>
      <c r="H579" s="19" t="inlineStr">
        <is>
          <t>Payment vouchers with EWT in the quarter.</t>
        </is>
      </c>
      <c r="I579" s="19" t="inlineStr">
        <is>
          <t>1. Accounts &gt; Tax &gt; Withholding Returns; open 1601-EQ.</t>
        </is>
      </c>
      <c r="J579" s="19" t="inlineStr">
        <is>
          <t>Q3 2026</t>
        </is>
      </c>
      <c r="K579" s="19" t="inlineStr">
        <is>
          <t>Lines per ATC, total, less 0619-E remittances; reconciliation with QAP and ledger.</t>
        </is>
      </c>
      <c r="L579" s="19" t="inlineStr">
        <is>
          <t>As expected.</t>
        </is>
      </c>
      <c r="M579" s="19" t="inlineStr">
        <is>
          <t>Pass</t>
        </is>
      </c>
      <c r="N579" s="19" t="n"/>
      <c r="O579" s="19" t="inlineStr">
        <is>
          <t>iorta TechNXT QA</t>
        </is>
      </c>
      <c r="P579" s="19" t="inlineStr">
        <is>
          <t>04 October 2026</t>
        </is>
      </c>
      <c r="Q579" s="19" t="n"/>
      <c r="R579" s="19" t="inlineStr">
        <is>
          <t>backend/test/bir-forms.test.js :: computes the quarterly return per ATC from the vouchers and reconciles it with the QAP and the ledger [passed]</t>
        </is>
      </c>
      <c r="S579" s="19" t="inlineStr">
        <is>
          <t>NIRC; RR 2-98 as amended; BIR Form 1601-EQ</t>
        </is>
      </c>
    </row>
    <row r="580">
      <c r="A580" s="19" t="inlineStr">
        <is>
          <t>BV-BIR-002</t>
        </is>
      </c>
      <c r="B580" s="19" t="inlineStr">
        <is>
          <t>BIR forms and invoicing</t>
        </is>
      </c>
      <c r="C580" s="19" t="inlineStr">
        <is>
          <t>0619-E</t>
        </is>
      </c>
      <c r="D580" s="19" t="inlineStr">
        <is>
          <t>Accounting (liza.quiambao)</t>
        </is>
      </c>
      <c r="E580" s="19" t="inlineStr">
        <is>
          <t>0619-E only for months 1 and 2; filings deducted on 1601-EQ</t>
        </is>
      </c>
      <c r="F580" s="19" t="inlineStr">
        <is>
          <t>Validation</t>
        </is>
      </c>
      <c r="G580" s="19" t="inlineStr">
        <is>
          <t>High</t>
        </is>
      </c>
      <c r="H580" s="19" t="inlineStr">
        <is>
          <t>None.</t>
        </is>
      </c>
      <c r="I580" s="19" t="inlineStr">
        <is>
          <t>1. Open 0619-E for the third month.
2. Record filings of months 1 and 2.</t>
        </is>
      </c>
      <c r="J580" s="19" t="inlineStr">
        <is>
          <t>None</t>
        </is>
      </c>
      <c r="K580" s="19" t="inlineStr">
        <is>
          <t>Third month refused; filings deducted on the quarterly return.</t>
        </is>
      </c>
      <c r="L580" s="19" t="inlineStr">
        <is>
          <t>As expected.</t>
        </is>
      </c>
      <c r="M580" s="19" t="inlineStr">
        <is>
          <t>Pass</t>
        </is>
      </c>
      <c r="N580" s="19" t="n"/>
      <c r="O580" s="19" t="inlineStr">
        <is>
          <t>iorta TechNXT QA</t>
        </is>
      </c>
      <c r="P580" s="19" t="inlineStr">
        <is>
          <t>04 October 2026</t>
        </is>
      </c>
      <c r="Q580" s="19" t="n"/>
      <c r="R580" s="19" t="inlineStr">
        <is>
          <t>backend/test/bir-forms.test.js :: refuses a 0619-E for the third month of a quarter and records filings that the 1601-EQ deducts [passed]</t>
        </is>
      </c>
      <c r="S580" s="19" t="inlineStr">
        <is>
          <t>BIR Form 0619-E</t>
        </is>
      </c>
    </row>
    <row r="581">
      <c r="A581" s="19" t="inlineStr">
        <is>
          <t>BV-BIR-003</t>
        </is>
      </c>
      <c r="B581" s="19" t="inlineStr">
        <is>
          <t>BIR forms and invoicing</t>
        </is>
      </c>
      <c r="C581" s="19" t="inlineStr">
        <is>
          <t>Return outputs</t>
        </is>
      </c>
      <c r="D581" s="19" t="inlineStr">
        <is>
          <t>Accounting (liza.quiambao)</t>
        </is>
      </c>
      <c r="E581" s="19" t="inlineStr">
        <is>
          <t>Print and export the return; only Accounting records filings</t>
        </is>
      </c>
      <c r="F581" s="19" t="inlineStr">
        <is>
          <t>Role access</t>
        </is>
      </c>
      <c r="G581" s="19" t="inlineStr">
        <is>
          <t>Medium</t>
        </is>
      </c>
      <c r="H581" s="19" t="inlineStr">
        <is>
          <t>Return open.</t>
        </is>
      </c>
      <c r="I581" s="19" t="inlineStr">
        <is>
          <t>1. Print; Excel; Record filing as Sales.</t>
        </is>
      </c>
      <c r="J581" s="19" t="inlineStr">
        <is>
          <t>None</t>
        </is>
      </c>
      <c r="K581" s="19" t="inlineStr">
        <is>
          <t>PDF and Excel produced; Sales refused.</t>
        </is>
      </c>
      <c r="L581" s="19" t="inlineStr">
        <is>
          <t>As expected.</t>
        </is>
      </c>
      <c r="M581" s="19" t="inlineStr">
        <is>
          <t>Pass</t>
        </is>
      </c>
      <c r="N581" s="19" t="n"/>
      <c r="O581" s="19" t="inlineStr">
        <is>
          <t>iorta TechNXT QA</t>
        </is>
      </c>
      <c r="P581" s="19" t="inlineStr">
        <is>
          <t>04 October 2026</t>
        </is>
      </c>
      <c r="Q581" s="19" t="n"/>
      <c r="R581" s="19" t="inlineStr">
        <is>
          <t>backend/test/bir-forms.test.js :: prints the return as PDF and exports it to Excel; only Accounting may record filings [passed]
brokerverse/src/module/BirTax/BirTax.test.jsx :: opens the tax screens and the insurer overrides to Accounting only [passed]</t>
        </is>
      </c>
      <c r="S581" s="19" t="inlineStr">
        <is>
          <t>BIR filing records</t>
        </is>
      </c>
    </row>
    <row r="582">
      <c r="A582" s="19" t="inlineStr">
        <is>
          <t>BV-BIR-004</t>
        </is>
      </c>
      <c r="B582" s="19" t="inlineStr">
        <is>
          <t>BIR forms and invoicing</t>
        </is>
      </c>
      <c r="C582" s="19" t="inlineStr">
        <is>
          <t>1604-E</t>
        </is>
      </c>
      <c r="D582" s="19" t="inlineStr">
        <is>
          <t>Accounting (liza.quiambao)</t>
        </is>
      </c>
      <c r="E582" s="19" t="inlineStr">
        <is>
          <t>Annual alphalist per payee and ATC with monthly remittances</t>
        </is>
      </c>
      <c r="F582" s="19" t="inlineStr">
        <is>
          <t>Report</t>
        </is>
      </c>
      <c r="G582" s="19" t="inlineStr">
        <is>
          <t>High</t>
        </is>
      </c>
      <c r="H582" s="19" t="inlineStr">
        <is>
          <t>A year of withholding.</t>
        </is>
      </c>
      <c r="I582" s="19" t="inlineStr">
        <is>
          <t>1. Accounts &gt; Tax &gt; Annual Alphalist 1604-E.</t>
        </is>
      </c>
      <c r="J582" s="19" t="inlineStr">
        <is>
          <t>Year 2026</t>
        </is>
      </c>
      <c r="K582" s="19" t="inlineStr">
        <is>
          <t>Schedules 3 and 4; remittances per month; DAT file.</t>
        </is>
      </c>
      <c r="L582" s="19" t="inlineStr">
        <is>
          <t>As expected.</t>
        </is>
      </c>
      <c r="M582" s="19" t="inlineStr">
        <is>
          <t>Pass</t>
        </is>
      </c>
      <c r="N582" s="19" t="n"/>
      <c r="O582" s="19" t="inlineStr">
        <is>
          <t>iorta TechNXT QA</t>
        </is>
      </c>
      <c r="P582" s="19" t="inlineStr">
        <is>
          <t>04 October 2026</t>
        </is>
      </c>
      <c r="Q582" s="19" t="n"/>
      <c r="R582" s="19" t="inlineStr">
        <is>
          <t>backend/test/bir-forms.test.js :: lists every payee of the year per ATC with the tax withheld, and the remittances per month [passed]</t>
        </is>
      </c>
      <c r="S582" s="19" t="inlineStr">
        <is>
          <t>BIR Form 1604-E</t>
        </is>
      </c>
    </row>
    <row r="583">
      <c r="A583" s="19" t="inlineStr">
        <is>
          <t>BV-BIR-005</t>
        </is>
      </c>
      <c r="B583" s="19" t="inlineStr">
        <is>
          <t>BIR forms and invoicing</t>
        </is>
      </c>
      <c r="C583" s="19" t="inlineStr">
        <is>
          <t>DAT files</t>
        </is>
      </c>
      <c r="D583" s="19" t="inlineStr">
        <is>
          <t>Accounting (liza.quiambao)</t>
        </is>
      </c>
      <c r="E583" s="19" t="inlineStr">
        <is>
          <t>QAP, SAWT, 1604-E and SLSP DAT files follow the documented layout</t>
        </is>
      </c>
      <c r="F583" s="19" t="inlineStr">
        <is>
          <t>Report</t>
        </is>
      </c>
      <c r="G583" s="19" t="inlineStr">
        <is>
          <t>High</t>
        </is>
      </c>
      <c r="H583" s="19" t="inlineStr">
        <is>
          <t>Alphalist data.</t>
        </is>
      </c>
      <c r="I583" s="19" t="inlineStr">
        <is>
          <t>1. Accounts &gt; Tax &gt; BIR DAT Files; each file; Download.</t>
        </is>
      </c>
      <c r="J583" s="19" t="inlineStr">
        <is>
          <t>None</t>
        </is>
      </c>
      <c r="K583" s="19" t="inlineStr">
        <is>
          <t>Files equal the fixed expected files; header, details, control record.</t>
        </is>
      </c>
      <c r="L583" s="19" t="inlineStr">
        <is>
          <t>As expected.</t>
        </is>
      </c>
      <c r="M583" s="19" t="inlineStr">
        <is>
          <t>Pass</t>
        </is>
      </c>
      <c r="N583" s="19" t="n"/>
      <c r="O583" s="19" t="inlineStr">
        <is>
          <t>iorta TechNXT QA</t>
        </is>
      </c>
      <c r="P583" s="19" t="inlineStr">
        <is>
          <t>04 October 2026</t>
        </is>
      </c>
      <c r="Q583" s="19" t="n"/>
      <c r="R583" s="19" t="inlineStr">
        <is>
          <t>backend/test/bir-forms.test.js :: writes the QAP, SAWT, 1604-E and SLSP files exactly as the documented layout (fixed expected files) [passed]
backend/test/bir-forms.test.js :: builds the files from the alphalist reports and the 1604-E schedules [passed]</t>
        </is>
      </c>
      <c r="S583" s="19" t="inlineStr">
        <is>
          <t>BIR Alphalist Data Entry and Validation Module 7.x; RELIEF</t>
        </is>
      </c>
    </row>
    <row r="584">
      <c r="A584" s="19" t="inlineStr">
        <is>
          <t>BV-BIR-006</t>
        </is>
      </c>
      <c r="B584" s="19" t="inlineStr">
        <is>
          <t>BIR forms and invoicing</t>
        </is>
      </c>
      <c r="C584" s="19" t="inlineStr">
        <is>
          <t>2551Q</t>
        </is>
      </c>
      <c r="D584" s="19" t="inlineStr">
        <is>
          <t>Accounting (liza.quiambao)</t>
        </is>
      </c>
      <c r="E584" s="19" t="inlineStr">
        <is>
          <t>Percentage tax of a non-VAT broker</t>
        </is>
      </c>
      <c r="F584" s="19" t="inlineStr">
        <is>
          <t>Report</t>
        </is>
      </c>
      <c r="G584" s="19" t="inlineStr">
        <is>
          <t>Medium</t>
        </is>
      </c>
      <c r="H584" s="19" t="inlineStr">
        <is>
          <t>direct_bill.broker_vat_registered off.</t>
        </is>
      </c>
      <c r="I584" s="19" t="inlineStr">
        <is>
          <t>1. Accounts &gt; Tax &gt; Percentage Tax 2551Q.</t>
        </is>
      </c>
      <c r="J584" s="19" t="inlineStr">
        <is>
          <t>Rate 3%</t>
        </is>
      </c>
      <c r="K584" s="19" t="inlineStr">
        <is>
          <t>Tax on ledger revenue at the configured rate and ATC.</t>
        </is>
      </c>
      <c r="L584" s="19" t="inlineStr">
        <is>
          <t>As expected.</t>
        </is>
      </c>
      <c r="M584" s="19" t="inlineStr">
        <is>
          <t>Pass</t>
        </is>
      </c>
      <c r="N584" s="19" t="n"/>
      <c r="O584" s="19" t="inlineStr">
        <is>
          <t>iorta TechNXT QA</t>
        </is>
      </c>
      <c r="P584" s="19" t="inlineStr">
        <is>
          <t>04 October 2026</t>
        </is>
      </c>
      <c r="Q584" s="19" t="n"/>
      <c r="R584" s="19" t="inlineStr">
        <is>
          <t>backend/test/bir-forms.test.js :: computes the percentage tax of a non-VAT broker on the ledger revenue at the configured rate [passed]</t>
        </is>
      </c>
      <c r="S584" s="19" t="inlineStr">
        <is>
          <t>NIRC s.116; BIR Form 2551Q</t>
        </is>
      </c>
    </row>
    <row r="585">
      <c r="A585" s="19" t="inlineStr">
        <is>
          <t>BV-BIR-007</t>
        </is>
      </c>
      <c r="B585" s="19" t="inlineStr">
        <is>
          <t>BIR forms and invoicing</t>
        </is>
      </c>
      <c r="C585" s="19" t="inlineStr">
        <is>
          <t>Sales invoices</t>
        </is>
      </c>
      <c r="D585" s="19" t="inlineStr">
        <is>
          <t>Accounting (liza.quiambao)</t>
        </is>
      </c>
      <c r="E585" s="19" t="inlineStr">
        <is>
          <t>Issue EOPT sales invoices with required fields and serial control</t>
        </is>
      </c>
      <c r="F585" s="19" t="inlineStr">
        <is>
          <t>Functional</t>
        </is>
      </c>
      <c r="G585" s="19" t="inlineStr">
        <is>
          <t>High</t>
        </is>
      </c>
      <c r="H585" s="19" t="inlineStr">
        <is>
          <t>invoice.* settings filled.</t>
        </is>
      </c>
      <c r="I585" s="19" t="inlineStr">
        <is>
          <t>1. New invoice: manual fees; Issue.
2. Record payment.
3. Invoice a debit note twice.</t>
        </is>
      </c>
      <c r="J585" s="19" t="inlineStr">
        <is>
          <t>None</t>
        </is>
      </c>
      <c r="K585" s="19" t="inlineStr">
        <is>
          <t>SI number in sequence; seller and buyer details; VAT separate; payment acknowledgement PAR; a debit note invoiced once; issue stops at the end of the serial range.</t>
        </is>
      </c>
      <c r="L585" s="19" t="inlineStr">
        <is>
          <t>As expected.</t>
        </is>
      </c>
      <c r="M585" s="19" t="inlineStr">
        <is>
          <t>Pass</t>
        </is>
      </c>
      <c r="N585" s="19" t="n"/>
      <c r="O585" s="19" t="inlineStr">
        <is>
          <t>iorta TechNXT QA</t>
        </is>
      </c>
      <c r="P585" s="19" t="inlineStr">
        <is>
          <t>04 October 2026</t>
        </is>
      </c>
      <c r="Q585" s="19" t="n"/>
      <c r="R585" s="19" t="inlineStr">
        <is>
          <t>backend/test/bir-forms.test.js :: issues numbered invoices with the required fields, posts a manual invoice and acknowledges its payments [passed]
backend/test/bir-forms.test.js :: invoices a commission debit note once, keeps numbers without gaps and stops at the registered serial range [passed]</t>
        </is>
      </c>
      <c r="S585" s="19" t="inlineStr">
        <is>
          <t>EOPT Act (RA 11976); RR 7-2024</t>
        </is>
      </c>
    </row>
    <row r="586">
      <c r="A586" s="19" t="inlineStr">
        <is>
          <t>BV-BIR-008</t>
        </is>
      </c>
      <c r="B586" s="19" t="inlineStr">
        <is>
          <t>BIR forms and invoicing</t>
        </is>
      </c>
      <c r="C586" s="19" t="inlineStr">
        <is>
          <t>EIS</t>
        </is>
      </c>
      <c r="D586" s="19" t="inlineStr">
        <is>
          <t>Accounting (liza.quiambao)</t>
        </is>
      </c>
      <c r="E586" s="19" t="inlineStr">
        <is>
          <t>E-invoices are queued, signed and sent in test mode</t>
        </is>
      </c>
      <c r="F586" s="19" t="inlineStr">
        <is>
          <t>Integration</t>
        </is>
      </c>
      <c r="G586" s="19" t="inlineStr">
        <is>
          <t>Medium</t>
        </is>
      </c>
      <c r="H586" s="19" t="inlineStr">
        <is>
          <t>eis.enabled on, test mode.</t>
        </is>
      </c>
      <c r="I586" s="19" t="inlineStr">
        <is>
          <t>1. Issue an invoice; Send now; force a failure; Retry; Export payloads.</t>
        </is>
      </c>
      <c r="J586" s="19" t="inlineStr">
        <is>
          <t>None</t>
        </is>
      </c>
      <c r="K586" s="19" t="inlineStr">
        <is>
          <t>Signed payload; switched off nothing queued; failures retried; manual fallback recorded.</t>
        </is>
      </c>
      <c r="L586" s="19" t="inlineStr">
        <is>
          <t>As expected.</t>
        </is>
      </c>
      <c r="M586" s="19" t="inlineStr">
        <is>
          <t>Pass</t>
        </is>
      </c>
      <c r="N586" s="19" t="n"/>
      <c r="O586" s="19" t="inlineStr">
        <is>
          <t>iorta TechNXT QA</t>
        </is>
      </c>
      <c r="P586" s="19" t="inlineStr">
        <is>
          <t>04 October 2026</t>
        </is>
      </c>
      <c r="Q586" s="19" t="n"/>
      <c r="R586" s="19" t="inlineStr">
        <is>
          <t>backend/test/bir-forms.test.js :: builds a signed payload; switched off nothing is queued [passed]
backend/test/bir-forms.test.js :: queues invoices and cancellations, sends them to the fake provider, retries failures and supports the manual fallback [passed]</t>
        </is>
      </c>
      <c r="S586" s="19" t="inlineStr">
        <is>
          <t>BIR Electronic Invoicing System (EOPT Act)</t>
        </is>
      </c>
    </row>
    <row r="587">
      <c r="A587" s="19" t="inlineStr">
        <is>
          <t>BV-BIR-009</t>
        </is>
      </c>
      <c r="B587" s="19" t="inlineStr">
        <is>
          <t>BIR forms and invoicing</t>
        </is>
      </c>
      <c r="C587" s="19" t="inlineStr">
        <is>
          <t>CAS books</t>
        </is>
      </c>
      <c r="D587" s="19" t="inlineStr">
        <is>
          <t>Accounting (liza.quiambao)</t>
        </is>
      </c>
      <c r="E587" s="19" t="inlineStr">
        <is>
          <t>Print loose-leaf books with running page numbers</t>
        </is>
      </c>
      <c r="F587" s="19" t="inlineStr">
        <is>
          <t>Report</t>
        </is>
      </c>
      <c r="G587" s="19" t="inlineStr">
        <is>
          <t>Medium</t>
        </is>
      </c>
      <c r="H587" s="19" t="inlineStr">
        <is>
          <t>Journals of the month.</t>
        </is>
      </c>
      <c r="I587" s="19" t="inlineStr">
        <is>
          <t>1. CAS Books; General Journal; Print book; Reprint; Void print.</t>
        </is>
      </c>
      <c r="J587" s="19" t="inlineStr">
        <is>
          <t>None</t>
        </is>
      </c>
      <c r="K587" s="19" t="inlineStr">
        <is>
          <t>Pages run on through the year; reprint marked REPRINT; void frees pages; system description, backup procedure and audit extract produced.</t>
        </is>
      </c>
      <c r="L587" s="19" t="inlineStr">
        <is>
          <t>As expected.</t>
        </is>
      </c>
      <c r="M587" s="19" t="inlineStr">
        <is>
          <t>Pass</t>
        </is>
      </c>
      <c r="N587" s="19" t="n"/>
      <c r="O587" s="19" t="inlineStr">
        <is>
          <t>iorta TechNXT QA</t>
        </is>
      </c>
      <c r="P587" s="19" t="inlineStr">
        <is>
          <t>04 October 2026</t>
        </is>
      </c>
      <c r="Q587" s="19" t="n"/>
      <c r="R587" s="19" t="inlineStr">
        <is>
          <t>backend/test/bir-forms.test.js :: prints the loose-leaf books with page numbers running on through the year, reprints and voids [passed]
backend/test/bir-forms.test.js :: produces the system description, the backup procedure, the audit trail extract and the checklist [passed]</t>
        </is>
      </c>
      <c r="S587" s="19" t="inlineStr">
        <is>
          <t>RR 9-2009 (CAS registration)</t>
        </is>
      </c>
    </row>
    <row r="588">
      <c r="A588" s="19" t="inlineStr">
        <is>
          <t>BV-BIR-010</t>
        </is>
      </c>
      <c r="B588" s="19" t="inlineStr">
        <is>
          <t>BIR forms and invoicing</t>
        </is>
      </c>
      <c r="C588" s="19" t="inlineStr">
        <is>
          <t>Overriding commission</t>
        </is>
      </c>
      <c r="D588" s="19" t="inlineStr">
        <is>
          <t>Accounting (liza.quiambao)</t>
        </is>
      </c>
      <c r="E588" s="19" t="inlineStr">
        <is>
          <t>Compute, approve and post overriding commission from an insurer</t>
        </is>
      </c>
      <c r="F588" s="19" t="inlineStr">
        <is>
          <t>Accounting</t>
        </is>
      </c>
      <c r="G588" s="19" t="inlineStr">
        <is>
          <t>High</t>
        </is>
      </c>
      <c r="H588" s="19" t="inlineStr">
        <is>
          <t>Agreement with tiers.</t>
        </is>
      </c>
      <c r="I588" s="19" t="inlineStr">
        <is>
          <t>1. Commission &gt; Insurer Overrides &gt; Computations; Compute; Submit; Approve as another user.</t>
        </is>
      </c>
      <c r="J588" s="19" t="inlineStr">
        <is>
          <t>Slab tiers</t>
        </is>
      </c>
      <c r="K588" s="19" t="inlineStr">
        <is>
          <t>Commission by tier; approved by a second user; receivable posted (override_commission.accrual).</t>
        </is>
      </c>
      <c r="L588" s="19" t="inlineStr">
        <is>
          <t>As expected.</t>
        </is>
      </c>
      <c r="M588" s="19" t="inlineStr">
        <is>
          <t>Pass</t>
        </is>
      </c>
      <c r="N588" s="19" t="n"/>
      <c r="O588" s="19" t="inlineStr">
        <is>
          <t>iorta TechNXT QA</t>
        </is>
      </c>
      <c r="P588" s="19" t="inlineStr">
        <is>
          <t>04 October 2026</t>
        </is>
      </c>
      <c r="Q588" s="19" t="n"/>
      <c r="R588" s="19" t="inlineStr">
        <is>
          <t>backend/test/insurer-overrides.test.js :: computes from the production, approves by a second user and posts the receivable [passed]
backend/test/insurer-overrides.test.js :: validates tiers and reads slab and banded tiers [passed]
backend/test/insurer-overrides.test.js :: creates an agreement with tiers (validated) and lists the sample agreements [passed]</t>
        </is>
      </c>
      <c r="S588" s="19" t="inlineStr">
        <is>
          <t>NIRC (VAT on commission)</t>
        </is>
      </c>
    </row>
    <row r="589">
      <c r="A589" s="19" t="inlineStr">
        <is>
          <t>BV-BIR-011</t>
        </is>
      </c>
      <c r="B589" s="19" t="inlineStr">
        <is>
          <t>BIR forms and invoicing</t>
        </is>
      </c>
      <c r="C589" s="19" t="inlineStr">
        <is>
          <t>Overriding commission</t>
        </is>
      </c>
      <c r="D589" s="19" t="inlineStr">
        <is>
          <t>Accounting (liza.quiambao)</t>
        </is>
      </c>
      <c r="E589" s="19" t="inlineStr">
        <is>
          <t>Loss ratio basis uses system or insurer claims figure</t>
        </is>
      </c>
      <c r="F589" s="19" t="inlineStr">
        <is>
          <t>Validation</t>
        </is>
      </c>
      <c r="G589" s="19" t="inlineStr">
        <is>
          <t>Medium</t>
        </is>
      </c>
      <c r="H589" s="19" t="inlineStr">
        <is>
          <t>Loss ratio agreement.</t>
        </is>
      </c>
      <c r="I589" s="19" t="inlineStr">
        <is>
          <t>1. Compute with an insurer claims figure.</t>
        </is>
      </c>
      <c r="J589" s="19" t="inlineStr">
        <is>
          <t>None</t>
        </is>
      </c>
      <c r="K589" s="19" t="inlineStr">
        <is>
          <t>Loss ratio and tier from the figure entered, with the note.</t>
        </is>
      </c>
      <c r="L589" s="19" t="inlineStr">
        <is>
          <t>As expected.</t>
        </is>
      </c>
      <c r="M589" s="19" t="inlineStr">
        <is>
          <t>Pass</t>
        </is>
      </c>
      <c r="N589" s="19" t="n"/>
      <c r="O589" s="19" t="inlineStr">
        <is>
          <t>iorta TechNXT QA</t>
        </is>
      </c>
      <c r="P589" s="19" t="inlineStr">
        <is>
          <t>04 October 2026</t>
        </is>
      </c>
      <c r="Q589" s="19" t="n"/>
      <c r="R589" s="19" t="inlineStr">
        <is>
          <t>backend/test/insurer-overrides.test.js :: reads the loss ratio (system claims or the insurer's figure) and the growth against the prior year [passed]</t>
        </is>
      </c>
      <c r="S589" s="19" t="inlineStr">
        <is>
          <t>None</t>
        </is>
      </c>
    </row>
    <row r="590">
      <c r="A590" s="19" t="inlineStr">
        <is>
          <t>BV-OPX-001</t>
        </is>
      </c>
      <c r="B590" s="19" t="inlineStr">
        <is>
          <t>Operations extensions</t>
        </is>
      </c>
      <c r="C590" s="19" t="inlineStr">
        <is>
          <t>Cover notes</t>
        </is>
      </c>
      <c r="D590" s="19" t="inlineStr">
        <is>
          <t>Operations (ana.buenaventura)</t>
        </is>
      </c>
      <c r="E590" s="19" t="inlineStr">
        <is>
          <t>Issue a cover note from an accepted quotation</t>
        </is>
      </c>
      <c r="F590" s="19" t="inlineStr">
        <is>
          <t>Functional</t>
        </is>
      </c>
      <c r="G590" s="19" t="inlineStr">
        <is>
          <t>High</t>
        </is>
      </c>
      <c r="H590" s="19" t="inlineStr">
        <is>
          <t>Quotation accepted by the customer.</t>
        </is>
      </c>
      <c r="I590" s="19" t="inlineStr">
        <is>
          <t>1. Operations &gt; Cover Notes &gt; Issue cover note.</t>
        </is>
      </c>
      <c r="J590" s="19" t="inlineStr">
        <is>
          <t>Validity 30 days</t>
        </is>
      </c>
      <c r="K590" s="19" t="inlineStr">
        <is>
          <t>CVN number; valid for the configured days; issued once; a quotation not accepted is refused.</t>
        </is>
      </c>
      <c r="L590" s="19" t="inlineStr">
        <is>
          <t>As expected.</t>
        </is>
      </c>
      <c r="M590" s="19" t="inlineStr">
        <is>
          <t>Pass</t>
        </is>
      </c>
      <c r="N590" s="19" t="n"/>
      <c r="O590" s="19" t="inlineStr">
        <is>
          <t>iorta TechNXT QA</t>
        </is>
      </c>
      <c r="P590" s="19" t="inlineStr">
        <is>
          <t>04 October 2026</t>
        </is>
      </c>
      <c r="Q590" s="19" t="n"/>
      <c r="R590" s="19" t="inlineStr">
        <is>
          <t>backend/test/ops-accounting.test.js :: issues a cover note from an accepted quotation for the configured validity, once [passed]
backend/test/ops-accounting.test.js :: refuses a quotation the customer has not accepted [passed]</t>
        </is>
      </c>
      <c r="S590" s="19" t="inlineStr">
        <is>
          <t>Insurance Code (binder / cover note)</t>
        </is>
      </c>
    </row>
    <row r="591">
      <c r="A591" s="19" t="inlineStr">
        <is>
          <t>BV-OPX-002</t>
        </is>
      </c>
      <c r="B591" s="19" t="inlineStr">
        <is>
          <t>Operations extensions</t>
        </is>
      </c>
      <c r="C591" s="19" t="inlineStr">
        <is>
          <t>Cover notes</t>
        </is>
      </c>
      <c r="D591" s="19" t="inlineStr">
        <is>
          <t>Operations (ana.buenaventura)</t>
        </is>
      </c>
      <c r="E591" s="19" t="inlineStr">
        <is>
          <t>Policy issue supersedes the cover note; expiry job</t>
        </is>
      </c>
      <c r="F591" s="19" t="inlineStr">
        <is>
          <t>Functional</t>
        </is>
      </c>
      <c r="G591" s="19" t="inlineStr">
        <is>
          <t>Medium</t>
        </is>
      </c>
      <c r="H591" s="19" t="inlineStr">
        <is>
          <t>Active cover note.</t>
        </is>
      </c>
      <c r="I591" s="19" t="inlineStr">
        <is>
          <t>1. Issue the policy; run Cover note expiry.</t>
        </is>
      </c>
      <c r="J591" s="19" t="inlineStr">
        <is>
          <t>None</t>
        </is>
      </c>
      <c r="K591" s="19" t="inlineStr">
        <is>
          <t>Cover note Superseded with the policy number; reminder before expiry; expired after the end date; print on letterhead.</t>
        </is>
      </c>
      <c r="L591" s="19" t="inlineStr">
        <is>
          <t>As expected.</t>
        </is>
      </c>
      <c r="M591" s="19" t="inlineStr">
        <is>
          <t>Pass</t>
        </is>
      </c>
      <c r="N591" s="19" t="n"/>
      <c r="O591" s="19" t="inlineStr">
        <is>
          <t>iorta TechNXT QA</t>
        </is>
      </c>
      <c r="P591" s="19" t="inlineStr">
        <is>
          <t>04 October 2026</t>
        </is>
      </c>
      <c r="Q591" s="19" t="n"/>
      <c r="R591" s="19" t="inlineStr">
        <is>
          <t>backend/test/ops-accounting.test.js :: links the policy issued from the quotation and supersedes the cover note [passed]
backend/test/ops-accounting.test.js :: reminds before expiry and expires a cover note past its end date (daily job) [passed]
backend/test/ops-accounting.test.js :: prints the cover note with the letterhead [passed]</t>
        </is>
      </c>
      <c r="S591" s="19" t="inlineStr">
        <is>
          <t>None</t>
        </is>
      </c>
    </row>
    <row r="592">
      <c r="A592" s="19" t="inlineStr">
        <is>
          <t>BV-OPX-003</t>
        </is>
      </c>
      <c r="B592" s="19" t="inlineStr">
        <is>
          <t>Operations extensions</t>
        </is>
      </c>
      <c r="C592" s="19" t="inlineStr">
        <is>
          <t>Computed cancellation</t>
        </is>
      </c>
      <c r="D592" s="19" t="inlineStr">
        <is>
          <t>Operations (ana.buenaventura)</t>
        </is>
      </c>
      <c r="E592" s="19" t="inlineStr">
        <is>
          <t>Short-period when the insured cancels, pro-rata when the insurer cancels</t>
        </is>
      </c>
      <c r="F592" s="19" t="inlineStr">
        <is>
          <t>Accounting</t>
        </is>
      </c>
      <c r="G592" s="19" t="inlineStr">
        <is>
          <t>High</t>
        </is>
      </c>
      <c r="H592" s="19" t="inlineStr">
        <is>
          <t>Policy in force.</t>
        </is>
      </c>
      <c r="I592" s="19" t="inlineStr">
        <is>
          <t>1. Operations &gt; Policy Cancellation; reason insured request; Compute.
2. Repeat with an insurer reason and from inception.</t>
        </is>
      </c>
      <c r="J592" s="19" t="inlineStr">
        <is>
          <t>None</t>
        </is>
      </c>
      <c r="K592" s="19" t="inlineStr">
        <is>
          <t>Short-period from the rate scale; pro-rata by days; flat from inception; figures recomputed on the server.</t>
        </is>
      </c>
      <c r="L592" s="19" t="inlineStr">
        <is>
          <t>As expected.</t>
        </is>
      </c>
      <c r="M592" s="19" t="inlineStr">
        <is>
          <t>Pass</t>
        </is>
      </c>
      <c r="N592" s="19" t="n"/>
      <c r="O592" s="19" t="inlineStr">
        <is>
          <t>iorta TechNXT QA</t>
        </is>
      </c>
      <c r="P592" s="19" t="inlineStr">
        <is>
          <t>04 October 2026</t>
        </is>
      </c>
      <c r="Q592" s="19" t="n"/>
      <c r="R592" s="19" t="inlineStr">
        <is>
          <t>backend/test/ops-accounting.test.js :: computes short-period when the insured cancels, pro-rata when the insurer does and flat from inception [passed]
backend/test/ops-accounting.test.js :: short-period scale: the band of the days in force, scaled to a year for a shorter term [passed]</t>
        </is>
      </c>
      <c r="S592" s="19" t="inlineStr">
        <is>
          <t>Insurance Code ss.64 to 65 (cancellation); IC short-period practice</t>
        </is>
      </c>
    </row>
    <row r="593">
      <c r="A593" s="19" t="inlineStr">
        <is>
          <t>BV-OPX-004</t>
        </is>
      </c>
      <c r="B593" s="19" t="inlineStr">
        <is>
          <t>Operations extensions</t>
        </is>
      </c>
      <c r="C593" s="19" t="inlineStr">
        <is>
          <t>Computed cancellation</t>
        </is>
      </c>
      <c r="D593" s="19" t="inlineStr">
        <is>
          <t>Operations (ana.buenaventura)</t>
        </is>
      </c>
      <c r="E593" s="19" t="inlineStr">
        <is>
          <t>Completing the cancellation credits the bill and reverses taxes and commission</t>
        </is>
      </c>
      <c r="F593" s="19" t="inlineStr">
        <is>
          <t>Accounting</t>
        </is>
      </c>
      <c r="G593" s="19" t="inlineStr">
        <is>
          <t>High</t>
        </is>
      </c>
      <c r="H593" s="19" t="inlineStr">
        <is>
          <t>Cancellation endorsement created.</t>
        </is>
      </c>
      <c r="I593" s="19" t="inlineStr">
        <is>
          <t>1. Complete it.
2. Cancel part of the cover on another policy.</t>
        </is>
      </c>
      <c r="J593" s="19" t="inlineStr">
        <is>
          <t>None</t>
        </is>
      </c>
      <c r="K593" s="19" t="inlineStr">
        <is>
          <t>Bill credited; taxes and commission reversed; policy cancelled; partial cancellation keeps the policy in force.</t>
        </is>
      </c>
      <c r="L593" s="19" t="inlineStr">
        <is>
          <t>As expected.</t>
        </is>
      </c>
      <c r="M593" s="19" t="inlineStr">
        <is>
          <t>Pass</t>
        </is>
      </c>
      <c r="N593" s="19" t="n"/>
      <c r="O593" s="19" t="inlineStr">
        <is>
          <t>iorta TechNXT QA</t>
        </is>
      </c>
      <c r="P593" s="19" t="inlineStr">
        <is>
          <t>04 October 2026</t>
        </is>
      </c>
      <c r="Q593" s="19" t="n"/>
      <c r="R593" s="19" t="inlineStr">
        <is>
          <t>backend/test/ops-accounting.test.js :: a cancellation endorsement carries the computed return; completing it credits the bill, reverses taxes and commission, and cancels the policy [passed]
backend/test/ops-accounting.test.js :: a partial cancellation returns the premium of the part and keeps the policy in force [passed]</t>
        </is>
      </c>
      <c r="S593" s="19" t="inlineStr">
        <is>
          <t>None</t>
        </is>
      </c>
    </row>
    <row r="594">
      <c r="A594" s="19" t="inlineStr">
        <is>
          <t>BV-OPX-005</t>
        </is>
      </c>
      <c r="B594" s="19" t="inlineStr">
        <is>
          <t>Operations extensions</t>
        </is>
      </c>
      <c r="C594" s="19" t="inlineStr">
        <is>
          <t>Claim document checklist</t>
        </is>
      </c>
      <c r="D594" s="19" t="inlineStr">
        <is>
          <t>Claims (carlo.estrada)</t>
        </is>
      </c>
      <c r="E594" s="19" t="inlineStr">
        <is>
          <t>Checklist by line and claim type blocks submission until complete</t>
        </is>
      </c>
      <c r="F594" s="19" t="inlineStr">
        <is>
          <t>Validation</t>
        </is>
      </c>
      <c r="G594" s="19" t="inlineStr">
        <is>
          <t>High</t>
        </is>
      </c>
      <c r="H594" s="19" t="inlineStr">
        <is>
          <t>Checklist master set.</t>
        </is>
      </c>
      <c r="I594" s="19" t="inlineStr">
        <is>
          <t>1. Operations &gt; Claim Documents; Submit to insurer with a missing document.
2. Receive or waive; submit.</t>
        </is>
      </c>
      <c r="J594" s="19" t="inlineStr">
        <is>
          <t>None</t>
        </is>
      </c>
      <c r="K594" s="19" t="inlineStr">
        <is>
          <t>Submission refused while a required document is missing; allowed once received or waived; reminders by hand and job.</t>
        </is>
      </c>
      <c r="L594" s="19" t="inlineStr">
        <is>
          <t>As expected.</t>
        </is>
      </c>
      <c r="M594" s="19" t="inlineStr">
        <is>
          <t>Pass</t>
        </is>
      </c>
      <c r="N594" s="19" t="n"/>
      <c r="O594" s="19" t="inlineStr">
        <is>
          <t>iorta TechNXT QA</t>
        </is>
      </c>
      <c r="P594" s="19" t="inlineStr">
        <is>
          <t>04 October 2026</t>
        </is>
      </c>
      <c r="Q594" s="19" t="n"/>
      <c r="R594" s="19" t="inlineStr">
        <is>
          <t>backend/test/ops-accounting.test.js :: builds the checklist from the master by line of business and claim type [passed]
backend/test/ops-accounting.test.js :: refuses the submission to the insurer while a required document is missing [passed]
backend/test/ops-accounting.test.js :: reminds the claimant of the missing documents (by hand and by the daily job) [passed]
backend/test/ops-accounting.test.js :: submits once every required document is received or waived [passed]</t>
        </is>
      </c>
      <c r="S594" s="19" t="inlineStr">
        <is>
          <t>IC claims handling (timely submission)</t>
        </is>
      </c>
    </row>
    <row r="595">
      <c r="A595" s="19" t="inlineStr">
        <is>
          <t>BV-OPX-006</t>
        </is>
      </c>
      <c r="B595" s="19" t="inlineStr">
        <is>
          <t>Operations extensions</t>
        </is>
      </c>
      <c r="C595" s="19" t="inlineStr">
        <is>
          <t>Motor repairs</t>
        </is>
      </c>
      <c r="D595" s="19" t="inlineStr">
        <is>
          <t>Claims (carlo.estrada)</t>
        </is>
      </c>
      <c r="E595" s="19" t="inlineStr">
        <is>
          <t>Estimate, adjuster decision and letter of authority</t>
        </is>
      </c>
      <c r="F595" s="19" t="inlineStr">
        <is>
          <t>Functional</t>
        </is>
      </c>
      <c r="G595" s="19" t="inlineStr">
        <is>
          <t>High</t>
        </is>
      </c>
      <c r="H595" s="19" t="inlineStr">
        <is>
          <t>Accredited repair shop.</t>
        </is>
      </c>
      <c r="I595" s="19" t="inlineStr">
        <is>
          <t>1. Record estimate; record approval; Issue letter of authority; supplementary estimate.</t>
        </is>
      </c>
      <c r="J595" s="19" t="inlineStr">
        <is>
          <t>Participation PHP 2,000 or 0.5%</t>
        </is>
      </c>
      <c r="K595" s="19" t="inlineStr">
        <is>
          <t>LOA number with participation and depreciation; supplementary letter; vehicle release acknowledgement.</t>
        </is>
      </c>
      <c r="L595" s="19" t="inlineStr">
        <is>
          <t>As expected.</t>
        </is>
      </c>
      <c r="M595" s="19" t="inlineStr">
        <is>
          <t>Pass</t>
        </is>
      </c>
      <c r="N595" s="19" t="n"/>
      <c r="O595" s="19" t="inlineStr">
        <is>
          <t>iorta TechNXT QA</t>
        </is>
      </c>
      <c r="P595" s="19" t="inlineStr">
        <is>
          <t>04 October 2026</t>
        </is>
      </c>
      <c r="Q595" s="19" t="n"/>
      <c r="R595" s="19" t="inlineStr">
        <is>
          <t>backend/test/ops-accounting.test.js :: records an estimate of an accredited shop (Repair Shop master maintained by Claims) and the adjuster's decision [passed]
backend/test/ops-accounting.test.js :: issues the letter of authority with the participation of the insured, then a supplementary one [passed]
backend/test/ops-accounting.test.js :: releases the vehicle and prints the acknowledgement [passed]</t>
        </is>
      </c>
      <c r="S595" s="19" t="inlineStr">
        <is>
          <t>None</t>
        </is>
      </c>
    </row>
    <row r="596">
      <c r="A596" s="19" t="inlineStr">
        <is>
          <t>BV-OPX-007</t>
        </is>
      </c>
      <c r="B596" s="19" t="inlineStr">
        <is>
          <t>Operations extensions</t>
        </is>
      </c>
      <c r="C596" s="19" t="inlineStr">
        <is>
          <t>Scheduler</t>
        </is>
      </c>
      <c r="D596" s="19" t="inlineStr">
        <is>
          <t>System Administrator (BrokerVerse)</t>
        </is>
      </c>
      <c r="E596" s="19" t="inlineStr">
        <is>
          <t>Jobs run in Manila time and use the Manila business date</t>
        </is>
      </c>
      <c r="F596" s="19" t="inlineStr">
        <is>
          <t>Integration</t>
        </is>
      </c>
      <c r="G596" s="19" t="inlineStr">
        <is>
          <t>Medium</t>
        </is>
      </c>
      <c r="H596" s="19" t="inlineStr">
        <is>
          <t>Master &gt; Schedules.</t>
        </is>
      </c>
      <c r="I596" s="19" t="inlineStr">
        <is>
          <t>1. Read Next run of a 06:00 job.</t>
        </is>
      </c>
      <c r="J596" s="19" t="inlineStr">
        <is>
          <t>None</t>
        </is>
      </c>
      <c r="K596" s="19" t="inlineStr">
        <is>
          <t>Next run is 06:00 Asia/Manila; expiry and renewal jobs use the Manila date.</t>
        </is>
      </c>
      <c r="L596" s="19" t="inlineStr">
        <is>
          <t>As expected.</t>
        </is>
      </c>
      <c r="M596" s="19" t="inlineStr">
        <is>
          <t>Pass</t>
        </is>
      </c>
      <c r="N596" s="19" t="n"/>
      <c r="O596" s="19" t="inlineStr">
        <is>
          <t>iorta TechNXT QA</t>
        </is>
      </c>
      <c r="P596" s="19" t="inlineStr">
        <is>
          <t>04 October 2026</t>
        </is>
      </c>
      <c r="Q596" s="19" t="n"/>
      <c r="R596" s="19" t="inlineStr">
        <is>
          <t>backend/test/operations.test.js :: schedules every job in general.timezone (06:00 Manila, not 06:00 UTC) and shows the zone [passed]
backend/test/operations.test.js :: uses the Manila business date, not the database current_date, in the expiry and renewal-notice jobs [passed]</t>
        </is>
      </c>
      <c r="S596" s="19" t="inlineStr">
        <is>
          <t>None</t>
        </is>
      </c>
    </row>
    <row r="597">
      <c r="A597" s="19" t="inlineStr">
        <is>
          <t>BV-ACX-001</t>
        </is>
      </c>
      <c r="B597" s="19" t="inlineStr">
        <is>
          <t>Accounting extensions</t>
        </is>
      </c>
      <c r="C597" s="19" t="inlineStr">
        <is>
          <t>Post-dated cheques</t>
        </is>
      </c>
      <c r="D597" s="19" t="inlineStr">
        <is>
          <t>Accounting (liza.quiambao)</t>
        </is>
      </c>
      <c r="E597" s="19" t="inlineStr">
        <is>
          <t>Register and deposit a PDC on its date</t>
        </is>
      </c>
      <c r="F597" s="19" t="inlineStr">
        <is>
          <t>Accounting</t>
        </is>
      </c>
      <c r="G597" s="19" t="inlineStr">
        <is>
          <t>High</t>
        </is>
      </c>
      <c r="H597" s="19" t="inlineStr">
        <is>
          <t>Open bill.</t>
        </is>
      </c>
      <c r="I597" s="19" t="inlineStr">
        <is>
          <t>1. Accounts &gt; Post-Dated Cheques &gt; Register cheque.
2. Deposit before the date, then on the date.</t>
        </is>
      </c>
      <c r="J597" s="19" t="inlineStr">
        <is>
          <t>Cheque PHP 25,000.00</t>
        </is>
      </c>
      <c r="K597" s="19" t="inlineStr">
        <is>
          <t>Cheques on hand never exceed the bill; deposit refused before the date; on the date the receipt is created and posted.</t>
        </is>
      </c>
      <c r="L597" s="19" t="inlineStr">
        <is>
          <t>As expected.</t>
        </is>
      </c>
      <c r="M597" s="19" t="inlineStr">
        <is>
          <t>Pass</t>
        </is>
      </c>
      <c r="N597" s="19" t="n"/>
      <c r="O597" s="19" t="inlineStr">
        <is>
          <t>iorta TechNXT QA</t>
        </is>
      </c>
      <c r="P597" s="19" t="inlineStr">
        <is>
          <t>04 October 2026</t>
        </is>
      </c>
      <c r="Q597" s="19" t="n"/>
      <c r="R597" s="19" t="inlineStr">
        <is>
          <t>backend/test/ops-accounting.test.js :: registers cheques on hand against a bill, never more than the bill [passed]
backend/test/ops-accounting.test.js :: deposits a cheque on its date: the receipt is created and posted; not before its date [passed]</t>
        </is>
      </c>
      <c r="S597" s="19" t="inlineStr">
        <is>
          <t>None</t>
        </is>
      </c>
    </row>
    <row r="598">
      <c r="A598" s="19" t="inlineStr">
        <is>
          <t>BV-ACX-002</t>
        </is>
      </c>
      <c r="B598" s="19" t="inlineStr">
        <is>
          <t>Accounting extensions</t>
        </is>
      </c>
      <c r="C598" s="19" t="inlineStr">
        <is>
          <t>Post-dated cheques</t>
        </is>
      </c>
      <c r="D598" s="19" t="inlineStr">
        <is>
          <t>Accounting (liza.quiambao)</t>
        </is>
      </c>
      <c r="E598" s="19" t="inlineStr">
        <is>
          <t>A bounced cheque cancels the receipt and is replaced</t>
        </is>
      </c>
      <c r="F598" s="19" t="inlineStr">
        <is>
          <t>Accounting</t>
        </is>
      </c>
      <c r="G598" s="19" t="inlineStr">
        <is>
          <t>High</t>
        </is>
      </c>
      <c r="H598" s="19" t="inlineStr">
        <is>
          <t>Deposited PDC.</t>
        </is>
      </c>
      <c r="I598" s="19" t="inlineStr">
        <is>
          <t>1. Bounced with reason; Replace.</t>
        </is>
      </c>
      <c r="J598" s="19" t="inlineStr">
        <is>
          <t>None</t>
        </is>
      </c>
      <c r="K598" s="19" t="inlineStr">
        <is>
          <t>Receipt cancelled, journal reversed, bill open; replacement linked.</t>
        </is>
      </c>
      <c r="L598" s="19" t="inlineStr">
        <is>
          <t>As expected.</t>
        </is>
      </c>
      <c r="M598" s="19" t="inlineStr">
        <is>
          <t>Pass</t>
        </is>
      </c>
      <c r="N598" s="19" t="n"/>
      <c r="O598" s="19" t="inlineStr">
        <is>
          <t>iorta TechNXT QA</t>
        </is>
      </c>
      <c r="P598" s="19" t="inlineStr">
        <is>
          <t>04 October 2026</t>
        </is>
      </c>
      <c r="Q598" s="19" t="n"/>
      <c r="R598" s="19" t="inlineStr">
        <is>
          <t>backend/test/ops-accounting.test.js :: a bounced cheque cancels its receipt (the bill is open again) and is replaced [passed]</t>
        </is>
      </c>
      <c r="S598" s="19" t="inlineStr">
        <is>
          <t>None</t>
        </is>
      </c>
    </row>
    <row r="599">
      <c r="A599" s="19" t="inlineStr">
        <is>
          <t>BV-ACX-003</t>
        </is>
      </c>
      <c r="B599" s="19" t="inlineStr">
        <is>
          <t>Accounting extensions</t>
        </is>
      </c>
      <c r="C599" s="19" t="inlineStr">
        <is>
          <t>Instalment invoices</t>
        </is>
      </c>
      <c r="D599" s="19" t="inlineStr">
        <is>
          <t>Accounting (liza.quiambao)</t>
        </is>
      </c>
      <c r="E599" s="19" t="inlineStr">
        <is>
          <t>Issue a separate invoice per instalment</t>
        </is>
      </c>
      <c r="F599" s="19" t="inlineStr">
        <is>
          <t>Accounting</t>
        </is>
      </c>
      <c r="G599" s="19" t="inlineStr">
        <is>
          <t>High</t>
        </is>
      </c>
      <c r="H599" s="19" t="inlineStr">
        <is>
          <t>Instalment plan without payment.</t>
        </is>
      </c>
      <c r="I599" s="19" t="inlineStr">
        <is>
          <t>1. Issue instalment invoices.</t>
        </is>
      </c>
      <c r="J599" s="19" t="inlineStr">
        <is>
          <t>4 instalments</t>
        </is>
      </c>
      <c r="K599" s="19" t="inlineStr">
        <is>
          <t>Bill cancelled with reversal; one bill per instalment with its due date and journal; receipts, ageing and warranty monitor per instalment.</t>
        </is>
      </c>
      <c r="L599" s="19" t="inlineStr">
        <is>
          <t>As expected.</t>
        </is>
      </c>
      <c r="M599" s="19" t="inlineStr">
        <is>
          <t>Pass</t>
        </is>
      </c>
      <c r="N599" s="19" t="n"/>
      <c r="O599" s="19" t="inlineStr">
        <is>
          <t>iorta TechNXT QA</t>
        </is>
      </c>
      <c r="P599" s="19" t="inlineStr">
        <is>
          <t>04 October 2026</t>
        </is>
      </c>
      <c r="Q599" s="19" t="n"/>
      <c r="R599" s="19" t="inlineStr">
        <is>
          <t>backend/test/ops-accounting.test.js :: replaces the bill by one bill per instalment with its own due date and booking journal [passed]
backend/test/ops-accounting.test.js :: payments, the plan view, the ageing and the warranty monitor work per instalment [passed]</t>
        </is>
      </c>
      <c r="S599" s="19" t="inlineStr">
        <is>
          <t>IC premium payment warranty</t>
        </is>
      </c>
    </row>
    <row r="600">
      <c r="A600" s="19" t="inlineStr">
        <is>
          <t>BV-ACX-004</t>
        </is>
      </c>
      <c r="B600" s="19" t="inlineStr">
        <is>
          <t>Accounting extensions</t>
        </is>
      </c>
      <c r="C600" s="19" t="inlineStr">
        <is>
          <t>Claims settlements</t>
        </is>
      </c>
      <c r="D600" s="19" t="inlineStr">
        <is>
          <t>Accounting (liza.quiambao)</t>
        </is>
      </c>
      <c r="E600" s="19" t="inlineStr">
        <is>
          <t>Record insurer funds and pay the claimant</t>
        </is>
      </c>
      <c r="F600" s="19" t="inlineStr">
        <is>
          <t>Accounting</t>
        </is>
      </c>
      <c r="G600" s="19" t="inlineStr">
        <is>
          <t>High</t>
        </is>
      </c>
      <c r="H600" s="19" t="inlineStr">
        <is>
          <t>Approved settlement paid through the broker.</t>
        </is>
      </c>
      <c r="I600" s="19" t="inlineStr">
        <is>
          <t>1. Accounts &gt; Claims Settlements; Funds received; Pay claimant; Release form.</t>
        </is>
      </c>
      <c r="J600" s="19" t="inlineStr">
        <is>
          <t>None</t>
        </is>
      </c>
      <c r="K600" s="19" t="inlineStr">
        <is>
          <t>Posts claim.funds_received and claim.paid_to_claimant; CPV number; release form printed.</t>
        </is>
      </c>
      <c r="L600" s="19" t="inlineStr">
        <is>
          <t>As expected.</t>
        </is>
      </c>
      <c r="M600" s="19" t="inlineStr">
        <is>
          <t>Pass</t>
        </is>
      </c>
      <c r="N600" s="19" t="n"/>
      <c r="O600" s="19" t="inlineStr">
        <is>
          <t>iorta TechNXT QA</t>
        </is>
      </c>
      <c r="P600" s="19" t="inlineStr">
        <is>
          <t>04 October 2026</t>
        </is>
      </c>
      <c r="Q600" s="19" t="n"/>
      <c r="R600" s="19" t="inlineStr">
        <is>
          <t>backend/test/ops-accounting.test.js :: lists the claim awaiting funds, records the funds and pays the claimant with a payment voucher and a release form [passed]</t>
        </is>
      </c>
      <c r="S600" s="19" t="inlineStr">
        <is>
          <t>Insurance Code (fiduciary funds)</t>
        </is>
      </c>
    </row>
    <row r="601">
      <c r="A601" s="19" t="inlineStr">
        <is>
          <t>BV-ACX-005</t>
        </is>
      </c>
      <c r="B601" s="19" t="inlineStr">
        <is>
          <t>Accounting extensions</t>
        </is>
      </c>
      <c r="C601" s="19" t="inlineStr">
        <is>
          <t>Accounts payable</t>
        </is>
      </c>
      <c r="D601" s="19" t="inlineStr">
        <is>
          <t>Accounting (liza.quiambao)</t>
        </is>
      </c>
      <c r="E601" s="19" t="inlineStr">
        <is>
          <t>Supplier invoice with input VAT and EWT, approved by another user</t>
        </is>
      </c>
      <c r="F601" s="19" t="inlineStr">
        <is>
          <t>Accounting</t>
        </is>
      </c>
      <c r="G601" s="19" t="inlineStr">
        <is>
          <t>High</t>
        </is>
      </c>
      <c r="H601" s="19" t="inlineStr">
        <is>
          <t>Supplier VAT-registered with EWT code WC160.</t>
        </is>
      </c>
      <c r="I601" s="19" t="inlineStr">
        <is>
          <t>1. New supplier invoice; Save and submit; approve as Accounting Manager.</t>
        </is>
      </c>
      <c r="J601" s="19" t="inlineStr">
        <is>
          <t>Services PHP 11,200.00</t>
        </is>
      </c>
      <c r="K601" s="19" t="inlineStr">
        <is>
          <t>Input VAT and EWT computed; approval by another user posts ap.invoice; payment posts ap.payment; AP ageing.</t>
        </is>
      </c>
      <c r="L601" s="19" t="inlineStr">
        <is>
          <t>As expected.</t>
        </is>
      </c>
      <c r="M601" s="19" t="inlineStr">
        <is>
          <t>Pass</t>
        </is>
      </c>
      <c r="N601" s="19" t="n"/>
      <c r="O601" s="19" t="inlineStr">
        <is>
          <t>iorta TechNXT QA</t>
        </is>
      </c>
      <c r="P601" s="19" t="inlineStr">
        <is>
          <t>04 October 2026</t>
        </is>
      </c>
      <c r="Q601" s="19" t="n"/>
      <c r="R601" s="19" t="inlineStr">
        <is>
          <t>backend/test/ops-accounting.test.js :: Accounting maintains suppliers; an invoice computes input VAT and EWT and goes for approval [passed]
backend/test/ops-accounting.test.js :: is approved by another user holding approve:payables and posts ap.invoice with one line per expense account [passed]
backend/test/ops-accounting.test.js :: pays the invoice (ap.payment), ages what is open and reopens it when the payment is cancelled [passed]</t>
        </is>
      </c>
      <c r="S601" s="19" t="inlineStr">
        <is>
          <t>NIRC (input VAT; EWT RR 2-98)</t>
        </is>
      </c>
    </row>
    <row r="602">
      <c r="A602" s="19" t="inlineStr">
        <is>
          <t>BV-ACX-006</t>
        </is>
      </c>
      <c r="B602" s="19" t="inlineStr">
        <is>
          <t>Accounting extensions</t>
        </is>
      </c>
      <c r="C602" s="19" t="inlineStr">
        <is>
          <t>Fixed assets</t>
        </is>
      </c>
      <c r="D602" s="19" t="inlineStr">
        <is>
          <t>Accounting (liza.quiambao)</t>
        </is>
      </c>
      <c r="E602" s="19" t="inlineStr">
        <is>
          <t>Register an asset and post monthly depreciation once</t>
        </is>
      </c>
      <c r="F602" s="19" t="inlineStr">
        <is>
          <t>Accounting</t>
        </is>
      </c>
      <c r="G602" s="19" t="inlineStr">
        <is>
          <t>High</t>
        </is>
      </c>
      <c r="H602" s="19" t="inlineStr">
        <is>
          <t>Asset classes set.</t>
        </is>
      </c>
      <c r="I602" s="19" t="inlineStr">
        <is>
          <t>1. Register asset; Depreciation Run; Post depreciation; run month-end close.</t>
        </is>
      </c>
      <c r="J602" s="19" t="inlineStr">
        <is>
          <t>Cost PHP 60,000.00, 3 years</t>
        </is>
      </c>
      <c r="K602" s="19" t="inlineStr">
        <is>
          <t>Straight-line schedule to salvage value; one journal per class per period; never twice (also from month-end close).</t>
        </is>
      </c>
      <c r="L602" s="19" t="inlineStr">
        <is>
          <t>As expected.</t>
        </is>
      </c>
      <c r="M602" s="19" t="inlineStr">
        <is>
          <t>Pass</t>
        </is>
      </c>
      <c r="N602" s="19" t="n"/>
      <c r="O602" s="19" t="inlineStr">
        <is>
          <t>iorta TechNXT QA</t>
        </is>
      </c>
      <c r="P602" s="19" t="inlineStr">
        <is>
          <t>04 October 2026</t>
        </is>
      </c>
      <c r="Q602" s="19" t="n"/>
      <c r="R602" s="19" t="inlineStr">
        <is>
          <t>backend/test/ops-accounting.test.js :: straight-line schedule ends at the salvage value [passed]
backend/test/ops-accounting.test.js :: registers an asset with the life and accounts of its class, and an asset line of a supplier invoice is capitalised [passed]
backend/test/ops-accounting.test.js :: the monthly run posts one journal per class, once per period [passed]
backend/test/ops-accounting.test.js :: is a step of the month-end close (nothing posted twice) [passed]</t>
        </is>
      </c>
      <c r="S602" s="19" t="inlineStr">
        <is>
          <t>None</t>
        </is>
      </c>
    </row>
    <row r="603">
      <c r="A603" s="19" t="inlineStr">
        <is>
          <t>BV-DST-001</t>
        </is>
      </c>
      <c r="B603" s="19" t="inlineStr">
        <is>
          <t>Distribution</t>
        </is>
      </c>
      <c r="C603" s="19" t="inlineStr">
        <is>
          <t>Lead assignment</t>
        </is>
      </c>
      <c r="D603" s="19" t="inlineStr">
        <is>
          <t>Sales &amp; Marketing (maria.rivera)</t>
        </is>
      </c>
      <c r="E603" s="19" t="inlineStr">
        <is>
          <t>Round robin assignment with history</t>
        </is>
      </c>
      <c r="F603" s="19" t="inlineStr">
        <is>
          <t>Functional</t>
        </is>
      </c>
      <c r="G603" s="19" t="inlineStr">
        <is>
          <t>High</t>
        </is>
      </c>
      <c r="H603" s="19" t="inlineStr">
        <is>
          <t>Rule with two account executives.</t>
        </is>
      </c>
      <c r="I603" s="19" t="inlineStr">
        <is>
          <t>1. Create three prospects.</t>
        </is>
      </c>
      <c r="J603" s="19" t="inlineStr">
        <is>
          <t>None</t>
        </is>
      </c>
      <c r="K603" s="19" t="inlineStr">
        <is>
          <t>Prospects assigned in turn; history recorded; unmatched prospects stay with creator or go to the queue.</t>
        </is>
      </c>
      <c r="L603" s="19" t="inlineStr">
        <is>
          <t>As expected.</t>
        </is>
      </c>
      <c r="M603" s="19" t="inlineStr">
        <is>
          <t>Pass</t>
        </is>
      </c>
      <c r="N603" s="19" t="n"/>
      <c r="O603" s="19" t="inlineStr">
        <is>
          <t>iorta TechNXT QA</t>
        </is>
      </c>
      <c r="P603" s="19" t="inlineStr">
        <is>
          <t>04 October 2026</t>
        </is>
      </c>
      <c r="Q603" s="19" t="n"/>
      <c r="R603" s="19" t="inlineStr">
        <is>
          <t>backend/test/lead-assignment.test.js :: assigns matching prospects in turn (round robin) and records the history [passed]
backend/test/lead-assignment.test.js :: a prospect no rule matches stays with its creator, or goes to the queue when leads.assignment_fallback is queue [passed]</t>
        </is>
      </c>
      <c r="S603" s="19" t="inlineStr">
        <is>
          <t>None</t>
        </is>
      </c>
    </row>
    <row r="604">
      <c r="A604" s="19" t="inlineStr">
        <is>
          <t>BV-DST-002</t>
        </is>
      </c>
      <c r="B604" s="19" t="inlineStr">
        <is>
          <t>Distribution</t>
        </is>
      </c>
      <c r="C604" s="19" t="inlineStr">
        <is>
          <t>Lead assignment</t>
        </is>
      </c>
      <c r="D604" s="19" t="inlineStr">
        <is>
          <t>Accounting Manager (teresa.villaroman)</t>
        </is>
      </c>
      <c r="E604" s="19" t="inlineStr">
        <is>
          <t>Queue and bulk reassignment</t>
        </is>
      </c>
      <c r="F604" s="19" t="inlineStr">
        <is>
          <t>Functional</t>
        </is>
      </c>
      <c r="G604" s="19" t="inlineStr">
        <is>
          <t>Medium</t>
        </is>
      </c>
      <c r="H604" s="19" t="inlineStr">
        <is>
          <t>Prospects in the queue.</t>
        </is>
      </c>
      <c r="I604" s="19" t="inlineStr">
        <is>
          <t>1. Reassign in bulk with a reason; send to queue.</t>
        </is>
      </c>
      <c r="J604" s="19" t="inlineStr">
        <is>
          <t>None</t>
        </is>
      </c>
      <c r="K604" s="19" t="inlineStr">
        <is>
          <t>Owners change with history and audit; SLA job queues untouched prospects.</t>
        </is>
      </c>
      <c r="L604" s="19" t="inlineStr">
        <is>
          <t>As expected.</t>
        </is>
      </c>
      <c r="M604" s="19" t="inlineStr">
        <is>
          <t>Pass</t>
        </is>
      </c>
      <c r="N604" s="19" t="n"/>
      <c r="O604" s="19" t="inlineStr">
        <is>
          <t>iorta TechNXT QA</t>
        </is>
      </c>
      <c r="P604" s="19" t="inlineStr">
        <is>
          <t>04 October 2026</t>
        </is>
      </c>
      <c r="Q604" s="19" t="n"/>
      <c r="R604" s="19" t="inlineStr">
        <is>
          <t>backend/test/lead-assignment.test.js :: lists the queue and reassigns from it; bulk reassignment moves many prospects with history and audit [passed]
backend/test/lead-assignment.test.js :: the daily job queues prospects still New after leads.assignment_sla_hours [passed]
backend/test/lead-assignment.test.js :: the team view shows a manager the prospects of everyone reporting to them, and not another team [passed]</t>
        </is>
      </c>
      <c r="S604" s="19" t="inlineStr">
        <is>
          <t>None</t>
        </is>
      </c>
    </row>
    <row r="605">
      <c r="A605" s="19" t="inlineStr">
        <is>
          <t>BV-DST-003</t>
        </is>
      </c>
      <c r="B605" s="19" t="inlineStr">
        <is>
          <t>Distribution</t>
        </is>
      </c>
      <c r="C605" s="19" t="inlineStr">
        <is>
          <t>Distribution channels</t>
        </is>
      </c>
      <c r="D605" s="19" t="inlineStr">
        <is>
          <t>Processing Team (jose.bernardo)</t>
        </is>
      </c>
      <c r="E605" s="19" t="inlineStr">
        <is>
          <t>Channels by hierarchy; channel carried to quotation and policy</t>
        </is>
      </c>
      <c r="F605" s="19" t="inlineStr">
        <is>
          <t>Functional</t>
        </is>
      </c>
      <c r="G605" s="19" t="inlineStr">
        <is>
          <t>High</t>
        </is>
      </c>
      <c r="H605" s="19" t="inlineStr">
        <is>
          <t>Dealer group and branch.</t>
        </is>
      </c>
      <c r="I605" s="19" t="inlineStr">
        <is>
          <t>1. Create prospect with channel; quote; issue.</t>
        </is>
      </c>
      <c r="J605" s="19" t="inlineStr">
        <is>
          <t>None</t>
        </is>
      </c>
      <c r="K605" s="19" t="inlineStr">
        <is>
          <t>Policy inherits the channel; referrer earns comsub; Dealer Production rolls up.</t>
        </is>
      </c>
      <c r="L605" s="19" t="inlineStr">
        <is>
          <t>As expected.</t>
        </is>
      </c>
      <c r="M605" s="19" t="inlineStr">
        <is>
          <t>Pass</t>
        </is>
      </c>
      <c r="N605" s="19" t="n"/>
      <c r="O605" s="19" t="inlineStr">
        <is>
          <t>iorta TechNXT QA</t>
        </is>
      </c>
      <c r="P605" s="19" t="inlineStr">
        <is>
          <t>04 October 2026</t>
        </is>
      </c>
      <c r="Q605" s="19" t="n"/>
      <c r="R605" s="19" t="inlineStr">
        <is>
          <t>backend/test/distribution-channels.test.js :: builds the hierarchy: a dealer branch sits under a dealer group, a bank branch under a financing bank [passed]
backend/test/distribution-channels.test.js :: a prospect carries its channel; its quotation and policy inherit it, and the channel referrer earns the comsub [passed]
backend/test/distribution-channels.test.js :: Dealer Production totals prospects, quotations and policies per channel, rolled up to the dealer group [passed]</t>
        </is>
      </c>
      <c r="S605" s="19" t="inlineStr">
        <is>
          <t>None</t>
        </is>
      </c>
    </row>
    <row r="606">
      <c r="A606" s="19" t="inlineStr">
        <is>
          <t>BV-DST-004</t>
        </is>
      </c>
      <c r="B606" s="19" t="inlineStr">
        <is>
          <t>Distribution</t>
        </is>
      </c>
      <c r="C606" s="19" t="inlineStr">
        <is>
          <t>Dealer programmes</t>
        </is>
      </c>
      <c r="D606" s="19" t="inlineStr">
        <is>
          <t>Sales &amp; Marketing (maria.rivera)</t>
        </is>
      </c>
      <c r="E606" s="19" t="inlineStr">
        <is>
          <t>Upload dealer sales creating prospects, quotations and policies</t>
        </is>
      </c>
      <c r="F606" s="19" t="inlineStr">
        <is>
          <t>Integration</t>
        </is>
      </c>
      <c r="G606" s="19" t="inlineStr">
        <is>
          <t>High</t>
        </is>
      </c>
      <c r="H606" s="19" t="inlineStr">
        <is>
          <t>Programme with free first year.</t>
        </is>
      </c>
      <c r="I606" s="19" t="inlineStr">
        <is>
          <t>1. Upload sales template with one bad row.</t>
        </is>
      </c>
      <c r="J606" s="19" t="inlineStr">
        <is>
          <t>None</t>
        </is>
      </c>
      <c r="K606" s="19" t="inlineStr">
        <is>
          <t>Per valid row prospect, quotation and policy; dealer billed; bad row reported; same chassis refused.</t>
        </is>
      </c>
      <c r="L606" s="19" t="inlineStr">
        <is>
          <t>As expected.</t>
        </is>
      </c>
      <c r="M606" s="19" t="inlineStr">
        <is>
          <t>Pass</t>
        </is>
      </c>
      <c r="N606" s="19" t="n"/>
      <c r="O606" s="19" t="inlineStr">
        <is>
          <t>iorta TechNXT QA</t>
        </is>
      </c>
      <c r="P606" s="19" t="inlineStr">
        <is>
          <t>04 October 2026</t>
        </is>
      </c>
      <c r="Q606" s="19" t="n"/>
      <c r="R606" s="19" t="inlineStr">
        <is>
          <t>backend/test/motor-programmes.test.js :: an upload creates prospect, quotation and policy per sale, billed to the dealer for a free first year; a bad row is reported [passed]
backend/test/motor-programmes.test.js :: refuses the same car twice [passed]</t>
        </is>
      </c>
      <c r="S606" s="19" t="inlineStr">
        <is>
          <t>None</t>
        </is>
      </c>
    </row>
    <row r="607">
      <c r="A607" s="19" t="inlineStr">
        <is>
          <t>BV-DST-005</t>
        </is>
      </c>
      <c r="B607" s="19" t="inlineStr">
        <is>
          <t>Distribution</t>
        </is>
      </c>
      <c r="C607" s="19" t="inlineStr">
        <is>
          <t>Dealer programmes</t>
        </is>
      </c>
      <c r="D607" s="19" t="inlineStr">
        <is>
          <t>Sales &amp; Marketing (maria.rivera)</t>
        </is>
      </c>
      <c r="E607" s="19" t="inlineStr">
        <is>
          <t>Subsidy split and bank endorsement letter</t>
        </is>
      </c>
      <c r="F607" s="19" t="inlineStr">
        <is>
          <t>Accounting</t>
        </is>
      </c>
      <c r="G607" s="19" t="inlineStr">
        <is>
          <t>Medium</t>
        </is>
      </c>
      <c r="H607" s="19" t="inlineStr">
        <is>
          <t>Subsidised programme with bank.</t>
        </is>
      </c>
      <c r="I607" s="19" t="inlineStr">
        <is>
          <t>1. Upload; print bank letter; e-mail to bank.</t>
        </is>
      </c>
      <c r="J607" s="19" t="inlineStr">
        <is>
          <t>None</t>
        </is>
      </c>
      <c r="K607" s="19" t="inlineStr">
        <is>
          <t>Dealer billed its share, buyer the rest; letter printed and queued.</t>
        </is>
      </c>
      <c r="L607" s="19" t="inlineStr">
        <is>
          <t>As expected.</t>
        </is>
      </c>
      <c r="M607" s="19" t="inlineStr">
        <is>
          <t>Pass</t>
        </is>
      </c>
      <c r="N607" s="19" t="n"/>
      <c r="O607" s="19" t="inlineStr">
        <is>
          <t>iorta TechNXT QA</t>
        </is>
      </c>
      <c r="P607" s="19" t="inlineStr">
        <is>
          <t>04 October 2026</t>
        </is>
      </c>
      <c r="Q607" s="19" t="n"/>
      <c r="R607" s="19" t="inlineStr">
        <is>
          <t>backend/test/motor-programmes.test.js :: a subsidised programme bills the dealer its share and the buyer the rest [passed]
backend/test/motor-programmes.test.js :: prints the bank endorsement letter of a financed sale (one or a batch) and e-mails it to the bank [passed]</t>
        </is>
      </c>
      <c r="S607" s="19" t="inlineStr">
        <is>
          <t>None</t>
        </is>
      </c>
    </row>
    <row r="608">
      <c r="A608" s="19" t="inlineStr">
        <is>
          <t>BV-DST-006</t>
        </is>
      </c>
      <c r="B608" s="19" t="inlineStr">
        <is>
          <t>Distribution</t>
        </is>
      </c>
      <c r="C608" s="19" t="inlineStr">
        <is>
          <t>Fleet schedules</t>
        </is>
      </c>
      <c r="D608" s="19" t="inlineStr">
        <is>
          <t>Operations (ana.buenaventura)</t>
        </is>
      </c>
      <c r="E608" s="19" t="inlineStr">
        <is>
          <t>Price vehicles, issue one policy, add and delete by endorsement</t>
        </is>
      </c>
      <c r="F608" s="19" t="inlineStr">
        <is>
          <t>Accounting</t>
        </is>
      </c>
      <c r="G608" s="19" t="inlineStr">
        <is>
          <t>High</t>
        </is>
      </c>
      <c r="H608" s="19" t="inlineStr">
        <is>
          <t>Fleet client.</t>
        </is>
      </c>
      <c r="I608" s="19" t="inlineStr">
        <is>
          <t>1. New fleet schedule; upload vehicles; Issue policy; add a vehicle; delete one.</t>
        </is>
      </c>
      <c r="J608" s="19" t="inlineStr">
        <is>
          <t>None</t>
        </is>
      </c>
      <c r="K608" s="19" t="inlineStr">
        <is>
          <t>Each vehicle priced with CTPL tariff; one policy and bill; pro-rata additional and return premium.</t>
        </is>
      </c>
      <c r="L608" s="19" t="inlineStr">
        <is>
          <t>As expected.</t>
        </is>
      </c>
      <c r="M608" s="19" t="inlineStr">
        <is>
          <t>Pass</t>
        </is>
      </c>
      <c r="N608" s="19" t="n"/>
      <c r="O608" s="19" t="inlineStr">
        <is>
          <t>iorta TechNXT QA</t>
        </is>
      </c>
      <c r="P608" s="19" t="inlineStr">
        <is>
          <t>04 October 2026</t>
        </is>
      </c>
      <c r="Q608" s="19" t="n"/>
      <c r="R608" s="19" t="inlineStr">
        <is>
          <t>backend/test/fleet-schedules.test.js :: starts a draft schedule and prices each vehicle on its own (own damage, liability, CTPL tariff, taxes) [passed]
backend/test/fleet-schedules.test.js :: issues one policy for the total premium of the vehicles, with its bill [passed]
backend/test/fleet-schedules.test.js :: adds a vehicle by endorsement at the pro-rata premium of the days left; the additional premium is billed [passed]
backend/test/fleet-schedules.test.js :: deletes a vehicle by endorsement: return premium credited pro-rata, the vehicle keeps its dates on cover [passed]</t>
        </is>
      </c>
      <c r="S608" s="19" t="inlineStr">
        <is>
          <t>IC CTPL tariff</t>
        </is>
      </c>
    </row>
    <row r="609">
      <c r="A609" s="19" t="inlineStr">
        <is>
          <t>BV-DST-007</t>
        </is>
      </c>
      <c r="B609" s="19" t="inlineStr">
        <is>
          <t>Distribution</t>
        </is>
      </c>
      <c r="C609" s="19" t="inlineStr">
        <is>
          <t>Marine open cover</t>
        </is>
      </c>
      <c r="D609" s="19" t="inlineStr">
        <is>
          <t>Operations (ana.buenaventura)</t>
        </is>
      </c>
      <c r="E609" s="19" t="inlineStr">
        <is>
          <t>Certificates and monthly declaration billing</t>
        </is>
      </c>
      <c r="F609" s="19" t="inlineStr">
        <is>
          <t>Accounting</t>
        </is>
      </c>
      <c r="G609" s="19" t="inlineStr">
        <is>
          <t>High</t>
        </is>
      </c>
      <c r="H609" s="19" t="inlineStr">
        <is>
          <t>Active open cover.</t>
        </is>
      </c>
      <c r="I609" s="19" t="inlineStr">
        <is>
          <t>1. Issue certificate; New declaration; Submit; Bill.</t>
        </is>
      </c>
      <c r="J609" s="19" t="inlineStr">
        <is>
          <t>Invoice USD value with 10% mark-up</t>
        </is>
      </c>
      <c r="K609" s="19" t="inlineStr">
        <is>
          <t>Insured value with mark-up; limit per conveyance; declaration with premium taxes billed; nil declaration has nothing to bill.</t>
        </is>
      </c>
      <c r="L609" s="19" t="inlineStr">
        <is>
          <t>As expected.</t>
        </is>
      </c>
      <c r="M609" s="19" t="inlineStr">
        <is>
          <t>Pass</t>
        </is>
      </c>
      <c r="N609" s="19" t="n"/>
      <c r="O609" s="19" t="inlineStr">
        <is>
          <t>iorta TechNXT QA</t>
        </is>
      </c>
      <c r="P609" s="19" t="inlineStr">
        <is>
          <t>04 October 2026</t>
        </is>
      </c>
      <c r="Q609" s="19" t="n"/>
      <c r="R609" s="19" t="inlineStr">
        <is>
          <t>backend/test/marine-open-cover.test.js :: issues certificates: insured value with mark-up, rate of the conveyance, minimum premium, limit per conveyance [passed]
backend/test/marine-open-cover.test.js :: the monthly declaration takes the shipments of the month with the premium taxes; billing raises the bill on the open policy [passed]
backend/test/marine-open-cover.test.js :: a month without shipments is a nil declaration with nothing to bill [passed]</t>
        </is>
      </c>
      <c r="S609" s="19" t="inlineStr">
        <is>
          <t>None</t>
        </is>
      </c>
    </row>
    <row r="610">
      <c r="A610" s="19" t="inlineStr">
        <is>
          <t>BV-DST-008</t>
        </is>
      </c>
      <c r="B610" s="19" t="inlineStr">
        <is>
          <t>Distribution</t>
        </is>
      </c>
      <c r="C610" s="19" t="inlineStr">
        <is>
          <t>Facultative reinsurance</t>
        </is>
      </c>
      <c r="D610" s="19" t="inlineStr">
        <is>
          <t>Processing Team (jose.bernardo)</t>
        </is>
      </c>
      <c r="E610" s="19" t="inlineStr">
        <is>
          <t>Place and bind a facultative slip</t>
        </is>
      </c>
      <c r="F610" s="19" t="inlineStr">
        <is>
          <t>Accounting</t>
        </is>
      </c>
      <c r="G610" s="19" t="inlineStr">
        <is>
          <t>High</t>
        </is>
      </c>
      <c r="H610" s="19" t="inlineStr">
        <is>
          <t>Cedant and rated reinsurers.</t>
        </is>
      </c>
      <c r="I610" s="19" t="inlineStr">
        <is>
          <t>1. New slip; add reinsurers; record acceptances to 100%; Bind.</t>
        </is>
      </c>
      <c r="J610" s="19" t="inlineStr">
        <is>
          <t>None</t>
        </is>
      </c>
      <c r="K610" s="19" t="inlineStr">
        <is>
          <t>Over-placement refused; binding posts premium due from cedant, net to reinsurers and brokerage; closes when both sides settled.</t>
        </is>
      </c>
      <c r="L610" s="19" t="inlineStr">
        <is>
          <t>As expected.</t>
        </is>
      </c>
      <c r="M610" s="19" t="inlineStr">
        <is>
          <t>Pass</t>
        </is>
      </c>
      <c r="N610" s="19" t="n"/>
      <c r="O610" s="19" t="inlineStr">
        <is>
          <t>iorta TechNXT QA</t>
        </is>
      </c>
      <c r="P610" s="19" t="inlineStr">
        <is>
          <t>04 October 2026</t>
        </is>
      </c>
      <c r="Q610" s="19" t="n"/>
      <c r="R610" s="19" t="inlineStr">
        <is>
          <t>backend/test/facultative-reinsurance.test.js :: is placed when the accepted lines reach 100% of the share; over-placement is refused; binding needs a full placement [passed]
backend/test/facultative-reinsurance.test.js :: binding books the premium due from the cedant, the net due to each reinsurer and the brokerage [passed]
backend/test/facultative-reinsurance.test.js :: records the premium received and paid with their journals, and closes once both sides are settled [passed]</t>
        </is>
      </c>
      <c r="S610" s="19" t="inlineStr">
        <is>
          <t>IC rules on reinsurance brokers</t>
        </is>
      </c>
    </row>
    <row r="611">
      <c r="A611" s="19" t="inlineStr">
        <is>
          <t>BV-DST-009</t>
        </is>
      </c>
      <c r="B611" s="19" t="inlineStr">
        <is>
          <t>Distribution</t>
        </is>
      </c>
      <c r="C611" s="19" t="inlineStr">
        <is>
          <t>Comparison reports</t>
        </is>
      </c>
      <c r="D611" s="19" t="inlineStr">
        <is>
          <t>Sales &amp; Marketing (maria.rivera)</t>
        </is>
      </c>
      <c r="E611" s="19" t="inlineStr">
        <is>
          <t>Client comparison report without commission</t>
        </is>
      </c>
      <c r="F611" s="19" t="inlineStr">
        <is>
          <t>Report</t>
        </is>
      </c>
      <c r="G611" s="19" t="inlineStr">
        <is>
          <t>High</t>
        </is>
      </c>
      <c r="H611" s="19" t="inlineStr">
        <is>
          <t>Request for quotation with offers.</t>
        </is>
      </c>
      <c r="I611" s="19" t="inlineStr">
        <is>
          <t>1. New report; Prepare; Recommend; Client report (PDF); E-mail.</t>
        </is>
      </c>
      <c r="J611" s="19" t="inlineStr">
        <is>
          <t>None</t>
        </is>
      </c>
      <c r="K611" s="19" t="inlineStr">
        <is>
          <t>Options ranked by total premium; recommendation and reasons printed on letterhead; no commission shown; client choice recorded.</t>
        </is>
      </c>
      <c r="L611" s="19" t="inlineStr">
        <is>
          <t>As expected.</t>
        </is>
      </c>
      <c r="M611" s="19" t="inlineStr">
        <is>
          <t>Pass</t>
        </is>
      </c>
      <c r="N611" s="19" t="n"/>
      <c r="O611" s="19" t="inlineStr">
        <is>
          <t>iorta TechNXT QA</t>
        </is>
      </c>
      <c r="P611" s="19" t="inlineStr">
        <is>
          <t>04 October 2026</t>
        </is>
      </c>
      <c r="Q611" s="19" t="n"/>
      <c r="R611" s="19" t="inlineStr">
        <is>
          <t>backend/test/comparison-reports.test.js :: is prepared from the offers of a request for quotation, ranked by total premium, cheapest recommended by default [passed]
backend/test/comparison-reports.test.js :: the broker changes the recommendation and reasons; the report prints with letterhead, the recommendation and no commission [passed]
backend/test/comparison-reports.test.js :: is e-mailed to the client through the outbox with the PDF attached, and records the client's choice [passed]</t>
        </is>
      </c>
      <c r="S611" s="19" t="inlineStr">
        <is>
          <t>RA 11765 (fair disclosure)</t>
        </is>
      </c>
    </row>
    <row r="612">
      <c r="A612" s="19" t="inlineStr">
        <is>
          <t>BV-DST-010</t>
        </is>
      </c>
      <c r="B612" s="19" t="inlineStr">
        <is>
          <t>Distribution</t>
        </is>
      </c>
      <c r="C612" s="19" t="inlineStr">
        <is>
          <t>Campaigns</t>
        </is>
      </c>
      <c r="D612" s="19" t="inlineStr">
        <is>
          <t>Sales &amp; Marketing (maria.rivera)</t>
        </is>
      </c>
      <c r="E612" s="19" t="inlineStr">
        <is>
          <t>Campaigns reach only consenting recipients; opt-out recorded</t>
        </is>
      </c>
      <c r="F612" s="19" t="inlineStr">
        <is>
          <t>Functional</t>
        </is>
      </c>
      <c r="G612" s="19" t="inlineStr">
        <is>
          <t>High</t>
        </is>
      </c>
      <c r="H612" s="19" t="inlineStr">
        <is>
          <t>Segment and template.</t>
        </is>
      </c>
      <c r="I612" s="19" t="inlineStr">
        <is>
          <t>1. Preview segment; Send now; open the opt-out link.</t>
        </is>
      </c>
      <c r="J612" s="19" t="inlineStr">
        <is>
          <t>None</t>
        </is>
      </c>
      <c r="K612" s="19" t="inlineStr">
        <is>
          <t>Only marketing consent in force reached; excluded recorded with reason; opt-out records a refusal and later campaigns skip the person.</t>
        </is>
      </c>
      <c r="L612" s="19" t="inlineStr">
        <is>
          <t>As expected.</t>
        </is>
      </c>
      <c r="M612" s="19" t="inlineStr">
        <is>
          <t>Pass</t>
        </is>
      </c>
      <c r="N612" s="19" t="n"/>
      <c r="O612" s="19" t="inlineStr">
        <is>
          <t>iorta TechNXT QA</t>
        </is>
      </c>
      <c r="P612" s="19" t="inlineStr">
        <is>
          <t>04 October 2026</t>
        </is>
      </c>
      <c r="Q612" s="19" t="n"/>
      <c r="R612" s="19" t="inlineStr">
        <is>
          <t>backend/test/campaigns.test.js :: previews a segment: only clients whose marketing consent is in force are reachable [passed]
backend/test/campaigns.test.js :: the opt-out link records a refusal in the consent register; the next campaign skips the person [passed]
backend/test/campaigns.test.js :: sending queues the e-mails of consenting recipients to the outbox and records the excluded [passed]
brokerverse/src/module/Distribution/Distribution.test.jsx :: previews who a segment reaches before saving it [passed]</t>
        </is>
      </c>
      <c r="S612" s="19" t="inlineStr">
        <is>
          <t>DPA s.12; NPC rules on direct marketing</t>
        </is>
      </c>
    </row>
    <row r="613">
      <c r="A613" s="19" t="inlineStr">
        <is>
          <t>BV-DST-011</t>
        </is>
      </c>
      <c r="B613" s="19" t="inlineStr">
        <is>
          <t>Distribution</t>
        </is>
      </c>
      <c r="C613" s="19" t="inlineStr">
        <is>
          <t>Report Builder</t>
        </is>
      </c>
      <c r="D613" s="19" t="inlineStr">
        <is>
          <t>Accounting (liza.quiambao)</t>
        </is>
      </c>
      <c r="E613" s="19" t="inlineStr">
        <is>
          <t>Ad hoc report with grouping, totals, export and sharing</t>
        </is>
      </c>
      <c r="F613" s="19" t="inlineStr">
        <is>
          <t>Report</t>
        </is>
      </c>
      <c r="G613" s="19" t="inlineStr">
        <is>
          <t>Medium</t>
        </is>
      </c>
      <c r="H613" s="19" t="inlineStr">
        <is>
          <t>Reports permission.</t>
        </is>
      </c>
      <c r="I613" s="19" t="inlineStr">
        <is>
          <t>1. Choose dataset Policies; group by insurer; Run; Export; Save report shared with a role.</t>
        </is>
      </c>
      <c r="J613" s="19" t="inlineStr">
        <is>
          <t>None</t>
        </is>
      </c>
      <c r="K613" s="19" t="inlineStr">
        <is>
          <t>Grouped totals; Excel with totals row; scoped user sees own book only; BI extract writes one CSV per dataset.</t>
        </is>
      </c>
      <c r="L613" s="19" t="inlineStr">
        <is>
          <t>As expected.</t>
        </is>
      </c>
      <c r="M613" s="19" t="inlineStr">
        <is>
          <t>Pass</t>
        </is>
      </c>
      <c r="N613" s="19" t="n"/>
      <c r="O613" s="19" t="inlineStr">
        <is>
          <t>iorta TechNXT QA</t>
        </is>
      </c>
      <c r="P613" s="19" t="inlineStr">
        <is>
          <t>04 October 2026</t>
        </is>
      </c>
      <c r="Q613" s="19" t="n"/>
      <c r="R613" s="19" t="inlineStr">
        <is>
          <t>backend/test/report-builder.test.js :: runs columns with filters, and grouping with totals [passed]
backend/test/report-builder.test.js :: limits a scoped user to their own book [passed]
backend/test/report-builder.test.js :: the BI extract writes one CSV per dataset to the storage folder [passed]
brokerverse/src/module/Distribution/Distribution.test.jsx :: opens a saved report and runs it, showing the totals of the numeric columns [passed]</t>
        </is>
      </c>
      <c r="S613" s="19" t="inlineStr">
        <is>
          <t>None</t>
        </is>
      </c>
    </row>
    <row r="614">
      <c r="A614" s="19" t="inlineStr">
        <is>
          <t>BV-INT-001</t>
        </is>
      </c>
      <c r="B614" s="19" t="inlineStr">
        <is>
          <t>Integrations</t>
        </is>
      </c>
      <c r="C614" s="19" t="inlineStr">
        <is>
          <t>Connectors</t>
        </is>
      </c>
      <c r="D614" s="19" t="inlineStr">
        <is>
          <t>System Administrator (BrokerVerse)</t>
        </is>
      </c>
      <c r="E614" s="19" t="inlineStr">
        <is>
          <t>Connectors show credential variable names, never values; live refused while incomplete</t>
        </is>
      </c>
      <c r="F614" s="19" t="inlineStr">
        <is>
          <t>Validation</t>
        </is>
      </c>
      <c r="G614" s="19" t="inlineStr">
        <is>
          <t>High</t>
        </is>
      </c>
      <c r="H614" s="19" t="inlineStr">
        <is>
          <t>Master &gt; System Configuration &gt; Integrations.</t>
        </is>
      </c>
      <c r="I614" s="19" t="inlineStr">
        <is>
          <t>1. Edit a connector with a credential value instead of a name; set Live.</t>
        </is>
      </c>
      <c r="J614" s="19" t="inlineStr">
        <is>
          <t>None</t>
        </is>
      </c>
      <c r="K614" s="19" t="inlineStr">
        <is>
          <t>Value refused; Live refused naming what is missing; tag shows whether the variable is set.</t>
        </is>
      </c>
      <c r="L614" s="19" t="inlineStr">
        <is>
          <t>As expected.</t>
        </is>
      </c>
      <c r="M614" s="19" t="inlineStr">
        <is>
          <t>Pass</t>
        </is>
      </c>
      <c r="N614" s="19" t="n"/>
      <c r="O614" s="19" t="inlineStr">
        <is>
          <t>iorta TechNXT QA</t>
        </is>
      </c>
      <c r="P614" s="19" t="inlineStr">
        <is>
          <t>04 October 2026</t>
        </is>
      </c>
      <c r="Q614" s="19" t="n"/>
      <c r="R614" s="19" t="inlineStr">
        <is>
          <t>backend/test/integrations.test.js :: lists connectors with the credential variable names and whether they are set, never the values [passed]
backend/test/integrations.test.js :: refuses a credential value instead of a variable name, and live mode while something is missing [passed]
brokerverse/src/module/Integrations/IntegrationScreens.test.jsx :: the monitor lists the connectors with their credential variable and what blocks live use [passed]</t>
        </is>
      </c>
      <c r="S614" s="19" t="inlineStr">
        <is>
          <t>DPA security of processing</t>
        </is>
      </c>
    </row>
    <row r="615">
      <c r="A615" s="19" t="inlineStr">
        <is>
          <t>BV-INT-002</t>
        </is>
      </c>
      <c r="B615" s="19" t="inlineStr">
        <is>
          <t>Integrations</t>
        </is>
      </c>
      <c r="C615" s="19" t="inlineStr">
        <is>
          <t>Outbox</t>
        </is>
      </c>
      <c r="D615" s="19" t="inlineStr">
        <is>
          <t>System Administrator (BrokerVerse)</t>
        </is>
      </c>
      <c r="E615" s="19" t="inlineStr">
        <is>
          <t>Failed messages are retried with growing waits; refused ones fail at once</t>
        </is>
      </c>
      <c r="F615" s="19" t="inlineStr">
        <is>
          <t>Integration</t>
        </is>
      </c>
      <c r="G615" s="19" t="inlineStr">
        <is>
          <t>Medium</t>
        </is>
      </c>
      <c r="H615" s="19" t="inlineStr">
        <is>
          <t>Connector in test mode.</t>
        </is>
      </c>
      <c r="I615" s="19" t="inlineStr">
        <is>
          <t>1. Send with a failing provider; resend; cancel a queued message.</t>
        </is>
      </c>
      <c r="J615" s="19" t="inlineStr">
        <is>
          <t>None</t>
        </is>
      </c>
      <c r="K615" s="19" t="inlineStr">
        <is>
          <t>Retries then sent; refusal fails at once; resend works; cancel stops.</t>
        </is>
      </c>
      <c r="L615" s="19" t="inlineStr">
        <is>
          <t>As expected.</t>
        </is>
      </c>
      <c r="M615" s="19" t="inlineStr">
        <is>
          <t>Pass</t>
        </is>
      </c>
      <c r="N615" s="19" t="n"/>
      <c r="O615" s="19" t="inlineStr">
        <is>
          <t>iorta TechNXT QA</t>
        </is>
      </c>
      <c r="P615" s="19" t="inlineStr">
        <is>
          <t>04 October 2026</t>
        </is>
      </c>
      <c r="Q615" s="19" t="n"/>
      <c r="R615" s="19" t="inlineStr">
        <is>
          <t>backend/test/integrations.test.js :: retries a failing provider with growing waits, then sends [passed]
backend/test/integrations.test.js :: a refused request fails at once; resend after the fix sends it; a queued message can be cancelled [passed]</t>
        </is>
      </c>
      <c r="S615" s="19" t="inlineStr">
        <is>
          <t>None</t>
        </is>
      </c>
    </row>
    <row r="616">
      <c r="A616" s="19" t="inlineStr">
        <is>
          <t>BV-INT-003</t>
        </is>
      </c>
      <c r="B616" s="19" t="inlineStr">
        <is>
          <t>Integrations</t>
        </is>
      </c>
      <c r="C616" s="19" t="inlineStr">
        <is>
          <t>SMS and consent</t>
        </is>
      </c>
      <c r="D616" s="19" t="inlineStr">
        <is>
          <t>Operations (ana.buenaventura)</t>
        </is>
      </c>
      <c r="E616" s="19" t="inlineStr">
        <is>
          <t>SMS respects consent; renewal and payment reminders sent once</t>
        </is>
      </c>
      <c r="F616" s="19" t="inlineStr">
        <is>
          <t>Integration</t>
        </is>
      </c>
      <c r="G616" s="19" t="inlineStr">
        <is>
          <t>High</t>
        </is>
      </c>
      <c r="H616" s="19" t="inlineStr">
        <is>
          <t>SMS connector, templates active.</t>
        </is>
      </c>
      <c r="I616" s="19" t="inlineStr">
        <is>
          <t>1. Run sms-renewal-notices twice; send marketing to a client without consent.</t>
        </is>
      </c>
      <c r="J616" s="19" t="inlineStr">
        <is>
          <t>None</t>
        </is>
      </c>
      <c r="K616" s="19" t="inlineStr">
        <is>
          <t>One message per event; marketing without consent recorded Not sent with reason; claim updates sent on configured statuses.</t>
        </is>
      </c>
      <c r="L616" s="19" t="inlineStr">
        <is>
          <t>As expected.</t>
        </is>
      </c>
      <c r="M616" s="19" t="inlineStr">
        <is>
          <t>Pass</t>
        </is>
      </c>
      <c r="N616" s="19" t="n"/>
      <c r="O616" s="19" t="inlineStr">
        <is>
          <t>iorta TechNXT QA</t>
        </is>
      </c>
      <c r="P616" s="19" t="inlineStr">
        <is>
          <t>04 October 2026</t>
        </is>
      </c>
      <c r="Q616" s="19" t="n"/>
      <c r="R616" s="19" t="inlineStr">
        <is>
          <t>backend/test/integrations.test.js :: checks consent: refused processing consent and marketing without consent are skipped with the reason [passed]
backend/test/integrations.test.js :: renewal notice and payment reminder jobs queue one message per event and send it [passed]
backend/test/integrations.test.js :: a claim moving to a configured status sends the claim update; an ad hoc message goes to the client [passed]</t>
        </is>
      </c>
      <c r="S616" s="19" t="inlineStr">
        <is>
          <t>DPA s.12; NPC rules on consent</t>
        </is>
      </c>
    </row>
    <row r="617">
      <c r="A617" s="19" t="inlineStr">
        <is>
          <t>BV-INT-004</t>
        </is>
      </c>
      <c r="B617" s="19" t="inlineStr">
        <is>
          <t>Integrations</t>
        </is>
      </c>
      <c r="C617" s="19" t="inlineStr">
        <is>
          <t>CTPL authentication</t>
        </is>
      </c>
      <c r="D617" s="19" t="inlineStr">
        <is>
          <t>Operations (ana.buenaventura)</t>
        </is>
      </c>
      <c r="E617" s="19" t="inlineStr">
        <is>
          <t>COC allocated and authenticated at issue; code printed</t>
        </is>
      </c>
      <c r="F617" s="19" t="inlineStr">
        <is>
          <t>Integration</t>
        </is>
      </c>
      <c r="G617" s="19" t="inlineStr">
        <is>
          <t>High</t>
        </is>
      </c>
      <c r="H617" s="19" t="inlineStr">
        <is>
          <t>COC series of the insurer; CTPL_AUTH test mode.</t>
        </is>
      </c>
      <c r="I617" s="19" t="inlineStr">
        <is>
          <t>1. Issue a motor policy with CTPL.</t>
        </is>
      </c>
      <c r="J617" s="19" t="inlineStr">
        <is>
          <t>None</t>
        </is>
      </c>
      <c r="K617" s="19" t="inlineStr">
        <is>
          <t>Next COC number allocated; authentication code stored and printed on the schedule.</t>
        </is>
      </c>
      <c r="L617" s="19" t="inlineStr">
        <is>
          <t>As expected.</t>
        </is>
      </c>
      <c r="M617" s="19" t="inlineStr">
        <is>
          <t>Pass</t>
        </is>
      </c>
      <c r="N617" s="19" t="n"/>
      <c r="O617" s="19" t="inlineStr">
        <is>
          <t>iorta TechNXT QA</t>
        </is>
      </c>
      <c r="P617" s="19" t="inlineStr">
        <is>
          <t>04 October 2026</t>
        </is>
      </c>
      <c r="Q617" s="19" t="n"/>
      <c r="R617" s="19" t="inlineStr">
        <is>
          <t>backend/test/integrations.test.js :: a CTPL cover issued gets the next COC number and is authenticated through the provider; the code is printed [passed]
brokerverse/src/module/Integrations/IntegrationScreens.test.jsx :: the CTPL screen counts the covers by status [passed]</t>
        </is>
      </c>
      <c r="S617" s="19" t="inlineStr">
        <is>
          <t>IC Circular on CTPL authentication; LTO rules</t>
        </is>
      </c>
    </row>
    <row r="618">
      <c r="A618" s="19" t="inlineStr">
        <is>
          <t>BV-INT-005</t>
        </is>
      </c>
      <c r="B618" s="19" t="inlineStr">
        <is>
          <t>Integrations</t>
        </is>
      </c>
      <c r="C618" s="19" t="inlineStr">
        <is>
          <t>CTPL authentication</t>
        </is>
      </c>
      <c r="D618" s="19" t="inlineStr">
        <is>
          <t>Operations (ana.buenaventura)</t>
        </is>
      </c>
      <c r="E618" s="19" t="inlineStr">
        <is>
          <t>Missing vehicle details hold the request; code keyed in by hand; series control</t>
        </is>
      </c>
      <c r="F618" s="19" t="inlineStr">
        <is>
          <t>Validation</t>
        </is>
      </c>
      <c r="G618" s="19" t="inlineStr">
        <is>
          <t>High</t>
        </is>
      </c>
      <c r="H618" s="19" t="inlineStr">
        <is>
          <t>Policy without plate.</t>
        </is>
      </c>
      <c r="I618" s="19" t="inlineStr">
        <is>
          <t>1. Authenticate now; enter code from the provider portal; add an overlapping series.</t>
        </is>
      </c>
      <c r="J618" s="19" t="inlineStr">
        <is>
          <t>None</t>
        </is>
      </c>
      <c r="K618" s="19" t="inlineStr">
        <is>
          <t>Request held; code keyed in stored as Keyed in; overlapping series refused; used-up series closed; LTO feed when on; pushed results verified.</t>
        </is>
      </c>
      <c r="L618" s="19" t="inlineStr">
        <is>
          <t>As expected.</t>
        </is>
      </c>
      <c r="M618" s="19" t="inlineStr">
        <is>
          <t>Pass</t>
        </is>
      </c>
      <c r="N618" s="19" t="n"/>
      <c r="O618" s="19" t="inlineStr">
        <is>
          <t>iorta TechNXT QA</t>
        </is>
      </c>
      <c r="P618" s="19" t="inlineStr">
        <is>
          <t>04 October 2026</t>
        </is>
      </c>
      <c r="Q618" s="19" t="n"/>
      <c r="R618" s="19" t="inlineStr">
        <is>
          <t>backend/test/integrations.test.js :: missing vehicle details hold the request; the provider refusing it leaves a failure; the code is keyed in by hand [passed]
backend/test/integrations.test.js :: COC series: overlap refused, exhaustion closes the series, a policy without numbers waits for one; LTO feed when switched on [passed]
backend/test/integrations.test.js :: an authentication result pushed by the provider is verified and applied through the inbox [passed]</t>
        </is>
      </c>
      <c r="S618" s="19" t="inlineStr">
        <is>
          <t>IC CTPL rules</t>
        </is>
      </c>
    </row>
    <row r="619">
      <c r="A619" s="19" t="inlineStr">
        <is>
          <t>BV-INT-006</t>
        </is>
      </c>
      <c r="B619" s="19" t="inlineStr">
        <is>
          <t>Integrations</t>
        </is>
      </c>
      <c r="C619" s="19" t="inlineStr">
        <is>
          <t>Insurer API</t>
        </is>
      </c>
      <c r="D619" s="19" t="inlineStr">
        <is>
          <t>Processing Team (jose.bernardo)</t>
        </is>
      </c>
      <c r="E619" s="19" t="inlineStr">
        <is>
          <t>Policy issuance, policy data and claim status through the insurer mapping</t>
        </is>
      </c>
      <c r="F619" s="19" t="inlineStr">
        <is>
          <t>Integration</t>
        </is>
      </c>
      <c r="G619" s="19" t="inlineStr">
        <is>
          <t>Medium</t>
        </is>
      </c>
      <c r="H619" s="19" t="inlineStr">
        <is>
          <t>Mapping for one insurer, test mode.</t>
        </is>
      </c>
      <c r="I619" s="19" t="inlineStr">
        <is>
          <t>1. New request: Policy issuance; Claim status; import claim status file.</t>
        </is>
      </c>
      <c r="J619" s="19" t="inlineStr">
        <is>
          <t>None</t>
        </is>
      </c>
      <c r="K619" s="19" t="inlineStr">
        <is>
          <t>Insurer policy number stored; claim status updated; CSV fallback applied per row.</t>
        </is>
      </c>
      <c r="L619" s="19" t="inlineStr">
        <is>
          <t>As expected.</t>
        </is>
      </c>
      <c r="M619" s="19" t="inlineStr">
        <is>
          <t>Pass</t>
        </is>
      </c>
      <c r="N619" s="19" t="n"/>
      <c r="O619" s="19" t="inlineStr">
        <is>
          <t>iorta TechNXT QA</t>
        </is>
      </c>
      <c r="P619" s="19" t="inlineStr">
        <is>
          <t>04 October 2026</t>
        </is>
      </c>
      <c r="Q619" s="19" t="n"/>
      <c r="R619" s="19" t="inlineStr">
        <is>
          <t>backend/test/integrations.test.js :: policy issuance request, policy data and claim status through the mapping; claim status file as fallback [passed]</t>
        </is>
      </c>
      <c r="S619" s="19" t="inlineStr">
        <is>
          <t>None</t>
        </is>
      </c>
    </row>
    <row r="620">
      <c r="A620" s="19" t="inlineStr">
        <is>
          <t>BV-INT-007</t>
        </is>
      </c>
      <c r="B620" s="19" t="inlineStr">
        <is>
          <t>Integrations</t>
        </is>
      </c>
      <c r="C620" s="19" t="inlineStr">
        <is>
          <t>Bank payment files</t>
        </is>
      </c>
      <c r="D620" s="19" t="inlineStr">
        <is>
          <t>Accounting (liza.quiambao)</t>
        </is>
      </c>
      <c r="E620" s="19" t="inlineStr">
        <is>
          <t>Pay remittance and referrer payout by bank file</t>
        </is>
      </c>
      <c r="F620" s="19" t="inlineStr">
        <is>
          <t>Accounting</t>
        </is>
      </c>
      <c r="G620" s="19" t="inlineStr">
        <is>
          <t>High</t>
        </is>
      </c>
      <c r="H620" s="19" t="inlineStr">
        <is>
          <t>Approved vouchers with payee bank accounts.</t>
        </is>
      </c>
      <c r="I620" s="19" t="inlineStr">
        <is>
          <t>1. New batch; Submit; Approve as another user; Write file; Import status file.</t>
        </is>
      </c>
      <c r="J620" s="19" t="inlineStr">
        <is>
          <t>Layout BDO (starter)</t>
        </is>
      </c>
      <c r="K620" s="19" t="inlineStr">
        <is>
          <t>File written in the layout; paid payments post journals; rejected payment frees its voucher.</t>
        </is>
      </c>
      <c r="L620" s="19" t="inlineStr">
        <is>
          <t>As expected.</t>
        </is>
      </c>
      <c r="M620" s="19" t="inlineStr">
        <is>
          <t>Pass</t>
        </is>
      </c>
      <c r="N620" s="19" t="n"/>
      <c r="O620" s="19" t="inlineStr">
        <is>
          <t>iorta TechNXT QA</t>
        </is>
      </c>
      <c r="P620" s="19" t="inlineStr">
        <is>
          <t>04 October 2026</t>
        </is>
      </c>
      <c r="Q620" s="19" t="n"/>
      <c r="R620" s="19" t="inlineStr">
        <is>
          <t>backend/test/integrations.test.js :: pays an insurer remittance and a referrer payout by file: approval, file, status file, journals; a rejected payment frees its voucher [passed]
backend/test/integrations.test.js :: the layout engine writes fixed-width and delimited files and reads status files [passed]
backend/test/integrations.test.js :: payee bank accounts: one default per payee, unknown bank refused [passed]
brokerverse/src/module/Integrations/IntegrationScreens.test.jsx :: the bank file layouts mark the starter layouts [passed]</t>
        </is>
      </c>
      <c r="S620" s="19" t="inlineStr">
        <is>
          <t>BSP InstaPay and PESONet rules</t>
        </is>
      </c>
    </row>
    <row r="621">
      <c r="A621" s="19" t="inlineStr">
        <is>
          <t>BV-BRD-001</t>
        </is>
      </c>
      <c r="B621" s="19" t="inlineStr">
        <is>
          <t>Branding and e-signatures</t>
        </is>
      </c>
      <c r="C621" s="19" t="inlineStr">
        <is>
          <t>Theme and Branding</t>
        </is>
      </c>
      <c r="D621" s="19" t="inlineStr">
        <is>
          <t>System Administrator (BrokerVerse)</t>
        </is>
      </c>
      <c r="E621" s="19" t="inlineStr">
        <is>
          <t>Save a theme that passes contrast; the screens follow</t>
        </is>
      </c>
      <c r="F621" s="19" t="inlineStr">
        <is>
          <t>Functional</t>
        </is>
      </c>
      <c r="G621" s="19" t="inlineStr">
        <is>
          <t>High</t>
        </is>
      </c>
      <c r="H621" s="19" t="inlineStr">
        <is>
          <t>Master &gt; System Settings &gt; Theme and Branding.</t>
        </is>
      </c>
      <c r="I621" s="19" t="inlineStr">
        <is>
          <t>1. Choose a preset; change the primary colour; Save.</t>
        </is>
      </c>
      <c r="J621" s="19" t="inlineStr">
        <is>
          <t>Primary colour #0B2A4A</t>
        </is>
      </c>
      <c r="K621" s="19" t="inlineStr">
        <is>
          <t>Every preset passes WCAG AA; failing contrast, unknown fonts, external images refused; screens follow the theme without rebuild.</t>
        </is>
      </c>
      <c r="L621" s="19" t="inlineStr">
        <is>
          <t>As expected.</t>
        </is>
      </c>
      <c r="M621" s="19" t="inlineStr">
        <is>
          <t>Pass</t>
        </is>
      </c>
      <c r="N621" s="19" t="n"/>
      <c r="O621" s="19" t="inlineStr">
        <is>
          <t>iorta TechNXT QA</t>
        </is>
      </c>
      <c r="P621" s="19" t="inlineStr">
        <is>
          <t>04 October 2026</t>
        </is>
      </c>
      <c r="Q621" s="19" t="n"/>
      <c r="R621" s="19" t="inlineStr">
        <is>
          <t>backend/test/branding.test.js :: keeps the compiled BDOI theme as the default preset, and every preset passes WCAG AA [passed]
backend/test/branding.test.js :: refuses unknown fonts, bad colours, external images and failing contrast; warns on the rest [passed]
brokerverse/src/theme/runtime/themeEngine.test.js :: computes WCAG contrast and colour mixes [passed]</t>
        </is>
      </c>
      <c r="S621" s="19" t="inlineStr">
        <is>
          <t>WCAG 2.1 AA contrast</t>
        </is>
      </c>
    </row>
    <row r="622">
      <c r="A622" s="19" t="inlineStr">
        <is>
          <t>BV-BRD-002</t>
        </is>
      </c>
      <c r="B622" s="19" t="inlineStr">
        <is>
          <t>Branding and e-signatures</t>
        </is>
      </c>
      <c r="C622" s="19" t="inlineStr">
        <is>
          <t>Sign-in page</t>
        </is>
      </c>
      <c r="D622" s="19" t="inlineStr">
        <is>
          <t>Any signed-in user</t>
        </is>
      </c>
      <c r="E622" s="19" t="inlineStr">
        <is>
          <t>Branding applies before sign-in</t>
        </is>
      </c>
      <c r="F622" s="19" t="inlineStr">
        <is>
          <t>Functional</t>
        </is>
      </c>
      <c r="G622" s="19" t="inlineStr">
        <is>
          <t>Medium</t>
        </is>
      </c>
      <c r="H622" s="19" t="inlineStr">
        <is>
          <t>Theme saved with sign-in picture.</t>
        </is>
      </c>
      <c r="I622" s="19" t="inlineStr">
        <is>
          <t>1. Open the sign-in page in a private window.</t>
        </is>
      </c>
      <c r="J622" s="19" t="inlineStr">
        <is>
          <t>None</t>
        </is>
      </c>
      <c r="K622" s="19" t="inlineStr">
        <is>
          <t>Logo, picture and colours shown; unsafe or oversize uploads refused; SVG with scripts refused.</t>
        </is>
      </c>
      <c r="L622" s="19" t="inlineStr">
        <is>
          <t>As expected.</t>
        </is>
      </c>
      <c r="M622" s="19" t="inlineStr">
        <is>
          <t>Pass</t>
        </is>
      </c>
      <c r="N622" s="19" t="n"/>
      <c r="O622" s="19" t="inlineStr">
        <is>
          <t>iorta TechNXT QA</t>
        </is>
      </c>
      <c r="P622" s="19" t="inlineStr">
        <is>
          <t>04 October 2026</t>
        </is>
      </c>
      <c r="Q622" s="19" t="n"/>
      <c r="R622" s="19" t="inlineStr">
        <is>
          <t>backend/test/branding.test.js :: serves the branding before sign-in with an ETag (304 when unchanged), and a saved theme changes it [passed]
backend/test/branding.test.js :: serves an uploaded sign-in picture publicly, and refuses unsafe or oversize uploads [passed]
backend/test/branding.test.js :: refuses SVG images with scripts, event handlers or external references [passed]
brokerverse/src/theme/runtime/themeEngine.test.js :: loads GET /api/branding before sign-in and applies it [passed]</t>
        </is>
      </c>
      <c r="S622" s="19" t="inlineStr">
        <is>
          <t>None</t>
        </is>
      </c>
    </row>
    <row r="623">
      <c r="A623" s="19" t="inlineStr">
        <is>
          <t>BV-BRD-003</t>
        </is>
      </c>
      <c r="B623" s="19" t="inlineStr">
        <is>
          <t>Branding and e-signatures</t>
        </is>
      </c>
      <c r="C623" s="19" t="inlineStr">
        <is>
          <t>Branded outputs</t>
        </is>
      </c>
      <c r="D623" s="19" t="inlineStr">
        <is>
          <t>Accounting (liza.quiambao)</t>
        </is>
      </c>
      <c r="E623" s="19" t="inlineStr">
        <is>
          <t>Documents, report files and e-mails carry the brand</t>
        </is>
      </c>
      <c r="F623" s="19" t="inlineStr">
        <is>
          <t>Functional</t>
        </is>
      </c>
      <c r="G623" s="19" t="inlineStr">
        <is>
          <t>High</t>
        </is>
      </c>
      <c r="H623" s="19" t="inlineStr">
        <is>
          <t>Company master with logo, TIN, IC licence.</t>
        </is>
      </c>
      <c r="I623" s="19" t="inlineStr">
        <is>
          <t>1. Print a receipt; run a report to PDF and Excel; send an e-mail.</t>
        </is>
      </c>
      <c r="J623" s="19" t="inlineStr">
        <is>
          <t>None</t>
        </is>
      </c>
      <c r="K623" s="19" t="inlineStr">
        <is>
          <t>Logo, colours and footer line with licence on PDFs; Excel header colours; e-mail layout of the theme; BIR forms not restyled.</t>
        </is>
      </c>
      <c r="L623" s="19" t="inlineStr">
        <is>
          <t>As expected.</t>
        </is>
      </c>
      <c r="M623" s="19" t="inlineStr">
        <is>
          <t>Pass</t>
        </is>
      </c>
      <c r="N623" s="19" t="n"/>
      <c r="O623" s="19" t="inlineStr">
        <is>
          <t>iorta TechNXT QA</t>
        </is>
      </c>
      <c r="P623" s="19" t="inlineStr">
        <is>
          <t>04 October 2026</t>
        </is>
      </c>
      <c r="Q623" s="19" t="n"/>
      <c r="R623" s="19" t="inlineStr">
        <is>
          <t>backend/test/branding.test.js :: every document and the report PDF print the logo, the theme colours and the footer line [passed]
backend/test/branding.test.js :: report Excel files take the header colours of the theme, and the logo and banner when the theme asks [passed]
backend/test/branding.test.js :: e-mails are sent in the e-mail layout of the theme [passed]
backend/test/branding.test.js :: fills the footer line from the primary company, and leaves out a licence line without a licence [passed]</t>
        </is>
      </c>
      <c r="S623" s="19" t="inlineStr">
        <is>
          <t>IC: licence number on broker documents</t>
        </is>
      </c>
    </row>
    <row r="624">
      <c r="A624" s="19" t="inlineStr">
        <is>
          <t>BV-BRD-004</t>
        </is>
      </c>
      <c r="B624" s="19" t="inlineStr">
        <is>
          <t>Branding and e-signatures</t>
        </is>
      </c>
      <c r="C624" s="19" t="inlineStr">
        <is>
          <t>E-signatures</t>
        </is>
      </c>
      <c r="D624" s="19" t="inlineStr">
        <is>
          <t>Accounting (liza.quiambao)</t>
        </is>
      </c>
      <c r="E624" s="19" t="inlineStr">
        <is>
          <t>Capture a signature with consent and print it on approved documents only</t>
        </is>
      </c>
      <c r="F624" s="19" t="inlineStr">
        <is>
          <t>Functional</t>
        </is>
      </c>
      <c r="G624" s="19" t="inlineStr">
        <is>
          <t>High</t>
        </is>
      </c>
      <c r="H624" s="19" t="inlineStr">
        <is>
          <t>User profile.</t>
        </is>
      </c>
      <c r="I624" s="19" t="inlineStr">
        <is>
          <t>1. Draw signature with consent; approve a payment voucher; print a draft.</t>
        </is>
      </c>
      <c r="J624" s="19" t="inlineStr">
        <is>
          <t>None</t>
        </is>
      </c>
      <c r="K624" s="19" t="inlineStr">
        <is>
          <t>Signature stored with consent; printed only on issued or approved documents; drafts carry UNSIGNED DRAFT; images not in public links; events audited.</t>
        </is>
      </c>
      <c r="L624" s="19" t="inlineStr">
        <is>
          <t>As expected.</t>
        </is>
      </c>
      <c r="M624" s="19" t="inlineStr">
        <is>
          <t>Pass</t>
        </is>
      </c>
      <c r="N624" s="19" t="n"/>
      <c r="O624" s="19" t="inlineStr">
        <is>
          <t>iorta TechNXT QA</t>
        </is>
      </c>
      <c r="P624" s="19" t="inlineStr">
        <is>
          <t>04 October 2026</t>
        </is>
      </c>
      <c r="Q624" s="19" t="n"/>
      <c r="R624" s="19" t="inlineStr">
        <is>
          <t>backend/test/branding.test.js :: captures a drawn signature only with consent and a printable image; versions replace each other [passed]
backend/test/branding.test.js :: prints the signature on issued documents only; drafts carry the UNSIGNED DRAFT watermark [passed]
backend/test/branding.test.js :: a user signs their own signature; the approving user signs the payment voucher once approved [passed]
backend/test/branding.test.js :: keeps signature images out of the file links and shows them only to authorised users; every event is audited [passed]</t>
        </is>
      </c>
      <c r="S624" s="19" t="inlineStr">
        <is>
          <t>E-Commerce Act (RA 8792)</t>
        </is>
      </c>
    </row>
    <row r="625">
      <c r="A625" s="19" t="inlineStr">
        <is>
          <t>BV-BRD-005</t>
        </is>
      </c>
      <c r="B625" s="19" t="inlineStr">
        <is>
          <t>Branding and e-signatures</t>
        </is>
      </c>
      <c r="C625" s="19" t="inlineStr">
        <is>
          <t>E-signatures</t>
        </is>
      </c>
      <c r="D625" s="19" t="inlineStr">
        <is>
          <t>System Administrator (BrokerVerse)</t>
        </is>
      </c>
      <c r="E625" s="19" t="inlineStr">
        <is>
          <t>Map signatures to documents through slots</t>
        </is>
      </c>
      <c r="F625" s="19" t="inlineStr">
        <is>
          <t>Functional</t>
        </is>
      </c>
      <c r="G625" s="19" t="inlineStr">
        <is>
          <t>Medium</t>
        </is>
      </c>
      <c r="H625" s="19" t="inlineStr">
        <is>
          <t>Signatories.</t>
        </is>
      </c>
      <c r="I625" s="19" t="inlineStr">
        <is>
          <t>1. Configure the slot of the cover note.</t>
        </is>
      </c>
      <c r="J625" s="19" t="inlineStr">
        <is>
          <t>None</t>
        </is>
      </c>
      <c r="K625" s="19" t="inlineStr">
        <is>
          <t>The mapped signature prints in its slot.</t>
        </is>
      </c>
      <c r="L625" s="19" t="inlineStr">
        <is>
          <t>As expected.</t>
        </is>
      </c>
      <c r="M625" s="19" t="inlineStr">
        <is>
          <t>Pass</t>
        </is>
      </c>
      <c r="N625" s="19" t="n"/>
      <c r="O625" s="19" t="inlineStr">
        <is>
          <t>iorta TechNXT QA</t>
        </is>
      </c>
      <c r="P625" s="19" t="inlineStr">
        <is>
          <t>04 October 2026</t>
        </is>
      </c>
      <c r="Q625" s="19" t="n"/>
      <c r="R625" s="19" t="inlineStr">
        <is>
          <t>backend/test/branding.test.js :: maps signatures to documents through the slot configuration [passed]</t>
        </is>
      </c>
      <c r="S625" s="19" t="inlineStr">
        <is>
          <t>None</t>
        </is>
      </c>
    </row>
    <row r="626">
      <c r="A626" s="19" t="inlineStr">
        <is>
          <t>BV-BRD-006</t>
        </is>
      </c>
      <c r="B626" s="19" t="inlineStr">
        <is>
          <t>Branding and e-signatures</t>
        </is>
      </c>
      <c r="C626" s="19" t="inlineStr">
        <is>
          <t>Brand packs</t>
        </is>
      </c>
      <c r="D626" s="19" t="inlineStr">
        <is>
          <t>System Administrator (BrokerVerse)</t>
        </is>
      </c>
      <c r="E626" s="19" t="inlineStr">
        <is>
          <t>Export and import a brand pack; optional client pack needs permission</t>
        </is>
      </c>
      <c r="F626" s="19" t="inlineStr">
        <is>
          <t>Functional</t>
        </is>
      </c>
      <c r="G626" s="19" t="inlineStr">
        <is>
          <t>Medium</t>
        </is>
      </c>
      <c r="H626" s="19" t="inlineStr">
        <is>
          <t>Two environments.</t>
        </is>
      </c>
      <c r="I626" s="19" t="inlineStr">
        <is>
          <t>1. Export the brand pack; import into the other (dry run first).</t>
        </is>
      </c>
      <c r="J626" s="19" t="inlineStr">
        <is>
          <t>None</t>
        </is>
      </c>
      <c r="K626" s="19" t="inlineStr">
        <is>
          <t>Theme and images moved; the Toyota Insurance Services pack applies only when chosen (client permission).</t>
        </is>
      </c>
      <c r="L626" s="19" t="inlineStr">
        <is>
          <t>As expected.</t>
        </is>
      </c>
      <c r="M626" s="19" t="inlineStr">
        <is>
          <t>Pass</t>
        </is>
      </c>
      <c r="N626" s="19" t="n"/>
      <c r="O626" s="19" t="inlineStr">
        <is>
          <t>iorta TechNXT QA</t>
        </is>
      </c>
      <c r="P626" s="19" t="inlineStr">
        <is>
          <t>04 October 2026</t>
        </is>
      </c>
      <c r="Q626" s="19" t="n"/>
      <c r="R626" s="19" t="inlineStr">
        <is>
          <t>backend/test/branding.test.js :: exports and imports a brand pack (zip and JSON), dry run first [passed]
backend/test/branding.test.js :: applies the Toyota Insurance Services brand pack (optional client pack, not the default) [passed]</t>
        </is>
      </c>
      <c r="S626" s="19" t="inlineStr">
        <is>
          <t>Trademark use with client permission</t>
        </is>
      </c>
    </row>
    <row r="627">
      <c r="A627" s="19" t="inlineStr">
        <is>
          <t>BV-PKG-001</t>
        </is>
      </c>
      <c r="B627" s="19" t="inlineStr">
        <is>
          <t>Package G features</t>
        </is>
      </c>
      <c r="C627" s="19" t="inlineStr">
        <is>
          <t>Sales activity log</t>
        </is>
      </c>
      <c r="D627" s="19" t="inlineStr">
        <is>
          <t>Sales &amp; Marketing (maria.rivera)</t>
        </is>
      </c>
      <c r="E627" s="19" t="inlineStr">
        <is>
          <t>Log calls, meetings and follow-ups on a prospect</t>
        </is>
      </c>
      <c r="F627" s="19" t="inlineStr">
        <is>
          <t>Functional</t>
        </is>
      </c>
      <c r="G627" s="19" t="inlineStr">
        <is>
          <t>Medium</t>
        </is>
      </c>
      <c r="H627" s="19" t="inlineStr">
        <is>
          <t>Release with package G merged (brokerverse-platform, 04 October 2026).</t>
        </is>
      </c>
      <c r="I627" s="19" t="inlineStr">
        <is>
          <t>1. Run the scenario on the release (UAT cycle of 04 October 2026).</t>
        </is>
      </c>
      <c r="J627" s="19" t="inlineStr">
        <is>
          <t>None</t>
        </is>
      </c>
      <c r="K627" s="19" t="inlineStr">
        <is>
          <t>Activities listed on the prospect with follow-up tasks in My Work.</t>
        </is>
      </c>
      <c r="L627" s="19" t="inlineStr">
        <is>
          <t>Introductory calls logged on the prospects of the month with the next step as a follow-up task in My Work (UAT cycle: 6 activities).</t>
        </is>
      </c>
      <c r="M627" s="19" t="inlineStr">
        <is>
          <t>Pass</t>
        </is>
      </c>
      <c r="N627" s="19" t="n"/>
      <c r="O627" s="19" t="inlineStr">
        <is>
          <t>iorta TechNXT QA</t>
        </is>
      </c>
      <c r="P627" s="19" t="inlineStr">
        <is>
          <t>04 October 2026</t>
        </is>
      </c>
      <c r="Q627" s="19" t="inlineStr">
        <is>
          <t>Package G merged into the release on 04 October 2026; executed in the release verification.</t>
        </is>
      </c>
      <c r="R627" s="19" t="inlineStr">
        <is>
          <t>UAT cycle 04 October 2026, phase Retail package business (step "Introductory call ... logged"); backend/test/sales-activities.test.js [passed]</t>
        </is>
      </c>
      <c r="S627" s="19" t="inlineStr">
        <is>
          <t>None</t>
        </is>
      </c>
    </row>
    <row r="628">
      <c r="A628" s="19" t="inlineStr">
        <is>
          <t>BV-PKG-002</t>
        </is>
      </c>
      <c r="B628" s="19" t="inlineStr">
        <is>
          <t>Package G features</t>
        </is>
      </c>
      <c r="C628" s="19" t="inlineStr">
        <is>
          <t>Quote wizard</t>
        </is>
      </c>
      <c r="D628" s="19" t="inlineStr">
        <is>
          <t>Sales &amp; Marketing (maria.rivera)</t>
        </is>
      </c>
      <c r="E628" s="19" t="inlineStr">
        <is>
          <t>Quote wizard takes covers and risk fields from the Product Configurator</t>
        </is>
      </c>
      <c r="F628" s="19" t="inlineStr">
        <is>
          <t>Functional</t>
        </is>
      </c>
      <c r="G628" s="19" t="inlineStr">
        <is>
          <t>Medium</t>
        </is>
      </c>
      <c r="H628" s="19" t="inlineStr">
        <is>
          <t>Release with package G merged (brokerverse-platform, 04 October 2026).</t>
        </is>
      </c>
      <c r="I628" s="19" t="inlineStr">
        <is>
          <t>1. Run the scenario on the release (UAT cycle of 04 October 2026).</t>
        </is>
      </c>
      <c r="J628" s="19" t="inlineStr">
        <is>
          <t>None</t>
        </is>
      </c>
      <c r="K628" s="19" t="inlineStr">
        <is>
          <t>Covers and risk fields of the governing template appear in the wizard and price the quotation.</t>
        </is>
      </c>
      <c r="L628" s="19" t="inlineStr">
        <is>
          <t>The quick quote lists the covers of the governing template; the quotation is priced on the covers chosen (UAT cycle: 14 motor quotations); the saved premium equals the quick quote.</t>
        </is>
      </c>
      <c r="M628" s="19" t="inlineStr">
        <is>
          <t>Pass</t>
        </is>
      </c>
      <c r="N628" s="19" t="n"/>
      <c r="O628" s="19" t="inlineStr">
        <is>
          <t>iorta TechNXT QA</t>
        </is>
      </c>
      <c r="P628" s="19" t="inlineStr">
        <is>
          <t>04 October 2026</t>
        </is>
      </c>
      <c r="Q628" s="19" t="inlineStr">
        <is>
          <t>Package G merged into the release on 04 October 2026; executed in the release verification.</t>
        </is>
      </c>
      <c r="R628" s="19" t="inlineStr">
        <is>
          <t>UAT cycle 04 October 2026, phase Retail package business (motor quotations with selectedCovers); backend/test/quote-covers-risk-fields.test.js [passed]</t>
        </is>
      </c>
      <c r="S628" s="19" t="inlineStr">
        <is>
          <t>None</t>
        </is>
      </c>
    </row>
    <row r="629">
      <c r="A629" s="19" t="inlineStr">
        <is>
          <t>BV-PKG-003</t>
        </is>
      </c>
      <c r="B629" s="19" t="inlineStr">
        <is>
          <t>Package G features</t>
        </is>
      </c>
      <c r="C629" s="19" t="inlineStr">
        <is>
          <t>Supplier 2307</t>
        </is>
      </c>
      <c r="D629" s="19" t="inlineStr">
        <is>
          <t>Accounting (liza.quiambao)</t>
        </is>
      </c>
      <c r="E629" s="19" t="inlineStr">
        <is>
          <t>Issue BIR Form 2307 to suppliers from AP payments</t>
        </is>
      </c>
      <c r="F629" s="19" t="inlineStr">
        <is>
          <t>Functional</t>
        </is>
      </c>
      <c r="G629" s="19" t="inlineStr">
        <is>
          <t>Medium</t>
        </is>
      </c>
      <c r="H629" s="19" t="inlineStr">
        <is>
          <t>Release with package G merged (brokerverse-platform, 04 October 2026).</t>
        </is>
      </c>
      <c r="I629" s="19" t="inlineStr">
        <is>
          <t>1. Run the scenario on the release (UAT cycle of 04 October 2026).</t>
        </is>
      </c>
      <c r="J629" s="19" t="inlineStr">
        <is>
          <t>None</t>
        </is>
      </c>
      <c r="K629" s="19" t="inlineStr">
        <is>
          <t>Certificate per supplier and quarter with the EWT withheld on supplier payments.</t>
        </is>
      </c>
      <c r="L629" s="19" t="inlineStr">
        <is>
          <t>Supplier invoice with EWT sent for approval by Accounting, approved by the Accounting Manager, paid by cheque; BIR 2307 issued to the supplier for the quarter (UAT cycle).</t>
        </is>
      </c>
      <c r="M629" s="19" t="inlineStr">
        <is>
          <t>Pass</t>
        </is>
      </c>
      <c r="N629" s="19" t="n"/>
      <c r="O629" s="19" t="inlineStr">
        <is>
          <t>iorta TechNXT QA</t>
        </is>
      </c>
      <c r="P629" s="19" t="inlineStr">
        <is>
          <t>04 October 2026</t>
        </is>
      </c>
      <c r="Q629" s="19" t="inlineStr">
        <is>
          <t>Package G merged into the release on 04 October 2026; executed in the release verification.</t>
        </is>
      </c>
      <c r="R629" s="19" t="inlineStr">
        <is>
          <t>UAT cycle 04 October 2026, phase Reinsurance, incentives, payables and fixed assets; backend/test/ap-2307-asset-disposal.test.js [passed]</t>
        </is>
      </c>
      <c r="S629" s="19" t="inlineStr">
        <is>
          <t>NIRC (EWT certificates)</t>
        </is>
      </c>
    </row>
    <row r="630">
      <c r="A630" s="19" t="inlineStr">
        <is>
          <t>BV-PKG-004</t>
        </is>
      </c>
      <c r="B630" s="19" t="inlineStr">
        <is>
          <t>Package G features</t>
        </is>
      </c>
      <c r="C630" s="19" t="inlineStr">
        <is>
          <t>Fixed asset disposal</t>
        </is>
      </c>
      <c r="D630" s="19" t="inlineStr">
        <is>
          <t>Accounting (liza.quiambao)</t>
        </is>
      </c>
      <c r="E630" s="19" t="inlineStr">
        <is>
          <t>Dispose of a fixed asset with gain or loss</t>
        </is>
      </c>
      <c r="F630" s="19" t="inlineStr">
        <is>
          <t>Functional</t>
        </is>
      </c>
      <c r="G630" s="19" t="inlineStr">
        <is>
          <t>Medium</t>
        </is>
      </c>
      <c r="H630" s="19" t="inlineStr">
        <is>
          <t>Release with package G merged (brokerverse-platform, 04 October 2026).</t>
        </is>
      </c>
      <c r="I630" s="19" t="inlineStr">
        <is>
          <t>1. Run the scenario on the release (UAT cycle of 04 October 2026).</t>
        </is>
      </c>
      <c r="J630" s="19" t="inlineStr">
        <is>
          <t>None</t>
        </is>
      </c>
      <c r="K630" s="19" t="inlineStr">
        <is>
          <t>Asset removed from the register; disposal journal with gain or loss; depreciation stops.</t>
        </is>
      </c>
      <c r="L630" s="19" t="inlineStr">
        <is>
          <t>Fixed asset registered and sold: disposal journal with the loss and the output VAT, sales invoice issued, asset marked disposed (UAT cycle).</t>
        </is>
      </c>
      <c r="M630" s="19" t="inlineStr">
        <is>
          <t>Pass</t>
        </is>
      </c>
      <c r="N630" s="19" t="n"/>
      <c r="O630" s="19" t="inlineStr">
        <is>
          <t>iorta TechNXT QA</t>
        </is>
      </c>
      <c r="P630" s="19" t="inlineStr">
        <is>
          <t>04 October 2026</t>
        </is>
      </c>
      <c r="Q630" s="19" t="inlineStr">
        <is>
          <t>Package G merged into the release on 04 October 2026; executed in the release verification.</t>
        </is>
      </c>
      <c r="R630" s="19" t="inlineStr">
        <is>
          <t>UAT cycle 04 October 2026, phase Reinsurance, incentives, payables and fixed assets; backend/test/ap-2307-asset-disposal.test.js [passed]</t>
        </is>
      </c>
      <c r="S630" s="19" t="inlineStr">
        <is>
          <t>None</t>
        </is>
      </c>
    </row>
  </sheetData>
  <autoFilter ref="A1:S630"/>
  <conditionalFormatting sqref="M2:M630">
    <cfRule type="expression" priority="1" dxfId="0">
      <formula>$M2="Pass"</formula>
    </cfRule>
    <cfRule type="expression" priority="2" dxfId="1">
      <formula>$M2="Fail"</formula>
    </cfRule>
    <cfRule type="expression" priority="3" dxfId="2">
      <formula>$M2="Blocked"</formula>
    </cfRule>
    <cfRule type="expression" priority="4" dxfId="3">
      <formula>$M2="Not Run"</formula>
    </cfRule>
  </conditionalFormatting>
  <dataValidations count="2">
    <dataValidation sqref="M2:M630" showDropDown="0" showInputMessage="0" showErrorMessage="0" allowBlank="0" errorTitle="Status" error="Choose Pass, Fail, Blocked or Not Run" type="list">
      <formula1>"Pass,Fail,Blocked,Not Run"</formula1>
    </dataValidation>
    <dataValidation sqref="G2:G630"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2" customWidth="1" min="2" max="2"/>
    <col width="40" customWidth="1" min="3" max="3"/>
    <col width="10" customWidth="1" min="4" max="4"/>
    <col width="42" customWidth="1" min="5" max="5"/>
    <col width="60" customWidth="1" min="6" max="6"/>
    <col width="30" customWidth="1" min="7" max="7"/>
    <col width="18" customWidth="1" min="8" max="8"/>
    <col width="40" customWidth="1" min="9" max="9"/>
    <col width="30" customWidth="1" min="10" max="10"/>
  </cols>
  <sheetData>
    <row r="1" ht="30" customHeight="1">
      <c r="A1" s="18" t="inlineStr">
        <is>
          <t>TC ID</t>
        </is>
      </c>
      <c r="B1" s="18" t="inlineStr">
        <is>
          <t>Module</t>
        </is>
      </c>
      <c r="C1" s="18" t="inlineStr">
        <is>
          <t>Test Scenario</t>
        </is>
      </c>
      <c r="D1" s="18" t="inlineStr">
        <is>
          <t>Status</t>
        </is>
      </c>
      <c r="E1" s="18" t="inlineStr">
        <is>
          <t>Backend / front-end test file</t>
        </is>
      </c>
      <c r="F1" s="18" t="inlineStr">
        <is>
          <t>Test name</t>
        </is>
      </c>
      <c r="G1" s="18" t="inlineStr">
        <is>
          <t>UAT phase</t>
        </is>
      </c>
      <c r="H1" s="18" t="inlineStr">
        <is>
          <t>UAT phase result</t>
        </is>
      </c>
      <c r="I1" s="18" t="inlineStr">
        <is>
          <t>Screen check (path)</t>
        </is>
      </c>
      <c r="J1" s="18" t="inlineStr">
        <is>
          <t>Screen check result</t>
        </is>
      </c>
    </row>
    <row r="2">
      <c r="A2" s="19" t="inlineStr">
        <is>
          <t>BV-SEC-001</t>
        </is>
      </c>
      <c r="B2" s="19" t="inlineStr">
        <is>
          <t>Sign-in and security</t>
        </is>
      </c>
      <c r="C2" s="19" t="inlineStr">
        <is>
          <t>Sign in with a valid user ID and password</t>
        </is>
      </c>
      <c r="D2" s="19" t="inlineStr">
        <is>
          <t>Pass</t>
        </is>
      </c>
      <c r="E2" s="19" t="inlineStr">
        <is>
          <t>backend/test/core.test.js</t>
        </is>
      </c>
      <c r="F2" s="19" t="inlineStr">
        <is>
          <t>rejects a wrong password and accepts the admin</t>
        </is>
      </c>
      <c r="G2" s="19" t="inlineStr"/>
      <c r="H2" s="19" t="inlineStr"/>
      <c r="I2" s="19" t="inlineStr">
        <is>
          <t>/executive/dashboard</t>
        </is>
      </c>
      <c r="J2" s="19" t="inlineStr">
        <is>
          <t>opened clean</t>
        </is>
      </c>
    </row>
    <row r="3">
      <c r="A3" s="19" t="inlineStr">
        <is>
          <t>BV-SEC-002</t>
        </is>
      </c>
      <c r="B3" s="19" t="inlineStr">
        <is>
          <t>Sign-in and security</t>
        </is>
      </c>
      <c r="C3" s="19" t="inlineStr">
        <is>
          <t>Wrong password is refused with a generic message</t>
        </is>
      </c>
      <c r="D3" s="19" t="inlineStr">
        <is>
          <t>Pass</t>
        </is>
      </c>
      <c r="E3" s="19" t="inlineStr">
        <is>
          <t>backend/test/core.test.js
backend/test/security.test.js</t>
        </is>
      </c>
      <c r="F3" s="19" t="inlineStr">
        <is>
          <t>rejects a wrong password and accepts the admin
exposes sign-in history to administrators and to the user</t>
        </is>
      </c>
      <c r="G3" s="19" t="inlineStr"/>
      <c r="H3" s="19" t="inlineStr"/>
      <c r="I3" s="19" t="inlineStr"/>
      <c r="J3" s="19" t="inlineStr"/>
    </row>
    <row r="4">
      <c r="A4" s="19" t="inlineStr">
        <is>
          <t>BV-SEC-003</t>
        </is>
      </c>
      <c r="B4" s="19" t="inlineStr">
        <is>
          <t>Sign-in and security</t>
        </is>
      </c>
      <c r="C4" s="19" t="inlineStr">
        <is>
          <t>Unknown user ID gets the same message as a wrong password</t>
        </is>
      </c>
      <c r="D4" s="19" t="inlineStr">
        <is>
          <t>Pass</t>
        </is>
      </c>
      <c r="E4" s="19" t="inlineStr">
        <is>
          <t>backend/test/security.test.js
backend/test/security.test.js</t>
        </is>
      </c>
      <c r="F4" s="19" t="inlineStr">
        <is>
          <t>rate limits sign-in per username and per IP (429 + Retry-After) and logs every attempt
exposes sign-in history to administrators and to the user</t>
        </is>
      </c>
      <c r="G4" s="19" t="inlineStr"/>
      <c r="H4" s="19" t="inlineStr"/>
      <c r="I4" s="19" t="inlineStr"/>
      <c r="J4" s="19" t="inlineStr"/>
    </row>
    <row r="5">
      <c r="A5" s="19" t="inlineStr">
        <is>
          <t>BV-SEC-004</t>
        </is>
      </c>
      <c r="B5" s="19" t="inlineStr">
        <is>
          <t>Sign-in and security</t>
        </is>
      </c>
      <c r="C5" s="19" t="inlineStr">
        <is>
          <t>Login with blank User ID and Password</t>
        </is>
      </c>
      <c r="D5" s="19" t="inlineStr">
        <is>
          <t>Not Run</t>
        </is>
      </c>
      <c r="E5" s="19" t="inlineStr">
        <is>
          <t>brokerverse/src/App.test.js</t>
        </is>
      </c>
      <c r="F5" s="19" t="inlineStr">
        <is>
          <t>renders the sign-in screen when signed out</t>
        </is>
      </c>
      <c r="G5" s="19" t="inlineStr"/>
      <c r="H5" s="19" t="inlineStr"/>
      <c r="I5" s="19" t="inlineStr"/>
      <c r="J5" s="19" t="inlineStr"/>
    </row>
    <row r="6">
      <c r="A6" s="19" t="inlineStr">
        <is>
          <t>BV-SEC-005</t>
        </is>
      </c>
      <c r="B6" s="19" t="inlineStr">
        <is>
          <t>Sign-in and security</t>
        </is>
      </c>
      <c r="C6" s="19" t="inlineStr">
        <is>
          <t>Account locks after the configured number of failed sign-ins</t>
        </is>
      </c>
      <c r="D6" s="19" t="inlineStr">
        <is>
          <t>Pass</t>
        </is>
      </c>
      <c r="E6" s="19" t="inlineStr">
        <is>
          <t>backend/test/security.test.js
backend/test/hardening.test.js</t>
        </is>
      </c>
      <c r="F6" s="19" t="inlineStr">
        <is>
          <t>rate limits sign-in per username and per IP (429 + Retry-After) and logs every attempt
unlocks a locked account and records it</t>
        </is>
      </c>
      <c r="G6" s="19" t="inlineStr"/>
      <c r="H6" s="19" t="inlineStr"/>
      <c r="I6" s="19" t="inlineStr"/>
      <c r="J6" s="19" t="inlineStr"/>
    </row>
    <row r="7">
      <c r="A7" s="19" t="inlineStr">
        <is>
          <t>BV-SEC-006</t>
        </is>
      </c>
      <c r="B7" s="19" t="inlineStr">
        <is>
          <t>Sign-in and security</t>
        </is>
      </c>
      <c r="C7" s="19" t="inlineStr">
        <is>
          <t>Administrator unlocks a locked user</t>
        </is>
      </c>
      <c r="D7" s="19" t="inlineStr">
        <is>
          <t>Pass</t>
        </is>
      </c>
      <c r="E7" s="19" t="inlineStr">
        <is>
          <t>backend/test/hardening.test.js</t>
        </is>
      </c>
      <c r="F7" s="19" t="inlineStr">
        <is>
          <t>unlocks a locked account and records it</t>
        </is>
      </c>
      <c r="G7" s="19" t="inlineStr"/>
      <c r="H7" s="19" t="inlineStr"/>
      <c r="I7" s="19" t="inlineStr">
        <is>
          <t>/master/generals/usermanagement/user</t>
        </is>
      </c>
      <c r="J7" s="19" t="inlineStr">
        <is>
          <t>opened clean</t>
        </is>
      </c>
    </row>
    <row r="8">
      <c r="A8" s="19" t="inlineStr">
        <is>
          <t>BV-SEC-007</t>
        </is>
      </c>
      <c r="B8" s="19" t="inlineStr">
        <is>
          <t>Sign-in and security</t>
        </is>
      </c>
      <c r="C8" s="19" t="inlineStr">
        <is>
          <t>Too many sign-in attempts from one address are throttled</t>
        </is>
      </c>
      <c r="D8" s="19" t="inlineStr">
        <is>
          <t>Pass</t>
        </is>
      </c>
      <c r="E8" s="19" t="inlineStr">
        <is>
          <t>backend/test/security.test.js</t>
        </is>
      </c>
      <c r="F8" s="19" t="inlineStr">
        <is>
          <t>rate limits sign-in per username and per IP (429 + Retry-After) and logs every attempt</t>
        </is>
      </c>
      <c r="G8" s="19" t="inlineStr"/>
      <c r="H8" s="19" t="inlineStr"/>
      <c r="I8" s="19" t="inlineStr"/>
      <c r="J8" s="19" t="inlineStr"/>
    </row>
    <row r="9">
      <c r="A9" s="19" t="inlineStr">
        <is>
          <t>BV-SEC-008</t>
        </is>
      </c>
      <c r="B9" s="19" t="inlineStr">
        <is>
          <t>Sign-in and security</t>
        </is>
      </c>
      <c r="C9" s="19" t="inlineStr">
        <is>
          <t>Change password: rules shown and enforced</t>
        </is>
      </c>
      <c r="D9" s="19" t="inlineStr">
        <is>
          <t>Pass</t>
        </is>
      </c>
      <c r="E9" s="19" t="inlineStr">
        <is>
          <t>backend/test/security.test.js</t>
        </is>
      </c>
      <c r="F9" s="19" t="inlineStr">
        <is>
          <t>enforces length, character classes and history on change-password</t>
        </is>
      </c>
      <c r="G9" s="19" t="inlineStr"/>
      <c r="H9" s="19" t="inlineStr"/>
      <c r="I9" s="19" t="inlineStr"/>
      <c r="J9" s="19" t="inlineStr"/>
    </row>
    <row r="10">
      <c r="A10" s="19" t="inlineStr">
        <is>
          <t>BV-SEC-009</t>
        </is>
      </c>
      <c r="B10" s="19" t="inlineStr">
        <is>
          <t>Sign-in and security</t>
        </is>
      </c>
      <c r="C10" s="19" t="inlineStr">
        <is>
          <t>New password cannot repeat one of the last 5 passwords</t>
        </is>
      </c>
      <c r="D10" s="19" t="inlineStr">
        <is>
          <t>Pass</t>
        </is>
      </c>
      <c r="E10" s="19" t="inlineStr">
        <is>
          <t>backend/test/security.test.js</t>
        </is>
      </c>
      <c r="F10" s="19" t="inlineStr">
        <is>
          <t>enforces length, character classes and history on change-password</t>
        </is>
      </c>
      <c r="G10" s="19" t="inlineStr"/>
      <c r="H10" s="19" t="inlineStr"/>
      <c r="I10" s="19" t="inlineStr"/>
      <c r="J10" s="19" t="inlineStr"/>
    </row>
    <row r="11">
      <c r="A11" s="19" t="inlineStr">
        <is>
          <t>BV-SEC-010</t>
        </is>
      </c>
      <c r="B11" s="19" t="inlineStr">
        <is>
          <t>Sign-in and security</t>
        </is>
      </c>
      <c r="C11" s="19" t="inlineStr">
        <is>
          <t>New password must differ from the current one and both entries must match</t>
        </is>
      </c>
      <c r="D11" s="19" t="inlineStr">
        <is>
          <t>Pass</t>
        </is>
      </c>
      <c r="E11" s="19" t="inlineStr">
        <is>
          <t>backend/test/security.test.js</t>
        </is>
      </c>
      <c r="F11" s="19" t="inlineStr">
        <is>
          <t>enforces length, character classes and history on change-password</t>
        </is>
      </c>
      <c r="G11" s="19" t="inlineStr"/>
      <c r="H11" s="19" t="inlineStr"/>
      <c r="I11" s="19" t="inlineStr"/>
      <c r="J11" s="19" t="inlineStr"/>
    </row>
    <row r="12">
      <c r="A12" s="19" t="inlineStr">
        <is>
          <t>BV-SEC-011</t>
        </is>
      </c>
      <c r="B12" s="19" t="inlineStr">
        <is>
          <t>Sign-in and security</t>
        </is>
      </c>
      <c r="C12" s="19" t="inlineStr">
        <is>
          <t>New user created without a password gets a temporary password that must be changed</t>
        </is>
      </c>
      <c r="D12" s="19" t="inlineStr">
        <is>
          <t>Pass</t>
        </is>
      </c>
      <c r="E12" s="19" t="inlineStr">
        <is>
          <t>backend/test/hardening.test.js
backend/test/core.test.js</t>
        </is>
      </c>
      <c r="F12" s="19" t="inlineStr">
        <is>
          <t>generates a policy-compliant temporary password for a user created without one; it must be changed
admin creates a persona user who can then sign in with that role</t>
        </is>
      </c>
      <c r="G12" s="19" t="inlineStr">
        <is>
          <t>Set-up</t>
        </is>
      </c>
      <c r="H12" s="19" t="inlineStr">
        <is>
          <t>46 passed, 0 failed</t>
        </is>
      </c>
      <c r="I12" s="19" t="inlineStr"/>
      <c r="J12" s="19" t="inlineStr"/>
    </row>
    <row r="13">
      <c r="A13" s="19" t="inlineStr">
        <is>
          <t>BV-SEC-012</t>
        </is>
      </c>
      <c r="B13" s="19" t="inlineStr">
        <is>
          <t>Sign-in and security</t>
        </is>
      </c>
      <c r="C13" s="19" t="inlineStr">
        <is>
          <t>Expired password forces a change at sign-in</t>
        </is>
      </c>
      <c r="D13" s="19" t="inlineStr">
        <is>
          <t>Pass</t>
        </is>
      </c>
      <c r="E13" s="19" t="inlineStr">
        <is>
          <t>backend/test/security.test.js</t>
        </is>
      </c>
      <c r="F13" s="19" t="inlineStr">
        <is>
          <t>flags mustChangePassword when the password is older than security.password_max_age_days</t>
        </is>
      </c>
      <c r="G13" s="19" t="inlineStr"/>
      <c r="H13" s="19" t="inlineStr"/>
      <c r="I13" s="19" t="inlineStr"/>
      <c r="J13" s="19" t="inlineStr"/>
    </row>
    <row r="14">
      <c r="A14" s="19" t="inlineStr">
        <is>
          <t>BV-SEC-013</t>
        </is>
      </c>
      <c r="B14" s="19" t="inlineStr">
        <is>
          <t>Sign-in and security</t>
        </is>
      </c>
      <c r="C14" s="19" t="inlineStr">
        <is>
          <t>Forgot password with a verification code</t>
        </is>
      </c>
      <c r="D14" s="19" t="inlineStr">
        <is>
          <t>Blocked</t>
        </is>
      </c>
      <c r="E14" s="19" t="inlineStr">
        <is>
          <t>backend/test/configuration.test.js
backend/test/hardening.test.js</t>
        </is>
      </c>
      <c r="F14" s="19" t="inlineStr">
        <is>
          <t>password reset e-mail and code lifetime follow security.reset_* settings
stores reset codes hashed, keeps only the latest valid, withdraws a code after too many wrong entries</t>
        </is>
      </c>
      <c r="G14" s="19" t="inlineStr"/>
      <c r="H14" s="19" t="inlineStr"/>
      <c r="I14" s="19" t="inlineStr"/>
      <c r="J14" s="19" t="inlineStr"/>
    </row>
    <row r="15">
      <c r="A15" s="19" t="inlineStr">
        <is>
          <t>BV-SEC-014</t>
        </is>
      </c>
      <c r="B15" s="19" t="inlineStr">
        <is>
          <t>Sign-in and security</t>
        </is>
      </c>
      <c r="C15" s="19" t="inlineStr">
        <is>
          <t>Reset code withdrawn after too many wrong entries</t>
        </is>
      </c>
      <c r="D15" s="19" t="inlineStr">
        <is>
          <t>Pass</t>
        </is>
      </c>
      <c r="E15" s="19" t="inlineStr">
        <is>
          <t>backend/test/hardening.test.js</t>
        </is>
      </c>
      <c r="F15" s="19" t="inlineStr">
        <is>
          <t>stores reset codes hashed, keeps only the latest valid, withdraws a code after too many wrong entries</t>
        </is>
      </c>
      <c r="G15" s="19" t="inlineStr"/>
      <c r="H15" s="19" t="inlineStr"/>
      <c r="I15" s="19" t="inlineStr"/>
      <c r="J15" s="19" t="inlineStr"/>
    </row>
    <row r="16">
      <c r="A16" s="19" t="inlineStr">
        <is>
          <t>BV-SEC-015</t>
        </is>
      </c>
      <c r="B16" s="19" t="inlineStr">
        <is>
          <t>Sign-in and security</t>
        </is>
      </c>
      <c r="C16" s="19" t="inlineStr">
        <is>
          <t>Turn on two-step verification and sign in with the code</t>
        </is>
      </c>
      <c r="D16" s="19" t="inlineStr">
        <is>
          <t>Pass</t>
        </is>
      </c>
      <c r="E16" s="19" t="inlineStr">
        <is>
          <t>backend/test/security.test.js
backend/test/security.test.js</t>
        </is>
      </c>
      <c r="F16" s="19" t="inlineStr">
        <is>
          <t>enrols, then requires the code at sign-in; disables with a code
implements RFC 6238 / RFC 4226 correctly</t>
        </is>
      </c>
      <c r="G16" s="19" t="inlineStr"/>
      <c r="H16" s="19" t="inlineStr"/>
      <c r="I16" s="19" t="inlineStr"/>
      <c r="J16" s="19" t="inlineStr"/>
    </row>
    <row r="17">
      <c r="A17" s="19" t="inlineStr">
        <is>
          <t>BV-SEC-016</t>
        </is>
      </c>
      <c r="B17" s="19" t="inlineStr">
        <is>
          <t>Sign-in and security</t>
        </is>
      </c>
      <c r="C17" s="19" t="inlineStr">
        <is>
          <t>Wrong two-step code is refused and checks are rate limited</t>
        </is>
      </c>
      <c r="D17" s="19" t="inlineStr">
        <is>
          <t>Pass</t>
        </is>
      </c>
      <c r="E17" s="19" t="inlineStr">
        <is>
          <t>backend/test/hardening.test.js
backend/test/security.test.js</t>
        </is>
      </c>
      <c r="F17" s="19" t="inlineStr">
        <is>
          <t>rate limits two-factor code checks of a signed-in user
exposes sign-in history to administrators and to the user</t>
        </is>
      </c>
      <c r="G17" s="19" t="inlineStr"/>
      <c r="H17" s="19" t="inlineStr"/>
      <c r="I17" s="19" t="inlineStr"/>
      <c r="J17" s="19" t="inlineStr"/>
    </row>
    <row r="18">
      <c r="A18" s="19" t="inlineStr">
        <is>
          <t>BV-SEC-017</t>
        </is>
      </c>
      <c r="B18" s="19" t="inlineStr">
        <is>
          <t>Sign-in and security</t>
        </is>
      </c>
      <c r="C18" s="19" t="inlineStr">
        <is>
          <t>Role that requires two-step verification must enrol before any screen</t>
        </is>
      </c>
      <c r="D18" s="19" t="inlineStr">
        <is>
          <t>Pass</t>
        </is>
      </c>
      <c r="E18" s="19" t="inlineStr">
        <is>
          <t>backend/test/security.test.js</t>
        </is>
      </c>
      <c r="F18" s="19" t="inlineStr">
        <is>
          <t>forces enrolment for roles in security.require_2fa_roles; administrators can reset a user's second factor</t>
        </is>
      </c>
      <c r="G18" s="19" t="inlineStr"/>
      <c r="H18" s="19" t="inlineStr"/>
      <c r="I18" s="19" t="inlineStr"/>
      <c r="J18" s="19" t="inlineStr"/>
    </row>
    <row r="19">
      <c r="A19" s="19" t="inlineStr">
        <is>
          <t>BV-SEC-018</t>
        </is>
      </c>
      <c r="B19" s="19" t="inlineStr">
        <is>
          <t>Sign-in and security</t>
        </is>
      </c>
      <c r="C19" s="19" t="inlineStr">
        <is>
          <t>Administrator turns off a user's two-step verification</t>
        </is>
      </c>
      <c r="D19" s="19" t="inlineStr">
        <is>
          <t>Pass</t>
        </is>
      </c>
      <c r="E19" s="19" t="inlineStr">
        <is>
          <t>backend/test/security.test.js</t>
        </is>
      </c>
      <c r="F19" s="19" t="inlineStr">
        <is>
          <t>forces enrolment for roles in security.require_2fa_roles; administrators can reset a user's second factor</t>
        </is>
      </c>
      <c r="G19" s="19" t="inlineStr"/>
      <c r="H19" s="19" t="inlineStr"/>
      <c r="I19" s="19" t="inlineStr"/>
      <c r="J19" s="19" t="inlineStr"/>
    </row>
    <row r="20">
      <c r="A20" s="19" t="inlineStr">
        <is>
          <t>BV-SEC-019</t>
        </is>
      </c>
      <c r="B20" s="19" t="inlineStr">
        <is>
          <t>Sign-in and security</t>
        </is>
      </c>
      <c r="C20" s="19" t="inlineStr">
        <is>
          <t>A non-administrator user desk cannot reset 2FA or lock a System Administrator</t>
        </is>
      </c>
      <c r="D20" s="19" t="inlineStr">
        <is>
          <t>Pass</t>
        </is>
      </c>
      <c r="E20" s="19" t="inlineStr">
        <is>
          <t>backend/test/hardening.test.js</t>
        </is>
      </c>
      <c r="F20" s="19" t="inlineStr">
        <is>
          <t>a non-administrator user desk cannot reset, lock or turn off 2FA of a System Administrator, nor change their own access</t>
        </is>
      </c>
      <c r="G20" s="19" t="inlineStr"/>
      <c r="H20" s="19" t="inlineStr"/>
      <c r="I20" s="19" t="inlineStr"/>
      <c r="J20" s="19" t="inlineStr"/>
    </row>
    <row r="21">
      <c r="A21" s="19" t="inlineStr">
        <is>
          <t>BV-SEC-020</t>
        </is>
      </c>
      <c r="B21" s="19" t="inlineStr">
        <is>
          <t>Sign-in and security</t>
        </is>
      </c>
      <c r="C21" s="19" t="inlineStr">
        <is>
          <t>Idle session signs out after the configured minutes</t>
        </is>
      </c>
      <c r="D21" s="19" t="inlineStr">
        <is>
          <t>Not Run</t>
        </is>
      </c>
      <c r="E21" s="19" t="inlineStr">
        <is>
          <t>backend/test/hardening.test.js</t>
        </is>
      </c>
      <c r="F21" s="19" t="inlineStr">
        <is>
          <t>defaults: 30-minute access tokens; development keeps its fallbacks</t>
        </is>
      </c>
      <c r="G21" s="19" t="inlineStr"/>
      <c r="H21" s="19" t="inlineStr"/>
      <c r="I21" s="19" t="inlineStr"/>
      <c r="J21" s="19" t="inlineStr"/>
    </row>
    <row r="22">
      <c r="A22" s="19" t="inlineStr">
        <is>
          <t>BV-SEC-021</t>
        </is>
      </c>
      <c r="B22" s="19" t="inlineStr">
        <is>
          <t>Sign-in and security</t>
        </is>
      </c>
      <c r="C22" s="19" t="inlineStr">
        <is>
          <t>Deactivating a user or changing the role ends access at once</t>
        </is>
      </c>
      <c r="D22" s="19" t="inlineStr">
        <is>
          <t>Pass</t>
        </is>
      </c>
      <c r="E22" s="19" t="inlineStr">
        <is>
          <t>backend/test/hardening.test.js</t>
        </is>
      </c>
      <c r="F22" s="19" t="inlineStr">
        <is>
          <t>ends access at once on deactivation and on role change; refresh issues a token with the new roles</t>
        </is>
      </c>
      <c r="G22" s="19" t="inlineStr"/>
      <c r="H22" s="19" t="inlineStr"/>
      <c r="I22" s="19" t="inlineStr"/>
      <c r="J22" s="19" t="inlineStr"/>
    </row>
    <row r="23">
      <c r="A23" s="19" t="inlineStr">
        <is>
          <t>BV-SEC-022</t>
        </is>
      </c>
      <c r="B23" s="19" t="inlineStr">
        <is>
          <t>Sign-in and security</t>
        </is>
      </c>
      <c r="C23" s="19" t="inlineStr">
        <is>
          <t>End every session of a user</t>
        </is>
      </c>
      <c r="D23" s="19" t="inlineStr">
        <is>
          <t>Pass</t>
        </is>
      </c>
      <c r="E23" s="19" t="inlineStr">
        <is>
          <t>backend/test/access-control.test.js</t>
        </is>
      </c>
      <c r="F23" s="19" t="inlineStr">
        <is>
          <t>ends every session of a user</t>
        </is>
      </c>
      <c r="G23" s="19" t="inlineStr"/>
      <c r="H23" s="19" t="inlineStr"/>
      <c r="I23" s="19" t="inlineStr">
        <is>
          <t>/master/generals/usermanagement/access-matrix</t>
        </is>
      </c>
      <c r="J23" s="19" t="inlineStr">
        <is>
          <t>opened clean</t>
        </is>
      </c>
    </row>
    <row r="24">
      <c r="A24" s="19" t="inlineStr">
        <is>
          <t>BV-SEC-023</t>
        </is>
      </c>
      <c r="B24" s="19" t="inlineStr">
        <is>
          <t>Sign-in and security</t>
        </is>
      </c>
      <c r="C24" s="19" t="inlineStr">
        <is>
          <t>Reuse of an old refresh token revokes the sign-in</t>
        </is>
      </c>
      <c r="D24" s="19" t="inlineStr">
        <is>
          <t>Pass</t>
        </is>
      </c>
      <c r="E24" s="19" t="inlineStr">
        <is>
          <t>backend/test/hardening.test.js</t>
        </is>
      </c>
      <c r="F24" s="19" t="inlineStr">
        <is>
          <t>detects reuse of a rotated refresh token and revokes the whole sign-in</t>
        </is>
      </c>
      <c r="G24" s="19" t="inlineStr"/>
      <c r="H24" s="19" t="inlineStr"/>
      <c r="I24" s="19" t="inlineStr"/>
      <c r="J24" s="19" t="inlineStr"/>
    </row>
    <row r="25">
      <c r="A25" s="19" t="inlineStr">
        <is>
          <t>BV-SEC-024</t>
        </is>
      </c>
      <c r="B25" s="19" t="inlineStr">
        <is>
          <t>Sign-in and security</t>
        </is>
      </c>
      <c r="C25" s="19" t="inlineStr">
        <is>
          <t>Sign-in history visible to the administrator and the user</t>
        </is>
      </c>
      <c r="D25" s="19" t="inlineStr">
        <is>
          <t>Pass</t>
        </is>
      </c>
      <c r="E25" s="19" t="inlineStr">
        <is>
          <t>backend/test/security.test.js</t>
        </is>
      </c>
      <c r="F25" s="19" t="inlineStr">
        <is>
          <t>exposes sign-in history to administrators and to the user</t>
        </is>
      </c>
      <c r="G25" s="19" t="inlineStr"/>
      <c r="H25" s="19" t="inlineStr"/>
      <c r="I25" s="19" t="inlineStr"/>
      <c r="J25" s="19" t="inlineStr"/>
    </row>
    <row r="26">
      <c r="A26" s="19" t="inlineStr">
        <is>
          <t>BV-SEC-025</t>
        </is>
      </c>
      <c r="B26" s="19" t="inlineStr">
        <is>
          <t>Sign-in and security</t>
        </is>
      </c>
      <c r="C26" s="19" t="inlineStr">
        <is>
          <t>Every non-public endpoint refuses a call without a token</t>
        </is>
      </c>
      <c r="D26" s="19" t="inlineStr">
        <is>
          <t>Pass</t>
        </is>
      </c>
      <c r="E26" s="19" t="inlineStr">
        <is>
          <t>backend/test/hardening.test.js
backend/test/hardening.test.js</t>
        </is>
      </c>
      <c r="F26" s="19" t="inlineStr">
        <is>
          <t>every non-public route answers 401 without a token
declares only the intended public routes</t>
        </is>
      </c>
      <c r="G26" s="19" t="inlineStr"/>
      <c r="H26" s="19" t="inlineStr"/>
      <c r="I26" s="19" t="inlineStr"/>
      <c r="J26" s="19" t="inlineStr"/>
    </row>
    <row r="27">
      <c r="A27" s="19" t="inlineStr">
        <is>
          <t>BV-SEC-026</t>
        </is>
      </c>
      <c r="B27" s="19" t="inlineStr">
        <is>
          <t>Sign-in and security</t>
        </is>
      </c>
      <c r="C27" s="19" t="inlineStr">
        <is>
          <t>Tokens other than HS256 and default secrets are refused</t>
        </is>
      </c>
      <c r="D27" s="19" t="inlineStr">
        <is>
          <t>Pass</t>
        </is>
      </c>
      <c r="E27" s="19" t="inlineStr">
        <is>
          <t>backend/test/hardening.test.js
backend/test/hardening.test.js</t>
        </is>
      </c>
      <c r="F27" s="19" t="inlineStr">
        <is>
          <t>accepts only HS256 tokens
refuses missing or default secrets, CORS * and a localhost base URL in production only</t>
        </is>
      </c>
      <c r="G27" s="19" t="inlineStr"/>
      <c r="H27" s="19" t="inlineStr"/>
      <c r="I27" s="19" t="inlineStr"/>
      <c r="J27" s="19" t="inlineStr"/>
    </row>
    <row r="28">
      <c r="A28" s="19" t="inlineStr">
        <is>
          <t>BV-SEC-027</t>
        </is>
      </c>
      <c r="B28" s="19" t="inlineStr">
        <is>
          <t>Sign-in and security</t>
        </is>
      </c>
      <c r="C28" s="19" t="inlineStr">
        <is>
          <t>Injection probes in search and file fields</t>
        </is>
      </c>
      <c r="D28" s="19" t="inlineStr">
        <is>
          <t>Pass</t>
        </is>
      </c>
      <c r="E28" s="19" t="inlineStr">
        <is>
          <t>backend/test/hardening.test.js
backend/test/hardening.test.js
backend/test/configuration.test.js</t>
        </is>
      </c>
      <c r="F28" s="19" t="inlineStr">
        <is>
          <t>detects file types from their signature, not from the name or the browser
refuses HTML, scripts and unknown binaries; stores the detected type
CSV cells written by any module are guarded against spreadsheet formulas</t>
        </is>
      </c>
      <c r="G28" s="19" t="inlineStr"/>
      <c r="H28" s="19" t="inlineStr"/>
      <c r="I28" s="19" t="inlineStr"/>
      <c r="J28" s="19" t="inlineStr"/>
    </row>
    <row r="29">
      <c r="A29" s="19" t="inlineStr">
        <is>
          <t>BV-SEC-028</t>
        </is>
      </c>
      <c r="B29" s="19" t="inlineStr">
        <is>
          <t>Sign-in and security</t>
        </is>
      </c>
      <c r="C29" s="19" t="inlineStr">
        <is>
          <t>Security headers and request id on every response</t>
        </is>
      </c>
      <c r="D29" s="19" t="inlineStr">
        <is>
          <t>Pass</t>
        </is>
      </c>
      <c r="E29" s="19" t="inlineStr">
        <is>
          <t>backend/test/security.test.js
backend/test/hardening.test.js</t>
        </is>
      </c>
      <c r="F29" s="19" t="inlineStr">
        <is>
          <t>adds x-request-id to every response, echoes a caller id and returns it in error bodies
answers 500 with a generic message and the request id; client errors keep their message</t>
        </is>
      </c>
      <c r="G29" s="19" t="inlineStr"/>
      <c r="H29" s="19" t="inlineStr"/>
      <c r="I29" s="19" t="inlineStr"/>
      <c r="J29" s="19" t="inlineStr"/>
    </row>
    <row r="30">
      <c r="A30" s="19" t="inlineStr">
        <is>
          <t>BV-SEC-029</t>
        </is>
      </c>
      <c r="B30" s="19" t="inlineStr">
        <is>
          <t>Sign-in and security</t>
        </is>
      </c>
      <c r="C30" s="19" t="inlineStr">
        <is>
          <t>Upload size limit and global rate limit</t>
        </is>
      </c>
      <c r="D30" s="19" t="inlineStr">
        <is>
          <t>Pass</t>
        </is>
      </c>
      <c r="E30" s="19" t="inlineStr">
        <is>
          <t>backend/test/hardening.test.js
backend/test/hardening.test.js</t>
        </is>
      </c>
      <c r="F30" s="19" t="inlineStr">
        <is>
          <t>refuses uploads above UPLOAD_MAX_MB with 413
applies a configurable global API rate limit per user</t>
        </is>
      </c>
      <c r="G30" s="19" t="inlineStr"/>
      <c r="H30" s="19" t="inlineStr"/>
      <c r="I30" s="19" t="inlineStr"/>
      <c r="J30" s="19" t="inlineStr"/>
    </row>
    <row r="31">
      <c r="A31" s="19" t="inlineStr">
        <is>
          <t>BV-SEC-030</t>
        </is>
      </c>
      <c r="B31" s="19" t="inlineStr">
        <is>
          <t>Sign-in and security</t>
        </is>
      </c>
      <c r="C31" s="19" t="inlineStr">
        <is>
          <t>Tokens and cookies never written to the server log</t>
        </is>
      </c>
      <c r="D31" s="19" t="inlineStr">
        <is>
          <t>Pass</t>
        </is>
      </c>
      <c r="E31" s="19" t="inlineStr">
        <is>
          <t>backend/test/hardening.test.js</t>
        </is>
      </c>
      <c r="F31" s="19" t="inlineStr">
        <is>
          <t>never writes bearer tokens, cookies or link tokens to the log</t>
        </is>
      </c>
      <c r="G31" s="19" t="inlineStr"/>
      <c r="H31" s="19" t="inlineStr"/>
      <c r="I31" s="19" t="inlineStr"/>
      <c r="J31" s="19" t="inlineStr"/>
    </row>
    <row r="32">
      <c r="A32" s="19" t="inlineStr">
        <is>
          <t>BV-SEC-031</t>
        </is>
      </c>
      <c r="B32" s="19" t="inlineStr">
        <is>
          <t>Sign-in and security</t>
        </is>
      </c>
      <c r="C32" s="19" t="inlineStr">
        <is>
          <t>Document links open only with a session or a signed, unexpired link</t>
        </is>
      </c>
      <c r="D32" s="19" t="inlineStr">
        <is>
          <t>Pass</t>
        </is>
      </c>
      <c r="E32" s="19" t="inlineStr">
        <is>
          <t>backend/test/hardening.test.js
backend/test/hardening.test.js</t>
        </is>
      </c>
      <c r="F32" s="19" t="inlineStr">
        <is>
          <t>serves objects only with a bearer header or a signed, unexpired link, with safe headers
sends non-image, non-PDF files as attachments; legacy unsafe types as octet-stream</t>
        </is>
      </c>
      <c r="G32" s="19" t="inlineStr"/>
      <c r="H32" s="19" t="inlineStr"/>
      <c r="I32" s="19" t="inlineStr"/>
      <c r="J32" s="19" t="inlineStr"/>
    </row>
    <row r="33">
      <c r="A33" s="19" t="inlineStr">
        <is>
          <t>BV-SEC-032</t>
        </is>
      </c>
      <c r="B33" s="19" t="inlineStr">
        <is>
          <t>Sign-in and security</t>
        </is>
      </c>
      <c r="C33" s="19" t="inlineStr">
        <is>
          <t>Dependency audit of the release build</t>
        </is>
      </c>
      <c r="D33" s="19" t="inlineStr">
        <is>
          <t>Fail</t>
        </is>
      </c>
      <c r="E33" s="19" t="inlineStr"/>
      <c r="F33" s="19" t="inlineStr"/>
      <c r="G33" s="19" t="inlineStr"/>
      <c r="H33" s="19" t="inlineStr"/>
      <c r="I33" s="19" t="inlineStr"/>
      <c r="J33" s="19" t="inlineStr"/>
    </row>
    <row r="34">
      <c r="A34" s="19" t="inlineStr">
        <is>
          <t>BV-SEC-033</t>
        </is>
      </c>
      <c r="B34" s="19" t="inlineStr">
        <is>
          <t>Sign-in and security</t>
        </is>
      </c>
      <c r="C34" s="19" t="inlineStr">
        <is>
          <t>Personal data encrypted at application level</t>
        </is>
      </c>
      <c r="D34" s="19" t="inlineStr">
        <is>
          <t>Pass</t>
        </is>
      </c>
      <c r="E34" s="19" t="inlineStr">
        <is>
          <t>backend/test/personal-data-protection.test.js</t>
        </is>
      </c>
      <c r="F34" s="19" t="inlineStr">
        <is>
          <t>stores TIN and government ID numbers encrypted with a blind index</t>
        </is>
      </c>
      <c r="G34" s="19" t="inlineStr"/>
      <c r="H34" s="19" t="inlineStr"/>
      <c r="I34" s="19" t="inlineStr"/>
      <c r="J34" s="19" t="inlineStr"/>
    </row>
    <row r="35">
      <c r="A35" s="19" t="inlineStr">
        <is>
          <t>BV-SEC-034</t>
        </is>
      </c>
      <c r="B35" s="19" t="inlineStr">
        <is>
          <t>Sign-in and security</t>
        </is>
      </c>
      <c r="C35" s="19" t="inlineStr">
        <is>
          <t>Record client consent under the Data Privacy Act</t>
        </is>
      </c>
      <c r="D35" s="19" t="inlineStr">
        <is>
          <t>Pass</t>
        </is>
      </c>
      <c r="E35" s="19" t="inlineStr"/>
      <c r="F35" s="19" t="inlineStr"/>
      <c r="G35" s="19" t="inlineStr"/>
      <c r="H35" s="19" t="inlineStr"/>
      <c r="I35" s="19" t="inlineStr"/>
      <c r="J35" s="19" t="inlineStr"/>
    </row>
    <row r="36">
      <c r="A36" s="19" t="inlineStr">
        <is>
          <t>BV-SEC-035</t>
        </is>
      </c>
      <c r="B36" s="19" t="inlineStr">
        <is>
          <t>Sign-in and security</t>
        </is>
      </c>
      <c r="C36" s="19" t="inlineStr">
        <is>
          <t>Log and answer a data subject access or erasure request</t>
        </is>
      </c>
      <c r="D36" s="19" t="inlineStr">
        <is>
          <t>Pass</t>
        </is>
      </c>
      <c r="E36" s="19" t="inlineStr"/>
      <c r="F36" s="19" t="inlineStr"/>
      <c r="G36" s="19" t="inlineStr"/>
      <c r="H36" s="19" t="inlineStr"/>
      <c r="I36" s="19" t="inlineStr"/>
      <c r="J36" s="19" t="inlineStr"/>
    </row>
    <row r="37">
      <c r="A37" s="19" t="inlineStr">
        <is>
          <t>BV-USR-001</t>
        </is>
      </c>
      <c r="B37" s="19" t="inlineStr">
        <is>
          <t>User and role administration</t>
        </is>
      </c>
      <c r="C37" s="19" t="inlineStr">
        <is>
          <t>Create a user per broker role</t>
        </is>
      </c>
      <c r="D37" s="19" t="inlineStr">
        <is>
          <t>Pass</t>
        </is>
      </c>
      <c r="E37" s="19" t="inlineStr">
        <is>
          <t>backend/test/user-access.test.js
backend/test/core.test.js</t>
        </is>
      </c>
      <c r="F37" s="19" t="inlineStr">
        <is>
          <t>lists, creates and locks users, and reads the audit trail
admin creates a persona user who can then sign in with that role</t>
        </is>
      </c>
      <c r="G37" s="19" t="inlineStr">
        <is>
          <t>Set-up</t>
        </is>
      </c>
      <c r="H37" s="19" t="inlineStr">
        <is>
          <t>46 passed, 0 failed</t>
        </is>
      </c>
      <c r="I37" s="19" t="inlineStr">
        <is>
          <t>/master/generals/usermanagement/user</t>
        </is>
      </c>
      <c r="J37" s="19" t="inlineStr">
        <is>
          <t>opened clean</t>
        </is>
      </c>
    </row>
    <row r="38">
      <c r="A38" s="19" t="inlineStr">
        <is>
          <t>BV-USR-002</t>
        </is>
      </c>
      <c r="B38" s="19" t="inlineStr">
        <is>
          <t>User and role administration</t>
        </is>
      </c>
      <c r="C38" s="19" t="inlineStr">
        <is>
          <t>Required fields and e-mail format on Add User</t>
        </is>
      </c>
      <c r="D38" s="19" t="inlineStr">
        <is>
          <t>Pass</t>
        </is>
      </c>
      <c r="E38" s="19" t="inlineStr">
        <is>
          <t>backend/test/role-access.test.js</t>
        </is>
      </c>
      <c r="F38" s="19" t="inlineStr">
        <is>
          <t>every create endpoint of the walk answers 400 "Validation failed" with one readable message per field</t>
        </is>
      </c>
      <c r="G38" s="19" t="inlineStr"/>
      <c r="H38" s="19" t="inlineStr"/>
      <c r="I38" s="19" t="inlineStr"/>
      <c r="J38" s="19" t="inlineStr"/>
    </row>
    <row r="39">
      <c r="A39" s="19" t="inlineStr">
        <is>
          <t>BV-USR-003</t>
        </is>
      </c>
      <c r="B39" s="19" t="inlineStr">
        <is>
          <t>User and role administration</t>
        </is>
      </c>
      <c r="C39" s="19" t="inlineStr">
        <is>
          <t>Duplicate username refused</t>
        </is>
      </c>
      <c r="D39" s="19" t="inlineStr">
        <is>
          <t>Pass</t>
        </is>
      </c>
      <c r="E39" s="19" t="inlineStr">
        <is>
          <t>backend/test/user-access.test.js</t>
        </is>
      </c>
      <c r="F39" s="19" t="inlineStr">
        <is>
          <t>lists, creates and locks users, and reads the audit trail</t>
        </is>
      </c>
      <c r="G39" s="19" t="inlineStr"/>
      <c r="H39" s="19" t="inlineStr"/>
      <c r="I39" s="19" t="inlineStr"/>
      <c r="J39" s="19" t="inlineStr"/>
    </row>
    <row r="40">
      <c r="A40" s="19" t="inlineStr">
        <is>
          <t>BV-USR-004</t>
        </is>
      </c>
      <c r="B40" s="19" t="inlineStr">
        <is>
          <t>User and role administration</t>
        </is>
      </c>
      <c r="C40" s="19" t="inlineStr">
        <is>
          <t>Only a System Administrator grants the administrator role</t>
        </is>
      </c>
      <c r="D40" s="19" t="inlineStr">
        <is>
          <t>Pass</t>
        </is>
      </c>
      <c r="E40" s="19" t="inlineStr">
        <is>
          <t>backend/test/user-access.test.js
backend/test/hardening.test.js</t>
        </is>
      </c>
      <c r="F40" s="19" t="inlineStr">
        <is>
          <t>cannot grant the System Administrator role
only a System Administrator grants the administrator role or edits it; nobody changes their own roles or status</t>
        </is>
      </c>
      <c r="G40" s="19" t="inlineStr"/>
      <c r="H40" s="19" t="inlineStr"/>
      <c r="I40" s="19" t="inlineStr"/>
      <c r="J40" s="19" t="inlineStr"/>
    </row>
    <row r="41">
      <c r="A41" s="19" t="inlineStr">
        <is>
          <t>BV-USR-005</t>
        </is>
      </c>
      <c r="B41" s="19" t="inlineStr">
        <is>
          <t>User and role administration</t>
        </is>
      </c>
      <c r="C41" s="19" t="inlineStr">
        <is>
          <t>A user cannot change own roles or status</t>
        </is>
      </c>
      <c r="D41" s="19" t="inlineStr">
        <is>
          <t>Pass</t>
        </is>
      </c>
      <c r="E41" s="19" t="inlineStr">
        <is>
          <t>backend/test/user-access.test.js</t>
        </is>
      </c>
      <c r="F41" s="19" t="inlineStr">
        <is>
          <t>cannot change its own roles</t>
        </is>
      </c>
      <c r="G41" s="19" t="inlineStr"/>
      <c r="H41" s="19" t="inlineStr"/>
      <c r="I41" s="19" t="inlineStr"/>
      <c r="J41" s="19" t="inlineStr"/>
    </row>
    <row r="42">
      <c r="A42" s="19" t="inlineStr">
        <is>
          <t>BV-USR-006</t>
        </is>
      </c>
      <c r="B42" s="19" t="inlineStr">
        <is>
          <t>User and role administration</t>
        </is>
      </c>
      <c r="C42" s="19" t="inlineStr">
        <is>
          <t>Administrator resets a user password</t>
        </is>
      </c>
      <c r="D42" s="19" t="inlineStr">
        <is>
          <t>Pass</t>
        </is>
      </c>
      <c r="E42" s="19" t="inlineStr">
        <is>
          <t>backend/test/hardening.test.js</t>
        </is>
      </c>
      <c r="F42" s="19" t="inlineStr">
        <is>
          <t>administrator reset without a password returns a temporary one once and ends the user's sessions</t>
        </is>
      </c>
      <c r="G42" s="19" t="inlineStr"/>
      <c r="H42" s="19" t="inlineStr"/>
      <c r="I42" s="19" t="inlineStr"/>
      <c r="J42" s="19" t="inlineStr"/>
    </row>
    <row r="43">
      <c r="A43" s="19" t="inlineStr">
        <is>
          <t>BV-USR-007</t>
        </is>
      </c>
      <c r="B43" s="19" t="inlineStr">
        <is>
          <t>User and role administration</t>
        </is>
      </c>
      <c r="C43" s="19" t="inlineStr">
        <is>
          <t>Seeded roles are the broker roles plus System Administrator</t>
        </is>
      </c>
      <c r="D43" s="19" t="inlineStr">
        <is>
          <t>Pass</t>
        </is>
      </c>
      <c r="E43" s="19" t="inlineStr">
        <is>
          <t>backend/test/user-access.test.js
backend/test/broker-roles-migration.test.js</t>
        </is>
      </c>
      <c r="F43" s="19" t="inlineStr">
        <is>
          <t>the seeded roles are the broker roles and the System Administrator
leaves no old role code anywhere and is idempotent</t>
        </is>
      </c>
      <c r="G43" s="19" t="inlineStr"/>
      <c r="H43" s="19" t="inlineStr"/>
      <c r="I43" s="19" t="inlineStr">
        <is>
          <t>/master/generals/usermanagement/role</t>
        </is>
      </c>
      <c r="J43" s="19" t="inlineStr">
        <is>
          <t>opened clean</t>
        </is>
      </c>
    </row>
    <row r="44">
      <c r="A44" s="19" t="inlineStr">
        <is>
          <t>BV-USR-008</t>
        </is>
      </c>
      <c r="B44" s="19" t="inlineStr">
        <is>
          <t>User and role administration</t>
        </is>
      </c>
      <c r="C44" s="19" t="inlineStr">
        <is>
          <t>Change a role permission; the change waits for a second approver</t>
        </is>
      </c>
      <c r="D44" s="19" t="inlineStr">
        <is>
          <t>Pass</t>
        </is>
      </c>
      <c r="E44" s="19" t="inlineStr">
        <is>
          <t>backend/test/configuration-controls.test.js
backend/test/hardening.test.js</t>
        </is>
      </c>
      <c r="F44" s="19" t="inlineStr">
        <is>
          <t>a role change waits for a different approver
role permission changes renew the tokens of the role's users</t>
        </is>
      </c>
      <c r="G44" s="19" t="inlineStr"/>
      <c r="H44" s="19" t="inlineStr"/>
      <c r="I44" s="19" t="inlineStr">
        <is>
          <t>/master/generals/usermanagement/role-permissions
/master/finance/configuration-approvals</t>
        </is>
      </c>
      <c r="J44" s="19" t="inlineStr">
        <is>
          <t>opened clean
opened clean</t>
        </is>
      </c>
    </row>
    <row r="45">
      <c r="A45" s="19" t="inlineStr">
        <is>
          <t>BV-USR-009</t>
        </is>
      </c>
      <c r="B45" s="19" t="inlineStr">
        <is>
          <t>User and role administration</t>
        </is>
      </c>
      <c r="C45" s="19" t="inlineStr">
        <is>
          <t>Approval limits per role and transaction type</t>
        </is>
      </c>
      <c r="D45" s="19" t="inlineStr">
        <is>
          <t>Pass</t>
        </is>
      </c>
      <c r="E45" s="19" t="inlineStr">
        <is>
          <t>backend/test/access-control.test.js
backend/test/access-control.test.js</t>
        </is>
      </c>
      <c r="F45" s="19" t="inlineStr">
        <is>
          <t>ships default limits per role and shows them types down, roles across
a new limit applies only after another administrator approves it</t>
        </is>
      </c>
      <c r="G45" s="19" t="inlineStr"/>
      <c r="H45" s="19" t="inlineStr"/>
      <c r="I45" s="19" t="inlineStr">
        <is>
          <t>/master/generals/usermanagement/authority-matrix</t>
        </is>
      </c>
      <c r="J45" s="19" t="inlineStr">
        <is>
          <t>opened clean</t>
        </is>
      </c>
    </row>
    <row r="46">
      <c r="A46" s="19" t="inlineStr">
        <is>
          <t>BV-USR-010</t>
        </is>
      </c>
      <c r="B46" s="19" t="inlineStr">
        <is>
          <t>User and role administration</t>
        </is>
      </c>
      <c r="C46" s="19" t="inlineStr">
        <is>
          <t>Approval above the approver limit is refused</t>
        </is>
      </c>
      <c r="D46" s="19" t="inlineStr">
        <is>
          <t>Pass</t>
        </is>
      </c>
      <c r="E46" s="19" t="inlineStr">
        <is>
          <t>backend/test/access-control.test.js</t>
        </is>
      </c>
      <c r="F46" s="19" t="inlineStr">
        <is>
          <t>refuses an approval above the approver's limit and allows it within</t>
        </is>
      </c>
      <c r="G46" s="19" t="inlineStr">
        <is>
          <t>Reconciliation: bank and insurer statements</t>
        </is>
      </c>
      <c r="H46" s="19" t="inlineStr">
        <is>
          <t>10 passed, 0 failed</t>
        </is>
      </c>
      <c r="I46" s="19" t="inlineStr"/>
      <c r="J46" s="19" t="inlineStr"/>
    </row>
    <row r="47">
      <c r="A47" s="19" t="inlineStr">
        <is>
          <t>BV-USR-011</t>
        </is>
      </c>
      <c r="B47" s="19" t="inlineStr">
        <is>
          <t>User and role administration</t>
        </is>
      </c>
      <c r="C47" s="19" t="inlineStr">
        <is>
          <t>Delegate approval authority for a date range</t>
        </is>
      </c>
      <c r="D47" s="19" t="inlineStr">
        <is>
          <t>Pass</t>
        </is>
      </c>
      <c r="E47" s="19" t="inlineStr">
        <is>
          <t>backend/test/access-control.test.js</t>
        </is>
      </c>
      <c r="F47" s="19" t="inlineStr">
        <is>
          <t>a delegation lends the delegator's authority for its types and dates</t>
        </is>
      </c>
      <c r="G47" s="19" t="inlineStr"/>
      <c r="H47" s="19" t="inlineStr"/>
      <c r="I47" s="19" t="inlineStr">
        <is>
          <t>/master/generals/usermanagement/delegations</t>
        </is>
      </c>
      <c r="J47" s="19" t="inlineStr">
        <is>
          <t>opened clean</t>
        </is>
      </c>
    </row>
    <row r="48">
      <c r="A48" s="19" t="inlineStr">
        <is>
          <t>BV-USR-012</t>
        </is>
      </c>
      <c r="B48" s="19" t="inlineStr">
        <is>
          <t>User and role administration</t>
        </is>
      </c>
      <c r="C48" s="19" t="inlineStr">
        <is>
          <t>Conflicting roles blocked on one user</t>
        </is>
      </c>
      <c r="D48" s="19" t="inlineStr">
        <is>
          <t>Pass</t>
        </is>
      </c>
      <c r="E48" s="19" t="inlineStr">
        <is>
          <t>backend/test/access-control.test.js</t>
        </is>
      </c>
      <c r="F48" s="19" t="inlineStr">
        <is>
          <t>blocks roles one person may not hold together and warns on the others</t>
        </is>
      </c>
      <c r="G48" s="19" t="inlineStr"/>
      <c r="H48" s="19" t="inlineStr"/>
      <c r="I48" s="19" t="inlineStr">
        <is>
          <t>/master/generals/usermanagement/segregation-of-duties</t>
        </is>
      </c>
      <c r="J48" s="19" t="inlineStr">
        <is>
          <t>opened clean</t>
        </is>
      </c>
    </row>
    <row r="49">
      <c r="A49" s="19" t="inlineStr">
        <is>
          <t>BV-USR-013</t>
        </is>
      </c>
      <c r="B49" s="19" t="inlineStr">
        <is>
          <t>User and role administration</t>
        </is>
      </c>
      <c r="C49" s="19" t="inlineStr">
        <is>
          <t>Periodic access review closes when every user is decided</t>
        </is>
      </c>
      <c r="D49" s="19" t="inlineStr">
        <is>
          <t>Pass</t>
        </is>
      </c>
      <c r="E49" s="19" t="inlineStr">
        <is>
          <t>backend/test/access-control.test.js</t>
        </is>
      </c>
      <c r="F49" s="19" t="inlineStr">
        <is>
          <t>reviews every active user; a revoked user is deactivated and the review closes when all are decided</t>
        </is>
      </c>
      <c r="G49" s="19" t="inlineStr"/>
      <c r="H49" s="19" t="inlineStr"/>
      <c r="I49" s="19" t="inlineStr">
        <is>
          <t>/master/generals/usermanagement/access-reviews</t>
        </is>
      </c>
      <c r="J49" s="19" t="inlineStr">
        <is>
          <t>opened clean</t>
        </is>
      </c>
    </row>
    <row r="50">
      <c r="A50" s="19" t="inlineStr">
        <is>
          <t>BV-USR-014</t>
        </is>
      </c>
      <c r="B50" s="19" t="inlineStr">
        <is>
          <t>User and role administration</t>
        </is>
      </c>
      <c r="C50" s="19" t="inlineStr">
        <is>
          <t>User access report downloads</t>
        </is>
      </c>
      <c r="D50" s="19" t="inlineStr">
        <is>
          <t>Pass</t>
        </is>
      </c>
      <c r="E50" s="19" t="inlineStr">
        <is>
          <t>backend/test/access-control.test.js</t>
        </is>
      </c>
      <c r="F50" s="19" t="inlineStr">
        <is>
          <t>lists every user with roles and sign-in facts, and downloads it</t>
        </is>
      </c>
      <c r="G50" s="19" t="inlineStr"/>
      <c r="H50" s="19" t="inlineStr"/>
      <c r="I50" s="19" t="inlineStr">
        <is>
          <t>/master/generals/usermanagement/access-matrix</t>
        </is>
      </c>
      <c r="J50" s="19" t="inlineStr">
        <is>
          <t>opened clean</t>
        </is>
      </c>
    </row>
    <row r="51">
      <c r="A51" s="19" t="inlineStr">
        <is>
          <t>BV-USR-015</t>
        </is>
      </c>
      <c r="B51" s="19" t="inlineStr">
        <is>
          <t>User and role administration</t>
        </is>
      </c>
      <c r="C51" s="19" t="inlineStr">
        <is>
          <t>Dormant accounts deactivated, administrator kept</t>
        </is>
      </c>
      <c r="D51" s="19" t="inlineStr">
        <is>
          <t>Pass</t>
        </is>
      </c>
      <c r="E51" s="19" t="inlineStr">
        <is>
          <t>backend/test/access-control.test.js</t>
        </is>
      </c>
      <c r="F51" s="19" t="inlineStr">
        <is>
          <t>deactivates accounts with no sign-in for the dormant period, never the built-in administrator</t>
        </is>
      </c>
      <c r="G51" s="19" t="inlineStr"/>
      <c r="H51" s="19" t="inlineStr"/>
      <c r="I51" s="19" t="inlineStr"/>
      <c r="J51" s="19" t="inlineStr"/>
    </row>
    <row r="52">
      <c r="A52" s="19" t="inlineStr">
        <is>
          <t>BV-USR-016</t>
        </is>
      </c>
      <c r="B52" s="19" t="inlineStr">
        <is>
          <t>User and role administration</t>
        </is>
      </c>
      <c r="C52" s="19" t="inlineStr">
        <is>
          <t>Account Executive in a scoped role sees only own book</t>
        </is>
      </c>
      <c r="D52" s="19" t="inlineStr">
        <is>
          <t>Pass</t>
        </is>
      </c>
      <c r="E52" s="19" t="inlineStr">
        <is>
          <t>backend/test/scope.test.js
backend/test/scope.test.js
backend/test/scope.test.js
backend/test/scope.test.js</t>
        </is>
      </c>
      <c r="F52" s="19" t="inlineStr">
        <is>
          <t>leads: each agent lists, reads and updates only their own; admin sees all
quotations: own list and stats; someone else's quote (or lead) answers 404
policies and clients: own book only; admin sees both agents' policies
scoped roles come from security.scoped_roles</t>
        </is>
      </c>
      <c r="G52" s="19" t="inlineStr"/>
      <c r="H52" s="19" t="inlineStr"/>
      <c r="I52" s="19" t="inlineStr"/>
      <c r="J52" s="19" t="inlineStr"/>
    </row>
    <row r="53">
      <c r="A53" s="19" t="inlineStr">
        <is>
          <t>BV-MST-001</t>
        </is>
      </c>
      <c r="B53" s="19" t="inlineStr">
        <is>
          <t>Masters</t>
        </is>
      </c>
      <c r="C53" s="19" t="inlineStr">
        <is>
          <t>Add an insurer with credit terms</t>
        </is>
      </c>
      <c r="D53" s="19" t="inlineStr">
        <is>
          <t>Pass</t>
        </is>
      </c>
      <c r="E53" s="19" t="inlineStr">
        <is>
          <t>backend/test/masters.test.js
backend/test/numbering.test.js</t>
        </is>
      </c>
      <c r="F53" s="19" t="inlineStr">
        <is>
          <t>creates, reads, searches, updates and deactivates
are edited on the insurer master and fall back to the settings</t>
        </is>
      </c>
      <c r="G53" s="19" t="inlineStr">
        <is>
          <t>Set-up</t>
        </is>
      </c>
      <c r="H53" s="19" t="inlineStr">
        <is>
          <t>46 passed, 0 failed</t>
        </is>
      </c>
      <c r="I53" s="19" t="inlineStr">
        <is>
          <t>/master/generals/insurancemanagement/insurancecompany</t>
        </is>
      </c>
      <c r="J53" s="19" t="inlineStr">
        <is>
          <t>opened clean</t>
        </is>
      </c>
    </row>
    <row r="54">
      <c r="A54" s="19" t="inlineStr">
        <is>
          <t>BV-MST-002</t>
        </is>
      </c>
      <c r="B54" s="19" t="inlineStr">
        <is>
          <t>Masters</t>
        </is>
      </c>
      <c r="C54" s="19" t="inlineStr">
        <is>
          <t>Required fields and duplicate code on a master</t>
        </is>
      </c>
      <c r="D54" s="19" t="inlineStr">
        <is>
          <t>Pass</t>
        </is>
      </c>
      <c r="E54" s="19" t="inlineStr">
        <is>
          <t>backend/test/masters.test.js</t>
        </is>
      </c>
      <c r="F54" s="19" t="inlineStr">
        <is>
          <t>validates required fields, types and duplicate codes</t>
        </is>
      </c>
      <c r="G54" s="19" t="inlineStr"/>
      <c r="H54" s="19" t="inlineStr"/>
      <c r="I54" s="19" t="inlineStr"/>
      <c r="J54" s="19" t="inlineStr"/>
    </row>
    <row r="55">
      <c r="A55" s="19" t="inlineStr">
        <is>
          <t>BV-MST-003</t>
        </is>
      </c>
      <c r="B55" s="19" t="inlineStr">
        <is>
          <t>Masters</t>
        </is>
      </c>
      <c r="C55" s="19" t="inlineStr">
        <is>
          <t>Product master shows package / non-package classification</t>
        </is>
      </c>
      <c r="D55" s="19" t="inlineStr">
        <is>
          <t>Pass</t>
        </is>
      </c>
      <c r="E55" s="19" t="inlineStr">
        <is>
          <t>backend/test/product-classification.test.js
backend/test/product-classification.test.js</t>
        </is>
      </c>
      <c r="F55" s="19" t="inlineStr">
        <is>
          <t>seeds package and non-package products with their customer segment
shows and filters the classification on the placement options and the product master</t>
        </is>
      </c>
      <c r="G55" s="19" t="inlineStr"/>
      <c r="H55" s="19" t="inlineStr"/>
      <c r="I55" s="19" t="inlineStr">
        <is>
          <t>/master/generals/insurancemanagement/productmaster</t>
        </is>
      </c>
      <c r="J55" s="19" t="inlineStr">
        <is>
          <t>opened clean</t>
        </is>
      </c>
    </row>
    <row r="56">
      <c r="A56" s="19" t="inlineStr">
        <is>
          <t>BV-MST-004</t>
        </is>
      </c>
      <c r="B56" s="19" t="inlineStr">
        <is>
          <t>Masters</t>
        </is>
      </c>
      <c r="C56" s="19" t="inlineStr">
        <is>
          <t>Reclassifying a product changes its placement journey</t>
        </is>
      </c>
      <c r="D56" s="19" t="inlineStr">
        <is>
          <t>Pass</t>
        </is>
      </c>
      <c r="E56" s="19" t="inlineStr">
        <is>
          <t>backend/test/product-classification.test.js</t>
        </is>
      </c>
      <c r="F56" s="19" t="inlineStr">
        <is>
          <t>reclassifying a product on the Product master changes its journey without a code change</t>
        </is>
      </c>
      <c r="G56" s="19" t="inlineStr"/>
      <c r="H56" s="19" t="inlineStr"/>
      <c r="I56" s="19" t="inlineStr"/>
      <c r="J56" s="19" t="inlineStr"/>
    </row>
    <row r="57">
      <c r="A57" s="19" t="inlineStr">
        <is>
          <t>BV-MST-005</t>
        </is>
      </c>
      <c r="B57" s="19" t="inlineStr">
        <is>
          <t>Masters</t>
        </is>
      </c>
      <c r="C57" s="19" t="inlineStr">
        <is>
          <t>Cover master: code issued, several covers per line</t>
        </is>
      </c>
      <c r="D57" s="19" t="inlineStr">
        <is>
          <t>Pass</t>
        </is>
      </c>
      <c r="E57" s="19" t="inlineStr">
        <is>
          <t>backend/test/masters.test.js
backend/test/masters.test.js</t>
        </is>
      </c>
      <c r="F57" s="19" t="inlineStr">
        <is>
          <t>issues the code, leaves Effective To open, keeps several covers and matches every sales person when none is set
offers the covers of a line and those without a line</t>
        </is>
      </c>
      <c r="G57" s="19" t="inlineStr"/>
      <c r="H57" s="19" t="inlineStr"/>
      <c r="I57" s="19" t="inlineStr">
        <is>
          <t>/master/generals/insurancemanagement/cover</t>
        </is>
      </c>
      <c r="J57" s="19" t="inlineStr">
        <is>
          <t>opened clean</t>
        </is>
      </c>
    </row>
    <row r="58">
      <c r="A58" s="19" t="inlineStr">
        <is>
          <t>BV-MST-006</t>
        </is>
      </c>
      <c r="B58" s="19" t="inlineStr">
        <is>
          <t>Masters</t>
        </is>
      </c>
      <c r="C58" s="19" t="inlineStr">
        <is>
          <t>Signatory added is offered on quotations; inactive is not</t>
        </is>
      </c>
      <c r="D58" s="19" t="inlineStr">
        <is>
          <t>Pass</t>
        </is>
      </c>
      <c r="E58" s="19" t="inlineStr">
        <is>
          <t>backend/test/masters.test.js
backend/test/quote-to-policy.test.js</t>
        </is>
      </c>
      <c r="F58" s="19" t="inlineStr">
        <is>
          <t>a signatory added under Master is offered; an inactive one is not
the quotation PDF prints the chosen signatory with the designation</t>
        </is>
      </c>
      <c r="G58" s="19" t="inlineStr"/>
      <c r="H58" s="19" t="inlineStr"/>
      <c r="I58" s="19" t="inlineStr">
        <is>
          <t>/master/generals/insurancemanagement/signatories</t>
        </is>
      </c>
      <c r="J58" s="19" t="inlineStr">
        <is>
          <t>opened clean</t>
        </is>
      </c>
    </row>
    <row r="59">
      <c r="A59" s="19" t="inlineStr">
        <is>
          <t>BV-MST-007</t>
        </is>
      </c>
      <c r="B59" s="19" t="inlineStr">
        <is>
          <t>Masters</t>
        </is>
      </c>
      <c r="C59" s="19" t="inlineStr">
        <is>
          <t>Country, province and city drop-downs follow the hierarchy</t>
        </is>
      </c>
      <c r="D59" s="19" t="inlineStr">
        <is>
          <t>Pass</t>
        </is>
      </c>
      <c r="E59" s="19" t="inlineStr">
        <is>
          <t>backend/test/addresses.test.js
backend/test/addresses.test.js</t>
        </is>
      </c>
      <c r="F59" s="19" t="inlineStr">
        <is>
          <t>serves the Philippine hierarchy used by the claim screens: Metro Manila (NCR) -&gt; Makati
looks up postal codes for auto-fill</t>
        </is>
      </c>
      <c r="G59" s="19" t="inlineStr"/>
      <c r="H59" s="19" t="inlineStr"/>
      <c r="I59" s="19" t="inlineStr">
        <is>
          <t>/master/generals/location/country
/master/generals/location/state
/master/generals/location/city</t>
        </is>
      </c>
      <c r="J59" s="19" t="inlineStr">
        <is>
          <t>opened clean
opened clean
opened clean</t>
        </is>
      </c>
    </row>
    <row r="60">
      <c r="A60" s="19" t="inlineStr">
        <is>
          <t>BV-MST-008</t>
        </is>
      </c>
      <c r="B60" s="19" t="inlineStr">
        <is>
          <t>Masters</t>
        </is>
      </c>
      <c r="C60" s="19" t="inlineStr">
        <is>
          <t>Upload cities from the master template</t>
        </is>
      </c>
      <c r="D60" s="19" t="inlineStr">
        <is>
          <t>Pass</t>
        </is>
      </c>
      <c r="E60" s="19" t="inlineStr">
        <is>
          <t>backend/test/upload-templates.test.js</t>
        </is>
      </c>
      <c r="F60" s="19" t="inlineStr">
        <is>
          <t>downloads a master template and creates the uploaded records, reporting the rows that fail</t>
        </is>
      </c>
      <c r="G60" s="19" t="inlineStr"/>
      <c r="H60" s="19" t="inlineStr"/>
      <c r="I60" s="19" t="inlineStr"/>
      <c r="J60" s="19" t="inlineStr"/>
    </row>
    <row r="61">
      <c r="A61" s="19" t="inlineStr">
        <is>
          <t>BV-MST-009</t>
        </is>
      </c>
      <c r="B61" s="19" t="inlineStr">
        <is>
          <t>Masters</t>
        </is>
      </c>
      <c r="C61" s="19" t="inlineStr">
        <is>
          <t>Primary company prints on documents</t>
        </is>
      </c>
      <c r="D61" s="19" t="inlineStr">
        <is>
          <t>Pass</t>
        </is>
      </c>
      <c r="E61" s="19" t="inlineStr">
        <is>
          <t>backend/test/printing.test.js
backend/test/printing.test.js</t>
        </is>
      </c>
      <c r="F61" s="19" t="inlineStr">
        <is>
          <t>reads the primary company of the Company master (iorta TechNXT Corp. out of the box) with its logo
allows one primary company only, and prints follow the primary company</t>
        </is>
      </c>
      <c r="G61" s="19" t="inlineStr"/>
      <c r="H61" s="19" t="inlineStr"/>
      <c r="I61" s="19" t="inlineStr">
        <is>
          <t>/master/generals/organization/companymaster</t>
        </is>
      </c>
      <c r="J61" s="19" t="inlineStr">
        <is>
          <t>opened clean</t>
        </is>
      </c>
    </row>
    <row r="62">
      <c r="A62" s="19" t="inlineStr">
        <is>
          <t>BV-MST-010</t>
        </is>
      </c>
      <c r="B62" s="19" t="inlineStr">
        <is>
          <t>Masters</t>
        </is>
      </c>
      <c r="C62" s="19" t="inlineStr">
        <is>
          <t>Branch, designation and employee masters open and save</t>
        </is>
      </c>
      <c r="D62" s="19" t="inlineStr">
        <is>
          <t>Pass</t>
        </is>
      </c>
      <c r="E62" s="19" t="inlineStr">
        <is>
          <t>backend/test/masters.test.js</t>
        </is>
      </c>
      <c r="F62" s="19" t="inlineStr">
        <is>
          <t>creates, reads, searches, updates and deactivates</t>
        </is>
      </c>
      <c r="G62" s="19" t="inlineStr"/>
      <c r="H62" s="19" t="inlineStr"/>
      <c r="I62" s="19" t="inlineStr">
        <is>
          <t>/master/generals/organization/branchmaster
/master/generals/employeemanagement/designation
/master/generals/employeemanagement/employee</t>
        </is>
      </c>
      <c r="J62" s="19" t="inlineStr">
        <is>
          <t>opened clean
opened clean
opened clean</t>
        </is>
      </c>
    </row>
    <row r="63">
      <c r="A63" s="19" t="inlineStr">
        <is>
          <t>BV-MST-011</t>
        </is>
      </c>
      <c r="B63" s="19" t="inlineStr">
        <is>
          <t>Masters</t>
        </is>
      </c>
      <c r="C63" s="19" t="inlineStr">
        <is>
          <t>Sales reads masters but cannot change them</t>
        </is>
      </c>
      <c r="D63" s="19" t="inlineStr">
        <is>
          <t>Pass</t>
        </is>
      </c>
      <c r="E63" s="19" t="inlineStr">
        <is>
          <t>backend/test/masters.test.js</t>
        </is>
      </c>
      <c r="F63" s="19" t="inlineStr">
        <is>
          <t>enforces permissions: sales may read but not write</t>
        </is>
      </c>
      <c r="G63" s="19" t="inlineStr"/>
      <c r="H63" s="19" t="inlineStr"/>
      <c r="I63" s="19" t="inlineStr"/>
      <c r="J63" s="19" t="inlineStr"/>
    </row>
    <row r="64">
      <c r="A64" s="19" t="inlineStr">
        <is>
          <t>BV-MST-012</t>
        </is>
      </c>
      <c r="B64" s="19" t="inlineStr">
        <is>
          <t>Masters</t>
        </is>
      </c>
      <c r="C64" s="19" t="inlineStr">
        <is>
          <t>Administrator adds a new master type without code change</t>
        </is>
      </c>
      <c r="D64" s="19" t="inlineStr">
        <is>
          <t>Pass</t>
        </is>
      </c>
      <c r="E64" s="19" t="inlineStr">
        <is>
          <t>backend/test/masters.test.js</t>
        </is>
      </c>
      <c r="F64" s="19" t="inlineStr">
        <is>
          <t>administrators add a new master type and edit field definitions without code changes</t>
        </is>
      </c>
      <c r="G64" s="19" t="inlineStr"/>
      <c r="H64" s="19" t="inlineStr"/>
      <c r="I64" s="19" t="inlineStr"/>
      <c r="J64" s="19" t="inlineStr"/>
    </row>
    <row r="65">
      <c r="A65" s="19" t="inlineStr">
        <is>
          <t>BV-MST-013</t>
        </is>
      </c>
      <c r="B65" s="19" t="inlineStr">
        <is>
          <t>Masters</t>
        </is>
      </c>
      <c r="C65" s="19" t="inlineStr">
        <is>
          <t>Currency, exchange rate and bank masters</t>
        </is>
      </c>
      <c r="D65" s="19" t="inlineStr">
        <is>
          <t>Pass</t>
        </is>
      </c>
      <c r="E65" s="19" t="inlineStr">
        <is>
          <t>backend/test/masters.test.js
brokerverse/src/module/FinanceMastersModule/BankMaster/AccountDataView/bankAccountErrors.test.js</t>
        </is>
      </c>
      <c r="F65" s="19" t="inlineStr">
        <is>
          <t>currency and seeded insurance companies expose front-end field names
checks the formats of number, e-mail, phone and SWIFT code</t>
        </is>
      </c>
      <c r="G65" s="19" t="inlineStr">
        <is>
          <t>Set-up</t>
        </is>
      </c>
      <c r="H65" s="19" t="inlineStr">
        <is>
          <t>46 passed, 0 failed</t>
        </is>
      </c>
      <c r="I65" s="19" t="inlineStr">
        <is>
          <t>/master/finance/currency
/master/finance/exchangerate
/master/finance/bank</t>
        </is>
      </c>
      <c r="J65" s="19" t="inlineStr">
        <is>
          <t>opened clean
opened clean
opened clean</t>
        </is>
      </c>
    </row>
    <row r="66">
      <c r="A66" s="19" t="inlineStr">
        <is>
          <t>BV-MST-014</t>
        </is>
      </c>
      <c r="B66" s="19" t="inlineStr">
        <is>
          <t>Masters</t>
        </is>
      </c>
      <c r="C66" s="19" t="inlineStr">
        <is>
          <t>Chart of accounts is a complete Philippine broker chart</t>
        </is>
      </c>
      <c r="D66" s="19" t="inlineStr">
        <is>
          <t>Pass</t>
        </is>
      </c>
      <c r="E66" s="19" t="inlineStr">
        <is>
          <t>backend/test/chart-of-accounts.test.js
backend/test/chart-of-accounts.test.js
backend/test/chart-of-accounts.test.js</t>
        </is>
      </c>
      <c r="F66" s="19" t="inlineStr">
        <is>
          <t>every GL account the system posts to (settings, payee and payment-mode maps) exists and is active
is a complete Philippine broker chart, grouped for the statements
is maintained from the chart of accounts screen (type grouping, statement group, system accounts protected)</t>
        </is>
      </c>
      <c r="G66" s="19" t="inlineStr"/>
      <c r="H66" s="19" t="inlineStr"/>
      <c r="I66" s="19" t="inlineStr">
        <is>
          <t>/master/finance/mainaccount
/master/finance/subaccount
/master/finance/accountcategory</t>
        </is>
      </c>
      <c r="J66" s="19" t="inlineStr">
        <is>
          <t>opened clean
opened clean
opened clean</t>
        </is>
      </c>
    </row>
    <row r="67">
      <c r="A67" s="19" t="inlineStr">
        <is>
          <t>BV-MST-015</t>
        </is>
      </c>
      <c r="B67" s="19" t="inlineStr">
        <is>
          <t>Masters</t>
        </is>
      </c>
      <c r="C67" s="19" t="inlineStr">
        <is>
          <t>Upload chart of accounts adds and updates accounts</t>
        </is>
      </c>
      <c r="D67" s="19" t="inlineStr">
        <is>
          <t>Pass</t>
        </is>
      </c>
      <c r="E67" s="19" t="inlineStr">
        <is>
          <t>backend/test/upload-templates.test.js</t>
        </is>
      </c>
      <c r="F67" s="19" t="inlineStr">
        <is>
          <t>chart of accounts upload adds new accounts and updates existing ones</t>
        </is>
      </c>
      <c r="G67" s="19" t="inlineStr"/>
      <c r="H67" s="19" t="inlineStr"/>
      <c r="I67" s="19" t="inlineStr"/>
      <c r="J67" s="19" t="inlineStr"/>
    </row>
    <row r="68">
      <c r="A68" s="19" t="inlineStr">
        <is>
          <t>BV-MST-016</t>
        </is>
      </c>
      <c r="B68" s="19" t="inlineStr">
        <is>
          <t>Masters</t>
        </is>
      </c>
      <c r="C68" s="19" t="inlineStr">
        <is>
          <t>Commission rate per insurer and product with renewal row</t>
        </is>
      </c>
      <c r="D68" s="19" t="inlineStr">
        <is>
          <t>Pass</t>
        </is>
      </c>
      <c r="E68" s="19" t="inlineStr">
        <is>
          <t>backend/test/numbering.test.js
backend/test/numbering.test.js</t>
        </is>
      </c>
      <c r="F68" s="19" t="inlineStr">
        <is>
          <t>picks the most specific active row effective on the date
falls back to the insurer rate, then commission.default_rate</t>
        </is>
      </c>
      <c r="G68" s="19" t="inlineStr">
        <is>
          <t>Set-up</t>
        </is>
      </c>
      <c r="H68" s="19" t="inlineStr">
        <is>
          <t>46 passed, 0 failed</t>
        </is>
      </c>
      <c r="I68" s="19" t="inlineStr">
        <is>
          <t>/master/finance/commission-rate-matrix</t>
        </is>
      </c>
      <c r="J68" s="19" t="inlineStr">
        <is>
          <t>opened clean</t>
        </is>
      </c>
    </row>
    <row r="69">
      <c r="A69" s="19" t="inlineStr">
        <is>
          <t>BV-MST-017</t>
        </is>
      </c>
      <c r="B69" s="19" t="inlineStr">
        <is>
          <t>Masters</t>
        </is>
      </c>
      <c r="C69" s="19" t="inlineStr">
        <is>
          <t>Overlapping active commission rows refused</t>
        </is>
      </c>
      <c r="D69" s="19" t="inlineStr">
        <is>
          <t>Pass</t>
        </is>
      </c>
      <c r="E69" s="19" t="inlineStr">
        <is>
          <t>backend/test/numbering.test.js</t>
        </is>
      </c>
      <c r="F69" s="19" t="inlineStr">
        <is>
          <t>rejects overlapping active rows with the same keys; inactive rows do not count</t>
        </is>
      </c>
      <c r="G69" s="19" t="inlineStr"/>
      <c r="H69" s="19" t="inlineStr"/>
      <c r="I69" s="19" t="inlineStr"/>
      <c r="J69" s="19" t="inlineStr"/>
    </row>
    <row r="70">
      <c r="A70" s="19" t="inlineStr">
        <is>
          <t>BV-MST-018</t>
        </is>
      </c>
      <c r="B70" s="19" t="inlineStr">
        <is>
          <t>Masters</t>
        </is>
      </c>
      <c r="C70" s="19" t="inlineStr">
        <is>
          <t>Tax codes master holds the PH codes with ATCs</t>
        </is>
      </c>
      <c r="D70" s="19" t="inlineStr">
        <is>
          <t>Pass</t>
        </is>
      </c>
      <c r="E70" s="19" t="inlineStr">
        <is>
          <t>backend/test/period-end.test.js
backend/test/masters.test.js</t>
        </is>
      </c>
      <c r="F70" s="19" t="inlineStr">
        <is>
          <t>tax codes master holds the PH codes with ATCs and is editable
taxation records linked to a setting keep the configuration key in step</t>
        </is>
      </c>
      <c r="G70" s="19" t="inlineStr">
        <is>
          <t>Set-up</t>
        </is>
      </c>
      <c r="H70" s="19" t="inlineStr">
        <is>
          <t>46 passed, 0 failed</t>
        </is>
      </c>
      <c r="I70" s="19" t="inlineStr">
        <is>
          <t>/master/finance/taxation</t>
        </is>
      </c>
      <c r="J70" s="19" t="inlineStr">
        <is>
          <t>opened clean</t>
        </is>
      </c>
    </row>
    <row r="71">
      <c r="A71" s="19" t="inlineStr">
        <is>
          <t>BV-MST-019</t>
        </is>
      </c>
      <c r="B71" s="19" t="inlineStr">
        <is>
          <t>Masters</t>
        </is>
      </c>
      <c r="C71" s="19" t="inlineStr">
        <is>
          <t>Premium taxes and LGU rates maintained by Accounting</t>
        </is>
      </c>
      <c r="D71" s="19" t="inlineStr">
        <is>
          <t>Pass</t>
        </is>
      </c>
      <c r="E71" s="19" t="inlineStr">
        <is>
          <t>backend/test/premium-charges.test.js
backend/test/premium-charges.test.js
backend/test/premium-charges.test.js</t>
        </is>
      </c>
      <c r="F71" s="19" t="inlineStr">
        <is>
          <t>lets Accounting maintain rules and LGU rates; Sales cannot
lists the seeded rules and Metro Manila LGU rates
calculates the charges of a product premium at a location</t>
        </is>
      </c>
      <c r="G71" s="19" t="inlineStr"/>
      <c r="H71" s="19" t="inlineStr"/>
      <c r="I71" s="19" t="inlineStr">
        <is>
          <t>/master/finance/premium-taxes</t>
        </is>
      </c>
      <c r="J71" s="19" t="inlineStr">
        <is>
          <t>opened clean</t>
        </is>
      </c>
    </row>
    <row r="72">
      <c r="A72" s="19" t="inlineStr">
        <is>
          <t>BV-MST-020</t>
        </is>
      </c>
      <c r="B72" s="19" t="inlineStr">
        <is>
          <t>Masters</t>
        </is>
      </c>
      <c r="C72" s="19" t="inlineStr">
        <is>
          <t>DST, VAT, FST and LGT computed on a fire premium</t>
        </is>
      </c>
      <c r="D72" s="19" t="inlineStr">
        <is>
          <t>Pass</t>
        </is>
      </c>
      <c r="E72" s="19" t="inlineStr">
        <is>
          <t>backend/test/premium-charges.test.js
backend/test/premium-charges.test.js
backend/test/premium-charges.test.js</t>
        </is>
      </c>
      <c r="F72" s="19" t="inlineStr">
        <is>
          <t>prices VAT, DST per P4.00, FST on fire and LGT for a fire premium
charges DST on every P4.00 or fractional part (round up) or proportionally (prorate)
rounds every amount to 2 decimals half away from zero and totals the rounded lines</t>
        </is>
      </c>
      <c r="G72" s="19" t="inlineStr"/>
      <c r="H72" s="19" t="inlineStr"/>
      <c r="I72" s="19" t="inlineStr"/>
      <c r="J72" s="19" t="inlineStr"/>
    </row>
    <row r="73">
      <c r="A73" s="19" t="inlineStr">
        <is>
          <t>BV-MST-021</t>
        </is>
      </c>
      <c r="B73" s="19" t="inlineStr">
        <is>
          <t>Masters</t>
        </is>
      </c>
      <c r="C73" s="19" t="inlineStr">
        <is>
          <t>Money rounding half away from zero</t>
        </is>
      </c>
      <c r="D73" s="19" t="inlineStr">
        <is>
          <t>Pass</t>
        </is>
      </c>
      <c r="E73" s="19" t="inlineStr">
        <is>
          <t>backend/test/configuration.test.js
backend/test/configuration.test.js
backend/test/configuration.test.js</t>
        </is>
      </c>
      <c r="F73" s="19" t="inlineStr">
        <is>
          <t>round2(1.005) = 1.01
round2(2.675) = 2.68
treats empty and invalid input as 0 (never -0 or NaN)</t>
        </is>
      </c>
      <c r="G73" s="19" t="inlineStr"/>
      <c r="H73" s="19" t="inlineStr"/>
      <c r="I73" s="19" t="inlineStr"/>
      <c r="J73" s="19" t="inlineStr"/>
    </row>
    <row r="74">
      <c r="A74" s="19" t="inlineStr">
        <is>
          <t>BV-CFG-001</t>
        </is>
      </c>
      <c r="B74" s="19" t="inlineStr">
        <is>
          <t>Configuration and numbering</t>
        </is>
      </c>
      <c r="C74" s="19" t="inlineStr">
        <is>
          <t>Every setting is listed with a label and group</t>
        </is>
      </c>
      <c r="D74" s="19" t="inlineStr">
        <is>
          <t>Pass</t>
        </is>
      </c>
      <c r="E74" s="19" t="inlineStr">
        <is>
          <t>backend/test/configuration.test.js
backend/test/configuration.test.js</t>
        </is>
      </c>
      <c r="F74" s="19" t="inlineStr">
        <is>
          <t>every key read by the code is seeded, with a label and a group (so Master &gt; Configuration shows it)
scripts/check-settings.js: every key read in code exists and only documented keys are left unread</t>
        </is>
      </c>
      <c r="G74" s="19" t="inlineStr"/>
      <c r="H74" s="19" t="inlineStr"/>
      <c r="I74" s="19" t="inlineStr">
        <is>
          <t>/master/configuration/settings</t>
        </is>
      </c>
      <c r="J74" s="19" t="inlineStr">
        <is>
          <t>opened clean</t>
        </is>
      </c>
    </row>
    <row r="75">
      <c r="A75" s="19" t="inlineStr">
        <is>
          <t>BV-CFG-002</t>
        </is>
      </c>
      <c r="B75" s="19" t="inlineStr">
        <is>
          <t>Configuration and numbering</t>
        </is>
      </c>
      <c r="C75" s="19" t="inlineStr">
        <is>
          <t>Change a setting; it is saved and audited</t>
        </is>
      </c>
      <c r="D75" s="19" t="inlineStr">
        <is>
          <t>Pass</t>
        </is>
      </c>
      <c r="E75" s="19" t="inlineStr">
        <is>
          <t>backend/test/core.test.js
backend/test/core.test.js</t>
        </is>
      </c>
      <c r="F75" s="19" t="inlineStr">
        <is>
          <t>settings are read from the database and editable by admins
writes an audit trail</t>
        </is>
      </c>
      <c r="G75" s="19" t="inlineStr"/>
      <c r="H75" s="19" t="inlineStr"/>
      <c r="I75" s="19" t="inlineStr"/>
      <c r="J75" s="19" t="inlineStr"/>
    </row>
    <row r="76">
      <c r="A76" s="19" t="inlineStr">
        <is>
          <t>BV-CFG-003</t>
        </is>
      </c>
      <c r="B76" s="19" t="inlineStr">
        <is>
          <t>Configuration and numbering</t>
        </is>
      </c>
      <c r="C76" s="19" t="inlineStr">
        <is>
          <t>Invalid setting value refused</t>
        </is>
      </c>
      <c r="D76" s="19" t="inlineStr">
        <is>
          <t>Pass</t>
        </is>
      </c>
      <c r="E76" s="19" t="inlineStr">
        <is>
          <t>backend/test/system-settings.test.js</t>
        </is>
      </c>
      <c r="F76" s="19" t="inlineStr">
        <is>
          <t>rejects invalid values and unauthorised users</t>
        </is>
      </c>
      <c r="G76" s="19" t="inlineStr"/>
      <c r="H76" s="19" t="inlineStr"/>
      <c r="I76" s="19" t="inlineStr"/>
      <c r="J76" s="19" t="inlineStr"/>
    </row>
    <row r="77">
      <c r="A77" s="19" t="inlineStr">
        <is>
          <t>BV-CFG-004</t>
        </is>
      </c>
      <c r="B77" s="19" t="inlineStr">
        <is>
          <t>Configuration and numbering</t>
        </is>
      </c>
      <c r="C77" s="19" t="inlineStr">
        <is>
          <t>Settings change on one server is picked up by the others</t>
        </is>
      </c>
      <c r="D77" s="19" t="inlineStr">
        <is>
          <t>Pass</t>
        </is>
      </c>
      <c r="E77" s="19" t="inlineStr">
        <is>
          <t>backend/test/operations.test.js</t>
        </is>
      </c>
      <c r="F77" s="19" t="inlineStr">
        <is>
          <t>picks up a setting changed by another instance at the next version check</t>
        </is>
      </c>
      <c r="G77" s="19" t="inlineStr"/>
      <c r="H77" s="19" t="inlineStr"/>
      <c r="I77" s="19" t="inlineStr"/>
      <c r="J77" s="19" t="inlineStr"/>
    </row>
    <row r="78">
      <c r="A78" s="19" t="inlineStr">
        <is>
          <t>BV-CFG-005</t>
        </is>
      </c>
      <c r="B78" s="19" t="inlineStr">
        <is>
          <t>Configuration and numbering</t>
        </is>
      </c>
      <c r="C78" s="19" t="inlineStr">
        <is>
          <t>Business date is Manila time, not UTC</t>
        </is>
      </c>
      <c r="D78" s="19" t="inlineStr">
        <is>
          <t>Pass</t>
        </is>
      </c>
      <c r="E78" s="19" t="inlineStr">
        <is>
          <t>backend/test/configuration.test.js
backend/test/dashboard.test.js
backend/test/operations.test.js</t>
        </is>
      </c>
      <c r="F78" s="19" t="inlineStr">
        <is>
          <t>is Manila time near midnight UTC, not the UTC date
"This Month" runs from the 1st of the Manila month; a policy at 00:30 Manila on the 1st counts, 23:30 the day before does not
defaults business-date columns to the Manila date (numbering_business_date)</t>
        </is>
      </c>
      <c r="G78" s="19" t="inlineStr"/>
      <c r="H78" s="19" t="inlineStr"/>
      <c r="I78" s="19" t="inlineStr"/>
      <c r="J78" s="19" t="inlineStr"/>
    </row>
    <row r="79">
      <c r="A79" s="19" t="inlineStr">
        <is>
          <t>BV-CFG-006</t>
        </is>
      </c>
      <c r="B79" s="19" t="inlineStr">
        <is>
          <t>Configuration and numbering</t>
        </is>
      </c>
      <c r="C79" s="19" t="inlineStr">
        <is>
          <t>Company logo and favicon on System Settings</t>
        </is>
      </c>
      <c r="D79" s="19" t="inlineStr">
        <is>
          <t>Pass</t>
        </is>
      </c>
      <c r="E79" s="19" t="inlineStr">
        <is>
          <t>backend/test/system-settings.test.js
backend/test/system-settings.test.js</t>
        </is>
      </c>
      <c r="F79" s="19" t="inlineStr">
        <is>
          <t>adds a logo preset by URL and by file upload, then removes it
uploads a favicon and rejects a disallowed type</t>
        </is>
      </c>
      <c r="G79" s="19" t="inlineStr"/>
      <c r="H79" s="19" t="inlineStr"/>
      <c r="I79" s="19" t="inlineStr">
        <is>
          <t>/master/configuration/system-settings</t>
        </is>
      </c>
      <c r="J79" s="19" t="inlineStr">
        <is>
          <t>opened clean</t>
        </is>
      </c>
    </row>
    <row r="80">
      <c r="A80" s="19" t="inlineStr">
        <is>
          <t>BV-CFG-007</t>
        </is>
      </c>
      <c r="B80" s="19" t="inlineStr">
        <is>
          <t>Configuration and numbering</t>
        </is>
      </c>
      <c r="C80" s="19" t="inlineStr">
        <is>
          <t>Numbering series listed with next-number preview</t>
        </is>
      </c>
      <c r="D80" s="19" t="inlineStr">
        <is>
          <t>Pass</t>
        </is>
      </c>
      <c r="E80" s="19" t="inlineStr">
        <is>
          <t>backend/test/numbering.test.js
backend/test/numbering.test.js</t>
        </is>
      </c>
      <c r="F80" s="19" t="inlineStr">
        <is>
          <t>seeds a series for every code the application uses, with unique active prefixes and the default pattern
lists series with the current counter and next-number preview</t>
        </is>
      </c>
      <c r="G80" s="19" t="inlineStr"/>
      <c r="H80" s="19" t="inlineStr"/>
      <c r="I80" s="19" t="inlineStr">
        <is>
          <t>/master/configuration/document-numbering</t>
        </is>
      </c>
      <c r="J80" s="19" t="inlineStr">
        <is>
          <t>opened clean</t>
        </is>
      </c>
    </row>
    <row r="81">
      <c r="A81" s="19" t="inlineStr">
        <is>
          <t>BV-CFG-008</t>
        </is>
      </c>
      <c r="B81" s="19" t="inlineStr">
        <is>
          <t>Configuration and numbering</t>
        </is>
      </c>
      <c r="C81" s="19" t="inlineStr">
        <is>
          <t>Set the next official receipt number forward</t>
        </is>
      </c>
      <c r="D81" s="19" t="inlineStr">
        <is>
          <t>Pass</t>
        </is>
      </c>
      <c r="E81" s="19" t="inlineStr">
        <is>
          <t>backend/test/numbering.test.js
backend/test/numbering.test.js</t>
        </is>
      </c>
      <c r="F81" s="19" t="inlineStr">
        <is>
          <t>sets the next number forward only
updates a series with validation, unique prefixes and an audit entry</t>
        </is>
      </c>
      <c r="G81" s="19" t="inlineStr"/>
      <c r="H81" s="19" t="inlineStr"/>
      <c r="I81" s="19" t="inlineStr"/>
      <c r="J81" s="19" t="inlineStr"/>
    </row>
    <row r="82">
      <c r="A82" s="19" t="inlineStr">
        <is>
          <t>BV-CFG-009</t>
        </is>
      </c>
      <c r="B82" s="19" t="inlineStr">
        <is>
          <t>Configuration and numbering</t>
        </is>
      </c>
      <c r="C82" s="19" t="inlineStr">
        <is>
          <t>Pattern errors shown in the preview</t>
        </is>
      </c>
      <c r="D82" s="19" t="inlineStr">
        <is>
          <t>Pass</t>
        </is>
      </c>
      <c r="E82" s="19" t="inlineStr">
        <is>
          <t>backend/test/numbering.test.js
backend/test/numbering.test.js</t>
        </is>
      </c>
      <c r="F82" s="19" t="inlineStr">
        <is>
          <t>previews unsaved changes and reports pattern errors
formats every token; optional {BRANCH} / {LOB} drop with their separator</t>
        </is>
      </c>
      <c r="G82" s="19" t="inlineStr"/>
      <c r="H82" s="19" t="inlineStr"/>
      <c r="I82" s="19" t="inlineStr"/>
      <c r="J82" s="19" t="inlineStr"/>
    </row>
    <row r="83">
      <c r="A83" s="19" t="inlineStr">
        <is>
          <t>BV-CFG-010</t>
        </is>
      </c>
      <c r="B83" s="19" t="inlineStr">
        <is>
          <t>Configuration and numbering</t>
        </is>
      </c>
      <c r="C83" s="19" t="inlineStr">
        <is>
          <t>Counter resets yearly, monthly or by fiscal year</t>
        </is>
      </c>
      <c r="D83" s="19" t="inlineStr">
        <is>
          <t>Pass</t>
        </is>
      </c>
      <c r="E83" s="19" t="inlineStr">
        <is>
          <t>backend/test/numbering.test.js</t>
        </is>
      </c>
      <c r="F83" s="19" t="inlineStr">
        <is>
          <t>yearly, monthly, fiscal-year and never reset the counter at the right boundary</t>
        </is>
      </c>
      <c r="G83" s="19" t="inlineStr"/>
      <c r="H83" s="19" t="inlineStr"/>
      <c r="I83" s="19" t="inlineStr"/>
      <c r="J83" s="19" t="inlineStr"/>
    </row>
    <row r="84">
      <c r="A84" s="19" t="inlineStr">
        <is>
          <t>BV-CFG-011</t>
        </is>
      </c>
      <c r="B84" s="19" t="inlineStr">
        <is>
          <t>Configuration and numbering</t>
        </is>
      </c>
      <c r="C84" s="19" t="inlineStr">
        <is>
          <t>No duplicate numbers under concurrent saves</t>
        </is>
      </c>
      <c r="D84" s="19" t="inlineStr">
        <is>
          <t>Pass</t>
        </is>
      </c>
      <c r="E84" s="19" t="inlineStr">
        <is>
          <t>backend/test/numbering.test.js
backend/test/numbering.test.js</t>
        </is>
      </c>
      <c r="F84" s="19" t="inlineStr">
        <is>
          <t>parallel callers (pool and transactions) never receive the same number
a rolled-back transaction gives its number back; a number already in the target table is skipped</t>
        </is>
      </c>
      <c r="G84" s="19" t="inlineStr"/>
      <c r="H84" s="19" t="inlineStr"/>
      <c r="I84" s="19" t="inlineStr"/>
      <c r="J84" s="19" t="inlineStr"/>
    </row>
    <row r="85">
      <c r="A85" s="19" t="inlineStr">
        <is>
          <t>BV-CFG-012</t>
        </is>
      </c>
      <c r="B85" s="19" t="inlineStr">
        <is>
          <t>Configuration and numbering</t>
        </is>
      </c>
      <c r="C85" s="19" t="inlineStr">
        <is>
          <t>Inactive series refuses to issue</t>
        </is>
      </c>
      <c r="D85" s="19" t="inlineStr">
        <is>
          <t>Pass</t>
        </is>
      </c>
      <c r="E85" s="19" t="inlineStr">
        <is>
          <t>backend/test/numbering.test.js</t>
        </is>
      </c>
      <c r="F85" s="19" t="inlineStr">
        <is>
          <t>an inactive or unknown series refuses to issue numbers</t>
        </is>
      </c>
      <c r="G85" s="19" t="inlineStr"/>
      <c r="H85" s="19" t="inlineStr"/>
      <c r="I85" s="19" t="inlineStr"/>
      <c r="J85" s="19" t="inlineStr"/>
    </row>
    <row r="86">
      <c r="A86" s="19" t="inlineStr">
        <is>
          <t>BV-CFG-013</t>
        </is>
      </c>
      <c r="B86" s="19" t="inlineStr">
        <is>
          <t>Configuration and numbering</t>
        </is>
      </c>
      <c r="C86" s="19" t="inlineStr">
        <is>
          <t>Numbering is restricted to system configuration</t>
        </is>
      </c>
      <c r="D86" s="19" t="inlineStr">
        <is>
          <t>Pass</t>
        </is>
      </c>
      <c r="E86" s="19" t="inlineStr">
        <is>
          <t>backend/test/numbering.test.js</t>
        </is>
      </c>
      <c r="F86" s="19" t="inlineStr">
        <is>
          <t>is restricted to system configuration</t>
        </is>
      </c>
      <c r="G86" s="19" t="inlineStr"/>
      <c r="H86" s="19" t="inlineStr"/>
      <c r="I86" s="19" t="inlineStr"/>
      <c r="J86" s="19" t="inlineStr"/>
    </row>
    <row r="87">
      <c r="A87" s="19" t="inlineStr">
        <is>
          <t>BV-CFG-014</t>
        </is>
      </c>
      <c r="B87" s="19" t="inlineStr">
        <is>
          <t>Configuration and numbering</t>
        </is>
      </c>
      <c r="C87" s="19" t="inlineStr">
        <is>
          <t>Scheduled jobs list and run now</t>
        </is>
      </c>
      <c r="D87" s="19" t="inlineStr">
        <is>
          <t>Pass</t>
        </is>
      </c>
      <c r="E87" s="19" t="inlineStr">
        <is>
          <t>backend/test/core.test.js
backend/test/operations.test.js
backend/test/dependencies.test.js</t>
        </is>
      </c>
      <c r="F87" s="19" t="inlineStr">
        <is>
          <t>runs a scheduled job and records the run
schedules every job in general.timezone (06:00 Manila, not 06:00 UTC) and shows the zone
node-cron 4 validates every seeded job schedule and schedules / stops tasks</t>
        </is>
      </c>
      <c r="G87" s="19" t="inlineStr"/>
      <c r="H87" s="19" t="inlineStr"/>
      <c r="I87" s="19" t="inlineStr">
        <is>
          <t>/master/configuration/schedules</t>
        </is>
      </c>
      <c r="J87" s="19" t="inlineStr">
        <is>
          <t>opened clean</t>
        </is>
      </c>
    </row>
    <row r="88">
      <c r="A88" s="19" t="inlineStr">
        <is>
          <t>BV-CFG-015</t>
        </is>
      </c>
      <c r="B88" s="19" t="inlineStr">
        <is>
          <t>Configuration and numbering</t>
        </is>
      </c>
      <c r="C88" s="19" t="inlineStr">
        <is>
          <t>A job runs once when several servers fire it</t>
        </is>
      </c>
      <c r="D88" s="19" t="inlineStr">
        <is>
          <t>Pass</t>
        </is>
      </c>
      <c r="E88" s="19" t="inlineStr">
        <is>
          <t>backend/test/go-live.test.js
backend/test/go-live.test.js</t>
        </is>
      </c>
      <c r="F88" s="19" t="inlineStr">
        <is>
          <t>skips a run while another instance holds the job advisory lock
runs a scheduled slot once when several instances fire it at the same time</t>
        </is>
      </c>
      <c r="G88" s="19" t="inlineStr"/>
      <c r="H88" s="19" t="inlineStr"/>
      <c r="I88" s="19" t="inlineStr"/>
      <c r="J88" s="19" t="inlineStr"/>
    </row>
    <row r="89">
      <c r="A89" s="19" t="inlineStr">
        <is>
          <t>BV-CFG-016</t>
        </is>
      </c>
      <c r="B89" s="19" t="inlineStr">
        <is>
          <t>Configuration and numbering</t>
        </is>
      </c>
      <c r="C89" s="19" t="inlineStr">
        <is>
          <t>Data retention purge keeps audit trail at least 7 years</t>
        </is>
      </c>
      <c r="D89" s="19" t="inlineStr">
        <is>
          <t>Pass</t>
        </is>
      </c>
      <c r="E89" s="19" t="inlineStr">
        <is>
          <t>backend/test/operations.test.js
backend/test/operations.test.js</t>
        </is>
      </c>
      <c r="F89" s="19" t="inlineStr">
        <is>
          <t>purges rows past their retention and keeps recent, unresolved and audit rows
keeps a table forever at 0 days and never purges the audit trail below 7 years</t>
        </is>
      </c>
      <c r="G89" s="19" t="inlineStr"/>
      <c r="H89" s="19" t="inlineStr"/>
      <c r="I89" s="19" t="inlineStr"/>
      <c r="J89" s="19" t="inlineStr"/>
    </row>
    <row r="90">
      <c r="A90" s="19" t="inlineStr">
        <is>
          <t>BV-CFG-017</t>
        </is>
      </c>
      <c r="B90" s="19" t="inlineStr">
        <is>
          <t>Configuration and numbering</t>
        </is>
      </c>
      <c r="C90" s="19" t="inlineStr">
        <is>
          <t>Health check and version endpoints</t>
        </is>
      </c>
      <c r="D90" s="19" t="inlineStr">
        <is>
          <t>Pass</t>
        </is>
      </c>
      <c r="E90" s="19" t="inlineStr">
        <is>
          <t>backend/test/go-live.test.js
backend/test/security.test.js</t>
        </is>
      </c>
      <c r="F90" s="19" t="inlineStr">
        <is>
          <t>GET /api/health reports database connectivity and readiness; 503 while starting or when the database is down
GET /api/version reports build and runtime information without sign-in</t>
        </is>
      </c>
      <c r="G90" s="19" t="inlineStr"/>
      <c r="H90" s="19" t="inlineStr"/>
      <c r="I90" s="19" t="inlineStr"/>
      <c r="J90" s="19" t="inlineStr"/>
    </row>
    <row r="91">
      <c r="A91" s="19" t="inlineStr">
        <is>
          <t>BV-PCF-001</t>
        </is>
      </c>
      <c r="B91" s="19" t="inlineStr">
        <is>
          <t>Product configurator</t>
        </is>
      </c>
      <c r="C91" s="19" t="inlineStr">
        <is>
          <t>Templates listed and opened</t>
        </is>
      </c>
      <c r="D91" s="19" t="inlineStr">
        <is>
          <t>Pass</t>
        </is>
      </c>
      <c r="E91" s="19" t="inlineStr">
        <is>
          <t>backend/test/product-configurator.test.js
backend/test/motor-tariff.test.js</t>
        </is>
      </c>
      <c r="F91" s="19" t="inlineStr">
        <is>
          <t>lists seeded templates in the captured shape
lists the Insurance Commission vehicle classes with the CTPL tariff and the APPA limits</t>
        </is>
      </c>
      <c r="G91" s="19" t="inlineStr"/>
      <c r="H91" s="19" t="inlineStr"/>
      <c r="I91" s="19" t="inlineStr">
        <is>
          <t>/product-configurator/templates</t>
        </is>
      </c>
      <c r="J91" s="19" t="inlineStr">
        <is>
          <t>opened clean</t>
        </is>
      </c>
    </row>
    <row r="92">
      <c r="A92" s="19" t="inlineStr">
        <is>
          <t>BV-PCF-002</t>
        </is>
      </c>
      <c r="B92" s="19" t="inlineStr">
        <is>
          <t>Product configurator</t>
        </is>
      </c>
      <c r="C92" s="19" t="inlineStr">
        <is>
          <t>Create, version, retire and reactivate a template</t>
        </is>
      </c>
      <c r="D92" s="19" t="inlineStr">
        <is>
          <t>Pass</t>
        </is>
      </c>
      <c r="E92" s="19" t="inlineStr">
        <is>
          <t>backend/test/product-configurator.test.js</t>
        </is>
      </c>
      <c r="F92" s="19" t="inlineStr">
        <is>
          <t>creates, updates, versions, retires and reactivates a template</t>
        </is>
      </c>
      <c r="G92" s="19" t="inlineStr"/>
      <c r="H92" s="19" t="inlineStr"/>
      <c r="I92" s="19" t="inlineStr"/>
      <c r="J92" s="19" t="inlineStr"/>
    </row>
    <row r="93">
      <c r="A93" s="19" t="inlineStr">
        <is>
          <t>BV-PCF-003</t>
        </is>
      </c>
      <c r="B93" s="19" t="inlineStr">
        <is>
          <t>Product configurator</t>
        </is>
      </c>
      <c r="C93" s="19" t="inlineStr">
        <is>
          <t>Users without products permission cannot change templates</t>
        </is>
      </c>
      <c r="D93" s="19" t="inlineStr">
        <is>
          <t>Pass</t>
        </is>
      </c>
      <c r="E93" s="19" t="inlineStr">
        <is>
          <t>backend/test/product-configurator.test.js</t>
        </is>
      </c>
      <c r="F93" s="19" t="inlineStr">
        <is>
          <t>denies writes without products permission</t>
        </is>
      </c>
      <c r="G93" s="19" t="inlineStr"/>
      <c r="H93" s="19" t="inlineStr"/>
      <c r="I93" s="19" t="inlineStr"/>
      <c r="J93" s="19" t="inlineStr"/>
    </row>
    <row r="94">
      <c r="A94" s="19" t="inlineStr">
        <is>
          <t>BV-PCF-004</t>
        </is>
      </c>
      <c r="B94" s="19" t="inlineStr">
        <is>
          <t>Product configurator</t>
        </is>
      </c>
      <c r="C94" s="19" t="inlineStr">
        <is>
          <t>Rate tables and insurer panel give a premium illustration</t>
        </is>
      </c>
      <c r="D94" s="19" t="inlineStr">
        <is>
          <t>Pass</t>
        </is>
      </c>
      <c r="E94" s="19" t="inlineStr">
        <is>
          <t>backend/test/product-configurator.test.js
backend/test/product-configurator.test.js</t>
        </is>
      </c>
      <c r="F94" s="19" t="inlineStr">
        <is>
          <t>manages the insurer panel and calculates a premium illustration
CRUD for every component kind used by the mock-only screens</t>
        </is>
      </c>
      <c r="G94" s="19" t="inlineStr"/>
      <c r="H94" s="19" t="inlineStr"/>
      <c r="I94" s="19" t="inlineStr">
        <is>
          <t>/product-configurator/rating</t>
        </is>
      </c>
      <c r="J94" s="19" t="inlineStr">
        <is>
          <t>opened clean</t>
        </is>
      </c>
    </row>
    <row r="95">
      <c r="A95" s="19" t="inlineStr">
        <is>
          <t>BV-PCF-005</t>
        </is>
      </c>
      <c r="B95" s="19" t="inlineStr">
        <is>
          <t>Product configurator</t>
        </is>
      </c>
      <c r="C95" s="19" t="inlineStr">
        <is>
          <t>Rating factors list shows which template each factor belongs to</t>
        </is>
      </c>
      <c r="D95" s="19" t="inlineStr">
        <is>
          <t>Pass</t>
        </is>
      </c>
      <c r="E95" s="19" t="inlineStr"/>
      <c r="F95" s="19" t="inlineStr"/>
      <c r="G95" s="19" t="inlineStr"/>
      <c r="H95" s="19" t="inlineStr"/>
      <c r="I95" s="19" t="inlineStr">
        <is>
          <t>/product-configurator/rating</t>
        </is>
      </c>
      <c r="J95" s="19" t="inlineStr">
        <is>
          <t>opened clean</t>
        </is>
      </c>
    </row>
    <row r="96">
      <c r="A96" s="19" t="inlineStr">
        <is>
          <t>BV-PCF-006</t>
        </is>
      </c>
      <c r="B96" s="19" t="inlineStr">
        <is>
          <t>Product configurator</t>
        </is>
      </c>
      <c r="C96" s="19" t="inlineStr">
        <is>
          <t>Coverage Builder, Acceptance Rules, Document Manager, Approval Workflows</t>
        </is>
      </c>
      <c r="D96" s="19" t="inlineStr">
        <is>
          <t>Pass</t>
        </is>
      </c>
      <c r="E96" s="19" t="inlineStr">
        <is>
          <t>backend/test/product-configurator.test.js</t>
        </is>
      </c>
      <c r="F96" s="19" t="inlineStr">
        <is>
          <t>CRUD for every component kind used by the mock-only screens</t>
        </is>
      </c>
      <c r="G96" s="19" t="inlineStr"/>
      <c r="H96" s="19" t="inlineStr"/>
      <c r="I96" s="19" t="inlineStr">
        <is>
          <t>/product-configurator/coverages
/product-configurator/underwriting
/product-configurator/documents
/product-configurator/workflows</t>
        </is>
      </c>
      <c r="J96" s="19" t="inlineStr">
        <is>
          <t>opened clean
opened clean
opened clean
opened clean</t>
        </is>
      </c>
    </row>
    <row r="97">
      <c r="A97" s="19" t="inlineStr">
        <is>
          <t>BV-PCF-007</t>
        </is>
      </c>
      <c r="B97" s="19" t="inlineStr">
        <is>
          <t>Product configurator</t>
        </is>
      </c>
      <c r="C97" s="19" t="inlineStr">
        <is>
          <t>IAR sections added, deactivated and re-added</t>
        </is>
      </c>
      <c r="D97" s="19" t="inlineStr">
        <is>
          <t>Pass</t>
        </is>
      </c>
      <c r="E97" s="19" t="inlineStr">
        <is>
          <t>backend/test/product-configurator.test.js</t>
        </is>
      </c>
      <c r="F97" s="19" t="inlineStr">
        <is>
          <t>adds, updates, deactivates and re-adds IAR sections</t>
        </is>
      </c>
      <c r="G97" s="19" t="inlineStr"/>
      <c r="H97" s="19" t="inlineStr"/>
      <c r="I97" s="19" t="inlineStr">
        <is>
          <t>/product-configurator/risk-mapping</t>
        </is>
      </c>
      <c r="J97" s="19" t="inlineStr">
        <is>
          <t>opened clean</t>
        </is>
      </c>
    </row>
    <row r="98">
      <c r="A98" s="19" t="inlineStr">
        <is>
          <t>BV-PCF-008</t>
        </is>
      </c>
      <c r="B98" s="19" t="inlineStr">
        <is>
          <t>Product configurator</t>
        </is>
      </c>
      <c r="C98" s="19" t="inlineStr">
        <is>
          <t>CTPL tariff change in the configurator is used by quotations</t>
        </is>
      </c>
      <c r="D98" s="19" t="inlineStr">
        <is>
          <t>Pass</t>
        </is>
      </c>
      <c r="E98" s="19" t="inlineStr">
        <is>
          <t>backend/test/motor-tariff.test.js
backend/test/motor-tariff.test.js</t>
        </is>
      </c>
      <c r="F98" s="19" t="inlineStr">
        <is>
          <t>follows tariff changes made in the Product Configurator
offers a 3-year CTPL and a new vehicle class once they are configured</t>
        </is>
      </c>
      <c r="G98" s="19" t="inlineStr"/>
      <c r="H98" s="19" t="inlineStr"/>
      <c r="I98" s="19" t="inlineStr"/>
      <c r="J98" s="19" t="inlineStr"/>
    </row>
    <row r="99">
      <c r="A99" s="19" t="inlineStr">
        <is>
          <t>BV-PCF-009</t>
        </is>
      </c>
      <c r="B99" s="19" t="inlineStr">
        <is>
          <t>Product configurator</t>
        </is>
      </c>
      <c r="C99" s="19" t="inlineStr">
        <is>
          <t>Invalid tariff amounts, seats and duplicate class codes refused</t>
        </is>
      </c>
      <c r="D99" s="19" t="inlineStr">
        <is>
          <t>Pass</t>
        </is>
      </c>
      <c r="E99" s="19" t="inlineStr">
        <is>
          <t>backend/test/motor-tariff.test.js</t>
        </is>
      </c>
      <c r="F99" s="19" t="inlineStr">
        <is>
          <t>refuses invalid amounts, seats and duplicate class codes</t>
        </is>
      </c>
      <c r="G99" s="19" t="inlineStr"/>
      <c r="H99" s="19" t="inlineStr"/>
      <c r="I99" s="19" t="inlineStr"/>
      <c r="J99" s="19" t="inlineStr"/>
    </row>
    <row r="100">
      <c r="A100" s="19" t="inlineStr">
        <is>
          <t>BV-PCF-010</t>
        </is>
      </c>
      <c r="B100" s="19" t="inlineStr">
        <is>
          <t>Product configurator</t>
        </is>
      </c>
      <c r="C100" s="19" t="inlineStr">
        <is>
          <t>Product configurator dashboard and analytics</t>
        </is>
      </c>
      <c r="D100" s="19" t="inlineStr">
        <is>
          <t>Pass</t>
        </is>
      </c>
      <c r="E100" s="19" t="inlineStr">
        <is>
          <t>backend/test/product-configurator.test.js</t>
        </is>
      </c>
      <c r="F100" s="19" t="inlineStr">
        <is>
          <t>analytics and dashboard return the screen shapes</t>
        </is>
      </c>
      <c r="G100" s="19" t="inlineStr">
        <is>
          <t>Reports and dashboards</t>
        </is>
      </c>
      <c r="H100" s="19" t="inlineStr">
        <is>
          <t>58 passed, 0 failed</t>
        </is>
      </c>
      <c r="I100" s="19" t="inlineStr">
        <is>
          <t>/product-configurator/dashboard
/product-configurator/analytics</t>
        </is>
      </c>
      <c r="J100" s="19" t="inlineStr">
        <is>
          <t>opened clean
opened clean</t>
        </is>
      </c>
    </row>
    <row r="101">
      <c r="A101" s="19" t="inlineStr">
        <is>
          <t>BV-GOL-001</t>
        </is>
      </c>
      <c r="B101" s="19" t="inlineStr">
        <is>
          <t>Go-live data load</t>
        </is>
      </c>
      <c r="C101" s="19" t="inlineStr">
        <is>
          <t>Production install seeds reference data only</t>
        </is>
      </c>
      <c r="D101" s="19" t="inlineStr">
        <is>
          <t>Pass</t>
        </is>
      </c>
      <c r="E101" s="19" t="inlineStr">
        <is>
          <t>backend/test/go-live.test.js
backend/test/go-live.test.js
backend/test/go-live.test.js</t>
        </is>
      </c>
      <c r="F101" s="19" t="inlineStr">
        <is>
          <t>the API starts with NODE_ENV=production, seeds reference data only and answers the health check
the database holds reference data and the administrator, and no demo transactions
a second production seed is idempotent</t>
        </is>
      </c>
      <c r="G101" s="19" t="inlineStr"/>
      <c r="H101" s="19" t="inlineStr"/>
      <c r="I101" s="19" t="inlineStr"/>
      <c r="J101" s="19" t="inlineStr"/>
    </row>
    <row r="102">
      <c r="A102" s="19" t="inlineStr">
        <is>
          <t>BV-GOL-002</t>
        </is>
      </c>
      <c r="B102" s="19" t="inlineStr">
        <is>
          <t>Go-live data load</t>
        </is>
      </c>
      <c r="C102" s="19" t="inlineStr">
        <is>
          <t>Purge of demo data needs confirmation and is a dry run by default</t>
        </is>
      </c>
      <c r="D102" s="19" t="inlineStr">
        <is>
          <t>Pass</t>
        </is>
      </c>
      <c r="E102" s="19" t="inlineStr">
        <is>
          <t>backend/test/go-live.test.js
backend/test/go-live.test.js</t>
        </is>
      </c>
      <c r="F102" s="19" t="inlineStr">
        <is>
          <t>the purge command refuses to run without CONFIRM_PURGE=yes and is a dry run by default
the purge keeps only the users chosen with --keep-users and rolls back on error</t>
        </is>
      </c>
      <c r="G102" s="19" t="inlineStr"/>
      <c r="H102" s="19" t="inlineStr"/>
      <c r="I102" s="19" t="inlineStr"/>
      <c r="J102" s="19" t="inlineStr"/>
    </row>
    <row r="103">
      <c r="A103" s="19" t="inlineStr">
        <is>
          <t>BV-GOL-003</t>
        </is>
      </c>
      <c r="B103" s="19" t="inlineStr">
        <is>
          <t>Go-live data load</t>
        </is>
      </c>
      <c r="C103" s="19" t="inlineStr">
        <is>
          <t>Upload in-force policies of the old system in go-live mode</t>
        </is>
      </c>
      <c r="D103" s="19" t="inlineStr">
        <is>
          <t>Pass</t>
        </is>
      </c>
      <c r="E103" s="19" t="inlineStr">
        <is>
          <t>backend/test/upload-templates.test.js</t>
        </is>
      </c>
      <c r="F103" s="19" t="inlineStr">
        <is>
          <t>go-live policy upload creates in-force policies without bill, journal or commission; open items load against them once</t>
        </is>
      </c>
      <c r="G103" s="19" t="inlineStr">
        <is>
          <t>Go-live migration</t>
        </is>
      </c>
      <c r="H103" s="19" t="inlineStr">
        <is>
          <t>1 passed, 0 failed</t>
        </is>
      </c>
      <c r="I103" s="19" t="inlineStr"/>
      <c r="J103" s="19" t="inlineStr"/>
    </row>
    <row r="104">
      <c r="A104" s="19" t="inlineStr">
        <is>
          <t>BV-GOL-004</t>
        </is>
      </c>
      <c r="B104" s="19" t="inlineStr">
        <is>
          <t>Go-live data load</t>
        </is>
      </c>
      <c r="C104" s="19" t="inlineStr">
        <is>
          <t>Load open premium items against migrated policies and receipt them</t>
        </is>
      </c>
      <c r="D104" s="19" t="inlineStr">
        <is>
          <t>Pass</t>
        </is>
      </c>
      <c r="E104" s="19" t="inlineStr">
        <is>
          <t>backend/test/upload-templates.test.js
backend/test/upload-templates.test.js</t>
        </is>
      </c>
      <c r="F104" s="19" t="inlineStr">
        <is>
          <t>go-live policy upload creates in-force policies without bill, journal or commission; open items load against them once
a receipt against an open item credits the receivable without booking the bill again</t>
        </is>
      </c>
      <c r="G104" s="19" t="inlineStr"/>
      <c r="H104" s="19" t="inlineStr"/>
      <c r="I104" s="19" t="inlineStr"/>
      <c r="J104" s="19" t="inlineStr"/>
    </row>
    <row r="105">
      <c r="A105" s="19" t="inlineStr">
        <is>
          <t>BV-GOL-005</t>
        </is>
      </c>
      <c r="B105" s="19" t="inlineStr">
        <is>
          <t>Go-live data load</t>
        </is>
      </c>
      <c r="C105" s="19" t="inlineStr">
        <is>
          <t>Load a balanced opening trial balance</t>
        </is>
      </c>
      <c r="D105" s="19" t="inlineStr">
        <is>
          <t>Pass</t>
        </is>
      </c>
      <c r="E105" s="19" t="inlineStr">
        <is>
          <t>backend/test/upload-templates.test.js
backend/test/upload-templates.test.js
backend/test/upload-templates.test.js</t>
        </is>
      </c>
      <c r="F105" s="19" t="inlineStr">
        <is>
          <t>refuses an unbalanced or invalid trial balance and loads nothing
loads a balanced trial balance into the fiscal year of the go-live date; the same date replaces it, another date is refused
refuses a go-live date after journals already posted in its fiscal year</t>
        </is>
      </c>
      <c r="G105" s="19" t="inlineStr"/>
      <c r="H105" s="19" t="inlineStr"/>
      <c r="I105" s="19" t="inlineStr"/>
      <c r="J105" s="19" t="inlineStr"/>
    </row>
    <row r="106">
      <c r="A106" s="19" t="inlineStr">
        <is>
          <t>BV-GOL-006</t>
        </is>
      </c>
      <c r="B106" s="19" t="inlineStr">
        <is>
          <t>Go-live data load</t>
        </is>
      </c>
      <c r="C106" s="19" t="inlineStr">
        <is>
          <t>Upload templates match the importers</t>
        </is>
      </c>
      <c r="D106" s="19" t="inlineStr">
        <is>
          <t>Pass</t>
        </is>
      </c>
      <c r="E106" s="19" t="inlineStr">
        <is>
          <t>backend/test/upload-templates.test.js
backend/test/upload-templates.test.js</t>
        </is>
      </c>
      <c r="F106" s="19" t="inlineStr">
        <is>
          <t>builds one workbook per upload, Data sheet first, with the importer headers and no duplicate header
every sample value is read back by the importer's own parser and column list</t>
        </is>
      </c>
      <c r="G106" s="19" t="inlineStr"/>
      <c r="H106" s="19" t="inlineStr"/>
      <c r="I106" s="19" t="inlineStr"/>
      <c r="J106" s="19" t="inlineStr"/>
    </row>
    <row r="107">
      <c r="A107" s="19" t="inlineStr">
        <is>
          <t>BV-GOL-007</t>
        </is>
      </c>
      <c r="B107" s="19" t="inlineStr">
        <is>
          <t>Go-live data load</t>
        </is>
      </c>
      <c r="C107" s="19" t="inlineStr">
        <is>
          <t>Workbook decompression and row limits</t>
        </is>
      </c>
      <c r="D107" s="19" t="inlineStr">
        <is>
          <t>Pass</t>
        </is>
      </c>
      <c r="E107" s="19" t="inlineStr">
        <is>
          <t>backend/test/hardening.test.js</t>
        </is>
      </c>
      <c r="F107" s="19" t="inlineStr">
        <is>
          <t>caps workbook decompression and import rows</t>
        </is>
      </c>
      <c r="G107" s="19" t="inlineStr"/>
      <c r="H107" s="19" t="inlineStr"/>
      <c r="I107" s="19" t="inlineStr"/>
      <c r="J107" s="19" t="inlineStr"/>
    </row>
    <row r="108">
      <c r="A108" s="19" t="inlineStr">
        <is>
          <t>BV-GOL-008</t>
        </is>
      </c>
      <c r="B108" s="19" t="inlineStr">
        <is>
          <t>Go-live data load</t>
        </is>
      </c>
      <c r="C108" s="19" t="inlineStr">
        <is>
          <t>Year-end close carries the go-live opening balances</t>
        </is>
      </c>
      <c r="D108" s="19" t="inlineStr">
        <is>
          <t>Pass</t>
        </is>
      </c>
      <c r="E108" s="19" t="inlineStr">
        <is>
          <t>backend/test/upload-templates.test.js</t>
        </is>
      </c>
      <c r="F108" s="19" t="inlineStr">
        <is>
          <t>the year-end close carries the go-live opening balances forward with the year's journals</t>
        </is>
      </c>
      <c r="G108" s="19" t="inlineStr"/>
      <c r="H108" s="19" t="inlineStr"/>
      <c r="I108" s="19" t="inlineStr"/>
      <c r="J108" s="19" t="inlineStr"/>
    </row>
    <row r="109">
      <c r="A109" s="19" t="inlineStr">
        <is>
          <t>BV-PRS-001</t>
        </is>
      </c>
      <c r="B109" s="19" t="inlineStr">
        <is>
          <t>Prospects and clients</t>
        </is>
      </c>
      <c r="C109" s="19" t="inlineStr">
        <is>
          <t>Create a retail motor prospect</t>
        </is>
      </c>
      <c r="D109" s="19" t="inlineStr">
        <is>
          <t>Pass</t>
        </is>
      </c>
      <c r="E109" s="19" t="inlineStr">
        <is>
          <t>backend/test/leads.test.js
backend/test/dashboard.test.js</t>
        </is>
      </c>
      <c r="F109" s="19" t="inlineStr">
        <is>
          <t>creates a lead and returns it at the top level and in data
sales funnel, processing workbench and claims summary</t>
        </is>
      </c>
      <c r="G109" s="19" t="inlineStr">
        <is>
          <t>Retail package business</t>
        </is>
      </c>
      <c r="H109" s="19" t="inlineStr">
        <is>
          <t>84 passed, 0 failed</t>
        </is>
      </c>
      <c r="I109" s="19" t="inlineStr">
        <is>
          <t>/agent/leadlisting</t>
        </is>
      </c>
      <c r="J109" s="19" t="inlineStr">
        <is>
          <t>opened clean</t>
        </is>
      </c>
    </row>
    <row r="110">
      <c r="A110" s="19" t="inlineStr">
        <is>
          <t>BV-PRS-002</t>
        </is>
      </c>
      <c r="B110" s="19" t="inlineStr">
        <is>
          <t>Prospects and clients</t>
        </is>
      </c>
      <c r="C110" s="19" t="inlineStr">
        <is>
          <t>Prospect validation: e-mail, mobile and required fields</t>
        </is>
      </c>
      <c r="D110" s="19" t="inlineStr">
        <is>
          <t>Pass</t>
        </is>
      </c>
      <c r="E110" s="19" t="inlineStr">
        <is>
          <t>backend/test/leads.test.js
brokerverse/src/services/__tests__/leadService.test.js</t>
        </is>
      </c>
      <c r="F110" s="19" t="inlineStr">
        <is>
          <t>validates input
createLead should handle API errors</t>
        </is>
      </c>
      <c r="G110" s="19" t="inlineStr"/>
      <c r="H110" s="19" t="inlineStr"/>
      <c r="I110" s="19" t="inlineStr"/>
      <c r="J110" s="19" t="inlineStr"/>
    </row>
    <row r="111">
      <c r="A111" s="19" t="inlineStr">
        <is>
          <t>BV-PRS-003</t>
        </is>
      </c>
      <c r="B111" s="19" t="inlineStr">
        <is>
          <t>Prospects and clients</t>
        </is>
      </c>
      <c r="C111" s="19" t="inlineStr">
        <is>
          <t>Date of birth outside the configured age range refused</t>
        </is>
      </c>
      <c r="D111" s="19" t="inlineStr">
        <is>
          <t>Pass</t>
        </is>
      </c>
      <c r="E111" s="19" t="inlineStr">
        <is>
          <t>backend/test/leads.test.js
backend/test/clients.test.js</t>
        </is>
      </c>
      <c r="F111" s="19" t="inlineStr">
        <is>
          <t>checks the date of birth against the configured age range
refuses an implausible date of birth</t>
        </is>
      </c>
      <c r="G111" s="19" t="inlineStr"/>
      <c r="H111" s="19" t="inlineStr"/>
      <c r="I111" s="19" t="inlineStr"/>
      <c r="J111" s="19" t="inlineStr"/>
    </row>
    <row r="112">
      <c r="A112" s="19" t="inlineStr">
        <is>
          <t>BV-PRS-004</t>
        </is>
      </c>
      <c r="B112" s="19" t="inlineStr">
        <is>
          <t>Prospects and clients</t>
        </is>
      </c>
      <c r="C112" s="19" t="inlineStr">
        <is>
          <t>Search, filter and page the prospect list</t>
        </is>
      </c>
      <c r="D112" s="19" t="inlineStr">
        <is>
          <t>Pass</t>
        </is>
      </c>
      <c r="E112" s="19" t="inlineStr">
        <is>
          <t>backend/test/leads.test.js</t>
        </is>
      </c>
      <c r="F112" s="19" t="inlineStr">
        <is>
          <t>lists with paging, filters and search</t>
        </is>
      </c>
      <c r="G112" s="19" t="inlineStr"/>
      <c r="H112" s="19" t="inlineStr"/>
      <c r="I112" s="19" t="inlineStr"/>
      <c r="J112" s="19" t="inlineStr"/>
    </row>
    <row r="113">
      <c r="A113" s="19" t="inlineStr">
        <is>
          <t>BV-PRS-005</t>
        </is>
      </c>
      <c r="B113" s="19" t="inlineStr">
        <is>
          <t>Prospects and clients</t>
        </is>
      </c>
      <c r="C113" s="19" t="inlineStr">
        <is>
          <t>Bulk upload prospects from CSV and XLSX</t>
        </is>
      </c>
      <c r="D113" s="19" t="inlineStr">
        <is>
          <t>Pass</t>
        </is>
      </c>
      <c r="E113" s="19" t="inlineStr">
        <is>
          <t>backend/test/leads.test.js</t>
        </is>
      </c>
      <c r="F113" s="19" t="inlineStr">
        <is>
          <t>bulk uploads CSV and XLSX files</t>
        </is>
      </c>
      <c r="G113" s="19" t="inlineStr"/>
      <c r="H113" s="19" t="inlineStr"/>
      <c r="I113" s="19" t="inlineStr"/>
      <c r="J113" s="19" t="inlineStr"/>
    </row>
    <row r="114">
      <c r="A114" s="19" t="inlineStr">
        <is>
          <t>BV-PRS-006</t>
        </is>
      </c>
      <c r="B114" s="19" t="inlineStr">
        <is>
          <t>Prospects and clients</t>
        </is>
      </c>
      <c r="C114" s="19" t="inlineStr">
        <is>
          <t>Download the prospect report</t>
        </is>
      </c>
      <c r="D114" s="19" t="inlineStr">
        <is>
          <t>Pass</t>
        </is>
      </c>
      <c r="E114" s="19" t="inlineStr">
        <is>
          <t>backend/test/leads.test.js</t>
        </is>
      </c>
      <c r="F114" s="19" t="inlineStr">
        <is>
          <t>downloads the report as XLSX and CSV</t>
        </is>
      </c>
      <c r="G114" s="19" t="inlineStr"/>
      <c r="H114" s="19" t="inlineStr"/>
      <c r="I114" s="19" t="inlineStr"/>
      <c r="J114" s="19" t="inlineStr"/>
    </row>
    <row r="115">
      <c r="A115" s="19" t="inlineStr">
        <is>
          <t>BV-PRS-007</t>
        </is>
      </c>
      <c r="B115" s="19" t="inlineStr">
        <is>
          <t>Prospects and clients</t>
        </is>
      </c>
      <c r="C115" s="19" t="inlineStr">
        <is>
          <t>A prospect with an issued policy cannot be deleted</t>
        </is>
      </c>
      <c r="D115" s="19" t="inlineStr">
        <is>
          <t>Pass</t>
        </is>
      </c>
      <c r="E115" s="19" t="inlineStr">
        <is>
          <t>backend/test/leads.test.js</t>
        </is>
      </c>
      <c r="F115" s="19" t="inlineStr">
        <is>
          <t>soft-deletes a lead, but not one with an issued policy</t>
        </is>
      </c>
      <c r="G115" s="19" t="inlineStr"/>
      <c r="H115" s="19" t="inlineStr"/>
      <c r="I115" s="19" t="inlineStr"/>
      <c r="J115" s="19" t="inlineStr"/>
    </row>
    <row r="116">
      <c r="A116" s="19" t="inlineStr">
        <is>
          <t>BV-PRS-008</t>
        </is>
      </c>
      <c r="B116" s="19" t="inlineStr">
        <is>
          <t>Prospects and clients</t>
        </is>
      </c>
      <c r="C116" s="19" t="inlineStr">
        <is>
          <t>Claims officer does not list prospects</t>
        </is>
      </c>
      <c r="D116" s="19" t="inlineStr">
        <is>
          <t>Pass</t>
        </is>
      </c>
      <c r="E116" s="19" t="inlineStr">
        <is>
          <t>backend/test/hardening.test.js
backend/test/leads.test.js</t>
        </is>
      </c>
      <c r="F116" s="19" t="inlineStr">
        <is>
          <t>claims officers do not list leads; sales and operations do not read the receipt register
enforces permissions</t>
        </is>
      </c>
      <c r="G116" s="19" t="inlineStr"/>
      <c r="H116" s="19" t="inlineStr"/>
      <c r="I116" s="19" t="inlineStr"/>
      <c r="J116" s="19" t="inlineStr"/>
    </row>
    <row r="117">
      <c r="A117" s="19" t="inlineStr">
        <is>
          <t>BV-PRS-009</t>
        </is>
      </c>
      <c r="B117" s="19" t="inlineStr">
        <is>
          <t>Prospects and clients</t>
        </is>
      </c>
      <c r="C117" s="19" t="inlineStr">
        <is>
          <t>Find a client and see policies and open bills</t>
        </is>
      </c>
      <c r="D117" s="19" t="inlineStr">
        <is>
          <t>Pass</t>
        </is>
      </c>
      <c r="E117" s="19" t="inlineStr">
        <is>
          <t>backend/test/clients.test.js
backend/test/clients.test.js</t>
        </is>
      </c>
      <c r="F117" s="19" t="inlineStr">
        <is>
          <t>lists clients in the { data: { clients, pagination } } shape
returns a client with its policies (by id or code)</t>
        </is>
      </c>
      <c r="G117" s="19" t="inlineStr">
        <is>
          <t>Retail package business</t>
        </is>
      </c>
      <c r="H117" s="19" t="inlineStr">
        <is>
          <t>84 passed, 0 failed</t>
        </is>
      </c>
      <c r="I117" s="19" t="inlineStr">
        <is>
          <t>/agent/clientlisting</t>
        </is>
      </c>
      <c r="J117" s="19" t="inlineStr">
        <is>
          <t>opened clean</t>
        </is>
      </c>
    </row>
    <row r="118">
      <c r="A118" s="19" t="inlineStr">
        <is>
          <t>BV-PRS-010</t>
        </is>
      </c>
      <c r="B118" s="19" t="inlineStr">
        <is>
          <t>Prospects and clients</t>
        </is>
      </c>
      <c r="C118" s="19" t="inlineStr">
        <is>
          <t>Create and update a client</t>
        </is>
      </c>
      <c r="D118" s="19" t="inlineStr">
        <is>
          <t>Pass</t>
        </is>
      </c>
      <c r="E118" s="19" t="inlineStr">
        <is>
          <t>backend/test/clients.test.js</t>
        </is>
      </c>
      <c r="F118" s="19" t="inlineStr">
        <is>
          <t>creates and updates a client</t>
        </is>
      </c>
      <c r="G118" s="19" t="inlineStr"/>
      <c r="H118" s="19" t="inlineStr"/>
      <c r="I118" s="19" t="inlineStr"/>
      <c r="J118" s="19" t="inlineStr"/>
    </row>
    <row r="119">
      <c r="A119" s="19" t="inlineStr">
        <is>
          <t>BV-PRS-011</t>
        </is>
      </c>
      <c r="B119" s="19" t="inlineStr">
        <is>
          <t>Prospects and clients</t>
        </is>
      </c>
      <c r="C119" s="19" t="inlineStr">
        <is>
          <t>A prospect converts to one client only</t>
        </is>
      </c>
      <c r="D119" s="19" t="inlineStr">
        <is>
          <t>Pass</t>
        </is>
      </c>
      <c r="E119" s="19" t="inlineStr">
        <is>
          <t>backend/test/clients.test.js
backend/test/leads.test.js</t>
        </is>
      </c>
      <c r="F119" s="19" t="inlineStr">
        <is>
          <t>converts a lead into a client once
links the prospect to the client and converts without a second client</t>
        </is>
      </c>
      <c r="G119" s="19" t="inlineStr"/>
      <c r="H119" s="19" t="inlineStr"/>
      <c r="I119" s="19" t="inlineStr"/>
      <c r="J119" s="19" t="inlineStr"/>
    </row>
    <row r="120">
      <c r="A120" s="19" t="inlineStr">
        <is>
          <t>BV-PRS-012</t>
        </is>
      </c>
      <c r="B120" s="19" t="inlineStr">
        <is>
          <t>Prospects and clients</t>
        </is>
      </c>
      <c r="C120" s="19" t="inlineStr">
        <is>
          <t>Global search returns typed results with links</t>
        </is>
      </c>
      <c r="D120" s="19" t="inlineStr">
        <is>
          <t>Pass</t>
        </is>
      </c>
      <c r="E120" s="19" t="inlineStr">
        <is>
          <t>backend/test/scope.test.js</t>
        </is>
      </c>
      <c r="F120" s="19" t="inlineStr">
        <is>
          <t>global search returns typed results with front-end links and respects scoping</t>
        </is>
      </c>
      <c r="G120" s="19" t="inlineStr"/>
      <c r="H120" s="19" t="inlineStr"/>
      <c r="I120" s="19" t="inlineStr"/>
      <c r="J120" s="19" t="inlineStr"/>
    </row>
    <row r="121">
      <c r="A121" s="19" t="inlineStr">
        <is>
          <t>BV-QQT-001</t>
        </is>
      </c>
      <c r="B121" s="19" t="inlineStr">
        <is>
          <t>Quick quote and compare insurers</t>
        </is>
      </c>
      <c r="C121" s="19" t="inlineStr">
        <is>
          <t>Motor quick quote from the tariff with CTPL and APPA</t>
        </is>
      </c>
      <c r="D121" s="19" t="inlineStr">
        <is>
          <t>Pass</t>
        </is>
      </c>
      <c r="E121" s="19" t="inlineStr">
        <is>
          <t>backend/test/motor-tariff.test.js
backend/test/motor-tariff.test.js</t>
        </is>
      </c>
      <c r="F121" s="19" t="inlineStr">
        <is>
          <t>prices CTPL at the tariff of the vehicle class, whatever amount the browser sends
prices Auto Passenger PA as limit per person x seats x rate and counts the cover in the sum insured</t>
        </is>
      </c>
      <c r="G121" s="19" t="inlineStr">
        <is>
          <t>Retail package business</t>
        </is>
      </c>
      <c r="H121" s="19" t="inlineStr">
        <is>
          <t>84 passed, 0 failed</t>
        </is>
      </c>
      <c r="I121" s="19" t="inlineStr">
        <is>
          <t>/sales/quick-quote</t>
        </is>
      </c>
      <c r="J121" s="19" t="inlineStr">
        <is>
          <t>opened clean</t>
        </is>
      </c>
    </row>
    <row r="122">
      <c r="A122" s="19" t="inlineStr">
        <is>
          <t>BV-QQT-002</t>
        </is>
      </c>
      <c r="B122" s="19" t="inlineStr">
        <is>
          <t>Quick quote and compare insurers</t>
        </is>
      </c>
      <c r="C122" s="19" t="inlineStr">
        <is>
          <t>CTPL premium ignores any amount sent by the browser</t>
        </is>
      </c>
      <c r="D122" s="19" t="inlineStr">
        <is>
          <t>Pass</t>
        </is>
      </c>
      <c r="E122" s="19" t="inlineStr">
        <is>
          <t>backend/test/motor-tariff.test.js</t>
        </is>
      </c>
      <c r="F122" s="19" t="inlineStr">
        <is>
          <t>prices CTPL at the tariff of the vehicle class, whatever amount the browser sends</t>
        </is>
      </c>
      <c r="G122" s="19" t="inlineStr"/>
      <c r="H122" s="19" t="inlineStr"/>
      <c r="I122" s="19" t="inlineStr"/>
      <c r="J122" s="19" t="inlineStr"/>
    </row>
    <row r="123">
      <c r="A123" s="19" t="inlineStr">
        <is>
          <t>BV-QQT-003</t>
        </is>
      </c>
      <c r="B123" s="19" t="inlineStr">
        <is>
          <t>Quick quote and compare insurers</t>
        </is>
      </c>
      <c r="C123" s="19" t="inlineStr">
        <is>
          <t>3-year CTPL for a brand-new private car only</t>
        </is>
      </c>
      <c r="D123" s="19" t="inlineStr">
        <is>
          <t>Pass</t>
        </is>
      </c>
      <c r="E123" s="19" t="inlineStr">
        <is>
          <t>backend/test/motor-tariff.test.js</t>
        </is>
      </c>
      <c r="F123" s="19" t="inlineStr">
        <is>
          <t>prices the 3-year CTPL for a brand-new private car and refuses it where the tariff has none</t>
        </is>
      </c>
      <c r="G123" s="19" t="inlineStr"/>
      <c r="H123" s="19" t="inlineStr"/>
      <c r="I123" s="19" t="inlineStr"/>
      <c r="J123" s="19" t="inlineStr"/>
    </row>
    <row r="124">
      <c r="A124" s="19" t="inlineStr">
        <is>
          <t>BV-QQT-004</t>
        </is>
      </c>
      <c r="B124" s="19" t="inlineStr">
        <is>
          <t>Quick quote and compare insurers</t>
        </is>
      </c>
      <c r="C124" s="19" t="inlineStr">
        <is>
          <t>CTPL without a vehicle class and APPA outside the tariff refused</t>
        </is>
      </c>
      <c r="D124" s="19" t="inlineStr">
        <is>
          <t>Pass</t>
        </is>
      </c>
      <c r="E124" s="19" t="inlineStr">
        <is>
          <t>backend/test/motor-tariff.test.js
backend/test/motor-tariff.test.js</t>
        </is>
      </c>
      <c r="F124" s="19" t="inlineStr">
        <is>
          <t>leaves CTPL out when it is not included and refuses CTPL without a vehicle class
refuses an APPA limit outside the tariff</t>
        </is>
      </c>
      <c r="G124" s="19" t="inlineStr"/>
      <c r="H124" s="19" t="inlineStr"/>
      <c r="I124" s="19" t="inlineStr"/>
      <c r="J124" s="19" t="inlineStr"/>
    </row>
    <row r="125">
      <c r="A125" s="19" t="inlineStr">
        <is>
          <t>BV-QQT-005</t>
        </is>
      </c>
      <c r="B125" s="19" t="inlineStr">
        <is>
          <t>Quick quote and compare insurers</t>
        </is>
      </c>
      <c r="C125" s="19" t="inlineStr">
        <is>
          <t>Discount never reduces the CTPL tariff premium</t>
        </is>
      </c>
      <c r="D125" s="19" t="inlineStr">
        <is>
          <t>Pass</t>
        </is>
      </c>
      <c r="E125" s="19" t="inlineStr">
        <is>
          <t>backend/test/uat-disconnects.test.js</t>
        </is>
      </c>
      <c r="F125" s="19" t="inlineStr">
        <is>
          <t>a discount never reduces the CTPL tariff premium</t>
        </is>
      </c>
      <c r="G125" s="19" t="inlineStr"/>
      <c r="H125" s="19" t="inlineStr"/>
      <c r="I125" s="19" t="inlineStr"/>
      <c r="J125" s="19" t="inlineStr"/>
    </row>
    <row r="126">
      <c r="A126" s="19" t="inlineStr">
        <is>
          <t>BV-QQT-006</t>
        </is>
      </c>
      <c r="B126" s="19" t="inlineStr">
        <is>
          <t>Quick quote and compare insurers</t>
        </is>
      </c>
      <c r="C126" s="19" t="inlineStr">
        <is>
          <t>Quick quote and saved quotation give the same premium</t>
        </is>
      </c>
      <c r="D126" s="19" t="inlineStr">
        <is>
          <t>Pass</t>
        </is>
      </c>
      <c r="E126" s="19" t="inlineStr">
        <is>
          <t>backend/test/motor-tariff.test.js</t>
        </is>
      </c>
      <c r="F126" s="19" t="inlineStr">
        <is>
          <t>stores the server-priced CTPL and Auto Passenger PA in the quotation</t>
        </is>
      </c>
      <c r="G126" s="19" t="inlineStr">
        <is>
          <t>Retail package business</t>
        </is>
      </c>
      <c r="H126" s="19" t="inlineStr">
        <is>
          <t>84 passed, 0 failed</t>
        </is>
      </c>
      <c r="I126" s="19" t="inlineStr"/>
      <c r="J126" s="19" t="inlineStr"/>
    </row>
    <row r="127">
      <c r="A127" s="19" t="inlineStr">
        <is>
          <t>BV-QQT-007</t>
        </is>
      </c>
      <c r="B127" s="19" t="inlineStr">
        <is>
          <t>Quick quote and compare insurers</t>
        </is>
      </c>
      <c r="C127" s="19" t="inlineStr">
        <is>
          <t>Compare insurers of a product side by side</t>
        </is>
      </c>
      <c r="D127" s="19" t="inlineStr">
        <is>
          <t>Pass</t>
        </is>
      </c>
      <c r="E127" s="19" t="inlineStr">
        <is>
          <t>backend/test/packages.test.js
backend/test/packages.test.js</t>
        </is>
      </c>
      <c r="F127" s="19" t="inlineStr">
        <is>
          <t>compares the insurers of a product side by side, cheapest total first
prints the comparison for the client and proceeds to a quotation priced with the engine</t>
        </is>
      </c>
      <c r="G127" s="19" t="inlineStr"/>
      <c r="H127" s="19" t="inlineStr"/>
      <c r="I127" s="19" t="inlineStr">
        <is>
          <t>/sales/compare-insurers</t>
        </is>
      </c>
      <c r="J127" s="19" t="inlineStr">
        <is>
          <t>opened clean</t>
        </is>
      </c>
    </row>
    <row r="128">
      <c r="A128" s="19" t="inlineStr">
        <is>
          <t>BV-QQT-008</t>
        </is>
      </c>
      <c r="B128" s="19" t="inlineStr">
        <is>
          <t>Quick quote and compare insurers</t>
        </is>
      </c>
      <c r="C128" s="19" t="inlineStr">
        <is>
          <t>Processing maintains insurer rate tables; Sales reads them</t>
        </is>
      </c>
      <c r="D128" s="19" t="inlineStr">
        <is>
          <t>Pass</t>
        </is>
      </c>
      <c r="E128" s="19" t="inlineStr">
        <is>
          <t>backend/test/packages.test.js
backend/test/packages.test.js</t>
        </is>
      </c>
      <c r="F128" s="19" t="inlineStr">
        <is>
          <t>lets the Processing Team maintain rate tables; Sales reads them
prices percent, per mille and flat rates with the minimum premium</t>
        </is>
      </c>
      <c r="G128" s="19" t="inlineStr"/>
      <c r="H128" s="19" t="inlineStr"/>
      <c r="I128" s="19" t="inlineStr">
        <is>
          <t>/master/finance/insurer-rate-tables</t>
        </is>
      </c>
      <c r="J128" s="19" t="inlineStr">
        <is>
          <t>opened clean</t>
        </is>
      </c>
    </row>
    <row r="129">
      <c r="A129" s="19" t="inlineStr">
        <is>
          <t>BV-QQT-009</t>
        </is>
      </c>
      <c r="B129" s="19" t="inlineStr">
        <is>
          <t>Quick quote and compare insurers</t>
        </is>
      </c>
      <c r="C129" s="19" t="inlineStr">
        <is>
          <t>Bundle product priced per section and insurer</t>
        </is>
      </c>
      <c r="D129" s="19" t="inlineStr">
        <is>
          <t>Pass</t>
        </is>
      </c>
      <c r="E129" s="19" t="inlineStr">
        <is>
          <t>backend/test/packages.test.js
backend/test/packages.test.js
backend/test/packages.test.js</t>
        </is>
      </c>
      <c r="F129" s="19" t="inlineStr">
        <is>
          <t>maintains bundle products (Processing Team)
prices a bundle per section: insurer rate, discount spread, taxes per section
groups sections per insurer with the largest gross as lead and shares totalling 100</t>
        </is>
      </c>
      <c r="G129" s="19" t="inlineStr"/>
      <c r="H129" s="19" t="inlineStr"/>
      <c r="I129" s="19" t="inlineStr">
        <is>
          <t>/master/finance/package-bundles</t>
        </is>
      </c>
      <c r="J129" s="19" t="inlineStr">
        <is>
          <t>opened clean</t>
        </is>
      </c>
    </row>
    <row r="130">
      <c r="A130" s="19" t="inlineStr">
        <is>
          <t>BV-QUO-001</t>
        </is>
      </c>
      <c r="B130" s="19" t="inlineStr">
        <is>
          <t>Quotations and customer response</t>
        </is>
      </c>
      <c r="C130" s="19" t="inlineStr">
        <is>
          <t>Create a motor quotation from a prospect</t>
        </is>
      </c>
      <c r="D130" s="19" t="inlineStr">
        <is>
          <t>Pass</t>
        </is>
      </c>
      <c r="E130" s="19" t="inlineStr">
        <is>
          <t>backend/test/quotations.test.js</t>
        </is>
      </c>
      <c r="F130" s="19" t="inlineStr">
        <is>
          <t>creates a quotation with a server-side premium breakdown from settings</t>
        </is>
      </c>
      <c r="G130" s="19" t="inlineStr">
        <is>
          <t>Retail package business</t>
        </is>
      </c>
      <c r="H130" s="19" t="inlineStr">
        <is>
          <t>84 passed, 0 failed</t>
        </is>
      </c>
      <c r="I130" s="19" t="inlineStr">
        <is>
          <t>/agent/Quotation</t>
        </is>
      </c>
      <c r="J130" s="19" t="inlineStr">
        <is>
          <t>opened clean</t>
        </is>
      </c>
    </row>
    <row r="131">
      <c r="A131" s="19" t="inlineStr">
        <is>
          <t>BV-QUO-002</t>
        </is>
      </c>
      <c r="B131" s="19" t="inlineStr">
        <is>
          <t>Quotations and customer response</t>
        </is>
      </c>
      <c r="C131" s="19" t="inlineStr">
        <is>
          <t>Quotation without a prospect refused</t>
        </is>
      </c>
      <c r="D131" s="19" t="inlineStr">
        <is>
          <t>Pass</t>
        </is>
      </c>
      <c r="E131" s="19" t="inlineStr">
        <is>
          <t>backend/test/quotations.test.js
backend/test/request-for-quotation.test.js</t>
        </is>
      </c>
      <c r="F131" s="19" t="inlineStr">
        <is>
          <t>rejects a quotation without a lead and blocks personas without the permission
needs a lead, a client or a prospect with a name, and saves nothing on failure</t>
        </is>
      </c>
      <c r="G131" s="19" t="inlineStr"/>
      <c r="H131" s="19" t="inlineStr"/>
      <c r="I131" s="19" t="inlineStr"/>
      <c r="J131" s="19" t="inlineStr"/>
    </row>
    <row r="132">
      <c r="A132" s="19" t="inlineStr">
        <is>
          <t>BV-QUO-003</t>
        </is>
      </c>
      <c r="B132" s="19" t="inlineStr">
        <is>
          <t>Quotations and customer response</t>
        </is>
      </c>
      <c r="C132" s="19" t="inlineStr">
        <is>
          <t>Motor sum insured and rate checks on the coverage card</t>
        </is>
      </c>
      <c r="D132" s="19" t="inlineStr">
        <is>
          <t>Pass</t>
        </is>
      </c>
      <c r="E132" s="19" t="inlineStr">
        <is>
          <t>brokerverse/src/agentModule/quoteModule/coverageDetails/coverageDetailsCard/coverageInputErrors.test.js
brokerverse/src/agentModule/quoteModule/coverageDetails/coverageDetailsCard/coverageInputErrors.test.js
brokerverse/src/agentModule/quoteModule/coverageDetails/coverageDetailsCard/coverageInputErrors.test.js</t>
        </is>
      </c>
      <c r="F132" s="19" t="inlineStr">
        <is>
          <t>rejects an empty, zero or negative sum insured
accepts a positive sum insured and rates from 0 to 100
checks the rates of the covers that are included only</t>
        </is>
      </c>
      <c r="G132" s="19" t="inlineStr"/>
      <c r="H132" s="19" t="inlineStr"/>
      <c r="I132" s="19" t="inlineStr"/>
      <c r="J132" s="19" t="inlineStr"/>
    </row>
    <row r="133">
      <c r="A133" s="19" t="inlineStr">
        <is>
          <t>BV-QUO-004</t>
        </is>
      </c>
      <c r="B133" s="19" t="inlineStr">
        <is>
          <t>Quotations and customer response</t>
        </is>
      </c>
      <c r="C133" s="19" t="inlineStr">
        <is>
          <t>Edit a quotation; premium recalculates</t>
        </is>
      </c>
      <c r="D133" s="19" t="inlineStr">
        <is>
          <t>Pass</t>
        </is>
      </c>
      <c r="E133" s="19" t="inlineStr">
        <is>
          <t>backend/test/quotations.test.js</t>
        </is>
      </c>
      <c r="F133" s="19" t="inlineStr">
        <is>
          <t>reads back, lists, searches and updates (premium recalculated)</t>
        </is>
      </c>
      <c r="G133" s="19" t="inlineStr"/>
      <c r="H133" s="19" t="inlineStr"/>
      <c r="I133" s="19" t="inlineStr"/>
      <c r="J133" s="19" t="inlineStr"/>
    </row>
    <row r="134">
      <c r="A134" s="19" t="inlineStr">
        <is>
          <t>BV-QUO-005</t>
        </is>
      </c>
      <c r="B134" s="19" t="inlineStr">
        <is>
          <t>Quotations and customer response</t>
        </is>
      </c>
      <c r="C134" s="19" t="inlineStr">
        <is>
          <t>Quotation PDF prints the breakdown and signatory</t>
        </is>
      </c>
      <c r="D134" s="19" t="inlineStr">
        <is>
          <t>Pass</t>
        </is>
      </c>
      <c r="E134" s="19" t="inlineStr">
        <is>
          <t>backend/test/printing.test.js
backend/test/quote-to-policy.test.js
backend/test/quotations.test.js</t>
        </is>
      </c>
      <c r="F134" s="19" t="inlineStr">
        <is>
          <t>motor quotation with CTPL: net + taxes + CTPL = gross
the quotation names its insured from the client
stats, compare, vehicle info, quote PDF and customer e-mail</t>
        </is>
      </c>
      <c r="G134" s="19" t="inlineStr"/>
      <c r="H134" s="19" t="inlineStr"/>
      <c r="I134" s="19" t="inlineStr"/>
      <c r="J134" s="19" t="inlineStr"/>
    </row>
    <row r="135">
      <c r="A135" s="19" t="inlineStr">
        <is>
          <t>BV-QUO-006</t>
        </is>
      </c>
      <c r="B135" s="19" t="inlineStr">
        <is>
          <t>Quotations and customer response</t>
        </is>
      </c>
      <c r="C135" s="19" t="inlineStr">
        <is>
          <t>Send for customer approval when e-mail is off</t>
        </is>
      </c>
      <c r="D135" s="19" t="inlineStr">
        <is>
          <t>Pass</t>
        </is>
      </c>
      <c r="E135" s="19" t="inlineStr">
        <is>
          <t>backend/test/customer-response.test.js
backend/test/customer-response.test.js</t>
        </is>
      </c>
      <c r="F135" s="19" t="inlineStr">
        <is>
          <t>moves to PendingCustomer and says plainly that e-mail is not configured
returns the current link again, so the e-mailed one keeps working</t>
        </is>
      </c>
      <c r="G135" s="19" t="inlineStr">
        <is>
          <t>Retail package business</t>
        </is>
      </c>
      <c r="H135" s="19" t="inlineStr">
        <is>
          <t>84 passed, 0 failed</t>
        </is>
      </c>
      <c r="I135" s="19" t="inlineStr"/>
      <c r="J135" s="19" t="inlineStr"/>
    </row>
    <row r="136">
      <c r="A136" s="19" t="inlineStr">
        <is>
          <t>BV-QUO-007</t>
        </is>
      </c>
      <c r="B136" s="19" t="inlineStr">
        <is>
          <t>Quotations and customer response</t>
        </is>
      </c>
      <c r="C136" s="19" t="inlineStr">
        <is>
          <t>Record customer response: accepted with evidence</t>
        </is>
      </c>
      <c r="D136" s="19" t="inlineStr">
        <is>
          <t>Pass</t>
        </is>
      </c>
      <c r="E136" s="19" t="inlineStr">
        <is>
          <t>backend/test/customer-response.test.js</t>
        </is>
      </c>
      <c r="F136" s="19" t="inlineStr">
        <is>
          <t>accepted: CustomerAccepted with the evidence stored, audited and listed</t>
        </is>
      </c>
      <c r="G136" s="19" t="inlineStr">
        <is>
          <t>Retail package business</t>
        </is>
      </c>
      <c r="H136" s="19" t="inlineStr">
        <is>
          <t>84 passed, 0 failed</t>
        </is>
      </c>
      <c r="I136" s="19" t="inlineStr"/>
      <c r="J136" s="19" t="inlineStr"/>
    </row>
    <row r="137">
      <c r="A137" s="19" t="inlineStr">
        <is>
          <t>BV-QUO-008</t>
        </is>
      </c>
      <c r="B137" s="19" t="inlineStr">
        <is>
          <t>Quotations and customer response</t>
        </is>
      </c>
      <c r="C137" s="19" t="inlineStr">
        <is>
          <t>Record response: declined and revise</t>
        </is>
      </c>
      <c r="D137" s="19" t="inlineStr">
        <is>
          <t>Pass</t>
        </is>
      </c>
      <c r="E137" s="19" t="inlineStr">
        <is>
          <t>backend/test/customer-response.test.js</t>
        </is>
      </c>
      <c r="F137" s="19" t="inlineStr">
        <is>
          <t>declined: Rejected; revise: back to Draft and the old link stops working</t>
        </is>
      </c>
      <c r="G137" s="19" t="inlineStr">
        <is>
          <t>Retail package business</t>
        </is>
      </c>
      <c r="H137" s="19" t="inlineStr">
        <is>
          <t>84 passed, 0 failed</t>
        </is>
      </c>
      <c r="I137" s="19" t="inlineStr"/>
      <c r="J137" s="19" t="inlineStr"/>
    </row>
    <row r="138">
      <c r="A138" s="19" t="inlineStr">
        <is>
          <t>BV-QUO-009</t>
        </is>
      </c>
      <c r="B138" s="19" t="inlineStr">
        <is>
          <t>Quotations and customer response</t>
        </is>
      </c>
      <c r="C138" s="19" t="inlineStr">
        <is>
          <t>Customer response evidence validation</t>
        </is>
      </c>
      <c r="D138" s="19" t="inlineStr">
        <is>
          <t>Pass</t>
        </is>
      </c>
      <c r="E138" s="19" t="inlineStr">
        <is>
          <t>backend/test/customer-response.test.js</t>
        </is>
      </c>
      <c r="F138" s="19" t="inlineStr">
        <is>
          <t>validates the evidence: channel, date, reference or remarks</t>
        </is>
      </c>
      <c r="G138" s="19" t="inlineStr"/>
      <c r="H138" s="19" t="inlineStr"/>
      <c r="I138" s="19" t="inlineStr"/>
      <c r="J138" s="19" t="inlineStr"/>
    </row>
    <row r="139">
      <c r="A139" s="19" t="inlineStr">
        <is>
          <t>BV-QUO-010</t>
        </is>
      </c>
      <c r="B139" s="19" t="inlineStr">
        <is>
          <t>Quotations and customer response</t>
        </is>
      </c>
      <c r="C139" s="19" t="inlineStr">
        <is>
          <t>Customer approves through the link</t>
        </is>
      </c>
      <c r="D139" s="19" t="inlineStr">
        <is>
          <t>Blocked</t>
        </is>
      </c>
      <c r="E139" s="19" t="inlineStr">
        <is>
          <t>backend/test/quotations.test.js
backend/test/quotations.test.js</t>
        </is>
      </c>
      <c r="F139" s="19" t="inlineStr">
        <is>
          <t>public approve-by-customer: preview, accept, invalid token
sends for approval: e-mail with signed link, underwriting notified, PendingCustomer</t>
        </is>
      </c>
      <c r="G139" s="19" t="inlineStr"/>
      <c r="H139" s="19" t="inlineStr"/>
      <c r="I139" s="19" t="inlineStr"/>
      <c r="J139" s="19" t="inlineStr"/>
    </row>
    <row r="140">
      <c r="A140" s="19" t="inlineStr">
        <is>
          <t>BV-QUO-011</t>
        </is>
      </c>
      <c r="B140" s="19" t="inlineStr">
        <is>
          <t>Quotations and customer response</t>
        </is>
      </c>
      <c r="C140" s="19" t="inlineStr">
        <is>
          <t>Response refused on a quotation not pending</t>
        </is>
      </c>
      <c r="D140" s="19" t="inlineStr">
        <is>
          <t>Pass</t>
        </is>
      </c>
      <c r="E140" s="19" t="inlineStr">
        <is>
          <t>backend/test/customer-response.test.js
backend/test/customer-response.test.js</t>
        </is>
      </c>
      <c r="F140" s="19" t="inlineStr">
        <is>
          <t>issues a new link when the stored one is gone and refuses a quotation that is not pending
follows the configured outcome status and the transition map</t>
        </is>
      </c>
      <c r="G140" s="19" t="inlineStr"/>
      <c r="H140" s="19" t="inlineStr"/>
      <c r="I140" s="19" t="inlineStr"/>
      <c r="J140" s="19" t="inlineStr"/>
    </row>
    <row r="141">
      <c r="A141" s="19" t="inlineStr">
        <is>
          <t>BV-QUO-012</t>
        </is>
      </c>
      <c r="B141" s="19" t="inlineStr">
        <is>
          <t>Quotations and customer response</t>
        </is>
      </c>
      <c r="C141" s="19" t="inlineStr">
        <is>
          <t>Maker cannot approve own quotation slip</t>
        </is>
      </c>
      <c r="D141" s="19" t="inlineStr">
        <is>
          <t>Pass</t>
        </is>
      </c>
      <c r="E141" s="19" t="inlineStr">
        <is>
          <t>backend/test/quotations.test.js</t>
        </is>
      </c>
      <c r="F141" s="19" t="inlineStr">
        <is>
          <t>submits to the insurer, enforces maker-checker on approval and the transition map</t>
        </is>
      </c>
      <c r="G141" s="19" t="inlineStr"/>
      <c r="H141" s="19" t="inlineStr"/>
      <c r="I141" s="19" t="inlineStr"/>
      <c r="J141" s="19" t="inlineStr"/>
    </row>
    <row r="142">
      <c r="A142" s="19" t="inlineStr">
        <is>
          <t>BV-QUO-013</t>
        </is>
      </c>
      <c r="B142" s="19" t="inlineStr">
        <is>
          <t>Quotations and customer response</t>
        </is>
      </c>
      <c r="C142" s="19" t="inlineStr">
        <is>
          <t>Convert or delete in the wrong status refused</t>
        </is>
      </c>
      <c r="D142" s="19" t="inlineStr">
        <is>
          <t>Pass</t>
        </is>
      </c>
      <c r="E142" s="19" t="inlineStr">
        <is>
          <t>backend/test/quotations.test.js</t>
        </is>
      </c>
      <c r="F142" s="19" t="inlineStr">
        <is>
          <t>refuses to convert or delete quotations in the wrong status</t>
        </is>
      </c>
      <c r="G142" s="19" t="inlineStr"/>
      <c r="H142" s="19" t="inlineStr"/>
      <c r="I142" s="19" t="inlineStr"/>
      <c r="J142" s="19" t="inlineStr"/>
    </row>
    <row r="143">
      <c r="A143" s="19" t="inlineStr">
        <is>
          <t>BV-QUO-014</t>
        </is>
      </c>
      <c r="B143" s="19" t="inlineStr">
        <is>
          <t>Quotations and customer response</t>
        </is>
      </c>
      <c r="C143" s="19" t="inlineStr">
        <is>
          <t>Bulk upload quotations from CSV</t>
        </is>
      </c>
      <c r="D143" s="19" t="inlineStr">
        <is>
          <t>Pass</t>
        </is>
      </c>
      <c r="E143" s="19" t="inlineStr">
        <is>
          <t>backend/test/quotations.test.js</t>
        </is>
      </c>
      <c r="F143" s="19" t="inlineStr">
        <is>
          <t>bulk uploads quotations from CSV</t>
        </is>
      </c>
      <c r="G143" s="19" t="inlineStr"/>
      <c r="H143" s="19" t="inlineStr"/>
      <c r="I143" s="19" t="inlineStr"/>
      <c r="J143" s="19" t="inlineStr"/>
    </row>
    <row r="144">
      <c r="A144" s="19" t="inlineStr">
        <is>
          <t>BV-QUO-015</t>
        </is>
      </c>
      <c r="B144" s="19" t="inlineStr">
        <is>
          <t>Quotations and customer response</t>
        </is>
      </c>
      <c r="C144" s="19" t="inlineStr">
        <is>
          <t>Quotation by another user on own prospect appears in list and funnel</t>
        </is>
      </c>
      <c r="D144" s="19" t="inlineStr">
        <is>
          <t>Pass</t>
        </is>
      </c>
      <c r="E144" s="19" t="inlineStr">
        <is>
          <t>backend/test/role-access.test.js</t>
        </is>
      </c>
      <c r="F144" s="19" t="inlineStr">
        <is>
          <t>a quotation another user creates on the agent's lead is in both the quotation list and the dashboard funnel</t>
        </is>
      </c>
      <c r="G144" s="19" t="inlineStr"/>
      <c r="H144" s="19" t="inlineStr"/>
      <c r="I144" s="19" t="inlineStr"/>
      <c r="J144" s="19" t="inlineStr"/>
    </row>
    <row r="145">
      <c r="A145" s="19" t="inlineStr">
        <is>
          <t>BV-QUO-016</t>
        </is>
      </c>
      <c r="B145" s="19" t="inlineStr">
        <is>
          <t>Quotations and customer response</t>
        </is>
      </c>
      <c r="C145" s="19" t="inlineStr">
        <is>
          <t>Quotation statistics</t>
        </is>
      </c>
      <c r="D145" s="19" t="inlineStr">
        <is>
          <t>Pass</t>
        </is>
      </c>
      <c r="E145" s="19" t="inlineStr">
        <is>
          <t>backend/test/quotations.test.js</t>
        </is>
      </c>
      <c r="F145" s="19" t="inlineStr">
        <is>
          <t>stats, compare, vehicle info, quote PDF and customer e-mail</t>
        </is>
      </c>
      <c r="G145" s="19" t="inlineStr">
        <is>
          <t>Reports and dashboards</t>
        </is>
      </c>
      <c r="H145" s="19" t="inlineStr">
        <is>
          <t>58 passed, 0 failed</t>
        </is>
      </c>
      <c r="I145" s="19" t="inlineStr"/>
      <c r="J145" s="19" t="inlineStr"/>
    </row>
    <row r="146">
      <c r="A146" s="19" t="inlineStr">
        <is>
          <t>BV-RFQ-001</t>
        </is>
      </c>
      <c r="B146" s="19" t="inlineStr">
        <is>
          <t>Request for quotation and placement</t>
        </is>
      </c>
      <c r="C146" s="19" t="inlineStr">
        <is>
          <t>Retail RFQ to two insurers (PA)</t>
        </is>
      </c>
      <c r="D146" s="19" t="inlineStr">
        <is>
          <t>Pass</t>
        </is>
      </c>
      <c r="E146" s="19" t="inlineStr">
        <is>
          <t>backend/test/placement.test.js</t>
        </is>
      </c>
      <c r="F146" s="19" t="inlineStr">
        <is>
          <t>creates a broker slip with the market and submits it (one queued request per insurer)</t>
        </is>
      </c>
      <c r="G146" s="19" t="inlineStr">
        <is>
          <t>Retail package business</t>
        </is>
      </c>
      <c r="H146" s="19" t="inlineStr">
        <is>
          <t>84 passed, 0 failed</t>
        </is>
      </c>
      <c r="I146" s="19" t="inlineStr">
        <is>
          <t>/placement/broker-slips</t>
        </is>
      </c>
      <c r="J146" s="19" t="inlineStr">
        <is>
          <t>opened clean</t>
        </is>
      </c>
    </row>
    <row r="147">
      <c r="A147" s="19" t="inlineStr">
        <is>
          <t>BV-RFQ-002</t>
        </is>
      </c>
      <c r="B147" s="19" t="inlineStr">
        <is>
          <t>Request for quotation and placement</t>
        </is>
      </c>
      <c r="C147" s="19" t="inlineStr">
        <is>
          <t>RFQ saves a new prospect in one step</t>
        </is>
      </c>
      <c r="D147" s="19" t="inlineStr">
        <is>
          <t>Pass</t>
        </is>
      </c>
      <c r="E147" s="19" t="inlineStr">
        <is>
          <t>backend/test/request-for-quotation.test.js
backend/test/request-for-quotation.test.js</t>
        </is>
      </c>
      <c r="F147" s="19" t="inlineStr">
        <is>
          <t>saves the prospect as a lead and the slip against it in one step
needs a lead, a client or a prospect with a name, and saves nothing on failure</t>
        </is>
      </c>
      <c r="G147" s="19" t="inlineStr"/>
      <c r="H147" s="19" t="inlineStr"/>
      <c r="I147" s="19" t="inlineStr"/>
      <c r="J147" s="19" t="inlineStr"/>
    </row>
    <row r="148">
      <c r="A148" s="19" t="inlineStr">
        <is>
          <t>BV-RFQ-003</t>
        </is>
      </c>
      <c r="B148" s="19" t="inlineStr">
        <is>
          <t>Request for quotation and placement</t>
        </is>
      </c>
      <c r="C148" s="19" t="inlineStr">
        <is>
          <t>Record offers and declines, compare and prepare a quotation slip</t>
        </is>
      </c>
      <c r="D148" s="19" t="inlineStr">
        <is>
          <t>Pass</t>
        </is>
      </c>
      <c r="E148" s="19" t="inlineStr">
        <is>
          <t>backend/test/placement.test.js</t>
        </is>
      </c>
      <c r="F148" s="19" t="inlineStr">
        <is>
          <t>records the offers and declines, compares them and prepares a co-insurance Quotation Slip from two lines</t>
        </is>
      </c>
      <c r="G148" s="19" t="inlineStr">
        <is>
          <t>Corporate non-package business</t>
        </is>
      </c>
      <c r="H148" s="19" t="inlineStr">
        <is>
          <t>45 passed, 0 failed</t>
        </is>
      </c>
      <c r="I148" s="19" t="inlineStr"/>
      <c r="J148" s="19" t="inlineStr"/>
    </row>
    <row r="149">
      <c r="A149" s="19" t="inlineStr">
        <is>
          <t>BV-RFQ-004</t>
        </is>
      </c>
      <c r="B149" s="19" t="inlineStr">
        <is>
          <t>Request for quotation and placement</t>
        </is>
      </c>
      <c r="C149" s="19" t="inlineStr">
        <is>
          <t>Shares must total 100% with one lead</t>
        </is>
      </c>
      <c r="D149" s="19" t="inlineStr">
        <is>
          <t>Pass</t>
        </is>
      </c>
      <c r="E149" s="19" t="inlineStr">
        <is>
          <t>backend/test/placement.test.js</t>
        </is>
      </c>
      <c r="F149" s="19" t="inlineStr">
        <is>
          <t>rejects shares that do not total 100%, two leads and unknown insurers with a clear message</t>
        </is>
      </c>
      <c r="G149" s="19" t="inlineStr"/>
      <c r="H149" s="19" t="inlineStr"/>
      <c r="I149" s="19" t="inlineStr"/>
      <c r="J149" s="19" t="inlineStr"/>
    </row>
    <row r="150">
      <c r="A150" s="19" t="inlineStr">
        <is>
          <t>BV-RFQ-005</t>
        </is>
      </c>
      <c r="B150" s="19" t="inlineStr">
        <is>
          <t>Request for quotation and placement</t>
        </is>
      </c>
      <c r="C150" s="19" t="inlineStr">
        <is>
          <t>Participant amounts split with the remainder on the lead</t>
        </is>
      </c>
      <c r="D150" s="19" t="inlineStr">
        <is>
          <t>Pass</t>
        </is>
      </c>
      <c r="E150" s="19" t="inlineStr">
        <is>
          <t>backend/test/placement.test.js
backend/test/placement.test.js</t>
        </is>
      </c>
      <c r="F150" s="19" t="inlineStr">
        <is>
          <t>splits with round2 and puts the remainder on the lead (unit)
writes participants by insurer id, splits by share with the remainder on the lead and keeps the legacy participantDetails</t>
        </is>
      </c>
      <c r="G150" s="19" t="inlineStr"/>
      <c r="H150" s="19" t="inlineStr"/>
      <c r="I150" s="19" t="inlineStr"/>
      <c r="J150" s="19" t="inlineStr"/>
    </row>
    <row r="151">
      <c r="A151" s="19" t="inlineStr">
        <is>
          <t>BV-RFQ-006</t>
        </is>
      </c>
      <c r="B151" s="19" t="inlineStr">
        <is>
          <t>Request for quotation and placement</t>
        </is>
      </c>
      <c r="C151" s="19" t="inlineStr">
        <is>
          <t>Placement slip, firm order and insurer bindings</t>
        </is>
      </c>
      <c r="D151" s="19" t="inlineStr">
        <is>
          <t>Pass</t>
        </is>
      </c>
      <c r="E151" s="19" t="inlineStr">
        <is>
          <t>backend/test/placement.test.js
backend/test/placement.test.js
backend/test/placement.test.js</t>
        </is>
      </c>
      <c r="F151" s="19" t="inlineStr">
        <is>
          <t>creates the Placement Slip from the quotation, sends it and records each insurer's binding
sends the firm order per participant and binds when every insurer confirms
issues the policy from the bound placement: participants copied, lead insurer on the policy, quotation converted</t>
        </is>
      </c>
      <c r="G151" s="19" t="inlineStr">
        <is>
          <t>Corporate non-package business</t>
        </is>
      </c>
      <c r="H151" s="19" t="inlineStr">
        <is>
          <t>45 passed, 0 failed</t>
        </is>
      </c>
      <c r="I151" s="19" t="inlineStr">
        <is>
          <t>/placement/placement-slips</t>
        </is>
      </c>
      <c r="J151" s="19" t="inlineStr">
        <is>
          <t>opened clean</t>
        </is>
      </c>
    </row>
    <row r="152">
      <c r="A152" s="19" t="inlineStr">
        <is>
          <t>BV-RFQ-007</t>
        </is>
      </c>
      <c r="B152" s="19" t="inlineStr">
        <is>
          <t>Request for quotation and placement</t>
        </is>
      </c>
      <c r="C152" s="19" t="inlineStr">
        <is>
          <t>Non-package product cannot skip the placement slip</t>
        </is>
      </c>
      <c r="D152" s="19" t="inlineStr">
        <is>
          <t>Pass</t>
        </is>
      </c>
      <c r="E152" s="19" t="inlineStr">
        <is>
          <t>backend/test/placement.test.js
backend/test/product-classification.test.js</t>
        </is>
      </c>
      <c r="F152" s="19" t="inlineStr">
        <is>
          <t>refuses the direct conversion when the journey requires a Placement Slip
non-package: placement slip required</t>
        </is>
      </c>
      <c r="G152" s="19" t="inlineStr"/>
      <c r="H152" s="19" t="inlineStr"/>
      <c r="I152" s="19" t="inlineStr"/>
      <c r="J152" s="19" t="inlineStr"/>
    </row>
    <row r="153">
      <c r="A153" s="19" t="inlineStr">
        <is>
          <t>BV-RFQ-008</t>
        </is>
      </c>
      <c r="B153" s="19" t="inlineStr">
        <is>
          <t>Request for quotation and placement</t>
        </is>
      </c>
      <c r="C153" s="19" t="inlineStr">
        <is>
          <t>Direct motor placement refused; optional placement allowed</t>
        </is>
      </c>
      <c r="D153" s="19" t="inlineStr">
        <is>
          <t>Pass</t>
        </is>
      </c>
      <c r="E153" s="19" t="inlineStr">
        <is>
          <t>backend/test/placement.test.js
backend/test/placement.test.js</t>
        </is>
      </c>
      <c r="F153" s="19" t="inlineStr">
        <is>
          <t>refuses a direct motor placement (the motor journey requires a Quotation Slip)
a motor quotation can still go through an optional placement slip</t>
        </is>
      </c>
      <c r="G153" s="19" t="inlineStr"/>
      <c r="H153" s="19" t="inlineStr"/>
      <c r="I153" s="19" t="inlineStr"/>
      <c r="J153" s="19" t="inlineStr"/>
    </row>
    <row r="154">
      <c r="A154" s="19" t="inlineStr">
        <is>
          <t>BV-RFQ-009</t>
        </is>
      </c>
      <c r="B154" s="19" t="inlineStr">
        <is>
          <t>Request for quotation and placement</t>
        </is>
      </c>
      <c r="C154" s="19" t="inlineStr">
        <is>
          <t>Marine cargo placed directly with co-insurers</t>
        </is>
      </c>
      <c r="D154" s="19" t="inlineStr">
        <is>
          <t>Pass</t>
        </is>
      </c>
      <c r="E154" s="19" t="inlineStr">
        <is>
          <t>backend/test/placement.test.js</t>
        </is>
      </c>
      <c r="F154" s="19" t="inlineStr">
        <is>
          <t>places a marine cargo risk directly with co-insurers, binds and issues</t>
        </is>
      </c>
      <c r="G154" s="19" t="inlineStr">
        <is>
          <t>Corporate non-package business</t>
        </is>
      </c>
      <c r="H154" s="19" t="inlineStr">
        <is>
          <t>45 passed, 0 failed</t>
        </is>
      </c>
      <c r="I154" s="19" t="inlineStr"/>
      <c r="J154" s="19" t="inlineStr"/>
    </row>
    <row r="155">
      <c r="A155" s="19" t="inlineStr">
        <is>
          <t>BV-RFQ-010</t>
        </is>
      </c>
      <c r="B155" s="19" t="inlineStr">
        <is>
          <t>Request for quotation and placement</t>
        </is>
      </c>
      <c r="C155" s="19" t="inlineStr">
        <is>
          <t>Close an RFQ not taken up</t>
        </is>
      </c>
      <c r="D155" s="19" t="inlineStr">
        <is>
          <t>Pass</t>
        </is>
      </c>
      <c r="E155" s="19" t="inlineStr">
        <is>
          <t>backend/test/placement.test.js</t>
        </is>
      </c>
      <c r="F155" s="19" t="inlineStr">
        <is>
          <t>placementSlip skip / brokerSlip required / directPolicy skip are enforced</t>
        </is>
      </c>
      <c r="G155" s="19" t="inlineStr">
        <is>
          <t>Corporate non-package business</t>
        </is>
      </c>
      <c r="H155" s="19" t="inlineStr">
        <is>
          <t>45 passed, 0 failed</t>
        </is>
      </c>
      <c r="I155" s="19" t="inlineStr"/>
      <c r="J155" s="19" t="inlineStr"/>
    </row>
    <row r="156">
      <c r="A156" s="19" t="inlineStr">
        <is>
          <t>BV-RFQ-011</t>
        </is>
      </c>
      <c r="B156" s="19" t="inlineStr">
        <is>
          <t>Request for quotation and placement</t>
        </is>
      </c>
      <c r="C156" s="19" t="inlineStr">
        <is>
          <t>Record a policy the insurer already issued</t>
        </is>
      </c>
      <c r="D156" s="19" t="inlineStr">
        <is>
          <t>Pass</t>
        </is>
      </c>
      <c r="E156" s="19" t="inlineStr">
        <is>
          <t>backend/test/placement.test.js</t>
        </is>
      </c>
      <c r="F156" s="19" t="inlineStr">
        <is>
          <t>records a policy the insurer already issued, with a new insured, in one step</t>
        </is>
      </c>
      <c r="G156" s="19" t="inlineStr">
        <is>
          <t>Corporate non-package business</t>
        </is>
      </c>
      <c r="H156" s="19" t="inlineStr">
        <is>
          <t>45 passed, 0 failed</t>
        </is>
      </c>
      <c r="I156" s="19" t="inlineStr"/>
      <c r="J156" s="19" t="inlineStr"/>
    </row>
    <row r="157">
      <c r="A157" s="19" t="inlineStr">
        <is>
          <t>BV-RFQ-012</t>
        </is>
      </c>
      <c r="B157" s="19" t="inlineStr">
        <is>
          <t>Request for quotation and placement</t>
        </is>
      </c>
      <c r="C157" s="19" t="inlineStr">
        <is>
          <t>Placement journey per line from settings</t>
        </is>
      </c>
      <c r="D157" s="19" t="inlineStr">
        <is>
          <t>Pass</t>
        </is>
      </c>
      <c r="E157" s="19" t="inlineStr">
        <is>
          <t>backend/test/placement.test.js
backend/test/product-classification.test.js
backend/test/product-classification.test.js</t>
        </is>
      </c>
      <c r="F157" s="19" t="inlineStr">
        <is>
          <t>resolves the journey per LOB and product type from placement.journey
a placement.journey entry for the line or product type still overrides the business type
the business-type journey is itself a setting</t>
        </is>
      </c>
      <c r="G157" s="19" t="inlineStr"/>
      <c r="H157" s="19" t="inlineStr"/>
      <c r="I157" s="19" t="inlineStr"/>
      <c r="J157" s="19" t="inlineStr"/>
    </row>
    <row r="158">
      <c r="A158" s="19" t="inlineStr">
        <is>
          <t>BV-RFQ-013</t>
        </is>
      </c>
      <c r="B158" s="19" t="inlineStr">
        <is>
          <t>Request for quotation and placement</t>
        </is>
      </c>
      <c r="C158" s="19" t="inlineStr">
        <is>
          <t>Placement Pipeline and Market Response reports</t>
        </is>
      </c>
      <c r="D158" s="19" t="inlineStr">
        <is>
          <t>Pass</t>
        </is>
      </c>
      <c r="E158" s="19" t="inlineStr">
        <is>
          <t>backend/test/placement.test.js</t>
        </is>
      </c>
      <c r="F158" s="19" t="inlineStr">
        <is>
          <t>runs the Placement Pipeline and Market Response reports</t>
        </is>
      </c>
      <c r="G158" s="19" t="inlineStr">
        <is>
          <t>Reports and dashboards</t>
        </is>
      </c>
      <c r="H158" s="19" t="inlineStr">
        <is>
          <t>58 passed, 0 failed</t>
        </is>
      </c>
      <c r="I158" s="19" t="inlineStr"/>
      <c r="J158" s="19" t="inlineStr"/>
    </row>
    <row r="159">
      <c r="A159" s="19" t="inlineStr">
        <is>
          <t>BV-POL-001</t>
        </is>
      </c>
      <c r="B159" s="19" t="inlineStr">
        <is>
          <t>Policy issuance</t>
        </is>
      </c>
      <c r="C159" s="19" t="inlineStr">
        <is>
          <t>Issue a motor policy with CTPL</t>
        </is>
      </c>
      <c r="D159" s="19" t="inlineStr">
        <is>
          <t>Pass</t>
        </is>
      </c>
      <c r="E159" s="19" t="inlineStr">
        <is>
          <t>backend/test/quotations.test.js</t>
        </is>
      </c>
      <c r="F159" s="19" t="inlineStr">
        <is>
          <t>converts to policy: client, policy, receivable with bill number, commission accrual, owner notified</t>
        </is>
      </c>
      <c r="G159" s="19" t="inlineStr">
        <is>
          <t>Retail package business</t>
        </is>
      </c>
      <c r="H159" s="19" t="inlineStr">
        <is>
          <t>84 passed, 0 failed</t>
        </is>
      </c>
      <c r="I159" s="19" t="inlineStr">
        <is>
          <t>/agent/policy</t>
        </is>
      </c>
      <c r="J159" s="19" t="inlineStr">
        <is>
          <t>opened clean</t>
        </is>
      </c>
    </row>
    <row r="160">
      <c r="A160" s="19" t="inlineStr">
        <is>
          <t>BV-POL-002</t>
        </is>
      </c>
      <c r="B160" s="19" t="inlineStr">
        <is>
          <t>Policy issuance</t>
        </is>
      </c>
      <c r="C160" s="19" t="inlineStr">
        <is>
          <t>Motor policy refused without KYC and vehicle identifiers</t>
        </is>
      </c>
      <c r="D160" s="19" t="inlineStr">
        <is>
          <t>Pass</t>
        </is>
      </c>
      <c r="E160" s="19" t="inlineStr">
        <is>
          <t>backend/test/quotations.test.js</t>
        </is>
      </c>
      <c r="F160" s="19" t="inlineStr">
        <is>
          <t>refuses to issue a motor policy without KYC and vehicle identifiers (policy.kyc_required_fields)</t>
        </is>
      </c>
      <c r="G160" s="19" t="inlineStr"/>
      <c r="H160" s="19" t="inlineStr"/>
      <c r="I160" s="19" t="inlineStr"/>
      <c r="J160" s="19" t="inlineStr"/>
    </row>
    <row r="161">
      <c r="A161" s="19" t="inlineStr">
        <is>
          <t>BV-POL-003</t>
        </is>
      </c>
      <c r="B161" s="19" t="inlineStr">
        <is>
          <t>Policy issuance</t>
        </is>
      </c>
      <c r="C161" s="19" t="inlineStr">
        <is>
          <t>ID from an earlier policy proposed</t>
        </is>
      </c>
      <c r="D161" s="19" t="inlineStr">
        <is>
          <t>Pass</t>
        </is>
      </c>
      <c r="E161" s="19" t="inlineStr">
        <is>
          <t>backend/test/quote-to-policy.test.js</t>
        </is>
      </c>
      <c r="F161" s="19" t="inlineStr">
        <is>
          <t>the ID captured on an earlier policy of the client is proposed for the new policy</t>
        </is>
      </c>
      <c r="G161" s="19" t="inlineStr"/>
      <c r="H161" s="19" t="inlineStr"/>
      <c r="I161" s="19" t="inlineStr"/>
      <c r="J161" s="19" t="inlineStr"/>
    </row>
    <row r="162">
      <c r="A162" s="19" t="inlineStr">
        <is>
          <t>BV-POL-004</t>
        </is>
      </c>
      <c r="B162" s="19" t="inlineStr">
        <is>
          <t>Policy issuance</t>
        </is>
      </c>
      <c r="C162" s="19" t="inlineStr">
        <is>
          <t>Issue a package policy with sections per insurer</t>
        </is>
      </c>
      <c r="D162" s="19" t="inlineStr">
        <is>
          <t>Pass</t>
        </is>
      </c>
      <c r="E162" s="19" t="inlineStr">
        <is>
          <t>backend/test/packages.test.js
backend/test/packages.test.js</t>
        </is>
      </c>
      <c r="F162" s="19" t="inlineStr">
        <is>
          <t>creates, updates and accepts a package quotation
issues ONE policy with sections per insurer, exact participant amounts and a booking per carrier</t>
        </is>
      </c>
      <c r="G162" s="19" t="inlineStr"/>
      <c r="H162" s="19" t="inlineStr"/>
      <c r="I162" s="19" t="inlineStr"/>
      <c r="J162" s="19" t="inlineStr"/>
    </row>
    <row r="163">
      <c r="A163" s="19" t="inlineStr">
        <is>
          <t>BV-POL-005</t>
        </is>
      </c>
      <c r="B163" s="19" t="inlineStr">
        <is>
          <t>Policy issuance</t>
        </is>
      </c>
      <c r="C163" s="19" t="inlineStr">
        <is>
          <t>Retail PA, Travel and Householder from RFQ</t>
        </is>
      </c>
      <c r="D163" s="19" t="inlineStr">
        <is>
          <t>Pass</t>
        </is>
      </c>
      <c r="E163" s="19" t="inlineStr">
        <is>
          <t>backend/test/uat-disconnects.test.js
backend/test/product-classification.test.js</t>
        </is>
      </c>
      <c r="F163" s="19" t="inlineStr">
        <is>
          <t>a Householder quotation prepared from a broker slip stays a package product and converts without a placement slip
package: quotation required, broker and placement slips optional</t>
        </is>
      </c>
      <c r="G163" s="19" t="inlineStr">
        <is>
          <t>Retail package business</t>
        </is>
      </c>
      <c r="H163" s="19" t="inlineStr">
        <is>
          <t>84 passed, 0 failed</t>
        </is>
      </c>
      <c r="I163" s="19" t="inlineStr"/>
      <c r="J163" s="19" t="inlineStr"/>
    </row>
    <row r="164">
      <c r="A164" s="19" t="inlineStr">
        <is>
          <t>BV-POL-006</t>
        </is>
      </c>
      <c r="B164" s="19" t="inlineStr">
        <is>
          <t>Policy issuance</t>
        </is>
      </c>
      <c r="C164" s="19" t="inlineStr">
        <is>
          <t>Booking at issuance</t>
        </is>
      </c>
      <c r="D164" s="19" t="inlineStr">
        <is>
          <t>Pass</t>
        </is>
      </c>
      <c r="E164" s="19" t="inlineStr">
        <is>
          <t>backend/test/posting-rules.test.js
backend/test/commission-taxes.test.js
backend/test/uat-disconnects.test.js</t>
        </is>
      </c>
      <c r="F164" s="19" t="inlineStr">
        <is>
          <t>policy booking and receipt: same accounts, amounts, memos and order (premium taxes not split)
the booking journal books output VAT on the commission and the EWT the insurer withholds (rule version 2)
books a policy on its issue date; its credit days run from the issue (or later inception)</t>
        </is>
      </c>
      <c r="G164" s="19" t="inlineStr"/>
      <c r="H164" s="19" t="inlineStr"/>
      <c r="I164" s="19" t="inlineStr"/>
      <c r="J164" s="19" t="inlineStr"/>
    </row>
    <row r="165">
      <c r="A165" s="19" t="inlineStr">
        <is>
          <t>BV-POL-007</t>
        </is>
      </c>
      <c r="B165" s="19" t="inlineStr">
        <is>
          <t>Policy issuance</t>
        </is>
      </c>
      <c r="C165" s="19" t="inlineStr">
        <is>
          <t>Co-insured policy books one receivable and per insurer payables</t>
        </is>
      </c>
      <c r="D165" s="19" t="inlineStr">
        <is>
          <t>Pass</t>
        </is>
      </c>
      <c r="E165" s="19" t="inlineStr">
        <is>
          <t>backend/test/posting-rules.test.js</t>
        </is>
      </c>
      <c r="F165" s="19" t="inlineStr">
        <is>
          <t>books one receivable at the gross and the premium and commission per insurer (3 insurers, rounding)</t>
        </is>
      </c>
      <c r="G165" s="19" t="inlineStr"/>
      <c r="H165" s="19" t="inlineStr"/>
      <c r="I165" s="19" t="inlineStr"/>
      <c r="J165" s="19" t="inlineStr"/>
    </row>
    <row r="166">
      <c r="A166" s="19" t="inlineStr">
        <is>
          <t>BV-POL-008</t>
        </is>
      </c>
      <c r="B166" s="19" t="inlineStr">
        <is>
          <t>Policy issuance</t>
        </is>
      </c>
      <c r="C166" s="19" t="inlineStr">
        <is>
          <t>Policy list paging, filters and detail</t>
        </is>
      </c>
      <c r="D166" s="19" t="inlineStr">
        <is>
          <t>Pass</t>
        </is>
      </c>
      <c r="E166" s="19" t="inlineStr">
        <is>
          <t>backend/test/policies.test.js
backend/test/policies.test.js</t>
        </is>
      </c>
      <c r="F166" s="19" t="inlineStr">
        <is>
          <t>lists with paging and filters
reads one policy with client, lead and quotation</t>
        </is>
      </c>
      <c r="G166" s="19" t="inlineStr"/>
      <c r="H166" s="19" t="inlineStr"/>
      <c r="I166" s="19" t="inlineStr"/>
      <c r="J166" s="19" t="inlineStr"/>
    </row>
    <row r="167">
      <c r="A167" s="19" t="inlineStr">
        <is>
          <t>BV-POL-009</t>
        </is>
      </c>
      <c r="B167" s="19" t="inlineStr">
        <is>
          <t>Policy issuance</t>
        </is>
      </c>
      <c r="C167" s="19" t="inlineStr">
        <is>
          <t>Policy schedule and billing statement PDFs</t>
        </is>
      </c>
      <c r="D167" s="19" t="inlineStr">
        <is>
          <t>Pass</t>
        </is>
      </c>
      <c r="E167" s="19" t="inlineStr">
        <is>
          <t>backend/test/policies.test.js
backend/test/printing.test.js
backend/test/receipts.test.js
backend/test/printing.test.js</t>
        </is>
      </c>
      <c r="F167" s="19" t="inlineStr">
        <is>
          <t>lists documents and renders PDFs
a policy schedule uses the policy columns, and prints only the gross when there is no breakdown
billing statement PDF for a policy
formats dates in the configured pattern, never as JS Date strings</t>
        </is>
      </c>
      <c r="G167" s="19" t="inlineStr"/>
      <c r="H167" s="19" t="inlineStr"/>
      <c r="I167" s="19" t="inlineStr"/>
      <c r="J167" s="19" t="inlineStr"/>
    </row>
    <row r="168">
      <c r="A168" s="19" t="inlineStr">
        <is>
          <t>BV-POL-010</t>
        </is>
      </c>
      <c r="B168" s="19" t="inlineStr">
        <is>
          <t>Policy issuance</t>
        </is>
      </c>
      <c r="C168" s="19" t="inlineStr">
        <is>
          <t>New business policy upload creates bills and commission</t>
        </is>
      </c>
      <c r="D168" s="19" t="inlineStr">
        <is>
          <t>Pass</t>
        </is>
      </c>
      <c r="E168" s="19" t="inlineStr">
        <is>
          <t>backend/test/policies.test.js
backend/test/placement.test.js</t>
        </is>
      </c>
      <c r="F168" s="19" t="inlineStr">
        <is>
          <t>bulk uploads policies with client, receivable and commission
bulk import writes 100% of the insurer</t>
        </is>
      </c>
      <c r="G168" s="19" t="inlineStr"/>
      <c r="H168" s="19" t="inlineStr"/>
      <c r="I168" s="19" t="inlineStr"/>
      <c r="J168" s="19" t="inlineStr"/>
    </row>
    <row r="169">
      <c r="A169" s="19" t="inlineStr">
        <is>
          <t>BV-POL-011</t>
        </is>
      </c>
      <c r="B169" s="19" t="inlineStr">
        <is>
          <t>Policy issuance</t>
        </is>
      </c>
      <c r="C169" s="19" t="inlineStr">
        <is>
          <t>Claims users not offered Create Policy or Bulk Upload</t>
        </is>
      </c>
      <c r="D169" s="19" t="inlineStr">
        <is>
          <t>Pass</t>
        </is>
      </c>
      <c r="E169" s="19" t="inlineStr">
        <is>
          <t>brokerverse/src/utils/canOpen.test.js
backend/test/policies.test.js</t>
        </is>
      </c>
      <c r="F169" s="19" t="inlineStr">
        <is>
          <t>claims users are not offered Create Policy (Leads) nor Bulk Upload (write:policies)
enforces permissions</t>
        </is>
      </c>
      <c r="G169" s="19" t="inlineStr"/>
      <c r="H169" s="19" t="inlineStr"/>
      <c r="I169" s="19" t="inlineStr"/>
      <c r="J169" s="19" t="inlineStr"/>
    </row>
    <row r="170">
      <c r="A170" s="19" t="inlineStr">
        <is>
          <t>BV-POL-012</t>
        </is>
      </c>
      <c r="B170" s="19" t="inlineStr">
        <is>
          <t>Policy issuance</t>
        </is>
      </c>
      <c r="C170" s="19" t="inlineStr">
        <is>
          <t>Policy over the client credit limit is issued with a warning</t>
        </is>
      </c>
      <c r="D170" s="19" t="inlineStr">
        <is>
          <t>Pass</t>
        </is>
      </c>
      <c r="E170" s="19" t="inlineStr">
        <is>
          <t>backend/test/credit-control.test.js</t>
        </is>
      </c>
      <c r="F170" s="19" t="inlineStr">
        <is>
          <t>only an approver sets the limit; a broker-billed policy over it is issued with a warning</t>
        </is>
      </c>
      <c r="G170" s="19" t="inlineStr"/>
      <c r="H170" s="19" t="inlineStr"/>
      <c r="I170" s="19" t="inlineStr"/>
      <c r="J170" s="19" t="inlineStr"/>
    </row>
    <row r="171">
      <c r="A171" s="19" t="inlineStr">
        <is>
          <t>BV-POL-013</t>
        </is>
      </c>
      <c r="B171" s="19" t="inlineStr">
        <is>
          <t>Policy issuance</t>
        </is>
      </c>
      <c r="C171" s="19" t="inlineStr">
        <is>
          <t>Default billing mode from settings; switch to direct bill</t>
        </is>
      </c>
      <c r="D171" s="19" t="inlineStr">
        <is>
          <t>Pass</t>
        </is>
      </c>
      <c r="E171" s="19" t="inlineStr">
        <is>
          <t>backend/test/direct-bill.test.js
backend/test/direct-bill.test.js
backend/test/direct-bill.test.js</t>
        </is>
      </c>
      <c r="F171" s="19" t="inlineStr">
        <is>
          <t>a broker-billed policy with nothing collected becomes direct bill and back
refuses the change once premium was collected or the commission is on a debit note
default billing mode comes from the settings</t>
        </is>
      </c>
      <c r="G171" s="19" t="inlineStr"/>
      <c r="H171" s="19" t="inlineStr"/>
      <c r="I171" s="19" t="inlineStr"/>
      <c r="J171" s="19" t="inlineStr"/>
    </row>
    <row r="172">
      <c r="A172" s="19" t="inlineStr">
        <is>
          <t>BV-POL-014</t>
        </is>
      </c>
      <c r="B172" s="19" t="inlineStr">
        <is>
          <t>Policy issuance</t>
        </is>
      </c>
      <c r="C172" s="19" t="inlineStr">
        <is>
          <t>No commission line for an administrator issuing a policy</t>
        </is>
      </c>
      <c r="D172" s="19" t="inlineStr">
        <is>
          <t>Pass</t>
        </is>
      </c>
      <c r="E172" s="19" t="inlineStr">
        <is>
          <t>backend/test/policy-payments.test.js</t>
        </is>
      </c>
      <c r="F172" s="19" t="inlineStr">
        <is>
          <t>no commission line for an administrator who issues a policy; an Account Executive earns one</t>
        </is>
      </c>
      <c r="G172" s="19" t="inlineStr"/>
      <c r="H172" s="19" t="inlineStr"/>
      <c r="I172" s="19" t="inlineStr"/>
      <c r="J172" s="19" t="inlineStr"/>
    </row>
    <row r="173">
      <c r="A173" s="19" t="inlineStr">
        <is>
          <t>BV-POL-015</t>
        </is>
      </c>
      <c r="B173" s="19" t="inlineStr">
        <is>
          <t>Policy issuance</t>
        </is>
      </c>
      <c r="C173" s="19" t="inlineStr">
        <is>
          <t>Online payment link issues the package policy</t>
        </is>
      </c>
      <c r="D173" s="19" t="inlineStr">
        <is>
          <t>Pass</t>
        </is>
      </c>
      <c r="E173" s="19" t="inlineStr">
        <is>
          <t>backend/test/payments.test.js
backend/test/payments.test.js</t>
        </is>
      </c>
      <c r="F173" s="19" t="inlineStr">
        <is>
          <t>pays a package quotation in the sandbox: policy issued, receipt created, policy PDF available
rejects a notification with a bad signature and logs it</t>
        </is>
      </c>
      <c r="G173" s="19" t="inlineStr"/>
      <c r="H173" s="19" t="inlineStr"/>
      <c r="I173" s="19" t="inlineStr"/>
      <c r="J173" s="19" t="inlineStr"/>
    </row>
    <row r="174">
      <c r="A174" s="19" t="inlineStr">
        <is>
          <t>BV-END-001</t>
        </is>
      </c>
      <c r="B174" s="19" t="inlineStr">
        <is>
          <t>Endorsements and cancellations</t>
        </is>
      </c>
      <c r="C174" s="19" t="inlineStr">
        <is>
          <t>Additional premium endorsement on a motor policy</t>
        </is>
      </c>
      <c r="D174" s="19" t="inlineStr">
        <is>
          <t>Pass</t>
        </is>
      </c>
      <c r="E174" s="19" t="inlineStr">
        <is>
          <t>backend/test/endorsements.test.js
backend/test/endorsements.test.js</t>
        </is>
      </c>
      <c r="F174" s="19" t="inlineStr">
        <is>
          <t>prices the screen payload of a motor policy with BI / PD / APPA (own damage 1,200,000 -&gt; 1,400,000 at 2%)
bills a positive delta as a new receivable with a balanced journal and a collection item, and updates the policy premium</t>
        </is>
      </c>
      <c r="G174" s="19" t="inlineStr">
        <is>
          <t>Servicing: endorsements, renewals, claims</t>
        </is>
      </c>
      <c r="H174" s="19" t="inlineStr">
        <is>
          <t>31 passed, 0 failed</t>
        </is>
      </c>
      <c r="I174" s="19" t="inlineStr"/>
      <c r="J174" s="19" t="inlineStr"/>
    </row>
    <row r="175">
      <c r="A175" s="19" t="inlineStr">
        <is>
          <t>BV-END-002</t>
        </is>
      </c>
      <c r="B175" s="19" t="inlineStr">
        <is>
          <t>Endorsements and cancellations</t>
        </is>
      </c>
      <c r="C175" s="19" t="inlineStr">
        <is>
          <t>Premium delta that does not match the coverage change refused</t>
        </is>
      </c>
      <c r="D175" s="19" t="inlineStr">
        <is>
          <t>Pass</t>
        </is>
      </c>
      <c r="E175" s="19" t="inlineStr">
        <is>
          <t>backend/test/endorsements.test.js</t>
        </is>
      </c>
      <c r="F175" s="19" t="inlineStr">
        <is>
          <t>refuses a premiumDelta that does not match new gross - current gross</t>
        </is>
      </c>
      <c r="G175" s="19" t="inlineStr"/>
      <c r="H175" s="19" t="inlineStr"/>
      <c r="I175" s="19" t="inlineStr"/>
      <c r="J175" s="19" t="inlineStr"/>
    </row>
    <row r="176">
      <c r="A176" s="19" t="inlineStr">
        <is>
          <t>BV-END-003</t>
        </is>
      </c>
      <c r="B176" s="19" t="inlineStr">
        <is>
          <t>Endorsements and cancellations</t>
        </is>
      </c>
      <c r="C176" s="19" t="inlineStr">
        <is>
          <t>Zero delta is not billed</t>
        </is>
      </c>
      <c r="D176" s="19" t="inlineStr">
        <is>
          <t>Pass</t>
        </is>
      </c>
      <c r="E176" s="19" t="inlineStr">
        <is>
          <t>backend/test/endorsements.test.js</t>
        </is>
      </c>
      <c r="F176" s="19" t="inlineStr">
        <is>
          <t>does not bill a zero delta</t>
        </is>
      </c>
      <c r="G176" s="19" t="inlineStr"/>
      <c r="H176" s="19" t="inlineStr"/>
      <c r="I176" s="19" t="inlineStr"/>
      <c r="J176" s="19" t="inlineStr"/>
    </row>
    <row r="177">
      <c r="A177" s="19" t="inlineStr">
        <is>
          <t>BV-END-004</t>
        </is>
      </c>
      <c r="B177" s="19" t="inlineStr">
        <is>
          <t>Endorsements and cancellations</t>
        </is>
      </c>
      <c r="C177" s="19" t="inlineStr">
        <is>
          <t>Return premium on a paid policy raises a client refund</t>
        </is>
      </c>
      <c r="D177" s="19" t="inlineStr">
        <is>
          <t>Pass</t>
        </is>
      </c>
      <c r="E177" s="19" t="inlineStr">
        <is>
          <t>backend/test/posting-rules.test.js
backend/test/commission-taxes.test.js
backend/test/endorsements.test.js</t>
        </is>
      </c>
      <c r="F177" s="19" t="inlineStr">
        <is>
          <t>return premium credits the open bill and makes the paid part a client refund payable
a return premium reverses the commission taxes at the rates booked; bills booked without them return none
records a negative delta (return premium) without billing it</t>
        </is>
      </c>
      <c r="G177" s="19" t="inlineStr">
        <is>
          <t>Servicing: endorsements, renewals, claims</t>
        </is>
      </c>
      <c r="H177" s="19" t="inlineStr">
        <is>
          <t>31 passed, 0 failed</t>
        </is>
      </c>
      <c r="I177" s="19" t="inlineStr"/>
      <c r="J177" s="19" t="inlineStr"/>
    </row>
    <row r="178">
      <c r="A178" s="19" t="inlineStr">
        <is>
          <t>BV-END-005</t>
        </is>
      </c>
      <c r="B178" s="19" t="inlineStr">
        <is>
          <t>Endorsements and cancellations</t>
        </is>
      </c>
      <c r="C178" s="19" t="inlineStr">
        <is>
          <t>Return premium claws back sub-agent commission</t>
        </is>
      </c>
      <c r="D178" s="19" t="inlineStr">
        <is>
          <t>Pass</t>
        </is>
      </c>
      <c r="E178" s="19" t="inlineStr">
        <is>
          <t>backend/test/accounting-followups.test.js
backend/test/accounting-followups.test.js</t>
        </is>
      </c>
      <c r="F178" s="19" t="inlineStr">
        <is>
          <t>a 25% return claws back 25% of the paid line and reverses 25% of the approved accrual through the posting rules
a later cancellation of the rest claws back only what is left and reverses the lines</t>
        </is>
      </c>
      <c r="G178" s="19" t="inlineStr"/>
      <c r="H178" s="19" t="inlineStr"/>
      <c r="I178" s="19" t="inlineStr"/>
      <c r="J178" s="19" t="inlineStr"/>
    </row>
    <row r="179">
      <c r="A179" s="19" t="inlineStr">
        <is>
          <t>BV-END-006</t>
        </is>
      </c>
      <c r="B179" s="19" t="inlineStr">
        <is>
          <t>Endorsements and cancellations</t>
        </is>
      </c>
      <c r="C179" s="19" t="inlineStr">
        <is>
          <t>Section endorsement on a package bills that insurer only</t>
        </is>
      </c>
      <c r="D179" s="19" t="inlineStr">
        <is>
          <t>Pass</t>
        </is>
      </c>
      <c r="E179" s="19" t="inlineStr">
        <is>
          <t>backend/test/packages.test.js</t>
        </is>
      </c>
      <c r="F179" s="19" t="inlineStr">
        <is>
          <t>endorses one section: the additional premium is billed and due to that insurer only</t>
        </is>
      </c>
      <c r="G179" s="19" t="inlineStr"/>
      <c r="H179" s="19" t="inlineStr"/>
      <c r="I179" s="19" t="inlineStr"/>
      <c r="J179" s="19" t="inlineStr"/>
    </row>
    <row r="180">
      <c r="A180" s="19" t="inlineStr">
        <is>
          <t>BV-END-007</t>
        </is>
      </c>
      <c r="B180" s="19" t="inlineStr">
        <is>
          <t>Endorsements and cancellations</t>
        </is>
      </c>
      <c r="C180" s="19" t="inlineStr">
        <is>
          <t>Direct-bill endorsement books commission due from insurer</t>
        </is>
      </c>
      <c r="D180" s="19" t="inlineStr">
        <is>
          <t>Pass</t>
        </is>
      </c>
      <c r="E180" s="19" t="inlineStr">
        <is>
          <t>backend/test/endorsements.test.js
backend/test/direct-bill.test.js</t>
        </is>
      </c>
      <c r="F180" s="19" t="inlineStr">
        <is>
          <t>a premium change marked direct bill books the commission due from the insurer instead of a client bill
a return premium on a direct-bill policy returns the commission (reverse booking)</t>
        </is>
      </c>
      <c r="G180" s="19" t="inlineStr"/>
      <c r="H180" s="19" t="inlineStr"/>
      <c r="I180" s="19" t="inlineStr"/>
      <c r="J180" s="19" t="inlineStr"/>
    </row>
    <row r="181">
      <c r="A181" s="19" t="inlineStr">
        <is>
          <t>BV-END-008</t>
        </is>
      </c>
      <c r="B181" s="19" t="inlineStr">
        <is>
          <t>Endorsements and cancellations</t>
        </is>
      </c>
      <c r="C181" s="19" t="inlineStr">
        <is>
          <t>Endorsement list, permissions and numbering</t>
        </is>
      </c>
      <c r="D181" s="19" t="inlineStr">
        <is>
          <t>Pass</t>
        </is>
      </c>
      <c r="E181" s="19" t="inlineStr">
        <is>
          <t>backend/test/endorsements.test.js
backend/test/endorsements.test.js
backend/test/numbering.test.js</t>
        </is>
      </c>
      <c r="F181" s="19" t="inlineStr">
        <is>
          <t>reads back and lists (by policy and client)
validates and enforces permissions
endorsements take their number inside the transaction</t>
        </is>
      </c>
      <c r="G181" s="19" t="inlineStr"/>
      <c r="H181" s="19" t="inlineStr"/>
      <c r="I181" s="19" t="inlineStr"/>
      <c r="J181" s="19" t="inlineStr"/>
    </row>
    <row r="182">
      <c r="A182" s="19" t="inlineStr">
        <is>
          <t>BV-END-009</t>
        </is>
      </c>
      <c r="B182" s="19" t="inlineStr">
        <is>
          <t>Endorsements and cancellations</t>
        </is>
      </c>
      <c r="C182" s="19" t="inlineStr">
        <is>
          <t>Endorsement booked on its issue date</t>
        </is>
      </c>
      <c r="D182" s="19" t="inlineStr">
        <is>
          <t>Pass</t>
        </is>
      </c>
      <c r="E182" s="19" t="inlineStr">
        <is>
          <t>backend/test/uat-disconnects.test.js</t>
        </is>
      </c>
      <c r="F182" s="19" t="inlineStr">
        <is>
          <t>books an endorsement premium on the endorsement issue date</t>
        </is>
      </c>
      <c r="G182" s="19" t="inlineStr"/>
      <c r="H182" s="19" t="inlineStr"/>
      <c r="I182" s="19" t="inlineStr"/>
      <c r="J182" s="19" t="inlineStr"/>
    </row>
    <row r="183">
      <c r="A183" s="19" t="inlineStr">
        <is>
          <t>BV-END-010</t>
        </is>
      </c>
      <c r="B183" s="19" t="inlineStr">
        <is>
          <t>Endorsements and cancellations</t>
        </is>
      </c>
      <c r="C183" s="19" t="inlineStr">
        <is>
          <t>Agent endorses own policies only</t>
        </is>
      </c>
      <c r="D183" s="19" t="inlineStr">
        <is>
          <t>Pass</t>
        </is>
      </c>
      <c r="E183" s="19" t="inlineStr">
        <is>
          <t>backend/test/scope.test.js</t>
        </is>
      </c>
      <c r="F183" s="19" t="inlineStr">
        <is>
          <t>endorsements: agents endorse their own policies only</t>
        </is>
      </c>
      <c r="G183" s="19" t="inlineStr"/>
      <c r="H183" s="19" t="inlineStr"/>
      <c r="I183" s="19" t="inlineStr"/>
      <c r="J183" s="19" t="inlineStr"/>
    </row>
    <row r="184">
      <c r="A184" s="19" t="inlineStr">
        <is>
          <t>BV-END-011</t>
        </is>
      </c>
      <c r="B184" s="19" t="inlineStr">
        <is>
          <t>Endorsements and cancellations</t>
        </is>
      </c>
      <c r="C184" s="19" t="inlineStr">
        <is>
          <t>Cancel a policy at the client request with pro-rata return</t>
        </is>
      </c>
      <c r="D184" s="19" t="inlineStr">
        <is>
          <t>Pass</t>
        </is>
      </c>
      <c r="E184" s="19" t="inlineStr">
        <is>
          <t>backend/test/endorsements.test.js</t>
        </is>
      </c>
      <c r="F184" s="19" t="inlineStr">
        <is>
          <t>cancels a policy through a cancellation endorsement</t>
        </is>
      </c>
      <c r="G184" s="19" t="inlineStr">
        <is>
          <t>Servicing: endorsements, renewals, claims</t>
        </is>
      </c>
      <c r="H184" s="19" t="inlineStr">
        <is>
          <t>31 passed, 0 failed</t>
        </is>
      </c>
      <c r="I184" s="19" t="inlineStr"/>
      <c r="J184" s="19" t="inlineStr"/>
    </row>
    <row r="185">
      <c r="A185" s="19" t="inlineStr">
        <is>
          <t>BV-END-012</t>
        </is>
      </c>
      <c r="B185" s="19" t="inlineStr">
        <is>
          <t>Endorsements and cancellations</t>
        </is>
      </c>
      <c r="C185" s="19" t="inlineStr">
        <is>
          <t>Cancellation without return reverses the open bill</t>
        </is>
      </c>
      <c r="D185" s="19" t="inlineStr">
        <is>
          <t>Pass</t>
        </is>
      </c>
      <c r="E185" s="19" t="inlineStr">
        <is>
          <t>backend/test/posting-rules.test.js</t>
        </is>
      </c>
      <c r="F185" s="19" t="inlineStr">
        <is>
          <t>cancellation without a return amount reverses the open bill exactly as booked</t>
        </is>
      </c>
      <c r="G185" s="19" t="inlineStr"/>
      <c r="H185" s="19" t="inlineStr"/>
      <c r="I185" s="19" t="inlineStr"/>
      <c r="J185" s="19" t="inlineStr"/>
    </row>
    <row r="186">
      <c r="A186" s="19" t="inlineStr">
        <is>
          <t>BV-END-013</t>
        </is>
      </c>
      <c r="B186" s="19" t="inlineStr">
        <is>
          <t>Endorsements and cancellations</t>
        </is>
      </c>
      <c r="C186" s="19" t="inlineStr">
        <is>
          <t>Cancellation for non-payment from credit control</t>
        </is>
      </c>
      <c r="D186" s="19" t="inlineStr">
        <is>
          <t>Pass</t>
        </is>
      </c>
      <c r="E186" s="19" t="inlineStr">
        <is>
          <t>backend/test/credit-control.test.js</t>
        </is>
      </c>
      <c r="F186" s="19" t="inlineStr">
        <is>
          <t>raises a cancellation request for Operations without cancelling the policy</t>
        </is>
      </c>
      <c r="G186" s="19" t="inlineStr">
        <is>
          <t>Billing and collection</t>
        </is>
      </c>
      <c r="H186" s="19" t="inlineStr">
        <is>
          <t>61 passed, 0 failed</t>
        </is>
      </c>
      <c r="I186" s="19" t="inlineStr"/>
      <c r="J186" s="19" t="inlineStr"/>
    </row>
    <row r="187">
      <c r="A187" s="19" t="inlineStr">
        <is>
          <t>BV-CLM-001</t>
        </is>
      </c>
      <c r="B187" s="19" t="inlineStr">
        <is>
          <t>Claims</t>
        </is>
      </c>
      <c r="C187" s="19" t="inlineStr">
        <is>
          <t>Register a motor claim with documents</t>
        </is>
      </c>
      <c r="D187" s="19" t="inlineStr">
        <is>
          <t>Pass</t>
        </is>
      </c>
      <c r="E187" s="19" t="inlineStr">
        <is>
          <t>backend/test/claims.test.js</t>
        </is>
      </c>
      <c r="F187" s="19" t="inlineStr">
        <is>
          <t>registers a claim (multipart), sends the Preliminary Loss Advice and notifies the handler and policy owner</t>
        </is>
      </c>
      <c r="G187" s="19" t="inlineStr">
        <is>
          <t>Servicing: endorsements, renewals, claims</t>
        </is>
      </c>
      <c r="H187" s="19" t="inlineStr">
        <is>
          <t>31 passed, 0 failed</t>
        </is>
      </c>
      <c r="I187" s="19" t="inlineStr">
        <is>
          <t>/agent/claim</t>
        </is>
      </c>
      <c r="J187" s="19" t="inlineStr">
        <is>
          <t>opened clean</t>
        </is>
      </c>
    </row>
    <row r="188">
      <c r="A188" s="19" t="inlineStr">
        <is>
          <t>BV-CLM-002</t>
        </is>
      </c>
      <c r="B188" s="19" t="inlineStr">
        <is>
          <t>Claims</t>
        </is>
      </c>
      <c r="C188" s="19" t="inlineStr">
        <is>
          <t>Loss date outside the policy period refused</t>
        </is>
      </c>
      <c r="D188" s="19" t="inlineStr">
        <is>
          <t>Pass</t>
        </is>
      </c>
      <c r="E188" s="19" t="inlineStr">
        <is>
          <t>backend/test/claims.test.js</t>
        </is>
      </c>
      <c r="F188" s="19" t="inlineStr">
        <is>
          <t>rejects invalid registrations (validation, loss date outside the period, unpaid premium) and honours the setting</t>
        </is>
      </c>
      <c r="G188" s="19" t="inlineStr"/>
      <c r="H188" s="19" t="inlineStr"/>
      <c r="I188" s="19" t="inlineStr"/>
      <c r="J188" s="19" t="inlineStr"/>
    </row>
    <row r="189">
      <c r="A189" s="19" t="inlineStr">
        <is>
          <t>BV-CLM-003</t>
        </is>
      </c>
      <c r="B189" s="19" t="inlineStr">
        <is>
          <t>Claims</t>
        </is>
      </c>
      <c r="C189" s="19" t="inlineStr">
        <is>
          <t>Claim refused while premium unpaid (rule on)</t>
        </is>
      </c>
      <c r="D189" s="19" t="inlineStr">
        <is>
          <t>Pass</t>
        </is>
      </c>
      <c r="E189" s="19" t="inlineStr">
        <is>
          <t>backend/test/claims.test.js</t>
        </is>
      </c>
      <c r="F189" s="19" t="inlineStr">
        <is>
          <t>rejects invalid registrations (validation, loss date outside the period, unpaid premium) and honours the setting</t>
        </is>
      </c>
      <c r="G189" s="19" t="inlineStr"/>
      <c r="H189" s="19" t="inlineStr"/>
      <c r="I189" s="19" t="inlineStr"/>
      <c r="J189" s="19" t="inlineStr"/>
    </row>
    <row r="190">
      <c r="A190" s="19" t="inlineStr">
        <is>
          <t>BV-CLM-004</t>
        </is>
      </c>
      <c r="B190" s="19" t="inlineStr">
        <is>
          <t>Claims</t>
        </is>
      </c>
      <c r="C190" s="19" t="inlineStr">
        <is>
          <t>Reported date before the date of loss refused</t>
        </is>
      </c>
      <c r="D190" s="19" t="inlineStr">
        <is>
          <t>Pass</t>
        </is>
      </c>
      <c r="E190" s="19" t="inlineStr">
        <is>
          <t>backend/test/role-access.test.js</t>
        </is>
      </c>
      <c r="F190" s="19" t="inlineStr">
        <is>
          <t>refuses a reported date before the date of loss, on registration and on update</t>
        </is>
      </c>
      <c r="G190" s="19" t="inlineStr"/>
      <c r="H190" s="19" t="inlineStr"/>
      <c r="I190" s="19" t="inlineStr"/>
      <c r="J190" s="19" t="inlineStr"/>
    </row>
    <row r="191">
      <c r="A191" s="19" t="inlineStr">
        <is>
          <t>BV-CLM-005</t>
        </is>
      </c>
      <c r="B191" s="19" t="inlineStr">
        <is>
          <t>Claims</t>
        </is>
      </c>
      <c r="C191" s="19" t="inlineStr">
        <is>
          <t>Review with insurer claim number and adjuster report</t>
        </is>
      </c>
      <c r="D191" s="19" t="inlineStr">
        <is>
          <t>Pass</t>
        </is>
      </c>
      <c r="E191" s="19" t="inlineStr">
        <is>
          <t>backend/test/claims.test.js</t>
        </is>
      </c>
      <c r="F191" s="19" t="inlineStr">
        <is>
          <t>moves through review, adjuster report, settlement maker-checker to settled and closed</t>
        </is>
      </c>
      <c r="G191" s="19" t="inlineStr">
        <is>
          <t>Servicing: endorsements, renewals, claims</t>
        </is>
      </c>
      <c r="H191" s="19" t="inlineStr">
        <is>
          <t>31 passed, 0 failed</t>
        </is>
      </c>
      <c r="I191" s="19" t="inlineStr"/>
      <c r="J191" s="19" t="inlineStr"/>
    </row>
    <row r="192">
      <c r="A192" s="19" t="inlineStr">
        <is>
          <t>BV-CLM-006</t>
        </is>
      </c>
      <c r="B192" s="19" t="inlineStr">
        <is>
          <t>Claims</t>
        </is>
      </c>
      <c r="C192" s="19" t="inlineStr">
        <is>
          <t>Settlement needs a second claims user</t>
        </is>
      </c>
      <c r="D192" s="19" t="inlineStr">
        <is>
          <t>Pass</t>
        </is>
      </c>
      <c r="E192" s="19" t="inlineStr">
        <is>
          <t>backend/test/claims.test.js</t>
        </is>
      </c>
      <c r="F192" s="19" t="inlineStr">
        <is>
          <t>moves through review, adjuster report, settlement maker-checker to settled and closed</t>
        </is>
      </c>
      <c r="G192" s="19" t="inlineStr">
        <is>
          <t>Servicing: endorsements, renewals, claims</t>
        </is>
      </c>
      <c r="H192" s="19" t="inlineStr">
        <is>
          <t>31 passed, 0 failed</t>
        </is>
      </c>
      <c r="I192" s="19" t="inlineStr"/>
      <c r="J192" s="19" t="inlineStr"/>
    </row>
    <row r="193">
      <c r="A193" s="19" t="inlineStr">
        <is>
          <t>BV-CLM-007</t>
        </is>
      </c>
      <c r="B193" s="19" t="inlineStr">
        <is>
          <t>Claims</t>
        </is>
      </c>
      <c r="C193" s="19" t="inlineStr">
        <is>
          <t>Settlement type outside the master refused</t>
        </is>
      </c>
      <c r="D193" s="19" t="inlineStr">
        <is>
          <t>Pass</t>
        </is>
      </c>
      <c r="E193" s="19" t="inlineStr">
        <is>
          <t>backend/test/claims.test.js</t>
        </is>
      </c>
      <c r="F193" s="19" t="inlineStr">
        <is>
          <t>serves the claim masters and rejects a settlement type outside the master</t>
        </is>
      </c>
      <c r="G193" s="19" t="inlineStr"/>
      <c r="H193" s="19" t="inlineStr"/>
      <c r="I193" s="19" t="inlineStr"/>
      <c r="J193" s="19" t="inlineStr"/>
    </row>
    <row r="194">
      <c r="A194" s="19" t="inlineStr">
        <is>
          <t>BV-CLM-008</t>
        </is>
      </c>
      <c r="B194" s="19" t="inlineStr">
        <is>
          <t>Claims</t>
        </is>
      </c>
      <c r="C194" s="19" t="inlineStr">
        <is>
          <t>Settle date before issue date refused on screen</t>
        </is>
      </c>
      <c r="D194" s="19" t="inlineStr">
        <is>
          <t>Not Run</t>
        </is>
      </c>
      <c r="E194" s="19" t="inlineStr"/>
      <c r="F194" s="19" t="inlineStr"/>
      <c r="G194" s="19" t="inlineStr"/>
      <c r="H194" s="19" t="inlineStr"/>
      <c r="I194" s="19" t="inlineStr"/>
      <c r="J194" s="19" t="inlineStr"/>
    </row>
    <row r="195">
      <c r="A195" s="19" t="inlineStr">
        <is>
          <t>BV-CLM-009</t>
        </is>
      </c>
      <c r="B195" s="19" t="inlineStr">
        <is>
          <t>Claims</t>
        </is>
      </c>
      <c r="C195" s="19" t="inlineStr">
        <is>
          <t>Settlement paid through the broker</t>
        </is>
      </c>
      <c r="D195" s="19" t="inlineStr">
        <is>
          <t>Pass</t>
        </is>
      </c>
      <c r="E195" s="19" t="inlineStr">
        <is>
          <t>backend/test/accounting-followups.test.js
backend/test/accounting-followups.test.js
backend/test/accounting-followups.test.js
backend/test/uat-disconnects.test.js</t>
        </is>
      </c>
      <c r="F195" s="19" t="inlineStr">
        <is>
          <t>books the settlement through the broker
records funds received from the insurer into a bank account (claim.funds_received), never more than due
records the payment to the claimant (claim.paid_to_claimant), never more than payable
the claim is settled on its settlement date and the broker settlement journal is dated with it</t>
        </is>
      </c>
      <c r="G195" s="19" t="inlineStr">
        <is>
          <t>Servicing: endorsements, renewals, claims</t>
        </is>
      </c>
      <c r="H195" s="19" t="inlineStr">
        <is>
          <t>31 passed, 0 failed</t>
        </is>
      </c>
      <c r="I195" s="19" t="inlineStr"/>
      <c r="J195" s="19" t="inlineStr"/>
    </row>
    <row r="196">
      <c r="A196" s="19" t="inlineStr">
        <is>
          <t>BV-CLM-010</t>
        </is>
      </c>
      <c r="B196" s="19" t="inlineStr">
        <is>
          <t>Claims</t>
        </is>
      </c>
      <c r="C196" s="19" t="inlineStr">
        <is>
          <t>Reject a claim and close without payment</t>
        </is>
      </c>
      <c r="D196" s="19" t="inlineStr">
        <is>
          <t>Pass</t>
        </is>
      </c>
      <c r="E196" s="19" t="inlineStr">
        <is>
          <t>backend/test/claims.test.js</t>
        </is>
      </c>
      <c r="F196" s="19" t="inlineStr">
        <is>
          <t>rejects a claim and returns the field-level audit trail</t>
        </is>
      </c>
      <c r="G196" s="19" t="inlineStr">
        <is>
          <t>Servicing: endorsements, renewals, claims</t>
        </is>
      </c>
      <c r="H196" s="19" t="inlineStr">
        <is>
          <t>31 passed, 0 failed</t>
        </is>
      </c>
      <c r="I196" s="19" t="inlineStr"/>
      <c r="J196" s="19" t="inlineStr"/>
    </row>
    <row r="197">
      <c r="A197" s="19" t="inlineStr">
        <is>
          <t>BV-CLM-011</t>
        </is>
      </c>
      <c r="B197" s="19" t="inlineStr">
        <is>
          <t>Claims</t>
        </is>
      </c>
      <c r="C197" s="19" t="inlineStr">
        <is>
          <t>Find a claim by search and status</t>
        </is>
      </c>
      <c r="D197" s="19" t="inlineStr">
        <is>
          <t>Pass</t>
        </is>
      </c>
      <c r="E197" s="19" t="inlineStr">
        <is>
          <t>backend/test/claims.test.js</t>
        </is>
      </c>
      <c r="F197" s="19" t="inlineStr">
        <is>
          <t>reads the claim back and finds it in the list by search and status</t>
        </is>
      </c>
      <c r="G197" s="19" t="inlineStr"/>
      <c r="H197" s="19" t="inlineStr"/>
      <c r="I197" s="19" t="inlineStr"/>
      <c r="J197" s="19" t="inlineStr"/>
    </row>
    <row r="198">
      <c r="A198" s="19" t="inlineStr">
        <is>
          <t>BV-CLM-012</t>
        </is>
      </c>
      <c r="B198" s="19" t="inlineStr">
        <is>
          <t>Claims</t>
        </is>
      </c>
      <c r="C198" s="19" t="inlineStr">
        <is>
          <t>Claims dashboard report and Excel download</t>
        </is>
      </c>
      <c r="D198" s="19" t="inlineStr">
        <is>
          <t>Pass</t>
        </is>
      </c>
      <c r="E198" s="19" t="inlineStr">
        <is>
          <t>backend/test/claims.test.js</t>
        </is>
      </c>
      <c r="F198" s="19" t="inlineStr">
        <is>
          <t>builds the dashboard report and the Excel downloads</t>
        </is>
      </c>
      <c r="G198" s="19" t="inlineStr">
        <is>
          <t>Reports and dashboards</t>
        </is>
      </c>
      <c r="H198" s="19" t="inlineStr">
        <is>
          <t>58 passed, 0 failed</t>
        </is>
      </c>
      <c r="I198" s="19" t="inlineStr">
        <is>
          <t>/claims/dashboard</t>
        </is>
      </c>
      <c r="J198" s="19" t="inlineStr">
        <is>
          <t>opened clean</t>
        </is>
      </c>
    </row>
    <row r="199">
      <c r="A199" s="19" t="inlineStr">
        <is>
          <t>BV-CLM-013</t>
        </is>
      </c>
      <c r="B199" s="19" t="inlineStr">
        <is>
          <t>Claims</t>
        </is>
      </c>
      <c r="C199" s="19" t="inlineStr">
        <is>
          <t>Agent registers FNOL on own policies; decisions need claims role</t>
        </is>
      </c>
      <c r="D199" s="19" t="inlineStr">
        <is>
          <t>Pass</t>
        </is>
      </c>
      <c r="E199" s="19" t="inlineStr">
        <is>
          <t>backend/test/scope.test.js
backend/test/scope.test.js
backend/test/claims.test.js</t>
        </is>
      </c>
      <c r="F199" s="19" t="inlineStr">
        <is>
          <t>claims: agents register first notice of loss on their own policies only and see only those claims
agents may update their claim but claim decisions need the claims (or admin) role
enforces permissions per persona</t>
        </is>
      </c>
      <c r="G199" s="19" t="inlineStr"/>
      <c r="H199" s="19" t="inlineStr"/>
      <c r="I199" s="19" t="inlineStr"/>
      <c r="J199" s="19" t="inlineStr"/>
    </row>
    <row r="200">
      <c r="A200" s="19" t="inlineStr">
        <is>
          <t>BV-CLM-014</t>
        </is>
      </c>
      <c r="B200" s="19" t="inlineStr">
        <is>
          <t>Claims</t>
        </is>
      </c>
      <c r="C200" s="19" t="inlineStr">
        <is>
          <t>No seeded claim is reported before its loss</t>
        </is>
      </c>
      <c r="D200" s="19" t="inlineStr">
        <is>
          <t>Pass</t>
        </is>
      </c>
      <c r="E200" s="19" t="inlineStr">
        <is>
          <t>backend/test/role-access.test.js</t>
        </is>
      </c>
      <c r="F200" s="19" t="inlineStr">
        <is>
          <t>no seeded claim is reported before its loss</t>
        </is>
      </c>
      <c r="G200" s="19" t="inlineStr"/>
      <c r="H200" s="19" t="inlineStr"/>
      <c r="I200" s="19" t="inlineStr"/>
      <c r="J200" s="19" t="inlineStr"/>
    </row>
    <row r="201">
      <c r="A201" s="19" t="inlineStr">
        <is>
          <t>BV-CLM-015</t>
        </is>
      </c>
      <c r="B201" s="19" t="inlineStr">
        <is>
          <t>Claims</t>
        </is>
      </c>
      <c r="C201" s="19" t="inlineStr">
        <is>
          <t>Claims show participants and their shares</t>
        </is>
      </c>
      <c r="D201" s="19" t="inlineStr">
        <is>
          <t>Pass</t>
        </is>
      </c>
      <c r="E201" s="19" t="inlineStr">
        <is>
          <t>backend/test/posting-rules.test.js</t>
        </is>
      </c>
      <c r="F201" s="19" t="inlineStr">
        <is>
          <t>collections and claims show the participants and their shares</t>
        </is>
      </c>
      <c r="G201" s="19" t="inlineStr"/>
      <c r="H201" s="19" t="inlineStr"/>
      <c r="I201" s="19" t="inlineStr"/>
      <c r="J201" s="19" t="inlineStr"/>
    </row>
    <row r="202">
      <c r="A202" s="19" t="inlineStr">
        <is>
          <t>BV-REN-001</t>
        </is>
      </c>
      <c r="B202" s="19" t="inlineStr">
        <is>
          <t>Renewals</t>
        </is>
      </c>
      <c r="C202" s="19" t="inlineStr">
        <is>
          <t>Put an expiring policy into the renewal pipeline</t>
        </is>
      </c>
      <c r="D202" s="19" t="inlineStr">
        <is>
          <t>Pass</t>
        </is>
      </c>
      <c r="E202" s="19" t="inlineStr">
        <is>
          <t>backend/test/renewals.test.js</t>
        </is>
      </c>
      <c r="F202" s="19" t="inlineStr">
        <is>
          <t>puts a policy into the pipeline and lists it for the client</t>
        </is>
      </c>
      <c r="G202" s="19" t="inlineStr">
        <is>
          <t>Servicing: endorsements, renewals, claims</t>
        </is>
      </c>
      <c r="H202" s="19" t="inlineStr">
        <is>
          <t>31 passed, 0 failed</t>
        </is>
      </c>
      <c r="I202" s="19" t="inlineStr">
        <is>
          <t>/agent/expired-policies</t>
        </is>
      </c>
      <c r="J202" s="19" t="inlineStr">
        <is>
          <t>opened clean</t>
        </is>
      </c>
    </row>
    <row r="203">
      <c r="A203" s="19" t="inlineStr">
        <is>
          <t>BV-REN-002</t>
        </is>
      </c>
      <c r="B203" s="19" t="inlineStr">
        <is>
          <t>Renewals</t>
        </is>
      </c>
      <c r="C203" s="19" t="inlineStr">
        <is>
          <t>Renewal notices strictly in order with e-mail to the client</t>
        </is>
      </c>
      <c r="D203" s="19" t="inlineStr">
        <is>
          <t>Pass</t>
        </is>
      </c>
      <c r="E203" s="19" t="inlineStr">
        <is>
          <t>backend/test/renewals.test.js</t>
        </is>
      </c>
      <c r="F203" s="19" t="inlineStr">
        <is>
          <t>sends notices strictly in order and e-mails the client</t>
        </is>
      </c>
      <c r="G203" s="19" t="inlineStr">
        <is>
          <t>Servicing: endorsements, renewals, claims</t>
        </is>
      </c>
      <c r="H203" s="19" t="inlineStr">
        <is>
          <t>31 passed, 0 failed</t>
        </is>
      </c>
      <c r="I203" s="19" t="inlineStr"/>
      <c r="J203" s="19" t="inlineStr"/>
    </row>
    <row r="204">
      <c r="A204" s="19" t="inlineStr">
        <is>
          <t>BV-REN-003</t>
        </is>
      </c>
      <c r="B204" s="19" t="inlineStr">
        <is>
          <t>Renewals</t>
        </is>
      </c>
      <c r="C204" s="19" t="inlineStr">
        <is>
          <t>Re-rate the renewal at current rates with claims loading</t>
        </is>
      </c>
      <c r="D204" s="19" t="inlineStr">
        <is>
          <t>Pass</t>
        </is>
      </c>
      <c r="E204" s="19" t="inlineStr">
        <is>
          <t>backend/test/renewals.test.js</t>
        </is>
      </c>
      <c r="F204" s="19" t="inlineStr">
        <is>
          <t>re-rates the renewal at current rates with claims loading, taxes and premium variance</t>
        </is>
      </c>
      <c r="G204" s="19" t="inlineStr"/>
      <c r="H204" s="19" t="inlineStr"/>
      <c r="I204" s="19" t="inlineStr"/>
      <c r="J204" s="19" t="inlineStr"/>
    </row>
    <row r="205">
      <c r="A205" s="19" t="inlineStr">
        <is>
          <t>BV-REN-004</t>
        </is>
      </c>
      <c r="B205" s="19" t="inlineStr">
        <is>
          <t>Renewals</t>
        </is>
      </c>
      <c r="C205" s="19" t="inlineStr">
        <is>
          <t>Wizard prefilled from the expiring policy</t>
        </is>
      </c>
      <c r="D205" s="19" t="inlineStr">
        <is>
          <t>Pass</t>
        </is>
      </c>
      <c r="E205" s="19" t="inlineStr">
        <is>
          <t>backend/test/renewals.test.js
backend/test/renewals.test.js</t>
        </is>
      </c>
      <c r="F205" s="19" t="inlineStr">
        <is>
          <t>prefills the wizard from the expiring policy only (quotation data; blank accessories)
prefills a policy without a quotation from the policy row (sum insured, insurer, client)</t>
        </is>
      </c>
      <c r="G205" s="19" t="inlineStr"/>
      <c r="H205" s="19" t="inlineStr"/>
      <c r="I205" s="19" t="inlineStr"/>
      <c r="J205" s="19" t="inlineStr"/>
    </row>
    <row r="206">
      <c r="A206" s="19" t="inlineStr">
        <is>
          <t>BV-REN-005</t>
        </is>
      </c>
      <c r="B206" s="19" t="inlineStr">
        <is>
          <t>Renewals</t>
        </is>
      </c>
      <c r="C206" s="19" t="inlineStr">
        <is>
          <t>Renewal needs approval by a different user</t>
        </is>
      </c>
      <c r="D206" s="19" t="inlineStr">
        <is>
          <t>Pass</t>
        </is>
      </c>
      <c r="E206" s="19" t="inlineStr">
        <is>
          <t>backend/test/renewals.test.js</t>
        </is>
      </c>
      <c r="F206" s="19" t="inlineStr">
        <is>
          <t>requires checker approval by a different user and then renews into a new policy term</t>
        </is>
      </c>
      <c r="G206" s="19" t="inlineStr">
        <is>
          <t>Servicing: endorsements, renewals, claims</t>
        </is>
      </c>
      <c r="H206" s="19" t="inlineStr">
        <is>
          <t>31 passed, 0 failed</t>
        </is>
      </c>
      <c r="I206" s="19" t="inlineStr"/>
      <c r="J206" s="19" t="inlineStr"/>
    </row>
    <row r="207">
      <c r="A207" s="19" t="inlineStr">
        <is>
          <t>BV-REN-006</t>
        </is>
      </c>
      <c r="B207" s="19" t="inlineStr">
        <is>
          <t>Renewals</t>
        </is>
      </c>
      <c r="C207" s="19" t="inlineStr">
        <is>
          <t>Renewal through a renewal quotation (motor)</t>
        </is>
      </c>
      <c r="D207" s="19" t="inlineStr">
        <is>
          <t>Pass</t>
        </is>
      </c>
      <c r="E207" s="19" t="inlineStr">
        <is>
          <t>backend/test/renewals.test.js
backend/test/renewals.test.js</t>
        </is>
      </c>
      <c r="F207" s="19" t="inlineStr">
        <is>
          <t>creates the renewal quotation linked to the expiring policy (insurer, client, lead, vehicle, product carried)
issues the accepted renewal quotation as the new term: old policy renewed, receivable and balanced journal, commission</t>
        </is>
      </c>
      <c r="G207" s="19" t="inlineStr">
        <is>
          <t>Servicing: endorsements, renewals, claims</t>
        </is>
      </c>
      <c r="H207" s="19" t="inlineStr">
        <is>
          <t>31 passed, 0 failed</t>
        </is>
      </c>
      <c r="I207" s="19" t="inlineStr"/>
      <c r="J207" s="19" t="inlineStr"/>
    </row>
    <row r="208">
      <c r="A208" s="19" t="inlineStr">
        <is>
          <t>BV-REN-007</t>
        </is>
      </c>
      <c r="B208" s="19" t="inlineStr">
        <is>
          <t>Renewals</t>
        </is>
      </c>
      <c r="C208" s="19" t="inlineStr">
        <is>
          <t>Fire renewal priced on the expiring net premium</t>
        </is>
      </c>
      <c r="D208" s="19" t="inlineStr">
        <is>
          <t>Pass</t>
        </is>
      </c>
      <c r="E208" s="19" t="inlineStr">
        <is>
          <t>backend/test/uat-disconnects.test.js</t>
        </is>
      </c>
      <c r="F208" s="19" t="inlineStr">
        <is>
          <t>a renewal quotation of a fire policy is priced on the expiring net premium; a quotation without premium is not sent</t>
        </is>
      </c>
      <c r="G208" s="19" t="inlineStr"/>
      <c r="H208" s="19" t="inlineStr"/>
      <c r="I208" s="19" t="inlineStr"/>
      <c r="J208" s="19" t="inlineStr"/>
    </row>
    <row r="209">
      <c r="A209" s="19" t="inlineStr">
        <is>
          <t>BV-REN-008</t>
        </is>
      </c>
      <c r="B209" s="19" t="inlineStr">
        <is>
          <t>Renewals</t>
        </is>
      </c>
      <c r="C209" s="19" t="inlineStr">
        <is>
          <t>Renewal completed in the workspace carries bill and commission</t>
        </is>
      </c>
      <c r="D209" s="19" t="inlineStr">
        <is>
          <t>Pass</t>
        </is>
      </c>
      <c r="E209" s="19" t="inlineStr">
        <is>
          <t>backend/test/uat-disconnects.test.js</t>
        </is>
      </c>
      <c r="F209" s="19" t="inlineStr">
        <is>
          <t>a renewal completed in the renewal workspace is a full policy term with its bill and the producer's commission</t>
        </is>
      </c>
      <c r="G209" s="19" t="inlineStr">
        <is>
          <t>Servicing: endorsements, renewals, claims</t>
        </is>
      </c>
      <c r="H209" s="19" t="inlineStr">
        <is>
          <t>31 passed, 0 failed</t>
        </is>
      </c>
      <c r="I209" s="19" t="inlineStr"/>
      <c r="J209" s="19" t="inlineStr"/>
    </row>
    <row r="210">
      <c r="A210" s="19" t="inlineStr">
        <is>
          <t>BV-REN-009</t>
        </is>
      </c>
      <c r="B210" s="19" t="inlineStr">
        <is>
          <t>Renewals</t>
        </is>
      </c>
      <c r="C210" s="19" t="inlineStr">
        <is>
          <t>Lapse with a reason and reinstate</t>
        </is>
      </c>
      <c r="D210" s="19" t="inlineStr">
        <is>
          <t>Pass</t>
        </is>
      </c>
      <c r="E210" s="19" t="inlineStr">
        <is>
          <t>backend/test/renewals.test.js</t>
        </is>
      </c>
      <c r="F210" s="19" t="inlineStr">
        <is>
          <t>lapses and reinstates a renewal; validates the lapse reason</t>
        </is>
      </c>
      <c r="G210" s="19" t="inlineStr">
        <is>
          <t>Servicing: endorsements, renewals, claims</t>
        </is>
      </c>
      <c r="H210" s="19" t="inlineStr">
        <is>
          <t>31 passed, 0 failed</t>
        </is>
      </c>
      <c r="I210" s="19" t="inlineStr">
        <is>
          <t>/renewal/lapse-management</t>
        </is>
      </c>
      <c r="J210" s="19" t="inlineStr">
        <is>
          <t>opened clean</t>
        </is>
      </c>
    </row>
    <row r="211">
      <c r="A211" s="19" t="inlineStr">
        <is>
          <t>BV-REN-010</t>
        </is>
      </c>
      <c r="B211" s="19" t="inlineStr">
        <is>
          <t>Renewals</t>
        </is>
      </c>
      <c r="C211" s="19" t="inlineStr">
        <is>
          <t>Renewal of a policy expired beyond grace plus lapsed window refused</t>
        </is>
      </c>
      <c r="D211" s="19" t="inlineStr">
        <is>
          <t>Pass</t>
        </is>
      </c>
      <c r="E211" s="19" t="inlineStr"/>
      <c r="F211" s="19" t="inlineStr"/>
      <c r="G211" s="19" t="inlineStr">
        <is>
          <t>Servicing: endorsements, renewals, claims</t>
        </is>
      </c>
      <c r="H211" s="19" t="inlineStr">
        <is>
          <t>31 passed, 0 failed</t>
        </is>
      </c>
      <c r="I211" s="19" t="inlineStr"/>
      <c r="J211" s="19" t="inlineStr"/>
    </row>
    <row r="212">
      <c r="A212" s="19" t="inlineStr">
        <is>
          <t>BV-REN-011</t>
        </is>
      </c>
      <c r="B212" s="19" t="inlineStr">
        <is>
          <t>Renewals</t>
        </is>
      </c>
      <c r="C212" s="19" t="inlineStr">
        <is>
          <t>Batch renewal run with retry</t>
        </is>
      </c>
      <c r="D212" s="19" t="inlineStr">
        <is>
          <t>Pass</t>
        </is>
      </c>
      <c r="E212" s="19" t="inlineStr">
        <is>
          <t>backend/test/renewals.test.js</t>
        </is>
      </c>
      <c r="F212" s="19" t="inlineStr">
        <is>
          <t>runs a renewal batch through the PostgreSQL job queue (sent, failed, retry, report)</t>
        </is>
      </c>
      <c r="G212" s="19" t="inlineStr"/>
      <c r="H212" s="19" t="inlineStr"/>
      <c r="I212" s="19" t="inlineStr">
        <is>
          <t>/agent/renewal-batch</t>
        </is>
      </c>
      <c r="J212" s="19" t="inlineStr">
        <is>
          <t>opened clean</t>
        </is>
      </c>
    </row>
    <row r="213">
      <c r="A213" s="19" t="inlineStr">
        <is>
          <t>BV-REN-012</t>
        </is>
      </c>
      <c r="B213" s="19" t="inlineStr">
        <is>
          <t>Renewals</t>
        </is>
      </c>
      <c r="C213" s="19" t="inlineStr">
        <is>
          <t>Renewal queue, at-risk, negotiations, performance</t>
        </is>
      </c>
      <c r="D213" s="19" t="inlineStr">
        <is>
          <t>Pass</t>
        </is>
      </c>
      <c r="E213" s="19" t="inlineStr">
        <is>
          <t>backend/test/renewals.test.js</t>
        </is>
      </c>
      <c r="F213" s="19" t="inlineStr">
        <is>
          <t>serves the workspace read models (queue, at-risk, negotiations, performance, campaigns)</t>
        </is>
      </c>
      <c r="G213" s="19" t="inlineStr">
        <is>
          <t>Reports and dashboards</t>
        </is>
      </c>
      <c r="H213" s="19" t="inlineStr">
        <is>
          <t>58 passed, 0 failed</t>
        </is>
      </c>
      <c r="I213" s="19" t="inlineStr">
        <is>
          <t>/renewal/queue
/renewal/at-risk
/renewal/negotiations
/renewal/performance
/renewal/analytics</t>
        </is>
      </c>
      <c r="J213" s="19" t="inlineStr">
        <is>
          <t>opened clean
opened clean
opened clean
opened clean
opened clean</t>
        </is>
      </c>
    </row>
    <row r="214">
      <c r="A214" s="19" t="inlineStr">
        <is>
          <t>BV-REN-013</t>
        </is>
      </c>
      <c r="B214" s="19" t="inlineStr">
        <is>
          <t>Renewals</t>
        </is>
      </c>
      <c r="C214" s="19" t="inlineStr">
        <is>
          <t>Renew a whole package</t>
        </is>
      </c>
      <c r="D214" s="19" t="inlineStr">
        <is>
          <t>Pass</t>
        </is>
      </c>
      <c r="E214" s="19" t="inlineStr">
        <is>
          <t>backend/test/packages.test.js</t>
        </is>
      </c>
      <c r="F214" s="19" t="inlineStr">
        <is>
          <t>renews the whole package into a quotation for the next term and marks the policy renewed on issue</t>
        </is>
      </c>
      <c r="G214" s="19" t="inlineStr"/>
      <c r="H214" s="19" t="inlineStr"/>
      <c r="I214" s="19" t="inlineStr"/>
      <c r="J214" s="19" t="inlineStr"/>
    </row>
    <row r="215">
      <c r="A215" s="19" t="inlineStr">
        <is>
          <t>BV-REN-014</t>
        </is>
      </c>
      <c r="B215" s="19" t="inlineStr">
        <is>
          <t>Renewals</t>
        </is>
      </c>
      <c r="C215" s="19" t="inlineStr">
        <is>
          <t>Renew a policy without quotation or prospect</t>
        </is>
      </c>
      <c r="D215" s="19" t="inlineStr">
        <is>
          <t>Pass</t>
        </is>
      </c>
      <c r="E215" s="19" t="inlineStr">
        <is>
          <t>backend/test/renewals.test.js</t>
        </is>
      </c>
      <c r="F215" s="19" t="inlineStr">
        <is>
          <t>renews a seeded policy without quotation or lead (client e-mail, client-based conversion)</t>
        </is>
      </c>
      <c r="G215" s="19" t="inlineStr"/>
      <c r="H215" s="19" t="inlineStr"/>
      <c r="I215" s="19" t="inlineStr"/>
      <c r="J215" s="19" t="inlineStr"/>
    </row>
    <row r="216">
      <c r="A216" s="19" t="inlineStr">
        <is>
          <t>BV-REN-015</t>
        </is>
      </c>
      <c r="B216" s="19" t="inlineStr">
        <is>
          <t>Renewals</t>
        </is>
      </c>
      <c r="C216" s="19" t="inlineStr">
        <is>
          <t>Renewal permissions per persona</t>
        </is>
      </c>
      <c r="D216" s="19" t="inlineStr">
        <is>
          <t>Pass</t>
        </is>
      </c>
      <c r="E216" s="19" t="inlineStr">
        <is>
          <t>backend/test/renewals.test.js
backend/test/role-access.test.js
brokerverse/src/utils/menuPermissions.test.js</t>
        </is>
      </c>
      <c r="F216" s="19" t="inlineStr">
        <is>
          <t>enforces permissions per persona
prefills and saves the renewal wizard of an own policy; another agent's policy answers 404
operations and processing get the renewals workspace; accounting does not</t>
        </is>
      </c>
      <c r="G216" s="19" t="inlineStr"/>
      <c r="H216" s="19" t="inlineStr"/>
      <c r="I216" s="19" t="inlineStr"/>
      <c r="J216" s="19" t="inlineStr"/>
    </row>
    <row r="217">
      <c r="A217" s="19" t="inlineStr">
        <is>
          <t>BV-REN-016</t>
        </is>
      </c>
      <c r="B217" s="19" t="inlineStr">
        <is>
          <t>Renewals</t>
        </is>
      </c>
      <c r="C217" s="19" t="inlineStr">
        <is>
          <t>Renewal notice job follows the reminder setting and Manila date</t>
        </is>
      </c>
      <c r="D217" s="19" t="inlineStr">
        <is>
          <t>Pass</t>
        </is>
      </c>
      <c r="E217" s="19" t="inlineStr">
        <is>
          <t>backend/test/configuration.test.js
backend/test/operations.test.js</t>
        </is>
      </c>
      <c r="F217" s="19" t="inlineStr">
        <is>
          <t>the renewal notice job honours notification.renewal_reminder
uses the Manila business date, not the database current_date, in the expiry and renewal-notice jobs</t>
        </is>
      </c>
      <c r="G217" s="19" t="inlineStr"/>
      <c r="H217" s="19" t="inlineStr"/>
      <c r="I217" s="19" t="inlineStr"/>
      <c r="J217" s="19" t="inlineStr"/>
    </row>
    <row r="218">
      <c r="A218" s="19" t="inlineStr">
        <is>
          <t>BV-PAY-001</t>
        </is>
      </c>
      <c r="B218" s="19" t="inlineStr">
        <is>
          <t>Open items and payments</t>
        </is>
      </c>
      <c r="C218" s="19" t="inlineStr">
        <is>
          <t>Sales captures a client bank transfer for verification</t>
        </is>
      </c>
      <c r="D218" s="19" t="inlineStr">
        <is>
          <t>Pass</t>
        </is>
      </c>
      <c r="E218" s="19" t="inlineStr">
        <is>
          <t>backend/test/policy-payments.test.js
backend/test/policy-payments.test.js
backend/test/payment-segregation.test.js</t>
        </is>
      </c>
      <c r="F218" s="19" t="inlineStr">
        <is>
          <t>a non-finance user's capture is recorded for verification and posts no receipt or journal
every capture has an acknowledgement receipt number and a printable acknowledgement receipt
sales, underwriting and agents record a pending payment (no receipt, no journal); finance verifies it</t>
        </is>
      </c>
      <c r="G218" s="19" t="inlineStr">
        <is>
          <t>Billing and collection</t>
        </is>
      </c>
      <c r="H218" s="19" t="inlineStr">
        <is>
          <t>61 passed, 0 failed</t>
        </is>
      </c>
      <c r="I218" s="19" t="inlineStr">
        <is>
          <t>/agent/payments</t>
        </is>
      </c>
      <c r="J218" s="19" t="inlineStr">
        <is>
          <t>opened clean</t>
        </is>
      </c>
    </row>
    <row r="219">
      <c r="A219" s="19" t="inlineStr">
        <is>
          <t>BV-PAY-002</t>
        </is>
      </c>
      <c r="B219" s="19" t="inlineStr">
        <is>
          <t>Open items and payments</t>
        </is>
      </c>
      <c r="C219" s="19" t="inlineStr">
        <is>
          <t>Accounting confirms a captured payment</t>
        </is>
      </c>
      <c r="D219" s="19" t="inlineStr">
        <is>
          <t>Pass</t>
        </is>
      </c>
      <c r="E219" s="19" t="inlineStr">
        <is>
          <t>backend/test/policy-payments.test.js</t>
        </is>
      </c>
      <c r="F219" s="19" t="inlineStr">
        <is>
          <t>finance confirms the capture: official receipt against the bill, journal posted, policy Completed</t>
        </is>
      </c>
      <c r="G219" s="19" t="inlineStr">
        <is>
          <t>Billing and collection</t>
        </is>
      </c>
      <c r="H219" s="19" t="inlineStr">
        <is>
          <t>61 passed, 0 failed</t>
        </is>
      </c>
      <c r="I219" s="19" t="inlineStr"/>
      <c r="J219" s="19" t="inlineStr"/>
    </row>
    <row r="220">
      <c r="A220" s="19" t="inlineStr">
        <is>
          <t>BV-PAY-003</t>
        </is>
      </c>
      <c r="B220" s="19" t="inlineStr">
        <is>
          <t>Open items and payments</t>
        </is>
      </c>
      <c r="C220" s="19" t="inlineStr">
        <is>
          <t>Accounting rejects a capture</t>
        </is>
      </c>
      <c r="D220" s="19" t="inlineStr">
        <is>
          <t>Pass</t>
        </is>
      </c>
      <c r="E220" s="19" t="inlineStr">
        <is>
          <t>backend/test/policy-payments.test.js</t>
        </is>
      </c>
      <c r="F220" s="19" t="inlineStr">
        <is>
          <t>finance can reject a capture; a finance capture is confirmed at once</t>
        </is>
      </c>
      <c r="G220" s="19" t="inlineStr"/>
      <c r="H220" s="19" t="inlineStr"/>
      <c r="I220" s="19" t="inlineStr"/>
      <c r="J220" s="19" t="inlineStr"/>
    </row>
    <row r="221">
      <c r="A221" s="19" t="inlineStr">
        <is>
          <t>BV-PAY-004</t>
        </is>
      </c>
      <c r="B221" s="19" t="inlineStr">
        <is>
          <t>Open items and payments</t>
        </is>
      </c>
      <c r="C221" s="19" t="inlineStr">
        <is>
          <t>Capture validation: reference, amount within balance, date</t>
        </is>
      </c>
      <c r="D221" s="19" t="inlineStr">
        <is>
          <t>Pass</t>
        </is>
      </c>
      <c r="E221" s="19" t="inlineStr">
        <is>
          <t>backend/test/policy-payments.test.js</t>
        </is>
      </c>
      <c r="F221" s="19" t="inlineStr">
        <is>
          <t>validates the capture: reference, amount within the balance, date not in the future</t>
        </is>
      </c>
      <c r="G221" s="19" t="inlineStr"/>
      <c r="H221" s="19" t="inlineStr"/>
      <c r="I221" s="19" t="inlineStr"/>
      <c r="J221" s="19" t="inlineStr"/>
    </row>
    <row r="222">
      <c r="A222" s="19" t="inlineStr">
        <is>
          <t>BV-PAY-005</t>
        </is>
      </c>
      <c r="B222" s="19" t="inlineStr">
        <is>
          <t>Open items and payments</t>
        </is>
      </c>
      <c r="C222" s="19" t="inlineStr">
        <is>
          <t>Bill stays open until payment confirmed</t>
        </is>
      </c>
      <c r="D222" s="19" t="inlineStr">
        <is>
          <t>Pass</t>
        </is>
      </c>
      <c r="E222" s="19" t="inlineStr">
        <is>
          <t>backend/test/policy-payments.test.js</t>
        </is>
      </c>
      <c r="F222" s="19" t="inlineStr">
        <is>
          <t>the bill raised at issuance stays open until a payment is confirmed</t>
        </is>
      </c>
      <c r="G222" s="19" t="inlineStr"/>
      <c r="H222" s="19" t="inlineStr"/>
      <c r="I222" s="19" t="inlineStr"/>
      <c r="J222" s="19" t="inlineStr"/>
    </row>
    <row r="223">
      <c r="A223" s="19" t="inlineStr">
        <is>
          <t>BV-PAY-006</t>
        </is>
      </c>
      <c r="B223" s="19" t="inlineStr">
        <is>
          <t>Open items and payments</t>
        </is>
      </c>
      <c r="C223" s="19" t="inlineStr">
        <is>
          <t>Sales cannot post receipts or change payment status</t>
        </is>
      </c>
      <c r="D223" s="19" t="inlineStr">
        <is>
          <t>Pass</t>
        </is>
      </c>
      <c r="E223" s="19" t="inlineStr">
        <is>
          <t>backend/test/payment-segregation.test.js
backend/test/payment-segregation.test.js
backend/test/payment-segregation.test.js</t>
        </is>
      </c>
      <c r="F223" s="19" t="inlineStr">
        <is>
          <t>sales, underwriting, customer services and agents get 403 on POST /receipts; finance posts it
payment-entries, PATCH payment-status and PUT paymentStatus are refused to sales, underwriting, customer services and agents
only Accounting (and the System Administrator) hold write:receipts; migration 0084 revokes it from sales on existing databases</t>
        </is>
      </c>
      <c r="G223" s="19" t="inlineStr"/>
      <c r="H223" s="19" t="inlineStr"/>
      <c r="I223" s="19" t="inlineStr"/>
      <c r="J223" s="19" t="inlineStr"/>
    </row>
    <row r="224">
      <c r="A224" s="19" t="inlineStr">
        <is>
          <t>BV-PAY-007</t>
        </is>
      </c>
      <c r="B224" s="19" t="inlineStr">
        <is>
          <t>Open items and payments</t>
        </is>
      </c>
      <c r="C224" s="19" t="inlineStr">
        <is>
          <t>Endorsement bill paid through a capture</t>
        </is>
      </c>
      <c r="D224" s="19" t="inlineStr">
        <is>
          <t>Pass</t>
        </is>
      </c>
      <c r="E224" s="19" t="inlineStr">
        <is>
          <t>backend/test/payment-segregation.test.js</t>
        </is>
      </c>
      <c r="F224" s="19" t="inlineStr">
        <is>
          <t>the endorsement bill is paid through a pending capture that finance verifies</t>
        </is>
      </c>
      <c r="G224" s="19" t="inlineStr">
        <is>
          <t>Servicing: endorsements, renewals, claims</t>
        </is>
      </c>
      <c r="H224" s="19" t="inlineStr">
        <is>
          <t>31 passed, 0 failed</t>
        </is>
      </c>
      <c r="I224" s="19" t="inlineStr"/>
      <c r="J224" s="19" t="inlineStr"/>
    </row>
    <row r="225">
      <c r="A225" s="19" t="inlineStr">
        <is>
          <t>BV-PAY-008</t>
        </is>
      </c>
      <c r="B225" s="19" t="inlineStr">
        <is>
          <t>Open items and payments</t>
        </is>
      </c>
      <c r="C225" s="19" t="inlineStr">
        <is>
          <t>Payment link held when amount differs; cancel a link</t>
        </is>
      </c>
      <c r="D225" s="19" t="inlineStr">
        <is>
          <t>Pass</t>
        </is>
      </c>
      <c r="E225" s="19" t="inlineStr">
        <is>
          <t>backend/test/payments.test.js
backend/test/payments.test.js</t>
        </is>
      </c>
      <c r="F225" s="19" t="inlineStr">
        <is>
          <t>holds a payment whose amount differs for review
cancels a pending link and lists links</t>
        </is>
      </c>
      <c r="G225" s="19" t="inlineStr"/>
      <c r="H225" s="19" t="inlineStr"/>
      <c r="I225" s="19" t="inlineStr"/>
      <c r="J225" s="19" t="inlineStr"/>
    </row>
    <row r="226">
      <c r="A226" s="19" t="inlineStr">
        <is>
          <t>BV-PAY-009</t>
        </is>
      </c>
      <c r="B226" s="19" t="inlineStr">
        <is>
          <t>Open items and payments</t>
        </is>
      </c>
      <c r="C226" s="19" t="inlineStr">
        <is>
          <t>Gateways listed without secrets; live needs credentials</t>
        </is>
      </c>
      <c r="D226" s="19" t="inlineStr">
        <is>
          <t>Pass</t>
        </is>
      </c>
      <c r="E226" s="19" t="inlineStr">
        <is>
          <t>backend/test/payments.test.js</t>
        </is>
      </c>
      <c r="F226" s="19" t="inlineStr">
        <is>
          <t>lists the gateways without secrets; only the administrator changes them and live needs credentials</t>
        </is>
      </c>
      <c r="G226" s="19" t="inlineStr"/>
      <c r="H226" s="19" t="inlineStr"/>
      <c r="I226" s="19" t="inlineStr">
        <is>
          <t>/master/finance/payment-gateways</t>
        </is>
      </c>
      <c r="J226" s="19" t="inlineStr">
        <is>
          <t>opened clean</t>
        </is>
      </c>
    </row>
    <row r="227">
      <c r="A227" s="19" t="inlineStr">
        <is>
          <t>BV-PAY-010</t>
        </is>
      </c>
      <c r="B227" s="19" t="inlineStr">
        <is>
          <t>Open items and payments</t>
        </is>
      </c>
      <c r="C227" s="19" t="inlineStr">
        <is>
          <t>Open items list of expiring policies and pending quotations</t>
        </is>
      </c>
      <c r="D227" s="19" t="inlineStr">
        <is>
          <t>Pass</t>
        </is>
      </c>
      <c r="E227" s="19" t="inlineStr"/>
      <c r="F227" s="19" t="inlineStr"/>
      <c r="G227" s="19" t="inlineStr"/>
      <c r="H227" s="19" t="inlineStr"/>
      <c r="I227" s="19" t="inlineStr">
        <is>
          <t>/agent/openitemslistdata</t>
        </is>
      </c>
      <c r="J227" s="19" t="inlineStr">
        <is>
          <t>opened clean</t>
        </is>
      </c>
    </row>
    <row r="228">
      <c r="A228" s="19" t="inlineStr">
        <is>
          <t>BV-RCT-001</t>
        </is>
      </c>
      <c r="B228" s="19" t="inlineStr">
        <is>
          <t>Billing and receipts</t>
        </is>
      </c>
      <c r="C228" s="19" t="inlineStr">
        <is>
          <t>Official receipt for a full payment</t>
        </is>
      </c>
      <c r="D228" s="19" t="inlineStr">
        <is>
          <t>Pass</t>
        </is>
      </c>
      <c r="E228" s="19" t="inlineStr">
        <is>
          <t>backend/test/receipts.test.js
backend/test/uat-disconnects.test.js</t>
        </is>
      </c>
      <c r="F228" s="19" t="inlineStr">
        <is>
          <t>official receipt against a receivable: partial then full payment, overpayment rejected
a receipt deposited to a bank account linked for reconciliation debits that GL account</t>
        </is>
      </c>
      <c r="G228" s="19" t="inlineStr">
        <is>
          <t>Billing and collection</t>
        </is>
      </c>
      <c r="H228" s="19" t="inlineStr">
        <is>
          <t>61 passed, 0 failed</t>
        </is>
      </c>
      <c r="I228" s="19" t="inlineStr">
        <is>
          <t>/accounts/receipts</t>
        </is>
      </c>
      <c r="J228" s="19" t="inlineStr">
        <is>
          <t>opened clean</t>
        </is>
      </c>
    </row>
    <row r="229">
      <c r="A229" s="19" t="inlineStr">
        <is>
          <t>BV-RCT-002</t>
        </is>
      </c>
      <c r="B229" s="19" t="inlineStr">
        <is>
          <t>Billing and receipts</t>
        </is>
      </c>
      <c r="C229" s="19" t="inlineStr">
        <is>
          <t>Partial payment then the balance</t>
        </is>
      </c>
      <c r="D229" s="19" t="inlineStr">
        <is>
          <t>Pass</t>
        </is>
      </c>
      <c r="E229" s="19" t="inlineStr">
        <is>
          <t>backend/test/receipts.test.js</t>
        </is>
      </c>
      <c r="F229" s="19" t="inlineStr">
        <is>
          <t>add receipt against an open endorsement bill: open-receivables lists it, partial 2,000 then 3,010, excess refused, journals balanced</t>
        </is>
      </c>
      <c r="G229" s="19" t="inlineStr">
        <is>
          <t>Billing and collection</t>
        </is>
      </c>
      <c r="H229" s="19" t="inlineStr">
        <is>
          <t>61 passed, 0 failed</t>
        </is>
      </c>
      <c r="I229" s="19" t="inlineStr"/>
      <c r="J229" s="19" t="inlineStr"/>
    </row>
    <row r="230">
      <c r="A230" s="19" t="inlineStr">
        <is>
          <t>BV-RCT-003</t>
        </is>
      </c>
      <c r="B230" s="19" t="inlineStr">
        <is>
          <t>Billing and receipts</t>
        </is>
      </c>
      <c r="C230" s="19" t="inlineStr">
        <is>
          <t>Overpayment refused</t>
        </is>
      </c>
      <c r="D230" s="19" t="inlineStr">
        <is>
          <t>Pass</t>
        </is>
      </c>
      <c r="E230" s="19" t="inlineStr">
        <is>
          <t>backend/test/receipts.test.js
backend/test/receipts.test.js</t>
        </is>
      </c>
      <c r="F230" s="19" t="inlineStr">
        <is>
          <t>official receipt against a receivable: partial then full payment, overpayment rejected
add receipt against an open endorsement bill: open-receivables lists it, partial 2,000 then 3,010, excess refused, journals balanced</t>
        </is>
      </c>
      <c r="G230" s="19" t="inlineStr"/>
      <c r="H230" s="19" t="inlineStr"/>
      <c r="I230" s="19" t="inlineStr"/>
      <c r="J230" s="19" t="inlineStr"/>
    </row>
    <row r="231">
      <c r="A231" s="19" t="inlineStr">
        <is>
          <t>BV-RCT-004</t>
        </is>
      </c>
      <c r="B231" s="19" t="inlineStr">
        <is>
          <t>Billing and receipts</t>
        </is>
      </c>
      <c r="C231" s="19" t="inlineStr">
        <is>
          <t>Receipt printing</t>
        </is>
      </c>
      <c r="D231" s="19" t="inlineStr">
        <is>
          <t>Pass</t>
        </is>
      </c>
      <c r="E231" s="19" t="inlineStr">
        <is>
          <t>backend/test/receipts.test.js
backend/test/printing.test.js</t>
        </is>
      </c>
      <c r="F231" s="19" t="inlineStr">
        <is>
          <t>add-payment appends a paid line; search, print and bulk upload work
humanises keys and writes amounts in words</t>
        </is>
      </c>
      <c r="G231" s="19" t="inlineStr"/>
      <c r="H231" s="19" t="inlineStr"/>
      <c r="I231" s="19" t="inlineStr"/>
      <c r="J231" s="19" t="inlineStr"/>
    </row>
    <row r="232">
      <c r="A232" s="19" t="inlineStr">
        <is>
          <t>BV-RCT-005</t>
        </is>
      </c>
      <c r="B232" s="19" t="inlineStr">
        <is>
          <t>Billing and receipts</t>
        </is>
      </c>
      <c r="C232" s="19" t="inlineStr">
        <is>
          <t>Pay-later draft receipt approved</t>
        </is>
      </c>
      <c r="D232" s="19" t="inlineStr">
        <is>
          <t>Pass</t>
        </is>
      </c>
      <c r="E232" s="19" t="inlineStr">
        <is>
          <t>backend/test/receipts.test.js</t>
        </is>
      </c>
      <c r="F232" s="19" t="inlineStr">
        <is>
          <t>pay-later draft receipt bills the policy, then approval (PUT) collects it and posts Dr Cash / Cr Premium Receivable</t>
        </is>
      </c>
      <c r="G232" s="19" t="inlineStr"/>
      <c r="H232" s="19" t="inlineStr"/>
      <c r="I232" s="19" t="inlineStr"/>
      <c r="J232" s="19" t="inlineStr"/>
    </row>
    <row r="233">
      <c r="A233" s="19" t="inlineStr">
        <is>
          <t>BV-RCT-006</t>
        </is>
      </c>
      <c r="B233" s="19" t="inlineStr">
        <is>
          <t>Billing and receipts</t>
        </is>
      </c>
      <c r="C233" s="19" t="inlineStr">
        <is>
          <t>Receipt validation and permissions</t>
        </is>
      </c>
      <c r="D233" s="19" t="inlineStr">
        <is>
          <t>Pass</t>
        </is>
      </c>
      <c r="E233" s="19" t="inlineStr">
        <is>
          <t>backend/test/receipts.test.js
backend/test/hardening.test.js</t>
        </is>
      </c>
      <c r="F233" s="19" t="inlineStr">
        <is>
          <t>validates input and enforces permissions
claims officers do not list leads; sales and operations do not read the receipt register</t>
        </is>
      </c>
      <c r="G233" s="19" t="inlineStr"/>
      <c r="H233" s="19" t="inlineStr"/>
      <c r="I233" s="19" t="inlineStr"/>
      <c r="J233" s="19" t="inlineStr"/>
    </row>
    <row r="234">
      <c r="A234" s="19" t="inlineStr">
        <is>
          <t>BV-RCT-007</t>
        </is>
      </c>
      <c r="B234" s="19" t="inlineStr">
        <is>
          <t>Billing and receipts</t>
        </is>
      </c>
      <c r="C234" s="19" t="inlineStr">
        <is>
          <t>Search and bulk upload receipts</t>
        </is>
      </c>
      <c r="D234" s="19" t="inlineStr">
        <is>
          <t>Pass</t>
        </is>
      </c>
      <c r="E234" s="19" t="inlineStr">
        <is>
          <t>backend/test/receipts.test.js
backend/test/receipts.test.js</t>
        </is>
      </c>
      <c r="F234" s="19" t="inlineStr">
        <is>
          <t>add-payment appends a paid line; search, print and bulk upload work
lists seeded receipts with pagination</t>
        </is>
      </c>
      <c r="G234" s="19" t="inlineStr"/>
      <c r="H234" s="19" t="inlineStr"/>
      <c r="I234" s="19" t="inlineStr"/>
      <c r="J234" s="19" t="inlineStr"/>
    </row>
    <row r="235">
      <c r="A235" s="19" t="inlineStr">
        <is>
          <t>BV-RCT-008</t>
        </is>
      </c>
      <c r="B235" s="19" t="inlineStr">
        <is>
          <t>Billing and receipts</t>
        </is>
      </c>
      <c r="C235" s="19" t="inlineStr">
        <is>
          <t>Returned cheque cancels the OR and reopens the bill</t>
        </is>
      </c>
      <c r="D235" s="19" t="inlineStr">
        <is>
          <t>Pass</t>
        </is>
      </c>
      <c r="E235" s="19" t="inlineStr">
        <is>
          <t>backend/test/bank-reconciliation.test.js</t>
        </is>
      </c>
      <c r="F235" s="19" t="inlineStr">
        <is>
          <t>a returned cheque cancels the official receipt, re-opens the receivable and matches the reversal to the bank debit</t>
        </is>
      </c>
      <c r="G235" s="19" t="inlineStr"/>
      <c r="H235" s="19" t="inlineStr"/>
      <c r="I235" s="19" t="inlineStr"/>
      <c r="J235" s="19" t="inlineStr"/>
    </row>
    <row r="236">
      <c r="A236" s="19" t="inlineStr">
        <is>
          <t>BV-RCT-009</t>
        </is>
      </c>
      <c r="B236" s="19" t="inlineStr">
        <is>
          <t>Billing and receipts</t>
        </is>
      </c>
      <c r="C236" s="19" t="inlineStr">
        <is>
          <t>Write-off with a reason code</t>
        </is>
      </c>
      <c r="D236" s="19" t="inlineStr">
        <is>
          <t>Pass</t>
        </is>
      </c>
      <c r="E236" s="19" t="inlineStr">
        <is>
          <t>backend/test/posting-rules.test.js</t>
        </is>
      </c>
      <c r="F236" s="19" t="inlineStr">
        <is>
          <t>write-off with a reason code posts to the reason account and closes the bill</t>
        </is>
      </c>
      <c r="G236" s="19" t="inlineStr"/>
      <c r="H236" s="19" t="inlineStr"/>
      <c r="I236" s="19" t="inlineStr"/>
      <c r="J236" s="19" t="inlineStr"/>
    </row>
    <row r="237">
      <c r="A237" s="19" t="inlineStr">
        <is>
          <t>BV-RCT-010</t>
        </is>
      </c>
      <c r="B237" s="19" t="inlineStr">
        <is>
          <t>Billing and receipts</t>
        </is>
      </c>
      <c r="C237" s="19" t="inlineStr">
        <is>
          <t>Billing statement PDF for a policy</t>
        </is>
      </c>
      <c r="D237" s="19" t="inlineStr">
        <is>
          <t>Pass</t>
        </is>
      </c>
      <c r="E237" s="19" t="inlineStr">
        <is>
          <t>backend/test/receipts.test.js</t>
        </is>
      </c>
      <c r="F237" s="19" t="inlineStr">
        <is>
          <t>billing statement PDF for a policy</t>
        </is>
      </c>
      <c r="G237" s="19" t="inlineStr"/>
      <c r="H237" s="19" t="inlineStr"/>
      <c r="I237" s="19" t="inlineStr"/>
      <c r="J237" s="19" t="inlineStr"/>
    </row>
    <row r="238">
      <c r="A238" s="19" t="inlineStr">
        <is>
          <t>BV-RCT-011</t>
        </is>
      </c>
      <c r="B238" s="19" t="inlineStr">
        <is>
          <t>Billing and receipts</t>
        </is>
      </c>
      <c r="C238" s="19" t="inlineStr">
        <is>
          <t>Instalment plan: even instalments, down payment first</t>
        </is>
      </c>
      <c r="D238" s="19" t="inlineStr">
        <is>
          <t>Pass</t>
        </is>
      </c>
      <c r="E238" s="19" t="inlineStr">
        <is>
          <t>backend/test/credit-control.test.js</t>
        </is>
      </c>
      <c r="F238" s="19" t="inlineStr">
        <is>
          <t>generates even instalments (down payment first, rounding on the first instalment) on month ends</t>
        </is>
      </c>
      <c r="G238" s="19" t="inlineStr">
        <is>
          <t>Billing and collection</t>
        </is>
      </c>
      <c r="H238" s="19" t="inlineStr">
        <is>
          <t>61 passed, 0 failed</t>
        </is>
      </c>
      <c r="I238" s="19" t="inlineStr">
        <is>
          <t>/accounts/credit-control/instalments</t>
        </is>
      </c>
      <c r="J238" s="19" t="inlineStr">
        <is>
          <t>opened clean</t>
        </is>
      </c>
    </row>
    <row r="239">
      <c r="A239" s="19" t="inlineStr">
        <is>
          <t>BV-RCT-012</t>
        </is>
      </c>
      <c r="B239" s="19" t="inlineStr">
        <is>
          <t>Billing and receipts</t>
        </is>
      </c>
      <c r="C239" s="19" t="inlineStr">
        <is>
          <t>Edited schedule must add up to the bill</t>
        </is>
      </c>
      <c r="D239" s="19" t="inlineStr">
        <is>
          <t>Pass</t>
        </is>
      </c>
      <c r="E239" s="19" t="inlineStr">
        <is>
          <t>backend/test/credit-control.test.js</t>
        </is>
      </c>
      <c r="F239" s="19" t="inlineStr">
        <is>
          <t>edits the schedule (must add up to the bill) and ages the instalments</t>
        </is>
      </c>
      <c r="G239" s="19" t="inlineStr"/>
      <c r="H239" s="19" t="inlineStr"/>
      <c r="I239" s="19" t="inlineStr"/>
      <c r="J239" s="19" t="inlineStr"/>
    </row>
    <row r="240">
      <c r="A240" s="19" t="inlineStr">
        <is>
          <t>BV-RCT-013</t>
        </is>
      </c>
      <c r="B240" s="19" t="inlineStr">
        <is>
          <t>Billing and receipts</t>
        </is>
      </c>
      <c r="C240" s="19" t="inlineStr">
        <is>
          <t>Payment entries book once with the receipt flow</t>
        </is>
      </c>
      <c r="D240" s="19" t="inlineStr">
        <is>
          <t>Pass</t>
        </is>
      </c>
      <c r="E240" s="19" t="inlineStr">
        <is>
          <t>backend/test/accounting.test.js</t>
        </is>
      </c>
      <c r="F240" s="19" t="inlineStr">
        <is>
          <t>payment-entries books and collects once (idempotent with the receipt flow)</t>
        </is>
      </c>
      <c r="G240" s="19" t="inlineStr"/>
      <c r="H240" s="19" t="inlineStr"/>
      <c r="I240" s="19" t="inlineStr"/>
      <c r="J240" s="19" t="inlineStr"/>
    </row>
    <row r="241">
      <c r="A241" s="19" t="inlineStr">
        <is>
          <t>BV-COL-001</t>
        </is>
      </c>
      <c r="B241" s="19" t="inlineStr">
        <is>
          <t>Collections and credit control</t>
        </is>
      </c>
      <c r="C241" s="19" t="inlineStr">
        <is>
          <t>Collections list built from receivables</t>
        </is>
      </c>
      <c r="D241" s="19" t="inlineStr">
        <is>
          <t>Pass</t>
        </is>
      </c>
      <c r="E241" s="19" t="inlineStr">
        <is>
          <t>backend/test/collections.test.js
backend/test/collections.test.js</t>
        </is>
      </c>
      <c r="F241" s="19" t="inlineStr">
        <is>
          <t>sync builds items from receivables (and books receivables created elsewhere)
filters by status / level, sorts and pages</t>
        </is>
      </c>
      <c r="G241" s="19" t="inlineStr">
        <is>
          <t>Billing and collection</t>
        </is>
      </c>
      <c r="H241" s="19" t="inlineStr">
        <is>
          <t>61 passed, 0 failed</t>
        </is>
      </c>
      <c r="I241" s="19" t="inlineStr">
        <is>
          <t>/agent/collections</t>
        </is>
      </c>
      <c r="J241" s="19" t="inlineStr">
        <is>
          <t>opened clean</t>
        </is>
      </c>
    </row>
    <row r="242">
      <c r="A242" s="19" t="inlineStr">
        <is>
          <t>BV-COL-002</t>
        </is>
      </c>
      <c r="B242" s="19" t="inlineStr">
        <is>
          <t>Collections and credit control</t>
        </is>
      </c>
      <c r="C242" s="19" t="inlineStr">
        <is>
          <t>Follow-up, commitment and reminder e-mail</t>
        </is>
      </c>
      <c r="D242" s="19" t="inlineStr">
        <is>
          <t>Pass</t>
        </is>
      </c>
      <c r="E242" s="19" t="inlineStr">
        <is>
          <t>backend/test/collections.test.js</t>
        </is>
      </c>
      <c r="F242" s="19" t="inlineStr">
        <is>
          <t>detail, follow-up, commitment, e-mail and payment history</t>
        </is>
      </c>
      <c r="G242" s="19" t="inlineStr"/>
      <c r="H242" s="19" t="inlineStr"/>
      <c r="I242" s="19" t="inlineStr"/>
      <c r="J242" s="19" t="inlineStr"/>
    </row>
    <row r="243">
      <c r="A243" s="19" t="inlineStr">
        <is>
          <t>BV-COL-003</t>
        </is>
      </c>
      <c r="B243" s="19" t="inlineStr">
        <is>
          <t>Collections and credit control</t>
        </is>
      </c>
      <c r="C243" s="19" t="inlineStr">
        <is>
          <t>Ageing report, dashboard and due-date reminders</t>
        </is>
      </c>
      <c r="D243" s="19" t="inlineStr">
        <is>
          <t>Pass</t>
        </is>
      </c>
      <c r="E243" s="19" t="inlineStr">
        <is>
          <t>backend/test/collections.test.js</t>
        </is>
      </c>
      <c r="F243" s="19" t="inlineStr">
        <is>
          <t>aging report, dashboard stats and due-date reminders</t>
        </is>
      </c>
      <c r="G243" s="19" t="inlineStr">
        <is>
          <t>Reports and dashboards</t>
        </is>
      </c>
      <c r="H243" s="19" t="inlineStr">
        <is>
          <t>58 passed, 0 failed</t>
        </is>
      </c>
      <c r="I243" s="19" t="inlineStr"/>
      <c r="J243" s="19" t="inlineStr"/>
    </row>
    <row r="244">
      <c r="A244" s="19" t="inlineStr">
        <is>
          <t>BV-COL-004</t>
        </is>
      </c>
      <c r="B244" s="19" t="inlineStr">
        <is>
          <t>Collections and credit control</t>
        </is>
      </c>
      <c r="C244" s="19" t="inlineStr">
        <is>
          <t>Collections validation and permissions</t>
        </is>
      </c>
      <c r="D244" s="19" t="inlineStr">
        <is>
          <t>Pass</t>
        </is>
      </c>
      <c r="E244" s="19" t="inlineStr">
        <is>
          <t>backend/test/collections.test.js</t>
        </is>
      </c>
      <c r="F244" s="19" t="inlineStr">
        <is>
          <t>validation and permissions</t>
        </is>
      </c>
      <c r="G244" s="19" t="inlineStr"/>
      <c r="H244" s="19" t="inlineStr"/>
      <c r="I244" s="19" t="inlineStr"/>
      <c r="J244" s="19" t="inlineStr"/>
    </row>
    <row r="245">
      <c r="A245" s="19" t="inlineStr">
        <is>
          <t>BV-COL-005</t>
        </is>
      </c>
      <c r="B245" s="19" t="inlineStr">
        <is>
          <t>Collections and credit control</t>
        </is>
      </c>
      <c r="C245" s="19" t="inlineStr">
        <is>
          <t>Premium warranty monitor and reminder</t>
        </is>
      </c>
      <c r="D245" s="19" t="inlineStr">
        <is>
          <t>Pass</t>
        </is>
      </c>
      <c r="E245" s="19" t="inlineStr">
        <is>
          <t>backend/test/credit-control.test.js</t>
        </is>
      </c>
      <c r="F245" s="19" t="inlineStr">
        <is>
          <t>lists broker-billed policies past their premium warranty and sends a reminder</t>
        </is>
      </c>
      <c r="G245" s="19" t="inlineStr">
        <is>
          <t>Billing and collection</t>
        </is>
      </c>
      <c r="H245" s="19" t="inlineStr">
        <is>
          <t>61 passed, 0 failed</t>
        </is>
      </c>
      <c r="I245" s="19" t="inlineStr">
        <is>
          <t>/accounts/credit-control/warranty</t>
        </is>
      </c>
      <c r="J245" s="19" t="inlineStr">
        <is>
          <t>opened clean</t>
        </is>
      </c>
    </row>
    <row r="246">
      <c r="A246" s="19" t="inlineStr">
        <is>
          <t>BV-COL-006</t>
        </is>
      </c>
      <c r="B246" s="19" t="inlineStr">
        <is>
          <t>Collections and credit control</t>
        </is>
      </c>
      <c r="C246" s="19" t="inlineStr">
        <is>
          <t>Warranty extension needs another user with approval right</t>
        </is>
      </c>
      <c r="D246" s="19" t="inlineStr">
        <is>
          <t>Pass</t>
        </is>
      </c>
      <c r="E246" s="19" t="inlineStr">
        <is>
          <t>backend/test/credit-control.test.js</t>
        </is>
      </c>
      <c r="F246" s="19" t="inlineStr">
        <is>
          <t>extends the warranty only with the approval of another user holding approve:credit-control</t>
        </is>
      </c>
      <c r="G246" s="19" t="inlineStr">
        <is>
          <t>Billing and collection</t>
        </is>
      </c>
      <c r="H246" s="19" t="inlineStr">
        <is>
          <t>61 passed, 0 failed</t>
        </is>
      </c>
      <c r="I246" s="19" t="inlineStr"/>
      <c r="J246" s="19" t="inlineStr"/>
    </row>
    <row r="247">
      <c r="A247" s="19" t="inlineStr">
        <is>
          <t>BV-COL-007</t>
        </is>
      </c>
      <c r="B247" s="19" t="inlineStr">
        <is>
          <t>Collections and credit control</t>
        </is>
      </c>
      <c r="C247" s="19" t="inlineStr">
        <is>
          <t>Cancellation request to Operations</t>
        </is>
      </c>
      <c r="D247" s="19" t="inlineStr">
        <is>
          <t>Pass</t>
        </is>
      </c>
      <c r="E247" s="19" t="inlineStr">
        <is>
          <t>backend/test/credit-control.test.js</t>
        </is>
      </c>
      <c r="F247" s="19" t="inlineStr">
        <is>
          <t>raises a cancellation request for Operations without cancelling the policy</t>
        </is>
      </c>
      <c r="G247" s="19" t="inlineStr">
        <is>
          <t>Billing and collection</t>
        </is>
      </c>
      <c r="H247" s="19" t="inlineStr">
        <is>
          <t>61 passed, 0 failed</t>
        </is>
      </c>
      <c r="I247" s="19" t="inlineStr"/>
      <c r="J247" s="19" t="inlineStr"/>
    </row>
    <row r="248">
      <c r="A248" s="19" t="inlineStr">
        <is>
          <t>BV-COL-008</t>
        </is>
      </c>
      <c r="B248" s="19" t="inlineStr">
        <is>
          <t>Collections and credit control</t>
        </is>
      </c>
      <c r="C248" s="19" t="inlineStr">
        <is>
          <t>Only an approver sets a client credit limit</t>
        </is>
      </c>
      <c r="D248" s="19" t="inlineStr">
        <is>
          <t>Pass</t>
        </is>
      </c>
      <c r="E248" s="19" t="inlineStr">
        <is>
          <t>backend/test/credit-control.test.js</t>
        </is>
      </c>
      <c r="F248" s="19" t="inlineStr">
        <is>
          <t>only an approver sets the limit; a broker-billed policy over it is issued with a warning</t>
        </is>
      </c>
      <c r="G248" s="19" t="inlineStr">
        <is>
          <t>Billing and collection</t>
        </is>
      </c>
      <c r="H248" s="19" t="inlineStr">
        <is>
          <t>61 passed, 0 failed</t>
        </is>
      </c>
      <c r="I248" s="19" t="inlineStr">
        <is>
          <t>/accounts/credit-control/limits</t>
        </is>
      </c>
      <c r="J248" s="19" t="inlineStr">
        <is>
          <t>opened clean</t>
        </is>
      </c>
    </row>
    <row r="249">
      <c r="A249" s="19" t="inlineStr">
        <is>
          <t>BV-COL-009</t>
        </is>
      </c>
      <c r="B249" s="19" t="inlineStr">
        <is>
          <t>Collections and credit control</t>
        </is>
      </c>
      <c r="C249" s="19" t="inlineStr">
        <is>
          <t>Collected premium aged on insurer remittance terms</t>
        </is>
      </c>
      <c r="D249" s="19" t="inlineStr">
        <is>
          <t>Pass</t>
        </is>
      </c>
      <c r="E249" s="19" t="inlineStr">
        <is>
          <t>backend/test/credit-control.test.js
backend/test/uat-disconnects.test.js</t>
        </is>
      </c>
      <c r="F249" s="19" t="inlineStr">
        <is>
          <t>ages collected premium on the insurer remittance terms until the voucher is approved
the remittance ageing dates a collection with its receipt, not with the day it was keyed in</t>
        </is>
      </c>
      <c r="G249" s="19" t="inlineStr">
        <is>
          <t>Money: remittances, commission, petty cash</t>
        </is>
      </c>
      <c r="H249" s="19" t="inlineStr">
        <is>
          <t>27 passed, 0 failed</t>
        </is>
      </c>
      <c r="I249" s="19" t="inlineStr">
        <is>
          <t>/accounts/credit-control/remittance-ageing</t>
        </is>
      </c>
      <c r="J249" s="19" t="inlineStr">
        <is>
          <t>opened clean</t>
        </is>
      </c>
    </row>
    <row r="250">
      <c r="A250" s="19" t="inlineStr">
        <is>
          <t>BV-COL-010</t>
        </is>
      </c>
      <c r="B250" s="19" t="inlineStr">
        <is>
          <t>Collections and credit control</t>
        </is>
      </c>
      <c r="C250" s="19" t="inlineStr">
        <is>
          <t>Bill due date follows insurer warranty days</t>
        </is>
      </c>
      <c r="D250" s="19" t="inlineStr">
        <is>
          <t>Pass</t>
        </is>
      </c>
      <c r="E250" s="19" t="inlineStr">
        <is>
          <t>backend/test/numbering.test.js
backend/test/uat-disconnects.test.js</t>
        </is>
      </c>
      <c r="F250" s="19" t="inlineStr">
        <is>
          <t>sets the receivable due date from the insurer premium warranty days
books a policy on its issue date; its credit days run from the issue (or later inception)</t>
        </is>
      </c>
      <c r="G250" s="19" t="inlineStr"/>
      <c r="H250" s="19" t="inlineStr"/>
      <c r="I250" s="19" t="inlineStr"/>
      <c r="J250" s="19" t="inlineStr"/>
    </row>
    <row r="251">
      <c r="A251" s="19" t="inlineStr">
        <is>
          <t>BV-DSB-001</t>
        </is>
      </c>
      <c r="B251" s="19" t="inlineStr">
        <is>
          <t>Disbursement and payment vouchers</t>
        </is>
      </c>
      <c r="C251" s="19" t="inlineStr">
        <is>
          <t>Create a supplier payment voucher</t>
        </is>
      </c>
      <c r="D251" s="19" t="inlineStr">
        <is>
          <t>Pass</t>
        </is>
      </c>
      <c r="E251" s="19" t="inlineStr">
        <is>
          <t>backend/test/disbursements.test.js</t>
        </is>
      </c>
      <c r="F251" s="19" t="inlineStr">
        <is>
          <t>creates a voucher, records a payable (invoice list) and reads them back</t>
        </is>
      </c>
      <c r="G251" s="19" t="inlineStr"/>
      <c r="H251" s="19" t="inlineStr"/>
      <c r="I251" s="19" t="inlineStr">
        <is>
          <t>/accounts/paymentvoucher</t>
        </is>
      </c>
      <c r="J251" s="19" t="inlineStr">
        <is>
          <t>opened clean</t>
        </is>
      </c>
    </row>
    <row r="252">
      <c r="A252" s="19" t="inlineStr">
        <is>
          <t>BV-DSB-002</t>
        </is>
      </c>
      <c r="B252" s="19" t="inlineStr">
        <is>
          <t>Disbursement and payment vouchers</t>
        </is>
      </c>
      <c r="C252" s="19" t="inlineStr">
        <is>
          <t>Maker cannot approve own cheque; checker approval posts</t>
        </is>
      </c>
      <c r="D252" s="19" t="inlineStr">
        <is>
          <t>Pass</t>
        </is>
      </c>
      <c r="E252" s="19" t="inlineStr">
        <is>
          <t>backend/test/disbursements.test.js</t>
        </is>
      </c>
      <c r="F252" s="19" t="inlineStr">
        <is>
          <t>cheque: maker cannot approve own cheque; checker approval posts Dr Refund Payable / Cr Cash; printing pays the voucher</t>
        </is>
      </c>
      <c r="G252" s="19" t="inlineStr">
        <is>
          <t>Servicing: endorsements, renewals, claims</t>
        </is>
      </c>
      <c r="H252" s="19" t="inlineStr">
        <is>
          <t>31 passed, 0 failed</t>
        </is>
      </c>
      <c r="I252" s="19" t="inlineStr"/>
      <c r="J252" s="19" t="inlineStr"/>
    </row>
    <row r="253">
      <c r="A253" s="19" t="inlineStr">
        <is>
          <t>BV-DSB-003</t>
        </is>
      </c>
      <c r="B253" s="19" t="inlineStr">
        <is>
          <t>Disbursement and payment vouchers</t>
        </is>
      </c>
      <c r="C253" s="19" t="inlineStr">
        <is>
          <t>Insurer remittance voucher net of commission</t>
        </is>
      </c>
      <c r="D253" s="19" t="inlineStr">
        <is>
          <t>Pass</t>
        </is>
      </c>
      <c r="E253" s="19" t="inlineStr">
        <is>
          <t>backend/test/disbursements.test.js
backend/test/commission-taxes.test.js</t>
        </is>
      </c>
      <c r="F253" s="19" t="inlineStr">
        <is>
          <t>insurer remittance voucher from collected premium (net of commission)
the insurer voucher pays the premium net of commission and VAT plus the EWT, which clears the premium due to the insurer</t>
        </is>
      </c>
      <c r="G253" s="19" t="inlineStr">
        <is>
          <t>Money: remittances, commission, petty cash</t>
        </is>
      </c>
      <c r="H253" s="19" t="inlineStr">
        <is>
          <t>27 passed, 0 failed</t>
        </is>
      </c>
      <c r="I253" s="19" t="inlineStr"/>
      <c r="J253" s="19" t="inlineStr"/>
    </row>
    <row r="254">
      <c r="A254" s="19" t="inlineStr">
        <is>
          <t>BV-DSB-004</t>
        </is>
      </c>
      <c r="B254" s="19" t="inlineStr">
        <is>
          <t>Disbursement and payment vouchers</t>
        </is>
      </c>
      <c r="C254" s="19" t="inlineStr">
        <is>
          <t>Filters, print and bulk upload</t>
        </is>
      </c>
      <c r="D254" s="19" t="inlineStr">
        <is>
          <t>Pass</t>
        </is>
      </c>
      <c r="E254" s="19" t="inlineStr">
        <is>
          <t>backend/test/disbursements.test.js
backend/test/disbursements.test.js</t>
        </is>
      </c>
      <c r="F254" s="19" t="inlineStr">
        <is>
          <t>lists seeded vouchers with filters
print and bulk upload</t>
        </is>
      </c>
      <c r="G254" s="19" t="inlineStr"/>
      <c r="H254" s="19" t="inlineStr"/>
      <c r="I254" s="19" t="inlineStr"/>
      <c r="J254" s="19" t="inlineStr"/>
    </row>
    <row r="255">
      <c r="A255" s="19" t="inlineStr">
        <is>
          <t>BV-DSB-005</t>
        </is>
      </c>
      <c r="B255" s="19" t="inlineStr">
        <is>
          <t>Disbursement and payment vouchers</t>
        </is>
      </c>
      <c r="C255" s="19" t="inlineStr">
        <is>
          <t>Disbursement validation and permissions</t>
        </is>
      </c>
      <c r="D255" s="19" t="inlineStr">
        <is>
          <t>Pass</t>
        </is>
      </c>
      <c r="E255" s="19" t="inlineStr">
        <is>
          <t>backend/test/disbursements.test.js</t>
        </is>
      </c>
      <c r="F255" s="19" t="inlineStr">
        <is>
          <t>validation and permissions</t>
        </is>
      </c>
      <c r="G255" s="19" t="inlineStr"/>
      <c r="H255" s="19" t="inlineStr"/>
      <c r="I255" s="19" t="inlineStr"/>
      <c r="J255" s="19" t="inlineStr"/>
    </row>
    <row r="256">
      <c r="A256" s="19" t="inlineStr">
        <is>
          <t>BV-DSB-006</t>
        </is>
      </c>
      <c r="B256" s="19" t="inlineStr">
        <is>
          <t>Disbursement and payment vouchers</t>
        </is>
      </c>
      <c r="C256" s="19" t="inlineStr">
        <is>
          <t>Refund netted against the next remittance</t>
        </is>
      </c>
      <c r="D256" s="19" t="inlineStr">
        <is>
          <t>Pass</t>
        </is>
      </c>
      <c r="E256" s="19" t="inlineStr">
        <is>
          <t>backend/test/accounting-followups.test.js
backend/test/accounting-followups.test.js</t>
        </is>
      </c>
      <c r="F256" s="19" t="inlineStr">
        <is>
          <t>raises a refund receivable for the remitted share of a return on paid premium
nets the refund against the next remittance voucher to the insurer</t>
        </is>
      </c>
      <c r="G256" s="19" t="inlineStr"/>
      <c r="H256" s="19" t="inlineStr"/>
      <c r="I256" s="19" t="inlineStr"/>
      <c r="J256" s="19" t="inlineStr"/>
    </row>
    <row r="257">
      <c r="A257" s="19" t="inlineStr">
        <is>
          <t>BV-REM-001</t>
        </is>
      </c>
      <c r="B257" s="19" t="inlineStr">
        <is>
          <t>Remittance to insurers</t>
        </is>
      </c>
      <c r="C257" s="19" t="inlineStr">
        <is>
          <t>Create and process a monthly remittance to an insurer</t>
        </is>
      </c>
      <c r="D257" s="19" t="inlineStr">
        <is>
          <t>Pass</t>
        </is>
      </c>
      <c r="E257" s="19" t="inlineStr">
        <is>
          <t>backend/test/remittance.test.js</t>
        </is>
      </c>
      <c r="F257" s="19" t="inlineStr">
        <is>
          <t>creates a remittance, validates and processes it, and enforces maker-checker</t>
        </is>
      </c>
      <c r="G257" s="19" t="inlineStr">
        <is>
          <t>Money: remittances, commission, petty cash</t>
        </is>
      </c>
      <c r="H257" s="19" t="inlineStr">
        <is>
          <t>27 passed, 0 failed</t>
        </is>
      </c>
      <c r="I257" s="19" t="inlineStr">
        <is>
          <t>/finance/remittance/tracking/status</t>
        </is>
      </c>
      <c r="J257" s="19" t="inlineStr">
        <is>
          <t>opened clean</t>
        </is>
      </c>
    </row>
    <row r="258">
      <c r="A258" s="19" t="inlineStr">
        <is>
          <t>BV-REM-002</t>
        </is>
      </c>
      <c r="B258" s="19" t="inlineStr">
        <is>
          <t>Remittance to insurers</t>
        </is>
      </c>
      <c r="C258" s="19" t="inlineStr">
        <is>
          <t>Approval levels by amount, each by a different user</t>
        </is>
      </c>
      <c r="D258" s="19" t="inlineStr">
        <is>
          <t>Pass</t>
        </is>
      </c>
      <c r="E258" s="19" t="inlineStr">
        <is>
          <t>backend/test/remittance.test.js
backend/test/role-access.test.js</t>
        </is>
      </c>
      <c r="F258" s="19" t="inlineStr">
        <is>
          <t>creates a remittance, validates and processes it, and enforces maker-checker
GET /remittance/approvals/approvers lists the other users who may approve remittances</t>
        </is>
      </c>
      <c r="G258" s="19" t="inlineStr">
        <is>
          <t>Money: remittances, commission, petty cash</t>
        </is>
      </c>
      <c r="H258" s="19" t="inlineStr">
        <is>
          <t>27 passed, 0 failed</t>
        </is>
      </c>
      <c r="I258" s="19" t="inlineStr">
        <is>
          <t>/finance/remittance/approval</t>
        </is>
      </c>
      <c r="J258" s="19" t="inlineStr">
        <is>
          <t>opened clean</t>
        </is>
      </c>
    </row>
    <row r="259">
      <c r="A259" s="19" t="inlineStr">
        <is>
          <t>BV-REM-003</t>
        </is>
      </c>
      <c r="B259" s="19" t="inlineStr">
        <is>
          <t>Remittance to insurers</t>
        </is>
      </c>
      <c r="C259" s="19" t="inlineStr">
        <is>
          <t>Settlement approved by a second user raises the voucher</t>
        </is>
      </c>
      <c r="D259" s="19" t="inlineStr">
        <is>
          <t>Pass</t>
        </is>
      </c>
      <c r="E259" s="19" t="inlineStr">
        <is>
          <t>backend/test/remittance.test.js
backend/test/remittance.test.js
backend/test/uat-disconnects.test.js</t>
        </is>
      </c>
      <c r="F259" s="19" t="inlineStr">
        <is>
          <t>settles through a settlement approved by a second user
an approved settlement raises the insurer payment voucher for the collected premium
a settlement voucher pays only what was collected up to the end of the settlement period; its cheque pays the voucher's payables</t>
        </is>
      </c>
      <c r="G259" s="19" t="inlineStr">
        <is>
          <t>Money: remittances, commission, petty cash</t>
        </is>
      </c>
      <c r="H259" s="19" t="inlineStr">
        <is>
          <t>27 passed, 0 failed</t>
        </is>
      </c>
      <c r="I259" s="19" t="inlineStr">
        <is>
          <t>/finance/remittance/settlement/process</t>
        </is>
      </c>
      <c r="J259" s="19" t="inlineStr">
        <is>
          <t>opened clean</t>
        </is>
      </c>
    </row>
    <row r="260">
      <c r="A260" s="19" t="inlineStr">
        <is>
          <t>BV-REM-004</t>
        </is>
      </c>
      <c r="B260" s="19" t="inlineStr">
        <is>
          <t>Remittance to insurers</t>
        </is>
      </c>
      <c r="C260" s="19" t="inlineStr">
        <is>
          <t>Settlement below minimum amount held</t>
        </is>
      </c>
      <c r="D260" s="19" t="inlineStr">
        <is>
          <t>Not Run</t>
        </is>
      </c>
      <c r="E260" s="19" t="inlineStr"/>
      <c r="F260" s="19" t="inlineStr"/>
      <c r="G260" s="19" t="inlineStr"/>
      <c r="H260" s="19" t="inlineStr"/>
      <c r="I260" s="19" t="inlineStr"/>
      <c r="J260" s="19" t="inlineStr"/>
    </row>
    <row r="261">
      <c r="A261" s="19" t="inlineStr">
        <is>
          <t>BV-REM-005</t>
        </is>
      </c>
      <c r="B261" s="19" t="inlineStr">
        <is>
          <t>Remittance to insurers</t>
        </is>
      </c>
      <c r="C261" s="19" t="inlineStr">
        <is>
          <t>Direct-bill policies never remitted</t>
        </is>
      </c>
      <c r="D261" s="19" t="inlineStr">
        <is>
          <t>Pass</t>
        </is>
      </c>
      <c r="E261" s="19" t="inlineStr">
        <is>
          <t>backend/test/remittance.test.js
backend/test/remittance.test.js
backend/test/direct-bill.test.js</t>
        </is>
      </c>
      <c r="F261" s="19" t="inlineStr">
        <is>
          <t>direct-bill policies are never remitted to the insurer (the client paid the insurer)
broker-billed policies are not offered for direct-bill commission debit notes
shows no premium to collect, refuses premium capture and is never remitted to the insurer</t>
        </is>
      </c>
      <c r="G261" s="19" t="inlineStr"/>
      <c r="H261" s="19" t="inlineStr"/>
      <c r="I261" s="19" t="inlineStr"/>
      <c r="J261" s="19" t="inlineStr"/>
    </row>
    <row r="262">
      <c r="A262" s="19" t="inlineStr">
        <is>
          <t>BV-REM-006</t>
        </is>
      </c>
      <c r="B262" s="19" t="inlineStr">
        <is>
          <t>Remittance to insurers</t>
        </is>
      </c>
      <c r="C262" s="19" t="inlineStr">
        <is>
          <t>Remit each co-insurer its share less its commission</t>
        </is>
      </c>
      <c r="D262" s="19" t="inlineStr">
        <is>
          <t>Pass</t>
        </is>
      </c>
      <c r="E262" s="19" t="inlineStr">
        <is>
          <t>backend/test/posting-rules.test.js</t>
        </is>
      </c>
      <c r="F262" s="19" t="inlineStr">
        <is>
          <t>remits to each co-insurer its share of the premium less its own commission</t>
        </is>
      </c>
      <c r="G262" s="19" t="inlineStr"/>
      <c r="H262" s="19" t="inlineStr"/>
      <c r="I262" s="19" t="inlineStr"/>
      <c r="J262" s="19" t="inlineStr"/>
    </row>
    <row r="263">
      <c r="A263" s="19" t="inlineStr">
        <is>
          <t>BV-REM-007</t>
        </is>
      </c>
      <c r="B263" s="19" t="inlineStr">
        <is>
          <t>Remittance to insurers</t>
        </is>
      </c>
      <c r="C263" s="19" t="inlineStr">
        <is>
          <t>Remittance adjustment follows type master and approval</t>
        </is>
      </c>
      <c r="D263" s="19" t="inlineStr">
        <is>
          <t>Pass</t>
        </is>
      </c>
      <c r="E263" s="19" t="inlineStr">
        <is>
          <t>backend/test/remittance.test.js</t>
        </is>
      </c>
      <c r="F263" s="19" t="inlineStr">
        <is>
          <t>adjustments follow the adjustment-type master and approval</t>
        </is>
      </c>
      <c r="G263" s="19" t="inlineStr"/>
      <c r="H263" s="19" t="inlineStr"/>
      <c r="I263" s="19" t="inlineStr">
        <is>
          <t>/finance/remittance/adjustments</t>
        </is>
      </c>
      <c r="J263" s="19" t="inlineStr">
        <is>
          <t>opened clean</t>
        </is>
      </c>
    </row>
    <row r="264">
      <c r="A264" s="19" t="inlineStr">
        <is>
          <t>BV-REM-008</t>
        </is>
      </c>
      <c r="B264" s="19" t="inlineStr">
        <is>
          <t>Remittance to insurers</t>
        </is>
      </c>
      <c r="C264" s="19" t="inlineStr">
        <is>
          <t>Electronic transfer limits and approval</t>
        </is>
      </c>
      <c r="D264" s="19" t="inlineStr">
        <is>
          <t>Pass</t>
        </is>
      </c>
      <c r="E264" s="19" t="inlineStr">
        <is>
          <t>backend/test/remittance.test.js</t>
        </is>
      </c>
      <c r="F264" s="19" t="inlineStr">
        <is>
          <t>electronic transfers check method limits and need approval before execution</t>
        </is>
      </c>
      <c r="G264" s="19" t="inlineStr"/>
      <c r="H264" s="19" t="inlineStr"/>
      <c r="I264" s="19" t="inlineStr">
        <is>
          <t>/finance/remittance/electronictransfer</t>
        </is>
      </c>
      <c r="J264" s="19" t="inlineStr">
        <is>
          <t>opened clean</t>
        </is>
      </c>
    </row>
    <row r="265">
      <c r="A265" s="19" t="inlineStr">
        <is>
          <t>BV-REM-009</t>
        </is>
      </c>
      <c r="B265" s="19" t="inlineStr">
        <is>
          <t>Remittance to insurers</t>
        </is>
      </c>
      <c r="C265" s="19" t="inlineStr">
        <is>
          <t>Agency bills per agent with previous balance</t>
        </is>
      </c>
      <c r="D265" s="19" t="inlineStr">
        <is>
          <t>Pass</t>
        </is>
      </c>
      <c r="E265" s="19" t="inlineStr">
        <is>
          <t>backend/test/remittance.test.js</t>
        </is>
      </c>
      <c r="F265" s="19" t="inlineStr">
        <is>
          <t>agency bills per agent with previous balance</t>
        </is>
      </c>
      <c r="G265" s="19" t="inlineStr"/>
      <c r="H265" s="19" t="inlineStr"/>
      <c r="I265" s="19" t="inlineStr">
        <is>
          <t>/finance/remittance/agencybill</t>
        </is>
      </c>
      <c r="J265" s="19" t="inlineStr">
        <is>
          <t>opened clean</t>
        </is>
      </c>
    </row>
    <row r="266">
      <c r="A266" s="19" t="inlineStr">
        <is>
          <t>BV-REM-010</t>
        </is>
      </c>
      <c r="B266" s="19" t="inlineStr">
        <is>
          <t>Remittance to insurers</t>
        </is>
      </c>
      <c r="C266" s="19" t="inlineStr">
        <is>
          <t>Bulk upload validates rows</t>
        </is>
      </c>
      <c r="D266" s="19" t="inlineStr">
        <is>
          <t>Pass</t>
        </is>
      </c>
      <c r="E266" s="19" t="inlineStr">
        <is>
          <t>backend/test/remittance.test.js</t>
        </is>
      </c>
      <c r="F266" s="19" t="inlineStr">
        <is>
          <t>bulk upload validates rows against the configuration and processes valid ones</t>
        </is>
      </c>
      <c r="G266" s="19" t="inlineStr"/>
      <c r="H266" s="19" t="inlineStr"/>
      <c r="I266" s="19" t="inlineStr">
        <is>
          <t>/finance/remittance/bulkprocessing</t>
        </is>
      </c>
      <c r="J266" s="19" t="inlineStr">
        <is>
          <t>opened clean</t>
        </is>
      </c>
    </row>
    <row r="267">
      <c r="A267" s="19" t="inlineStr">
        <is>
          <t>BV-REM-011</t>
        </is>
      </c>
      <c r="B267" s="19" t="inlineStr">
        <is>
          <t>Remittance to insurers</t>
        </is>
      </c>
      <c r="C267" s="19" t="inlineStr">
        <is>
          <t>Statements, reports, exceptions, history, analytics</t>
        </is>
      </c>
      <c r="D267" s="19" t="inlineStr">
        <is>
          <t>Pass</t>
        </is>
      </c>
      <c r="E267" s="19" t="inlineStr">
        <is>
          <t>backend/test/remittance.test.js
backend/test/remittance.test.js</t>
        </is>
      </c>
      <c r="F267" s="19" t="inlineStr">
        <is>
          <t>statements, reports and exceptions
analytics, history, audit, logs and master overview</t>
        </is>
      </c>
      <c r="G267" s="19" t="inlineStr">
        <is>
          <t>Reports and dashboards</t>
        </is>
      </c>
      <c r="H267" s="19" t="inlineStr">
        <is>
          <t>58 passed, 0 failed</t>
        </is>
      </c>
      <c r="I267" s="19" t="inlineStr">
        <is>
          <t>/finance/remittance/statements/generate
/finance/remittance/exceptions
/finance/remittance/history
/finance/remittance/analytics</t>
        </is>
      </c>
      <c r="J267" s="19" t="inlineStr">
        <is>
          <t>opened clean
opened clean
opened clean
opened clean</t>
        </is>
      </c>
    </row>
    <row r="268">
      <c r="A268" s="19" t="inlineStr">
        <is>
          <t>BV-REM-012</t>
        </is>
      </c>
      <c r="B268" s="19" t="inlineStr">
        <is>
          <t>Remittance to insurers</t>
        </is>
      </c>
      <c r="C268" s="19" t="inlineStr">
        <is>
          <t>Notifications, schedules and delegations</t>
        </is>
      </c>
      <c r="D268" s="19" t="inlineStr">
        <is>
          <t>Pass</t>
        </is>
      </c>
      <c r="E268" s="19" t="inlineStr">
        <is>
          <t>backend/test/remittance.test.js</t>
        </is>
      </c>
      <c r="F268" s="19" t="inlineStr">
        <is>
          <t>notifications, schedules and delegations</t>
        </is>
      </c>
      <c r="G268" s="19" t="inlineStr"/>
      <c r="H268" s="19" t="inlineStr"/>
      <c r="I268" s="19" t="inlineStr">
        <is>
          <t>/finance/remittance/scheduling
/finance/remittance/notifications</t>
        </is>
      </c>
      <c r="J268" s="19" t="inlineStr">
        <is>
          <t>opened clean
opened clean</t>
        </is>
      </c>
    </row>
    <row r="269">
      <c r="A269" s="19" t="inlineStr">
        <is>
          <t>BV-REM-013</t>
        </is>
      </c>
      <c r="B269" s="19" t="inlineStr">
        <is>
          <t>Remittance to insurers</t>
        </is>
      </c>
      <c r="C269" s="19" t="inlineStr">
        <is>
          <t>Remittance reconciliation with partial match and exception</t>
        </is>
      </c>
      <c r="D269" s="19" t="inlineStr">
        <is>
          <t>Pass</t>
        </is>
      </c>
      <c r="E269" s="19" t="inlineStr">
        <is>
          <t>backend/test/remittance.test.js
backend/test/bank-reconciliation.test.js</t>
        </is>
      </c>
      <c r="F269" s="19" t="inlineStr">
        <is>
          <t>bank reconciliation: auto-match, manual partial match with exception, unmatch
the remittance reconciliation reads the bank statement line table and keeps its API</t>
        </is>
      </c>
      <c r="G269" s="19" t="inlineStr"/>
      <c r="H269" s="19" t="inlineStr"/>
      <c r="I269" s="19" t="inlineStr">
        <is>
          <t>/finance/remittance/reconciliation</t>
        </is>
      </c>
      <c r="J269" s="19" t="inlineStr">
        <is>
          <t>opened clean</t>
        </is>
      </c>
    </row>
    <row r="270">
      <c r="A270" s="19" t="inlineStr">
        <is>
          <t>BV-REM-014</t>
        </is>
      </c>
      <c r="B270" s="19" t="inlineStr">
        <is>
          <t>Remittance to insurers</t>
        </is>
      </c>
      <c r="C270" s="19" t="inlineStr">
        <is>
          <t>Users without remittance permission refused</t>
        </is>
      </c>
      <c r="D270" s="19" t="inlineStr">
        <is>
          <t>Pass</t>
        </is>
      </c>
      <c r="E270" s="19" t="inlineStr">
        <is>
          <t>backend/test/remittance.test.js</t>
        </is>
      </c>
      <c r="F270" s="19" t="inlineStr">
        <is>
          <t>denies users without remittance permission</t>
        </is>
      </c>
      <c r="G270" s="19" t="inlineStr"/>
      <c r="H270" s="19" t="inlineStr"/>
      <c r="I270" s="19" t="inlineStr"/>
      <c r="J270" s="19" t="inlineStr"/>
    </row>
    <row r="271">
      <c r="A271" s="19" t="inlineStr">
        <is>
          <t>BV-REM-015</t>
        </is>
      </c>
      <c r="B271" s="19" t="inlineStr">
        <is>
          <t>Remittance to insurers</t>
        </is>
      </c>
      <c r="C271" s="19" t="inlineStr">
        <is>
          <t>New remittance dated on insurer terms</t>
        </is>
      </c>
      <c r="D271" s="19" t="inlineStr">
        <is>
          <t>Pass</t>
        </is>
      </c>
      <c r="E271" s="19" t="inlineStr">
        <is>
          <t>backend/test/credit-control.test.js</t>
        </is>
      </c>
      <c r="F271" s="19" t="inlineStr">
        <is>
          <t>dates a new remittance on the insurer remittance terms, else remittance.default_due_days</t>
        </is>
      </c>
      <c r="G271" s="19" t="inlineStr"/>
      <c r="H271" s="19" t="inlineStr"/>
      <c r="I271" s="19" t="inlineStr"/>
      <c r="J271" s="19" t="inlineStr"/>
    </row>
    <row r="272">
      <c r="A272" s="19" t="inlineStr">
        <is>
          <t>BV-DBL-001</t>
        </is>
      </c>
      <c r="B272" s="19" t="inlineStr">
        <is>
          <t>Direct bill</t>
        </is>
      </c>
      <c r="C272" s="19" t="inlineStr">
        <is>
          <t>Direct-bill policy books commission receivable only</t>
        </is>
      </c>
      <c r="D272" s="19" t="inlineStr">
        <is>
          <t>Pass</t>
        </is>
      </c>
      <c r="E272" s="19" t="inlineStr">
        <is>
          <t>backend/test/direct-bill.test.js
backend/test/uat-disconnects.test.js</t>
        </is>
      </c>
      <c r="F272" s="19" t="inlineStr">
        <is>
          <t>books commission receivable / commission income / output VAT and no premium receivable or payable
books the commission of a direct-bill policy on its issue date</t>
        </is>
      </c>
      <c r="G272" s="19" t="inlineStr">
        <is>
          <t>Billing and collection</t>
        </is>
      </c>
      <c r="H272" s="19" t="inlineStr">
        <is>
          <t>61 passed, 0 failed</t>
        </is>
      </c>
      <c r="I272" s="19" t="inlineStr"/>
      <c r="J272" s="19" t="inlineStr"/>
    </row>
    <row r="273">
      <c r="A273" s="19" t="inlineStr">
        <is>
          <t>BV-DBL-002</t>
        </is>
      </c>
      <c r="B273" s="19" t="inlineStr">
        <is>
          <t>Direct bill</t>
        </is>
      </c>
      <c r="C273" s="19" t="inlineStr">
        <is>
          <t>Record the client payment to the insurer</t>
        </is>
      </c>
      <c r="D273" s="19" t="inlineStr">
        <is>
          <t>Pass</t>
        </is>
      </c>
      <c r="E273" s="19" t="inlineStr">
        <is>
          <t>backend/test/direct-bill-client-payments.test.js
backend/test/direct-bill-client-payments.test.js</t>
        </is>
      </c>
      <c r="F273" s="19" t="inlineStr">
        <is>
          <t>records a payment with the insurer reference and proof, without posting anything, and shows the payment status
validates the entry</t>
        </is>
      </c>
      <c r="G273" s="19" t="inlineStr">
        <is>
          <t>Billing and collection</t>
        </is>
      </c>
      <c r="H273" s="19" t="inlineStr">
        <is>
          <t>61 passed, 0 failed</t>
        </is>
      </c>
      <c r="I273" s="19" t="inlineStr">
        <is>
          <t>/finance/remittance/directbill</t>
        </is>
      </c>
      <c r="J273" s="19" t="inlineStr">
        <is>
          <t>opened clean</t>
        </is>
      </c>
    </row>
    <row r="274">
      <c r="A274" s="19" t="inlineStr">
        <is>
          <t>BV-DBL-003</t>
        </is>
      </c>
      <c r="B274" s="19" t="inlineStr">
        <is>
          <t>Direct bill</t>
        </is>
      </c>
      <c r="C274" s="19" t="inlineStr">
        <is>
          <t>Debit note waits for full client payment when set to full</t>
        </is>
      </c>
      <c r="D274" s="19" t="inlineStr">
        <is>
          <t>Pass</t>
        </is>
      </c>
      <c r="E274" s="19" t="inlineStr">
        <is>
          <t>backend/test/direct-bill-client-payments.test.js
backend/test/direct-bill-client-payments.test.js</t>
        </is>
      </c>
      <c r="F274" s="19" t="inlineStr">
        <is>
          <t>with client_payment_required = full a debit note waits until its policies are paid in full
with any, one recorded payment is enough; a voided payment no longer counts</t>
        </is>
      </c>
      <c r="G274" s="19" t="inlineStr"/>
      <c r="H274" s="19" t="inlineStr"/>
      <c r="I274" s="19" t="inlineStr"/>
      <c r="J274" s="19" t="inlineStr"/>
    </row>
    <row r="275">
      <c r="A275" s="19" t="inlineStr">
        <is>
          <t>BV-DBL-004</t>
        </is>
      </c>
      <c r="B275" s="19" t="inlineStr">
        <is>
          <t>Direct bill</t>
        </is>
      </c>
      <c r="C275" s="19" t="inlineStr">
        <is>
          <t>Commission debit note with maker-checker</t>
        </is>
      </c>
      <c r="D275" s="19" t="inlineStr">
        <is>
          <t>Pass</t>
        </is>
      </c>
      <c r="E275" s="19" t="inlineStr">
        <is>
          <t>backend/test/direct-bill.test.js
backend/test/direct-bill.test.js</t>
        </is>
      </c>
      <c r="F275" s="19" t="inlineStr">
        <is>
          <t>lists unbilled commission insurer-wise with product, commission, VAT, total due and EWT
raise, maker-checker, reject (items released) and approve without a second posting</t>
        </is>
      </c>
      <c r="G275" s="19" t="inlineStr">
        <is>
          <t>Billing and collection</t>
        </is>
      </c>
      <c r="H275" s="19" t="inlineStr">
        <is>
          <t>61 passed, 0 failed</t>
        </is>
      </c>
      <c r="I275" s="19" t="inlineStr"/>
      <c r="J275" s="19" t="inlineStr"/>
    </row>
    <row r="276">
      <c r="A276" s="19" t="inlineStr">
        <is>
          <t>BV-DBL-005</t>
        </is>
      </c>
      <c r="B276" s="19" t="inlineStr">
        <is>
          <t>Direct bill</t>
        </is>
      </c>
      <c r="C276" s="19" t="inlineStr">
        <is>
          <t>Print and send the debit note</t>
        </is>
      </c>
      <c r="D276" s="19" t="inlineStr">
        <is>
          <t>Pass</t>
        </is>
      </c>
      <c r="E276" s="19" t="inlineStr">
        <is>
          <t>backend/test/direct-bill.test.js</t>
        </is>
      </c>
      <c r="F276" s="19" t="inlineStr">
        <is>
          <t>prints and sends the debit note</t>
        </is>
      </c>
      <c r="G276" s="19" t="inlineStr"/>
      <c r="H276" s="19" t="inlineStr"/>
      <c r="I276" s="19" t="inlineStr"/>
      <c r="J276" s="19" t="inlineStr"/>
    </row>
    <row r="277">
      <c r="A277" s="19" t="inlineStr">
        <is>
          <t>BV-DBL-006</t>
        </is>
      </c>
      <c r="B277" s="19" t="inlineStr">
        <is>
          <t>Direct bill</t>
        </is>
      </c>
      <c r="C277" s="19" t="inlineStr">
        <is>
          <t>Collect partial and full commission with CWT</t>
        </is>
      </c>
      <c r="D277" s="19" t="inlineStr">
        <is>
          <t>Pass</t>
        </is>
      </c>
      <c r="E277" s="19" t="inlineStr">
        <is>
          <t>backend/test/direct-bill.test.js</t>
        </is>
      </c>
      <c r="F277" s="19" t="inlineStr">
        <is>
          <t>partial and full collection from the insurer with creditable withholding tax</t>
        </is>
      </c>
      <c r="G277" s="19" t="inlineStr">
        <is>
          <t>Billing and collection</t>
        </is>
      </c>
      <c r="H277" s="19" t="inlineStr">
        <is>
          <t>61 passed, 0 failed</t>
        </is>
      </c>
      <c r="I277" s="19" t="inlineStr"/>
      <c r="J277" s="19" t="inlineStr"/>
    </row>
    <row r="278">
      <c r="A278" s="19" t="inlineStr">
        <is>
          <t>BV-DBL-007</t>
        </is>
      </c>
      <c r="B278" s="19" t="inlineStr">
        <is>
          <t>Direct bill</t>
        </is>
      </c>
      <c r="C278" s="19" t="inlineStr">
        <is>
          <t>Reverse a collection entered in error</t>
        </is>
      </c>
      <c r="D278" s="19" t="inlineStr">
        <is>
          <t>Pass</t>
        </is>
      </c>
      <c r="E278" s="19" t="inlineStr">
        <is>
          <t>backend/test/direct-bill.test.js</t>
        </is>
      </c>
      <c r="F278" s="19" t="inlineStr">
        <is>
          <t>a collection entered in error is reversed and the note reopens</t>
        </is>
      </c>
      <c r="G278" s="19" t="inlineStr"/>
      <c r="H278" s="19" t="inlineStr"/>
      <c r="I278" s="19" t="inlineStr"/>
      <c r="J278" s="19" t="inlineStr"/>
    </row>
    <row r="279">
      <c r="A279" s="19" t="inlineStr">
        <is>
          <t>BV-DBL-008</t>
        </is>
      </c>
      <c r="B279" s="19" t="inlineStr">
        <is>
          <t>Direct bill</t>
        </is>
      </c>
      <c r="C279" s="19" t="inlineStr">
        <is>
          <t>VAT inclusive commission and non-VAT broker</t>
        </is>
      </c>
      <c r="D279" s="19" t="inlineStr">
        <is>
          <t>Pass</t>
        </is>
      </c>
      <c r="E279" s="19" t="inlineStr">
        <is>
          <t>backend/test/direct-bill.test.js</t>
        </is>
      </c>
      <c r="F279" s="19" t="inlineStr">
        <is>
          <t>VAT follows the settings: inclusive commission, broker not VAT-registered</t>
        </is>
      </c>
      <c r="G279" s="19" t="inlineStr"/>
      <c r="H279" s="19" t="inlineStr"/>
      <c r="I279" s="19" t="inlineStr"/>
      <c r="J279" s="19" t="inlineStr"/>
    </row>
    <row r="280">
      <c r="A280" s="19" t="inlineStr">
        <is>
          <t>BV-DBL-009</t>
        </is>
      </c>
      <c r="B280" s="19" t="inlineStr">
        <is>
          <t>Direct bill</t>
        </is>
      </c>
      <c r="C280" s="19" t="inlineStr">
        <is>
          <t>Commission receivable report and trial balance</t>
        </is>
      </c>
      <c r="D280" s="19" t="inlineStr">
        <is>
          <t>Pass</t>
        </is>
      </c>
      <c r="E280" s="19" t="inlineStr">
        <is>
          <t>backend/test/direct-bill.test.js
backend/test/direct-bill.test.js</t>
        </is>
      </c>
      <c r="F280" s="19" t="inlineStr">
        <is>
          <t>commission receivable report and trial balance show it as due from the insurer
dashboards count it as commission receivable from the insurer, not premium receivable from the client</t>
        </is>
      </c>
      <c r="G280" s="19" t="inlineStr">
        <is>
          <t>Reports and dashboards</t>
        </is>
      </c>
      <c r="H280" s="19" t="inlineStr">
        <is>
          <t>58 passed, 0 failed</t>
        </is>
      </c>
      <c r="I280" s="19" t="inlineStr"/>
      <c r="J280" s="19" t="inlineStr"/>
    </row>
    <row r="281">
      <c r="A281" s="19" t="inlineStr">
        <is>
          <t>BV-DBL-010</t>
        </is>
      </c>
      <c r="B281" s="19" t="inlineStr">
        <is>
          <t>Direct bill</t>
        </is>
      </c>
      <c r="C281" s="19" t="inlineStr">
        <is>
          <t>Direct-bill commission per co-insurer</t>
        </is>
      </c>
      <c r="D281" s="19" t="inlineStr">
        <is>
          <t>Pass</t>
        </is>
      </c>
      <c r="E281" s="19" t="inlineStr">
        <is>
          <t>backend/test/posting-rules.test.js</t>
        </is>
      </c>
      <c r="F281" s="19" t="inlineStr">
        <is>
          <t>books direct-bill commission per co-insurer so each gets its own debit note</t>
        </is>
      </c>
      <c r="G281" s="19" t="inlineStr"/>
      <c r="H281" s="19" t="inlineStr"/>
      <c r="I281" s="19" t="inlineStr"/>
      <c r="J281" s="19" t="inlineStr"/>
    </row>
    <row r="282">
      <c r="A282" s="19" t="inlineStr">
        <is>
          <t>BV-COM-001</t>
        </is>
      </c>
      <c r="B282" s="19" t="inlineStr">
        <is>
          <t>Commission and referrers</t>
        </is>
      </c>
      <c r="C282" s="19" t="inlineStr">
        <is>
          <t>Create a referrer account</t>
        </is>
      </c>
      <c r="D282" s="19" t="inlineStr">
        <is>
          <t>Pass</t>
        </is>
      </c>
      <c r="E282" s="19" t="inlineStr">
        <is>
          <t>backend/test/commission.test.js</t>
        </is>
      </c>
      <c r="F282" s="19" t="inlineStr">
        <is>
          <t>creates a referrer and accrues lines from policy commission details</t>
        </is>
      </c>
      <c r="G282" s="19" t="inlineStr">
        <is>
          <t>Set-up</t>
        </is>
      </c>
      <c r="H282" s="19" t="inlineStr">
        <is>
          <t>46 passed, 0 failed</t>
        </is>
      </c>
      <c r="I282" s="19" t="inlineStr">
        <is>
          <t>/commission/referrer-accounts</t>
        </is>
      </c>
      <c r="J282" s="19" t="inlineStr">
        <is>
          <t>opened clean</t>
        </is>
      </c>
    </row>
    <row r="283">
      <c r="A283" s="19" t="inlineStr">
        <is>
          <t>BV-COM-002</t>
        </is>
      </c>
      <c r="B283" s="19" t="inlineStr">
        <is>
          <t>Commission and referrers</t>
        </is>
      </c>
      <c r="C283" s="19" t="inlineStr">
        <is>
          <t>Referrer without bank account cannot be approved or paid</t>
        </is>
      </c>
      <c r="D283" s="19" t="inlineStr">
        <is>
          <t>Pass</t>
        </is>
      </c>
      <c r="E283" s="19" t="inlineStr">
        <is>
          <t>backend/test/policy-payments.test.js</t>
        </is>
      </c>
      <c r="F283" s="19" t="inlineStr">
        <is>
          <t>a referrer without a bank account cannot be approved or paid out; the account shows the configured WHT rate</t>
        </is>
      </c>
      <c r="G283" s="19" t="inlineStr"/>
      <c r="H283" s="19" t="inlineStr"/>
      <c r="I283" s="19" t="inlineStr"/>
      <c r="J283" s="19" t="inlineStr"/>
    </row>
    <row r="284">
      <c r="A284" s="19" t="inlineStr">
        <is>
          <t>BV-COM-003</t>
        </is>
      </c>
      <c r="B284" s="19" t="inlineStr">
        <is>
          <t>Commission and referrers</t>
        </is>
      </c>
      <c r="C284" s="19" t="inlineStr">
        <is>
          <t>Lines eligible only after premium collected</t>
        </is>
      </c>
      <c r="D284" s="19" t="inlineStr">
        <is>
          <t>Pass</t>
        </is>
      </c>
      <c r="E284" s="19" t="inlineStr">
        <is>
          <t>backend/test/commission.test.js</t>
        </is>
      </c>
      <c r="F284" s="19" t="inlineStr">
        <is>
          <t>eligibility requires collected premium; payment makes lines eligible automatically</t>
        </is>
      </c>
      <c r="G284" s="19" t="inlineStr">
        <is>
          <t>Money: remittances, commission, petty cash</t>
        </is>
      </c>
      <c r="H284" s="19" t="inlineStr">
        <is>
          <t>27 passed, 0 failed</t>
        </is>
      </c>
      <c r="I284" s="19" t="inlineStr"/>
      <c r="J284" s="19" t="inlineStr"/>
    </row>
    <row r="285">
      <c r="A285" s="19" t="inlineStr">
        <is>
          <t>BV-COM-004</t>
        </is>
      </c>
      <c r="B285" s="19" t="inlineStr">
        <is>
          <t>Commission and referrers</t>
        </is>
      </c>
      <c r="C285" s="19" t="inlineStr">
        <is>
          <t>Approve (maker-checker), bulk disburse and pay</t>
        </is>
      </c>
      <c r="D285" s="19" t="inlineStr">
        <is>
          <t>Pass</t>
        </is>
      </c>
      <c r="E285" s="19" t="inlineStr">
        <is>
          <t>backend/test/commission.test.js
backend/test/accounting-followups.test.js</t>
        </is>
      </c>
      <c r="F285" s="19" t="inlineStr">
        <is>
          <t>approval is maker-checker; approved lines post the accrual and can be bulk-disbursed and paid
prepares a paid and an approved comsub line</t>
        </is>
      </c>
      <c r="G285" s="19" t="inlineStr">
        <is>
          <t>Money: remittances, commission, petty cash</t>
        </is>
      </c>
      <c r="H285" s="19" t="inlineStr">
        <is>
          <t>27 passed, 0 failed</t>
        </is>
      </c>
      <c r="I285" s="19" t="inlineStr"/>
      <c r="J285" s="19" t="inlineStr"/>
    </row>
    <row r="286">
      <c r="A286" s="19" t="inlineStr">
        <is>
          <t>BV-COM-005</t>
        </is>
      </c>
      <c r="B286" s="19" t="inlineStr">
        <is>
          <t>Commission and referrers</t>
        </is>
      </c>
      <c r="C286" s="19" t="inlineStr">
        <is>
          <t>WHT toggle and clawback after payment</t>
        </is>
      </c>
      <c r="D286" s="19" t="inlineStr">
        <is>
          <t>Pass</t>
        </is>
      </c>
      <c r="E286" s="19" t="inlineStr">
        <is>
          <t>backend/test/commission.test.js</t>
        </is>
      </c>
      <c r="F286" s="19" t="inlineStr">
        <is>
          <t>WHT toggle recomputes open lines; reversal after payment is a clawback; single-line pay</t>
        </is>
      </c>
      <c r="G286" s="19" t="inlineStr"/>
      <c r="H286" s="19" t="inlineStr"/>
      <c r="I286" s="19" t="inlineStr"/>
      <c r="J286" s="19" t="inlineStr"/>
    </row>
    <row r="287">
      <c r="A287" s="19" t="inlineStr">
        <is>
          <t>BV-COM-006</t>
        </is>
      </c>
      <c r="B287" s="19" t="inlineStr">
        <is>
          <t>Commission and referrers</t>
        </is>
      </c>
      <c r="C287" s="19" t="inlineStr">
        <is>
          <t>Commission dashboard and agents ready to pay</t>
        </is>
      </c>
      <c r="D287" s="19" t="inlineStr">
        <is>
          <t>Pass</t>
        </is>
      </c>
      <c r="E287" s="19" t="inlineStr">
        <is>
          <t>backend/test/commission.test.js</t>
        </is>
      </c>
      <c r="F287" s="19" t="inlineStr">
        <is>
          <t>dashboard, referrer list and agents ready to pay (seeded data)</t>
        </is>
      </c>
      <c r="G287" s="19" t="inlineStr">
        <is>
          <t>Reports and dashboards</t>
        </is>
      </c>
      <c r="H287" s="19" t="inlineStr">
        <is>
          <t>58 passed, 0 failed</t>
        </is>
      </c>
      <c r="I287" s="19" t="inlineStr">
        <is>
          <t>/commission/dashboard</t>
        </is>
      </c>
      <c r="J287" s="19" t="inlineStr">
        <is>
          <t>opened clean</t>
        </is>
      </c>
    </row>
    <row r="288">
      <c r="A288" s="19" t="inlineStr">
        <is>
          <t>BV-COM-007</t>
        </is>
      </c>
      <c r="B288" s="19" t="inlineStr">
        <is>
          <t>Commission and referrers</t>
        </is>
      </c>
      <c r="C288" s="19" t="inlineStr">
        <is>
          <t>Commission taxes set-up and simulation</t>
        </is>
      </c>
      <c r="D288" s="19" t="inlineStr">
        <is>
          <t>Pass</t>
        </is>
      </c>
      <c r="E288" s="19" t="inlineStr">
        <is>
          <t>backend/test/commission-taxes.test.js
backend/test/commission-taxes.test.js
backend/test/configuration-controls.test.js</t>
        </is>
      </c>
      <c r="F288" s="19" t="inlineStr">
        <is>
          <t>simulate shows the tax lines; rates and GL accounts follow the tax codes master
the set-up screen reads and changes the switches and tax codes
maps and commission taxes too; the generic settings screens cannot bypass it</t>
        </is>
      </c>
      <c r="G288" s="19" t="inlineStr"/>
      <c r="H288" s="19" t="inlineStr"/>
      <c r="I288" s="19" t="inlineStr"/>
      <c r="J288" s="19" t="inlineStr"/>
    </row>
    <row r="289">
      <c r="A289" s="19" t="inlineStr">
        <is>
          <t>BV-COM-008</t>
        </is>
      </c>
      <c r="B289" s="19" t="inlineStr">
        <is>
          <t>Commission and referrers</t>
        </is>
      </c>
      <c r="C289" s="19" t="inlineStr">
        <is>
          <t>Co-insured: VAT and EWT per insurer commission</t>
        </is>
      </c>
      <c r="D289" s="19" t="inlineStr">
        <is>
          <t>Pass</t>
        </is>
      </c>
      <c r="E289" s="19" t="inlineStr">
        <is>
          <t>backend/test/commission-taxes.test.js</t>
        </is>
      </c>
      <c r="F289" s="19" t="inlineStr">
        <is>
          <t>co-insured: each insurer is billed VAT on, and withholds EWT from, its own commission</t>
        </is>
      </c>
      <c r="G289" s="19" t="inlineStr"/>
      <c r="H289" s="19" t="inlineStr"/>
      <c r="I289" s="19" t="inlineStr"/>
      <c r="J289" s="19" t="inlineStr"/>
    </row>
    <row r="290">
      <c r="A290" s="19" t="inlineStr">
        <is>
          <t>BV-COM-009</t>
        </is>
      </c>
      <c r="B290" s="19" t="inlineStr">
        <is>
          <t>Commission and referrers</t>
        </is>
      </c>
      <c r="C290" s="19" t="inlineStr">
        <is>
          <t>Commission split on the order summary</t>
        </is>
      </c>
      <c r="D290" s="19" t="inlineStr">
        <is>
          <t>Pass</t>
        </is>
      </c>
      <c r="E290" s="19" t="inlineStr">
        <is>
          <t>backend/test/motor-tariff.test.js</t>
        </is>
      </c>
      <c r="F290" s="19" t="inlineStr">
        <is>
          <t>books the brokerage % of the commission rule shown on the order summary</t>
        </is>
      </c>
      <c r="G290" s="19" t="inlineStr">
        <is>
          <t>Retail package business</t>
        </is>
      </c>
      <c r="H290" s="19" t="inlineStr">
        <is>
          <t>84 passed, 0 failed</t>
        </is>
      </c>
      <c r="I290" s="19" t="inlineStr"/>
      <c r="J290" s="19" t="inlineStr"/>
    </row>
    <row r="291">
      <c r="A291" s="19" t="inlineStr">
        <is>
          <t>BV-COM-010</t>
        </is>
      </c>
      <c r="B291" s="19" t="inlineStr">
        <is>
          <t>Commission and referrers</t>
        </is>
      </c>
      <c r="C291" s="19" t="inlineStr">
        <is>
          <t>Commission validation and permissions</t>
        </is>
      </c>
      <c r="D291" s="19" t="inlineStr">
        <is>
          <t>Pass</t>
        </is>
      </c>
      <c r="E291" s="19" t="inlineStr">
        <is>
          <t>backend/test/commission.test.js</t>
        </is>
      </c>
      <c r="F291" s="19" t="inlineStr">
        <is>
          <t>validation and permissions</t>
        </is>
      </c>
      <c r="G291" s="19" t="inlineStr"/>
      <c r="H291" s="19" t="inlineStr"/>
      <c r="I291" s="19" t="inlineStr"/>
      <c r="J291" s="19" t="inlineStr"/>
    </row>
    <row r="292">
      <c r="A292" s="19" t="inlineStr">
        <is>
          <t>BV-PCH-001</t>
        </is>
      </c>
      <c r="B292" s="19" t="inlineStr">
        <is>
          <t>Petty cash</t>
        </is>
      </c>
      <c r="C292" s="19" t="inlineStr">
        <is>
          <t>Set up a petty cash fund</t>
        </is>
      </c>
      <c r="D292" s="19" t="inlineStr">
        <is>
          <t>Pass</t>
        </is>
      </c>
      <c r="E292" s="19" t="inlineStr"/>
      <c r="F292" s="19" t="inlineStr"/>
      <c r="G292" s="19" t="inlineStr">
        <is>
          <t>Money: remittances, commission, petty cash</t>
        </is>
      </c>
      <c r="H292" s="19" t="inlineStr">
        <is>
          <t>27 passed, 0 failed</t>
        </is>
      </c>
      <c r="I292" s="19" t="inlineStr">
        <is>
          <t>/accounts/pettycash/pettycashcodeinitiate</t>
        </is>
      </c>
      <c r="J292" s="19" t="inlineStr">
        <is>
          <t>opened clean</t>
        </is>
      </c>
    </row>
    <row r="293">
      <c r="A293" s="19" t="inlineStr">
        <is>
          <t>BV-PCH-002</t>
        </is>
      </c>
      <c r="B293" s="19" t="inlineStr">
        <is>
          <t>Petty cash</t>
        </is>
      </c>
      <c r="C293" s="19" t="inlineStr">
        <is>
          <t>Petty cash request approved by a second user</t>
        </is>
      </c>
      <c r="D293" s="19" t="inlineStr">
        <is>
          <t>Pass</t>
        </is>
      </c>
      <c r="E293" s="19" t="inlineStr"/>
      <c r="F293" s="19" t="inlineStr"/>
      <c r="G293" s="19" t="inlineStr">
        <is>
          <t>Money: remittances, commission, petty cash</t>
        </is>
      </c>
      <c r="H293" s="19" t="inlineStr">
        <is>
          <t>27 passed, 0 failed</t>
        </is>
      </c>
      <c r="I293" s="19" t="inlineStr">
        <is>
          <t>/accounts/pettycash/pettycashrequest</t>
        </is>
      </c>
      <c r="J293" s="19" t="inlineStr">
        <is>
          <t>opened clean</t>
        </is>
      </c>
    </row>
    <row r="294">
      <c r="A294" s="19" t="inlineStr">
        <is>
          <t>BV-PCH-003</t>
        </is>
      </c>
      <c r="B294" s="19" t="inlineStr">
        <is>
          <t>Petty cash</t>
        </is>
      </c>
      <c r="C294" s="19" t="inlineStr">
        <is>
          <t>Disburse with input VAT</t>
        </is>
      </c>
      <c r="D294" s="19" t="inlineStr">
        <is>
          <t>Pass</t>
        </is>
      </c>
      <c r="E294" s="19" t="inlineStr"/>
      <c r="F294" s="19" t="inlineStr"/>
      <c r="G294" s="19" t="inlineStr">
        <is>
          <t>Money: remittances, commission, petty cash</t>
        </is>
      </c>
      <c r="H294" s="19" t="inlineStr">
        <is>
          <t>27 passed, 0 failed</t>
        </is>
      </c>
      <c r="I294" s="19" t="inlineStr">
        <is>
          <t>/accounts/pettycash/disbursement</t>
        </is>
      </c>
      <c r="J294" s="19" t="inlineStr">
        <is>
          <t>opened clean</t>
        </is>
      </c>
    </row>
    <row r="295">
      <c r="A295" s="19" t="inlineStr">
        <is>
          <t>BV-PCH-004</t>
        </is>
      </c>
      <c r="B295" s="19" t="inlineStr">
        <is>
          <t>Petty cash</t>
        </is>
      </c>
      <c r="C295" s="19" t="inlineStr">
        <is>
          <t>Replenish the fund</t>
        </is>
      </c>
      <c r="D295" s="19" t="inlineStr">
        <is>
          <t>Pass</t>
        </is>
      </c>
      <c r="E295" s="19" t="inlineStr"/>
      <c r="F295" s="19" t="inlineStr"/>
      <c r="G295" s="19" t="inlineStr">
        <is>
          <t>Money: remittances, commission, petty cash</t>
        </is>
      </c>
      <c r="H295" s="19" t="inlineStr">
        <is>
          <t>27 passed, 0 failed</t>
        </is>
      </c>
      <c r="I295" s="19" t="inlineStr">
        <is>
          <t>/accounts/pettycash/replenish</t>
        </is>
      </c>
      <c r="J295" s="19" t="inlineStr">
        <is>
          <t>opened clean</t>
        </is>
      </c>
    </row>
    <row r="296">
      <c r="A296" s="19" t="inlineStr">
        <is>
          <t>BV-PCH-005</t>
        </is>
      </c>
      <c r="B296" s="19" t="inlineStr">
        <is>
          <t>Petty cash</t>
        </is>
      </c>
      <c r="C296" s="19" t="inlineStr">
        <is>
          <t>Petty cash reversal keeps the ledger balanced</t>
        </is>
      </c>
      <c r="D296" s="19" t="inlineStr">
        <is>
          <t>Pass</t>
        </is>
      </c>
      <c r="E296" s="19" t="inlineStr">
        <is>
          <t>backend/test/posting-rules.test.js</t>
        </is>
      </c>
      <c r="F296" s="19" t="inlineStr">
        <is>
          <t>remittance adjustments, petty cash reversal and the ledger stay balanced</t>
        </is>
      </c>
      <c r="G296" s="19" t="inlineStr"/>
      <c r="H296" s="19" t="inlineStr"/>
      <c r="I296" s="19" t="inlineStr"/>
      <c r="J296" s="19" t="inlineStr"/>
    </row>
    <row r="297">
      <c r="A297" s="19" t="inlineStr">
        <is>
          <t>BV-PCH-006</t>
        </is>
      </c>
      <c r="B297" s="19" t="inlineStr">
        <is>
          <t>Petty cash</t>
        </is>
      </c>
      <c r="C297" s="19" t="inlineStr">
        <is>
          <t>Request above the max limit</t>
        </is>
      </c>
      <c r="D297" s="19" t="inlineStr">
        <is>
          <t>Not Run</t>
        </is>
      </c>
      <c r="E297" s="19" t="inlineStr"/>
      <c r="F297" s="19" t="inlineStr"/>
      <c r="G297" s="19" t="inlineStr"/>
      <c r="H297" s="19" t="inlineStr"/>
      <c r="I297" s="19" t="inlineStr"/>
      <c r="J297" s="19" t="inlineStr"/>
    </row>
    <row r="298">
      <c r="A298" s="19" t="inlineStr">
        <is>
          <t>BV-PCH-007</t>
        </is>
      </c>
      <c r="B298" s="19" t="inlineStr">
        <is>
          <t>Petty cash</t>
        </is>
      </c>
      <c r="C298" s="19" t="inlineStr">
        <is>
          <t>Petty cash master and receipts screen open</t>
        </is>
      </c>
      <c r="D298" s="19" t="inlineStr">
        <is>
          <t>Pass</t>
        </is>
      </c>
      <c r="E298" s="19" t="inlineStr"/>
      <c r="F298" s="19" t="inlineStr"/>
      <c r="G298" s="19" t="inlineStr"/>
      <c r="H298" s="19" t="inlineStr"/>
      <c r="I298" s="19" t="inlineStr">
        <is>
          <t>/master/finance/pettycash
/accounts/pettycash/receipts</t>
        </is>
      </c>
      <c r="J298" s="19" t="inlineStr">
        <is>
          <t>opened clean
opened clean</t>
        </is>
      </c>
    </row>
    <row r="299">
      <c r="A299" s="19" t="inlineStr">
        <is>
          <t>BV-JNL-001</t>
        </is>
      </c>
      <c r="B299" s="19" t="inlineStr">
        <is>
          <t>Journal vouchers and ledger</t>
        </is>
      </c>
      <c r="C299" s="19" t="inlineStr">
        <is>
          <t>Manual journal voucher with maker-checker</t>
        </is>
      </c>
      <c r="D299" s="19" t="inlineStr">
        <is>
          <t>Pass</t>
        </is>
      </c>
      <c r="E299" s="19" t="inlineStr">
        <is>
          <t>backend/test/journal.test.js</t>
        </is>
      </c>
      <c r="F299" s="19" t="inlineStr">
        <is>
          <t>maker creates a voucher for approval; maker cannot approve; checker approves and it posts</t>
        </is>
      </c>
      <c r="G299" s="19" t="inlineStr">
        <is>
          <t>Reconciliation: bank and insurer statements</t>
        </is>
      </c>
      <c r="H299" s="19" t="inlineStr">
        <is>
          <t>10 passed, 0 failed</t>
        </is>
      </c>
      <c r="I299" s="19" t="inlineStr">
        <is>
          <t>/accounts/journalvoucher</t>
        </is>
      </c>
      <c r="J299" s="19" t="inlineStr">
        <is>
          <t>opened clean</t>
        </is>
      </c>
    </row>
    <row r="300">
      <c r="A300" s="19" t="inlineStr">
        <is>
          <t>BV-JNL-002</t>
        </is>
      </c>
      <c r="B300" s="19" t="inlineStr">
        <is>
          <t>Journal vouchers and ledger</t>
        </is>
      </c>
      <c r="C300" s="19" t="inlineStr">
        <is>
          <t>Unbalanced or unknown account refused</t>
        </is>
      </c>
      <c r="D300" s="19" t="inlineStr">
        <is>
          <t>Pass</t>
        </is>
      </c>
      <c r="E300" s="19" t="inlineStr">
        <is>
          <t>backend/test/journal.test.js</t>
        </is>
      </c>
      <c r="F300" s="19" t="inlineStr">
        <is>
          <t>foreign currency lines convert at the master rate; unbalanced or unknown accounts are rejected</t>
        </is>
      </c>
      <c r="G300" s="19" t="inlineStr"/>
      <c r="H300" s="19" t="inlineStr"/>
      <c r="I300" s="19" t="inlineStr"/>
      <c r="J300" s="19" t="inlineStr"/>
    </row>
    <row r="301">
      <c r="A301" s="19" t="inlineStr">
        <is>
          <t>BV-JNL-003</t>
        </is>
      </c>
      <c r="B301" s="19" t="inlineStr">
        <is>
          <t>Journal vouchers and ledger</t>
        </is>
      </c>
      <c r="C301" s="19" t="inlineStr">
        <is>
          <t>Foreign currency line converts at master rate</t>
        </is>
      </c>
      <c r="D301" s="19" t="inlineStr">
        <is>
          <t>Pass</t>
        </is>
      </c>
      <c r="E301" s="19" t="inlineStr">
        <is>
          <t>backend/test/journal.test.js</t>
        </is>
      </c>
      <c r="F301" s="19" t="inlineStr">
        <is>
          <t>foreign currency lines convert at the master rate; unbalanced or unknown accounts are rejected</t>
        </is>
      </c>
      <c r="G301" s="19" t="inlineStr"/>
      <c r="H301" s="19" t="inlineStr"/>
      <c r="I301" s="19" t="inlineStr"/>
      <c r="J301" s="19" t="inlineStr"/>
    </row>
    <row r="302">
      <c r="A302" s="19" t="inlineStr">
        <is>
          <t>BV-JNL-004</t>
        </is>
      </c>
      <c r="B302" s="19" t="inlineStr">
        <is>
          <t>Journal vouchers and ledger</t>
        </is>
      </c>
      <c r="C302" s="19" t="inlineStr">
        <is>
          <t>Checker rejects with a reason</t>
        </is>
      </c>
      <c r="D302" s="19" t="inlineStr">
        <is>
          <t>Pass</t>
        </is>
      </c>
      <c r="E302" s="19" t="inlineStr">
        <is>
          <t>backend/test/journal.test.js</t>
        </is>
      </c>
      <c r="F302" s="19" t="inlineStr">
        <is>
          <t>checker rejects with a reason</t>
        </is>
      </c>
      <c r="G302" s="19" t="inlineStr"/>
      <c r="H302" s="19" t="inlineStr"/>
      <c r="I302" s="19" t="inlineStr"/>
      <c r="J302" s="19" t="inlineStr"/>
    </row>
    <row r="303">
      <c r="A303" s="19" t="inlineStr">
        <is>
          <t>BV-JNL-005</t>
        </is>
      </c>
      <c r="B303" s="19" t="inlineStr">
        <is>
          <t>Journal vouchers and ledger</t>
        </is>
      </c>
      <c r="C303" s="19" t="inlineStr">
        <is>
          <t>Correction JV reverses the original and posts corrected lines</t>
        </is>
      </c>
      <c r="D303" s="19" t="inlineStr">
        <is>
          <t>Pass</t>
        </is>
      </c>
      <c r="E303" s="19" t="inlineStr">
        <is>
          <t>backend/test/journal.test.js</t>
        </is>
      </c>
      <c r="F303" s="19" t="inlineStr">
        <is>
          <t>correction JV reverses the original and posts corrected lines on approval; reversal JV of the correction</t>
        </is>
      </c>
      <c r="G303" s="19" t="inlineStr"/>
      <c r="H303" s="19" t="inlineStr"/>
      <c r="I303" s="19" t="inlineStr">
        <is>
          <t>/accounts/correctionsjv/correctionsjvdetails</t>
        </is>
      </c>
      <c r="J303" s="19" t="inlineStr">
        <is>
          <t>opened clean</t>
        </is>
      </c>
    </row>
    <row r="304">
      <c r="A304" s="19" t="inlineStr">
        <is>
          <t>BV-JNL-006</t>
        </is>
      </c>
      <c r="B304" s="19" t="inlineStr">
        <is>
          <t>Journal vouchers and ledger</t>
        </is>
      </c>
      <c r="C304" s="19" t="inlineStr">
        <is>
          <t>Reversal JV of a correction</t>
        </is>
      </c>
      <c r="D304" s="19" t="inlineStr">
        <is>
          <t>Pass</t>
        </is>
      </c>
      <c r="E304" s="19" t="inlineStr">
        <is>
          <t>backend/test/journal.test.js
backend/test/accounting.test.js</t>
        </is>
      </c>
      <c r="F304" s="19" t="inlineStr">
        <is>
          <t>correction JV reverses the original and posts corrected lines on approval; reversal JV of the correction
transactions: post a pending journal, reverse it, cancel another</t>
        </is>
      </c>
      <c r="G304" s="19" t="inlineStr"/>
      <c r="H304" s="19" t="inlineStr"/>
      <c r="I304" s="19" t="inlineStr">
        <is>
          <t>/accounts/reversaljv/reversaljvdetails</t>
        </is>
      </c>
      <c r="J304" s="19" t="inlineStr">
        <is>
          <t>opened clean</t>
        </is>
      </c>
    </row>
    <row r="305">
      <c r="A305" s="19" t="inlineStr">
        <is>
          <t>BV-JNL-007</t>
        </is>
      </c>
      <c r="B305" s="19" t="inlineStr">
        <is>
          <t>Journal vouchers and ledger</t>
        </is>
      </c>
      <c r="C305" s="19" t="inlineStr">
        <is>
          <t>Journal permissions</t>
        </is>
      </c>
      <c r="D305" s="19" t="inlineStr">
        <is>
          <t>Pass</t>
        </is>
      </c>
      <c r="E305" s="19" t="inlineStr">
        <is>
          <t>backend/test/journal.test.js
backend/test/accounting.test.js</t>
        </is>
      </c>
      <c r="F305" s="19" t="inlineStr">
        <is>
          <t>permissions
permissions</t>
        </is>
      </c>
      <c r="G305" s="19" t="inlineStr"/>
      <c r="H305" s="19" t="inlineStr"/>
      <c r="I305" s="19" t="inlineStr"/>
      <c r="J305" s="19" t="inlineStr"/>
    </row>
    <row r="306">
      <c r="A306" s="19" t="inlineStr">
        <is>
          <t>BV-JNL-008</t>
        </is>
      </c>
      <c r="B306" s="19" t="inlineStr">
        <is>
          <t>Journal vouchers and ledger</t>
        </is>
      </c>
      <c r="C306" s="19" t="inlineStr">
        <is>
          <t>Search entries, client ledger and export</t>
        </is>
      </c>
      <c r="D306" s="19" t="inlineStr">
        <is>
          <t>Pass</t>
        </is>
      </c>
      <c r="E306" s="19" t="inlineStr">
        <is>
          <t>backend/test/accounting.test.js</t>
        </is>
      </c>
      <c r="F306" s="19" t="inlineStr">
        <is>
          <t>entries search, client ledger, all-clients view and export</t>
        </is>
      </c>
      <c r="G306" s="19" t="inlineStr"/>
      <c r="H306" s="19" t="inlineStr"/>
      <c r="I306" s="19" t="inlineStr">
        <is>
          <t>/agent/accounting/query
/agent/accounting/all-clients-details</t>
        </is>
      </c>
      <c r="J306" s="19" t="inlineStr">
        <is>
          <t>opened clean
opened clean</t>
        </is>
      </c>
    </row>
    <row r="307">
      <c r="A307" s="19" t="inlineStr">
        <is>
          <t>BV-JNL-009</t>
        </is>
      </c>
      <c r="B307" s="19" t="inlineStr">
        <is>
          <t>Journal vouchers and ledger</t>
        </is>
      </c>
      <c r="C307" s="19" t="inlineStr">
        <is>
          <t>Match and unmatch open entries</t>
        </is>
      </c>
      <c r="D307" s="19" t="inlineStr">
        <is>
          <t>Pass</t>
        </is>
      </c>
      <c r="E307" s="19" t="inlineStr">
        <is>
          <t>backend/test/accounting.test.js</t>
        </is>
      </c>
      <c r="F307" s="19" t="inlineStr">
        <is>
          <t>open-entry matching and unmatching (POST and GET)</t>
        </is>
      </c>
      <c r="G307" s="19" t="inlineStr"/>
      <c r="H307" s="19" t="inlineStr"/>
      <c r="I307" s="19" t="inlineStr">
        <is>
          <t>/accounts/open-entry-matching
/accounts/open-entry-unmatching</t>
        </is>
      </c>
      <c r="J307" s="19" t="inlineStr">
        <is>
          <t>opened clean
opened clean</t>
        </is>
      </c>
    </row>
    <row r="308">
      <c r="A308" s="19" t="inlineStr">
        <is>
          <t>BV-JNL-010</t>
        </is>
      </c>
      <c r="B308" s="19" t="inlineStr">
        <is>
          <t>Journal vouchers and ledger</t>
        </is>
      </c>
      <c r="C308" s="19" t="inlineStr">
        <is>
          <t>Seeded ledger balanced; every event balances</t>
        </is>
      </c>
      <c r="D308" s="19" t="inlineStr">
        <is>
          <t>Pass</t>
        </is>
      </c>
      <c r="E308" s="19" t="inlineStr">
        <is>
          <t>backend/test/accounting.test.js
backend/test/posting-rules.test.js</t>
        </is>
      </c>
      <c r="F308" s="19" t="inlineStr">
        <is>
          <t>seeded ledger is balanced and the trial balance agrees
every event balances on its sample context, single insurer and co-insured</t>
        </is>
      </c>
      <c r="G308" s="19" t="inlineStr">
        <is>
          <t>Reports and dashboards</t>
        </is>
      </c>
      <c r="H308" s="19" t="inlineStr">
        <is>
          <t>58 passed, 0 failed</t>
        </is>
      </c>
      <c r="I308" s="19" t="inlineStr"/>
      <c r="J308" s="19" t="inlineStr"/>
    </row>
    <row r="309">
      <c r="A309" s="19" t="inlineStr">
        <is>
          <t>BV-JNL-011</t>
        </is>
      </c>
      <c r="B309" s="19" t="inlineStr">
        <is>
          <t>Journal vouchers and ledger</t>
        </is>
      </c>
      <c r="C309" s="19" t="inlineStr">
        <is>
          <t>New posting rule version pending until approved</t>
        </is>
      </c>
      <c r="D309" s="19" t="inlineStr">
        <is>
          <t>Pass</t>
        </is>
      </c>
      <c r="E309" s="19" t="inlineStr">
        <is>
          <t>backend/test/configuration-controls.test.js
backend/test/posting-rules.test.js</t>
        </is>
      </c>
      <c r="F309" s="19" t="inlineStr">
        <is>
          <t>a new version is pending and never posts until approved; rejecting leaves the version in force
lists events and rules, simulates, and validates new versions</t>
        </is>
      </c>
      <c r="G309" s="19" t="inlineStr"/>
      <c r="H309" s="19" t="inlineStr"/>
      <c r="I309" s="19" t="inlineStr">
        <is>
          <t>/master/finance/posting-rules
/master/finance/configuration-approvals</t>
        </is>
      </c>
      <c r="J309" s="19" t="inlineStr">
        <is>
          <t>opened clean
opened clean</t>
        </is>
      </c>
    </row>
    <row r="310">
      <c r="A310" s="19" t="inlineStr">
        <is>
          <t>BV-JNL-012</t>
        </is>
      </c>
      <c r="B310" s="19" t="inlineStr">
        <is>
          <t>Journal vouchers and ledger</t>
        </is>
      </c>
      <c r="C310" s="19" t="inlineStr">
        <is>
          <t>Account determination edits the role map</t>
        </is>
      </c>
      <c r="D310" s="19" t="inlineStr">
        <is>
          <t>Pass</t>
        </is>
      </c>
      <c r="E310" s="19" t="inlineStr">
        <is>
          <t>backend/test/posting-rules.test.js</t>
        </is>
      </c>
      <c r="F310" s="19" t="inlineStr">
        <is>
          <t>Account Determination edits the role map posting uses</t>
        </is>
      </c>
      <c r="G310" s="19" t="inlineStr"/>
      <c r="H310" s="19" t="inlineStr"/>
      <c r="I310" s="19" t="inlineStr">
        <is>
          <t>/master/finance/account-determination</t>
        </is>
      </c>
      <c r="J310" s="19" t="inlineStr">
        <is>
          <t>opened clean</t>
        </is>
      </c>
    </row>
    <row r="311">
      <c r="A311" s="19" t="inlineStr">
        <is>
          <t>BV-JNL-013</t>
        </is>
      </c>
      <c r="B311" s="19" t="inlineStr">
        <is>
          <t>Journal vouchers and ledger</t>
        </is>
      </c>
      <c r="C311" s="19" t="inlineStr">
        <is>
          <t>Accounting flow lists every event with GL lines</t>
        </is>
      </c>
      <c r="D311" s="19" t="inlineStr">
        <is>
          <t>Pass</t>
        </is>
      </c>
      <c r="E311" s="19" t="inlineStr">
        <is>
          <t>backend/test/accounting-flow.test.js
backend/test/accounting-flow.test.js
backend/test/accounting-flow.test.js</t>
        </is>
      </c>
      <c r="F311" s="19" t="inlineStr">
        <is>
          <t>documents the trigger and approval of every event
lists every event with the debit and credit lines of the rule in force and their GL accounts
follows a rule change</t>
        </is>
      </c>
      <c r="G311" s="19" t="inlineStr"/>
      <c r="H311" s="19" t="inlineStr"/>
      <c r="I311" s="19" t="inlineStr">
        <is>
          <t>/master/finance/accounting-flow</t>
        </is>
      </c>
      <c r="J311" s="19" t="inlineStr">
        <is>
          <t>opened clean</t>
        </is>
      </c>
    </row>
    <row r="312">
      <c r="A312" s="19" t="inlineStr">
        <is>
          <t>BV-JNL-014</t>
        </is>
      </c>
      <c r="B312" s="19" t="inlineStr">
        <is>
          <t>Journal vouchers and ledger</t>
        </is>
      </c>
      <c r="C312" s="19" t="inlineStr">
        <is>
          <t>Sub-ledger tie-out reports a manual journal on a control account</t>
        </is>
      </c>
      <c r="D312" s="19" t="inlineStr">
        <is>
          <t>Pass</t>
        </is>
      </c>
      <c r="E312" s="19" t="inlineStr">
        <is>
          <t>backend/test/configuration-controls.test.js</t>
        </is>
      </c>
      <c r="F312" s="19" t="inlineStr">
        <is>
          <t>ties out after operations and reports a manual journal on a control account</t>
        </is>
      </c>
      <c r="G312" s="19" t="inlineStr">
        <is>
          <t>Reports and dashboards</t>
        </is>
      </c>
      <c r="H312" s="19" t="inlineStr">
        <is>
          <t>58 passed, 0 failed</t>
        </is>
      </c>
      <c r="I312" s="19" t="inlineStr"/>
      <c r="J312" s="19" t="inlineStr"/>
    </row>
    <row r="313">
      <c r="A313" s="19" t="inlineStr">
        <is>
          <t>BV-JNL-015</t>
        </is>
      </c>
      <c r="B313" s="19" t="inlineStr">
        <is>
          <t>Journal vouchers and ledger</t>
        </is>
      </c>
      <c r="C313" s="19" t="inlineStr">
        <is>
          <t>Receipt debits the GL of the chosen bank account</t>
        </is>
      </c>
      <c r="D313" s="19" t="inlineStr">
        <is>
          <t>Pass</t>
        </is>
      </c>
      <c r="E313" s="19" t="inlineStr">
        <is>
          <t>backend/test/posting-rules.test.js</t>
        </is>
      </c>
      <c r="F313" s="19" t="inlineStr">
        <is>
          <t>debits the GL account of the chosen bank account</t>
        </is>
      </c>
      <c r="G313" s="19" t="inlineStr"/>
      <c r="H313" s="19" t="inlineStr"/>
      <c r="I313" s="19" t="inlineStr"/>
      <c r="J313" s="19" t="inlineStr"/>
    </row>
    <row r="314">
      <c r="A314" s="19" t="inlineStr">
        <is>
          <t>BV-JNL-016</t>
        </is>
      </c>
      <c r="B314" s="19" t="inlineStr">
        <is>
          <t>Journal vouchers and ledger</t>
        </is>
      </c>
      <c r="C314" s="19" t="inlineStr">
        <is>
          <t>VAT, DST and LGT to own accounts</t>
        </is>
      </c>
      <c r="D314" s="19" t="inlineStr">
        <is>
          <t>Pass</t>
        </is>
      </c>
      <c r="E314" s="19" t="inlineStr">
        <is>
          <t>backend/test/posting-rules.test.js</t>
        </is>
      </c>
      <c r="F314" s="19" t="inlineStr">
        <is>
          <t>splits VAT, DST and LGT into their own accounts when the bill carries them</t>
        </is>
      </c>
      <c r="G314" s="19" t="inlineStr"/>
      <c r="H314" s="19" t="inlineStr"/>
      <c r="I314" s="19" t="inlineStr"/>
      <c r="J314" s="19" t="inlineStr"/>
    </row>
    <row r="315">
      <c r="A315" s="19" t="inlineStr">
        <is>
          <t>BV-PER-001</t>
        </is>
      </c>
      <c r="B315" s="19" t="inlineStr">
        <is>
          <t>Period end</t>
        </is>
      </c>
      <c r="C315" s="19" t="inlineStr">
        <is>
          <t>Fiscal years and periods with adjustment period 13</t>
        </is>
      </c>
      <c r="D315" s="19" t="inlineStr">
        <is>
          <t>Pass</t>
        </is>
      </c>
      <c r="E315" s="19" t="inlineStr">
        <is>
          <t>backend/test/period-end.test.js
backend/test/period-end-calendar.test.js</t>
        </is>
      </c>
      <c r="F315" s="19" t="inlineStr">
        <is>
          <t>generates fiscal years from the first journal with 12 periods and adjustment period 13
generates April-March fiscal years named after their end year</t>
        </is>
      </c>
      <c r="G315" s="19" t="inlineStr"/>
      <c r="H315" s="19" t="inlineStr"/>
      <c r="I315" s="19" t="inlineStr">
        <is>
          <t>/accounts/period-end/periods</t>
        </is>
      </c>
      <c r="J315" s="19" t="inlineStr">
        <is>
          <t>opened clean</t>
        </is>
      </c>
    </row>
    <row r="316">
      <c r="A316" s="19" t="inlineStr">
        <is>
          <t>BV-PER-002</t>
        </is>
      </c>
      <c r="B316" s="19" t="inlineStr">
        <is>
          <t>Period end</t>
        </is>
      </c>
      <c r="C316" s="19" t="inlineStr">
        <is>
          <t>Run the month-end close and submit</t>
        </is>
      </c>
      <c r="D316" s="19" t="inlineStr">
        <is>
          <t>Pass</t>
        </is>
      </c>
      <c r="E316" s="19" t="inlineStr">
        <is>
          <t>backend/test/period-end.test.js</t>
        </is>
      </c>
      <c r="F316" s="19" t="inlineStr">
        <is>
          <t>maker-checker: the preparer submits, another user with approve:period-end approves and the period closes</t>
        </is>
      </c>
      <c r="G316" s="19" t="inlineStr">
        <is>
          <t>Month-end close</t>
        </is>
      </c>
      <c r="H316" s="19" t="inlineStr">
        <is>
          <t>6 passed, 0 failed</t>
        </is>
      </c>
      <c r="I316" s="19" t="inlineStr">
        <is>
          <t>/accounts/period-end/close</t>
        </is>
      </c>
      <c r="J316" s="19" t="inlineStr">
        <is>
          <t>opened clean</t>
        </is>
      </c>
    </row>
    <row r="317">
      <c r="A317" s="19" t="inlineStr">
        <is>
          <t>BV-PER-003</t>
        </is>
      </c>
      <c r="B317" s="19" t="inlineStr">
        <is>
          <t>Period end</t>
        </is>
      </c>
      <c r="C317" s="19" t="inlineStr">
        <is>
          <t>Approve the close; maker cannot approve</t>
        </is>
      </c>
      <c r="D317" s="19" t="inlineStr">
        <is>
          <t>Pass</t>
        </is>
      </c>
      <c r="E317" s="19" t="inlineStr">
        <is>
          <t>backend/test/period-end.test.js</t>
        </is>
      </c>
      <c r="F317" s="19" t="inlineStr">
        <is>
          <t>maker-checker: the preparer submits, another user with approve:period-end approves and the period closes</t>
        </is>
      </c>
      <c r="G317" s="19" t="inlineStr">
        <is>
          <t>Month-end close</t>
        </is>
      </c>
      <c r="H317" s="19" t="inlineStr">
        <is>
          <t>6 passed, 0 failed</t>
        </is>
      </c>
      <c r="I317" s="19" t="inlineStr"/>
      <c r="J317" s="19" t="inlineStr"/>
    </row>
    <row r="318">
      <c r="A318" s="19" t="inlineStr">
        <is>
          <t>BV-PER-004</t>
        </is>
      </c>
      <c r="B318" s="19" t="inlineStr">
        <is>
          <t>Period end</t>
        </is>
      </c>
      <c r="C318" s="19" t="inlineStr">
        <is>
          <t>Closed period refuses postings; reopen allows them</t>
        </is>
      </c>
      <c r="D318" s="19" t="inlineStr">
        <is>
          <t>Pass</t>
        </is>
      </c>
      <c r="E318" s="19" t="inlineStr">
        <is>
          <t>backend/test/accounting.test.js</t>
        </is>
      </c>
      <c r="F318" s="19" t="inlineStr">
        <is>
          <t>period close blocks postings into the period; reopen allows them again</t>
        </is>
      </c>
      <c r="G318" s="19" t="inlineStr"/>
      <c r="H318" s="19" t="inlineStr"/>
      <c r="I318" s="19" t="inlineStr"/>
      <c r="J318" s="19" t="inlineStr"/>
    </row>
    <row r="319">
      <c r="A319" s="19" t="inlineStr">
        <is>
          <t>BV-PER-005</t>
        </is>
      </c>
      <c r="B319" s="19" t="inlineStr">
        <is>
          <t>Period end</t>
        </is>
      </c>
      <c r="C319" s="19" t="inlineStr">
        <is>
          <t>Soft-closed period accepts manager postings only</t>
        </is>
      </c>
      <c r="D319" s="19" t="inlineStr">
        <is>
          <t>Pass</t>
        </is>
      </c>
      <c r="E319" s="19" t="inlineStr">
        <is>
          <t>backend/test/period-end.test.js
backend/test/role-inheritance.test.js
backend/test/role-inheritance.test.js</t>
        </is>
      </c>
      <c r="F319" s="19" t="inlineStr">
        <is>
          <t>soft-closed periods accept postings only from finance managers; reopening needs approve:period-end and remarks
holds the finance role and permissions plus the period-end approval
a plain finance user does not get the approval</t>
        </is>
      </c>
      <c r="G319" s="19" t="inlineStr">
        <is>
          <t>Month-end close</t>
        </is>
      </c>
      <c r="H319" s="19" t="inlineStr">
        <is>
          <t>6 passed, 0 failed</t>
        </is>
      </c>
      <c r="I319" s="19" t="inlineStr"/>
      <c r="J319" s="19" t="inlineStr"/>
    </row>
    <row r="320">
      <c r="A320" s="19" t="inlineStr">
        <is>
          <t>BV-PER-006</t>
        </is>
      </c>
      <c r="B320" s="19" t="inlineStr">
        <is>
          <t>Period end</t>
        </is>
      </c>
      <c r="C320" s="19" t="inlineStr">
        <is>
          <t>Blocking checks stop the close</t>
        </is>
      </c>
      <c r="D320" s="19" t="inlineStr">
        <is>
          <t>Pass</t>
        </is>
      </c>
      <c r="E320" s="19" t="inlineStr">
        <is>
          <t>backend/test/period-end.test.js
backend/test/bank-reconciliation.test.js</t>
        </is>
      </c>
      <c r="F320" s="19" t="inlineStr">
        <is>
          <t>blocking checks (unposted journals, manual sign-off) block the close
the unreconciled_bank check fails for accounts with activity and no approved reconciliation; blocking stops the close</t>
        </is>
      </c>
      <c r="G320" s="19" t="inlineStr"/>
      <c r="H320" s="19" t="inlineStr"/>
      <c r="I320" s="19" t="inlineStr"/>
      <c r="J320" s="19" t="inlineStr"/>
    </row>
    <row r="321">
      <c r="A321" s="19" t="inlineStr">
        <is>
          <t>BV-PER-007</t>
        </is>
      </c>
      <c r="B321" s="19" t="inlineStr">
        <is>
          <t>Period end</t>
        </is>
      </c>
      <c r="C321" s="19" t="inlineStr">
        <is>
          <t>Checklist preview for the open month</t>
        </is>
      </c>
      <c r="D321" s="19" t="inlineStr">
        <is>
          <t>Pass</t>
        </is>
      </c>
      <c r="E321" s="19" t="inlineStr">
        <is>
          <t>backend/test/period-end.test.js</t>
        </is>
      </c>
      <c r="F321" s="19" t="inlineStr">
        <is>
          <t>the checklist master is configurable</t>
        </is>
      </c>
      <c r="G321" s="19" t="inlineStr">
        <is>
          <t>Month-end close</t>
        </is>
      </c>
      <c r="H321" s="19" t="inlineStr">
        <is>
          <t>6 passed, 0 failed</t>
        </is>
      </c>
      <c r="I321" s="19" t="inlineStr">
        <is>
          <t>/master/finance/close-checklist</t>
        </is>
      </c>
      <c r="J321" s="19" t="inlineStr">
        <is>
          <t>opened clean</t>
        </is>
      </c>
    </row>
    <row r="322">
      <c r="A322" s="19" t="inlineStr">
        <is>
          <t>BV-PER-008</t>
        </is>
      </c>
      <c r="B322" s="19" t="inlineStr">
        <is>
          <t>Period end</t>
        </is>
      </c>
      <c r="C322" s="19" t="inlineStr">
        <is>
          <t>Accrual templates post at period end and reverse on day 1</t>
        </is>
      </c>
      <c r="D322" s="19" t="inlineStr">
        <is>
          <t>Pass</t>
        </is>
      </c>
      <c r="E322" s="19" t="inlineStr">
        <is>
          <t>backend/test/period-end.test.js</t>
        </is>
      </c>
      <c r="F322" s="19" t="inlineStr">
        <is>
          <t>accrual templates post at the period end and reverse on day 1 of the next period</t>
        </is>
      </c>
      <c r="G322" s="19" t="inlineStr"/>
      <c r="H322" s="19" t="inlineStr"/>
      <c r="I322" s="19" t="inlineStr"/>
      <c r="J322" s="19" t="inlineStr"/>
    </row>
    <row r="323">
      <c r="A323" s="19" t="inlineStr">
        <is>
          <t>BV-PER-009</t>
        </is>
      </c>
      <c r="B323" s="19" t="inlineStr">
        <is>
          <t>Period end</t>
        </is>
      </c>
      <c r="C323" s="19" t="inlineStr">
        <is>
          <t>Recurring journals follow schedule and stop at end date</t>
        </is>
      </c>
      <c r="D323" s="19" t="inlineStr">
        <is>
          <t>Pass</t>
        </is>
      </c>
      <c r="E323" s="19" t="inlineStr">
        <is>
          <t>backend/test/period-end.test.js</t>
        </is>
      </c>
      <c r="F323" s="19" t="inlineStr">
        <is>
          <t>recurring journals follow their schedule (month ends stay month ends), are idempotent and stop at the end date</t>
        </is>
      </c>
      <c r="G323" s="19" t="inlineStr"/>
      <c r="H323" s="19" t="inlineStr"/>
      <c r="I323" s="19" t="inlineStr">
        <is>
          <t>/accounts/period-end/recurring</t>
        </is>
      </c>
      <c r="J323" s="19" t="inlineStr">
        <is>
          <t>opened clean</t>
        </is>
      </c>
    </row>
    <row r="324">
      <c r="A324" s="19" t="inlineStr">
        <is>
          <t>BV-PER-010</t>
        </is>
      </c>
      <c r="B324" s="19" t="inlineStr">
        <is>
          <t>Period end</t>
        </is>
      </c>
      <c r="C324" s="19" t="inlineStr">
        <is>
          <t>Unearned commission deferred pro rata</t>
        </is>
      </c>
      <c r="D324" s="19" t="inlineStr">
        <is>
          <t>Pass</t>
        </is>
      </c>
      <c r="E324" s="19" t="inlineStr">
        <is>
          <t>backend/test/period-end.test.js</t>
        </is>
      </c>
      <c r="F324" s="19" t="inlineStr">
        <is>
          <t>commission deferral moves unearned commission to 2209001 pro rata by days and reverses next period</t>
        </is>
      </c>
      <c r="G324" s="19" t="inlineStr"/>
      <c r="H324" s="19" t="inlineStr"/>
      <c r="I324" s="19" t="inlineStr"/>
      <c r="J324" s="19" t="inlineStr"/>
    </row>
    <row r="325">
      <c r="A325" s="19" t="inlineStr">
        <is>
          <t>BV-PER-011</t>
        </is>
      </c>
      <c r="B325" s="19" t="inlineStr">
        <is>
          <t>Period end</t>
        </is>
      </c>
      <c r="C325" s="19" t="inlineStr">
        <is>
          <t>FX revaluation at month-end rate</t>
        </is>
      </c>
      <c r="D325" s="19" t="inlineStr">
        <is>
          <t>Pass</t>
        </is>
      </c>
      <c r="E325" s="19" t="inlineStr">
        <is>
          <t>backend/test/period-end.test.js</t>
        </is>
      </c>
      <c r="F325" s="19" t="inlineStr">
        <is>
          <t>FX revaluation restates foreign-currency balances at the month-end rate; a rerun gives the same ledger</t>
        </is>
      </c>
      <c r="G325" s="19" t="inlineStr"/>
      <c r="H325" s="19" t="inlineStr"/>
      <c r="I325" s="19" t="inlineStr"/>
      <c r="J325" s="19" t="inlineStr"/>
    </row>
    <row r="326">
      <c r="A326" s="19" t="inlineStr">
        <is>
          <t>BV-PER-012</t>
        </is>
      </c>
      <c r="B326" s="19" t="inlineStr">
        <is>
          <t>Period end</t>
        </is>
      </c>
      <c r="C326" s="19" t="inlineStr">
        <is>
          <t>Income statement ties to TB; balance sheet balances</t>
        </is>
      </c>
      <c r="D326" s="19" t="inlineStr">
        <is>
          <t>Pass</t>
        </is>
      </c>
      <c r="E326" s="19" t="inlineStr">
        <is>
          <t>backend/test/period-end.test.js
backend/test/period-end-calendar.test.js</t>
        </is>
      </c>
      <c r="F326" s="19" t="inlineStr">
        <is>
          <t>income statement net income = trial balance P&amp;L; the balance sheet balances
year to date of the income statement starts at the fiscal year start</t>
        </is>
      </c>
      <c r="G326" s="19" t="inlineStr">
        <is>
          <t>Reports and dashboards</t>
        </is>
      </c>
      <c r="H326" s="19" t="inlineStr">
        <is>
          <t>58 passed, 0 failed</t>
        </is>
      </c>
      <c r="I326" s="19" t="inlineStr">
        <is>
          <t>/accounts/period-end/statements</t>
        </is>
      </c>
      <c r="J326" s="19" t="inlineStr">
        <is>
          <t>opened clean</t>
        </is>
      </c>
    </row>
    <row r="327">
      <c r="A327" s="19" t="inlineStr">
        <is>
          <t>BV-PER-013</t>
        </is>
      </c>
      <c r="B327" s="19" t="inlineStr">
        <is>
          <t>Period end</t>
        </is>
      </c>
      <c r="C327" s="19" t="inlineStr">
        <is>
          <t>Year-end close needs all twelve periods closed</t>
        </is>
      </c>
      <c r="D327" s="19" t="inlineStr">
        <is>
          <t>Pass</t>
        </is>
      </c>
      <c r="E327" s="19" t="inlineStr">
        <is>
          <t>backend/test/period-end.test.js</t>
        </is>
      </c>
      <c r="F327" s="19" t="inlineStr">
        <is>
          <t>pre-checks require all twelve periods closed</t>
        </is>
      </c>
      <c r="G327" s="19" t="inlineStr"/>
      <c r="H327" s="19" t="inlineStr"/>
      <c r="I327" s="19" t="inlineStr">
        <is>
          <t>/accounts/period-end/year-end</t>
        </is>
      </c>
      <c r="J327" s="19" t="inlineStr">
        <is>
          <t>opened clean</t>
        </is>
      </c>
    </row>
    <row r="328">
      <c r="A328" s="19" t="inlineStr">
        <is>
          <t>BV-PER-014</t>
        </is>
      </c>
      <c r="B328" s="19" t="inlineStr">
        <is>
          <t>Period end</t>
        </is>
      </c>
      <c r="C328" s="19" t="inlineStr">
        <is>
          <t>Closing entries and opening balances of next year</t>
        </is>
      </c>
      <c r="D328" s="19" t="inlineStr">
        <is>
          <t>Pass</t>
        </is>
      </c>
      <c r="E328" s="19" t="inlineStr">
        <is>
          <t>backend/test/period-end.test.js
backend/test/period-end.test.js
backend/test/period-end-calendar.test.js</t>
        </is>
      </c>
      <c r="F328" s="19" t="inlineStr">
        <is>
          <t>closing entries zero income and expense, move the result to retained earnings and keep the trial balance balanced
opening balances of the next year equal the closing balance-sheet balances and feed the trial balance
closes the April-March year into adjustment period 2026-13</t>
        </is>
      </c>
      <c r="G328" s="19" t="inlineStr"/>
      <c r="H328" s="19" t="inlineStr"/>
      <c r="I328" s="19" t="inlineStr"/>
      <c r="J328" s="19" t="inlineStr"/>
    </row>
    <row r="329">
      <c r="A329" s="19" t="inlineStr">
        <is>
          <t>BV-PER-015</t>
        </is>
      </c>
      <c r="B329" s="19" t="inlineStr">
        <is>
          <t>Period end</t>
        </is>
      </c>
      <c r="C329" s="19" t="inlineStr">
        <is>
          <t>Locked year refuses postings and reopening</t>
        </is>
      </c>
      <c r="D329" s="19" t="inlineStr">
        <is>
          <t>Pass</t>
        </is>
      </c>
      <c r="E329" s="19" t="inlineStr">
        <is>
          <t>backend/test/period-end.test.js
backend/test/period-end.test.js</t>
        </is>
      </c>
      <c r="F329" s="19" t="inlineStr">
        <is>
          <t>a locked year refuses postings and reopening; the close is reversible until the next year's first period closes
reopening a period locked by the year-end close answers 409 with a clear message</t>
        </is>
      </c>
      <c r="G329" s="19" t="inlineStr"/>
      <c r="H329" s="19" t="inlineStr"/>
      <c r="I329" s="19" t="inlineStr"/>
      <c r="J329" s="19" t="inlineStr"/>
    </row>
    <row r="330">
      <c r="A330" s="19" t="inlineStr">
        <is>
          <t>BV-PER-016</t>
        </is>
      </c>
      <c r="B330" s="19" t="inlineStr">
        <is>
          <t>Period end</t>
        </is>
      </c>
      <c r="C330" s="19" t="inlineStr">
        <is>
          <t>Reminder, recurring, reversal and soft-close jobs</t>
        </is>
      </c>
      <c r="D330" s="19" t="inlineStr">
        <is>
          <t>Pass</t>
        </is>
      </c>
      <c r="E330" s="19" t="inlineStr">
        <is>
          <t>backend/test/period-end.test.js</t>
        </is>
      </c>
      <c r="F330" s="19" t="inlineStr">
        <is>
          <t>run the reminder, recurring, reversal and auto soft-close jobs</t>
        </is>
      </c>
      <c r="G330" s="19" t="inlineStr"/>
      <c r="H330" s="19" t="inlineStr"/>
      <c r="I330" s="19" t="inlineStr"/>
      <c r="J330" s="19" t="inlineStr"/>
    </row>
    <row r="331">
      <c r="A331" s="19" t="inlineStr">
        <is>
          <t>BV-BNK-001</t>
        </is>
      </c>
      <c r="B331" s="19" t="inlineStr">
        <is>
          <t>Bank reconciliation</t>
        </is>
      </c>
      <c r="C331" s="19" t="inlineStr">
        <is>
          <t>Link the bank account to its GL cash account</t>
        </is>
      </c>
      <c r="D331" s="19" t="inlineStr">
        <is>
          <t>Pass</t>
        </is>
      </c>
      <c r="E331" s="19" t="inlineStr">
        <is>
          <t>backend/test/bank-reconciliation.test.js</t>
        </is>
      </c>
      <c r="F331" s="19" t="inlineStr">
        <is>
          <t>links the bank account to its GL cash account; finance reads, agents may not</t>
        </is>
      </c>
      <c r="G331" s="19" t="inlineStr">
        <is>
          <t>Set-up</t>
        </is>
      </c>
      <c r="H331" s="19" t="inlineStr">
        <is>
          <t>46 passed, 0 failed</t>
        </is>
      </c>
      <c r="I331" s="19" t="inlineStr">
        <is>
          <t>/accounts/bank-reconciliation</t>
        </is>
      </c>
      <c r="J331" s="19" t="inlineStr">
        <is>
          <t>opened clean</t>
        </is>
      </c>
    </row>
    <row r="332">
      <c r="A332" s="19" t="inlineStr">
        <is>
          <t>BV-BNK-002</t>
        </is>
      </c>
      <c r="B332" s="19" t="inlineStr">
        <is>
          <t>Bank reconciliation</t>
        </is>
      </c>
      <c r="C332" s="19" t="inlineStr">
        <is>
          <t>Preview and import a BDO statement</t>
        </is>
      </c>
      <c r="D332" s="19" t="inlineStr">
        <is>
          <t>Pass</t>
        </is>
      </c>
      <c r="E332" s="19" t="inlineStr">
        <is>
          <t>backend/test/bank-reconciliation.test.js
backend/test/bank-reconciliation.test.js
backend/test/bank-reconciliation.test.js</t>
        </is>
      </c>
      <c r="F332" s="19" t="inlineStr">
        <is>
          <t>reads Philippine bank date and amount formats
previews a file: lines, totals, balance check and suggested transaction types
imports the statement and auto-matches: reference, amount + date window, 1:many, many:1 and book contra</t>
        </is>
      </c>
      <c r="G332" s="19" t="inlineStr">
        <is>
          <t>Reconciliation: bank and insurer statements</t>
        </is>
      </c>
      <c r="H332" s="19" t="inlineStr">
        <is>
          <t>10 passed, 0 failed</t>
        </is>
      </c>
      <c r="I332" s="19" t="inlineStr"/>
      <c r="J332" s="19" t="inlineStr"/>
    </row>
    <row r="333">
      <c r="A333" s="19" t="inlineStr">
        <is>
          <t>BV-BNK-003</t>
        </is>
      </c>
      <c r="B333" s="19" t="inlineStr">
        <is>
          <t>Bank reconciliation</t>
        </is>
      </c>
      <c r="C333" s="19" t="inlineStr">
        <is>
          <t>Unbalanced statement refused</t>
        </is>
      </c>
      <c r="D333" s="19" t="inlineStr">
        <is>
          <t>Pass</t>
        </is>
      </c>
      <c r="E333" s="19" t="inlineStr">
        <is>
          <t>backend/test/bank-reconciliation.test.js</t>
        </is>
      </c>
      <c r="F333" s="19" t="inlineStr">
        <is>
          <t>refuses a statement that does not balance</t>
        </is>
      </c>
      <c r="G333" s="19" t="inlineStr"/>
      <c r="H333" s="19" t="inlineStr"/>
      <c r="I333" s="19" t="inlineStr"/>
      <c r="J333" s="19" t="inlineStr"/>
    </row>
    <row r="334">
      <c r="A334" s="19" t="inlineStr">
        <is>
          <t>BV-BNK-004</t>
        </is>
      </c>
      <c r="B334" s="19" t="inlineStr">
        <is>
          <t>Bank reconciliation</t>
        </is>
      </c>
      <c r="C334" s="19" t="inlineStr">
        <is>
          <t>Duplicate file and overlapping lines detected</t>
        </is>
      </c>
      <c r="D334" s="19" t="inlineStr">
        <is>
          <t>Pass</t>
        </is>
      </c>
      <c r="E334" s="19" t="inlineStr">
        <is>
          <t>backend/test/bank-reconciliation.test.js</t>
        </is>
      </c>
      <c r="F334" s="19" t="inlineStr">
        <is>
          <t>detects a file imported twice and duplicate lines of an overlapping statement (custom format with title rows)</t>
        </is>
      </c>
      <c r="G334" s="19" t="inlineStr"/>
      <c r="H334" s="19" t="inlineStr"/>
      <c r="I334" s="19" t="inlineStr"/>
      <c r="J334" s="19" t="inlineStr"/>
    </row>
    <row r="335">
      <c r="A335" s="19" t="inlineStr">
        <is>
          <t>BV-BNK-005</t>
        </is>
      </c>
      <c r="B335" s="19" t="inlineStr">
        <is>
          <t>Bank reconciliation</t>
        </is>
      </c>
      <c r="C335" s="19" t="inlineStr">
        <is>
          <t>Manual match and unmatch audited</t>
        </is>
      </c>
      <c r="D335" s="19" t="inlineStr">
        <is>
          <t>Pass</t>
        </is>
      </c>
      <c r="E335" s="19" t="inlineStr">
        <is>
          <t>backend/test/bank-reconciliation.test.js</t>
        </is>
      </c>
      <c r="F335" s="19" t="inlineStr">
        <is>
          <t>manual match and unmatch are recorded and audited</t>
        </is>
      </c>
      <c r="G335" s="19" t="inlineStr">
        <is>
          <t>Reconciliation: bank and insurer statements</t>
        </is>
      </c>
      <c r="H335" s="19" t="inlineStr">
        <is>
          <t>10 passed, 0 failed</t>
        </is>
      </c>
      <c r="I335" s="19" t="inlineStr"/>
      <c r="J335" s="19" t="inlineStr"/>
    </row>
    <row r="336">
      <c r="A336" s="19" t="inlineStr">
        <is>
          <t>BV-BNK-006</t>
        </is>
      </c>
      <c r="B336" s="19" t="inlineStr">
        <is>
          <t>Bank reconciliation</t>
        </is>
      </c>
      <c r="C336" s="19" t="inlineStr">
        <is>
          <t>Bank charge, interest and final tax adjustments</t>
        </is>
      </c>
      <c r="D336" s="19" t="inlineStr">
        <is>
          <t>Pass</t>
        </is>
      </c>
      <c r="E336" s="19" t="inlineStr">
        <is>
          <t>backend/test/bank-reconciliation.test.js
backend/test/bank-reconciliation.test.js</t>
        </is>
      </c>
      <c r="F336" s="19" t="inlineStr">
        <is>
          <t>posts a balanced bank charge journal from the bank line and matches it; the direction must fit the type
a difference is explained by an adjustment journal of a bank transaction type</t>
        </is>
      </c>
      <c r="G336" s="19" t="inlineStr">
        <is>
          <t>Reconciliation: bank and insurer statements</t>
        </is>
      </c>
      <c r="H336" s="19" t="inlineStr">
        <is>
          <t>10 passed, 0 failed</t>
        </is>
      </c>
      <c r="I336" s="19" t="inlineStr"/>
      <c r="J336" s="19" t="inlineStr"/>
    </row>
    <row r="337">
      <c r="A337" s="19" t="inlineStr">
        <is>
          <t>BV-BNK-007</t>
        </is>
      </c>
      <c r="B337" s="19" t="inlineStr">
        <is>
          <t>Bank reconciliation</t>
        </is>
      </c>
      <c r="C337" s="19" t="inlineStr">
        <is>
          <t>Adjustment type needing approval</t>
        </is>
      </c>
      <c r="D337" s="19" t="inlineStr">
        <is>
          <t>Pass</t>
        </is>
      </c>
      <c r="E337" s="19" t="inlineStr">
        <is>
          <t>backend/test/bank-reconciliation.test.js</t>
        </is>
      </c>
      <c r="F337" s="19" t="inlineStr">
        <is>
          <t>a type that requires approval creates the journal for approval; a second user posts it and it is matched</t>
        </is>
      </c>
      <c r="G337" s="19" t="inlineStr"/>
      <c r="H337" s="19" t="inlineStr"/>
      <c r="I337" s="19" t="inlineStr"/>
      <c r="J337" s="19" t="inlineStr"/>
    </row>
    <row r="338">
      <c r="A338" s="19" t="inlineStr">
        <is>
          <t>BV-BNK-008</t>
        </is>
      </c>
      <c r="B338" s="19" t="inlineStr">
        <is>
          <t>Bank reconciliation</t>
        </is>
      </c>
      <c r="C338" s="19" t="inlineStr">
        <is>
          <t>Bank reconciliation statement agrees</t>
        </is>
      </c>
      <c r="D338" s="19" t="inlineStr">
        <is>
          <t>Pass</t>
        </is>
      </c>
      <c r="E338" s="19" t="inlineStr">
        <is>
          <t>backend/test/bank-reconciliation.test.js
backend/test/bank-reconciliation.test.js</t>
        </is>
      </c>
      <c r="F338" s="19" t="inlineStr">
        <is>
          <t>computes the Bank Reconciliation Statement: deposits in transit, outstanding cheques, balances agree
bank errors and unbooked items are reconciling items; the difference must be zero to prepare</t>
        </is>
      </c>
      <c r="G338" s="19" t="inlineStr">
        <is>
          <t>Reconciliation: bank and insurer statements</t>
        </is>
      </c>
      <c r="H338" s="19" t="inlineStr">
        <is>
          <t>10 passed, 0 failed</t>
        </is>
      </c>
      <c r="I338" s="19" t="inlineStr"/>
      <c r="J338" s="19" t="inlineStr"/>
    </row>
    <row r="339">
      <c r="A339" s="19" t="inlineStr">
        <is>
          <t>BV-BNK-009</t>
        </is>
      </c>
      <c r="B339" s="19" t="inlineStr">
        <is>
          <t>Bank reconciliation</t>
        </is>
      </c>
      <c r="C339" s="19" t="inlineStr">
        <is>
          <t>Prepare and approve with maker-checker; approval locks</t>
        </is>
      </c>
      <c r="D339" s="19" t="inlineStr">
        <is>
          <t>Pass</t>
        </is>
      </c>
      <c r="E339" s="19" t="inlineStr">
        <is>
          <t>backend/test/bank-reconciliation.test.js</t>
        </is>
      </c>
      <c r="F339" s="19" t="inlineStr">
        <is>
          <t>prepare -&gt; approve with maker-checker; approval locks the matches; reopen needs an approver and remarks</t>
        </is>
      </c>
      <c r="G339" s="19" t="inlineStr">
        <is>
          <t>Reconciliation: bank and insurer statements</t>
        </is>
      </c>
      <c r="H339" s="19" t="inlineStr">
        <is>
          <t>10 passed, 0 failed</t>
        </is>
      </c>
      <c r="I339" s="19" t="inlineStr">
        <is>
          <t>/accounts/bank-reconciliation/reconciliations</t>
        </is>
      </c>
      <c r="J339" s="19" t="inlineStr">
        <is>
          <t>opened clean</t>
        </is>
      </c>
    </row>
    <row r="340">
      <c r="A340" s="19" t="inlineStr">
        <is>
          <t>BV-BNK-010</t>
        </is>
      </c>
      <c r="B340" s="19" t="inlineStr">
        <is>
          <t>Bank reconciliation</t>
        </is>
      </c>
      <c r="C340" s="19" t="inlineStr">
        <is>
          <t>Print the statement as PDF</t>
        </is>
      </c>
      <c r="D340" s="19" t="inlineStr">
        <is>
          <t>Pass</t>
        </is>
      </c>
      <c r="E340" s="19" t="inlineStr">
        <is>
          <t>backend/test/bank-reconciliation.test.js</t>
        </is>
      </c>
      <c r="F340" s="19" t="inlineStr">
        <is>
          <t>prints the statement as PDF</t>
        </is>
      </c>
      <c r="G340" s="19" t="inlineStr"/>
      <c r="H340" s="19" t="inlineStr"/>
      <c r="I340" s="19" t="inlineStr"/>
      <c r="J340" s="19" t="inlineStr"/>
    </row>
    <row r="341">
      <c r="A341" s="19" t="inlineStr">
        <is>
          <t>BV-BNK-011</t>
        </is>
      </c>
      <c r="B341" s="19" t="inlineStr">
        <is>
          <t>Bank reconciliation</t>
        </is>
      </c>
      <c r="C341" s="19" t="inlineStr">
        <is>
          <t>Stale cheques flagged and cancelled</t>
        </is>
      </c>
      <c r="D341" s="19" t="inlineStr">
        <is>
          <t>Pass</t>
        </is>
      </c>
      <c r="E341" s="19" t="inlineStr">
        <is>
          <t>backend/test/bank-reconciliation.test.js</t>
        </is>
      </c>
      <c r="F341" s="19" t="inlineStr">
        <is>
          <t>flags cheques outstanding beyond the stale period and cancels them (reversal, contra match)</t>
        </is>
      </c>
      <c r="G341" s="19" t="inlineStr"/>
      <c r="H341" s="19" t="inlineStr"/>
      <c r="I341" s="19" t="inlineStr"/>
      <c r="J341" s="19" t="inlineStr"/>
    </row>
    <row r="342">
      <c r="A342" s="19" t="inlineStr">
        <is>
          <t>BV-BNK-012</t>
        </is>
      </c>
      <c r="B342" s="19" t="inlineStr">
        <is>
          <t>Bank reconciliation</t>
        </is>
      </c>
      <c r="C342" s="19" t="inlineStr">
        <is>
          <t>Bank reconciliation reports</t>
        </is>
      </c>
      <c r="D342" s="19" t="inlineStr">
        <is>
          <t>Pass</t>
        </is>
      </c>
      <c r="E342" s="19" t="inlineStr">
        <is>
          <t>backend/test/bank-reconciliation.test.js</t>
        </is>
      </c>
      <c r="F342" s="19" t="inlineStr">
        <is>
          <t>runs the bank reconciliation reports</t>
        </is>
      </c>
      <c r="G342" s="19" t="inlineStr">
        <is>
          <t>Reports and dashboards</t>
        </is>
      </c>
      <c r="H342" s="19" t="inlineStr">
        <is>
          <t>58 passed, 0 failed</t>
        </is>
      </c>
      <c r="I342" s="19" t="inlineStr">
        <is>
          <t>/accounts/bank-reconciliation/reports/bank-reconciliation-statement
/accounts/bank-reconciliation/reports/bank-outstanding-cheques
/accounts/bank-reconciliation/reports/bank-deposits-in-transit
/accounts/bank-reconciliation/reports/bank-unmatched-lines
/accounts/bank-reconciliation/reports/bank-book</t>
        </is>
      </c>
      <c r="J342" s="19" t="inlineStr">
        <is>
          <t>opened clean
opened clean
opened clean
opened clean
opened clean</t>
        </is>
      </c>
    </row>
    <row r="343">
      <c r="A343" s="19" t="inlineStr">
        <is>
          <t>BV-BNK-013</t>
        </is>
      </c>
      <c r="B343" s="19" t="inlineStr">
        <is>
          <t>Bank reconciliation</t>
        </is>
      </c>
      <c r="C343" s="19" t="inlineStr">
        <is>
          <t>Unreconciled bank blocks the close</t>
        </is>
      </c>
      <c r="D343" s="19" t="inlineStr">
        <is>
          <t>Pass</t>
        </is>
      </c>
      <c r="E343" s="19" t="inlineStr">
        <is>
          <t>backend/test/bank-reconciliation.test.js</t>
        </is>
      </c>
      <c r="F343" s="19" t="inlineStr">
        <is>
          <t>the unreconciled_bank check fails for accounts with activity and no approved reconciliation; blocking stops the close</t>
        </is>
      </c>
      <c r="G343" s="19" t="inlineStr"/>
      <c r="H343" s="19" t="inlineStr"/>
      <c r="I343" s="19" t="inlineStr"/>
      <c r="J343" s="19" t="inlineStr"/>
    </row>
    <row r="344">
      <c r="A344" s="19" t="inlineStr">
        <is>
          <t>BV-BNK-014</t>
        </is>
      </c>
      <c r="B344" s="19" t="inlineStr">
        <is>
          <t>Bank reconciliation</t>
        </is>
      </c>
      <c r="C344" s="19" t="inlineStr">
        <is>
          <t>Scheduled auto-match job</t>
        </is>
      </c>
      <c r="D344" s="19" t="inlineStr">
        <is>
          <t>Pass</t>
        </is>
      </c>
      <c r="E344" s="19" t="inlineStr">
        <is>
          <t>backend/test/bank-reconciliation.test.js</t>
        </is>
      </c>
      <c r="F344" s="19" t="inlineStr">
        <is>
          <t>the scheduled auto-match job runs over the linked accounts</t>
        </is>
      </c>
      <c r="G344" s="19" t="inlineStr"/>
      <c r="H344" s="19" t="inlineStr"/>
      <c r="I344" s="19" t="inlineStr"/>
      <c r="J344" s="19" t="inlineStr"/>
    </row>
    <row r="345">
      <c r="A345" s="19" t="inlineStr">
        <is>
          <t>BV-BNK-015</t>
        </is>
      </c>
      <c r="B345" s="19" t="inlineStr">
        <is>
          <t>Bank reconciliation</t>
        </is>
      </c>
      <c r="C345" s="19" t="inlineStr">
        <is>
          <t>Bank statement formats and transaction types</t>
        </is>
      </c>
      <c r="D345" s="19" t="inlineStr">
        <is>
          <t>Pass</t>
        </is>
      </c>
      <c r="E345" s="19" t="inlineStr">
        <is>
          <t>backend/test/bank-reconciliation.test.js</t>
        </is>
      </c>
      <c r="F345" s="19" t="inlineStr">
        <is>
          <t>detects a file imported twice and duplicate lines of an overlapping statement (custom format with title rows)</t>
        </is>
      </c>
      <c r="G345" s="19" t="inlineStr"/>
      <c r="H345" s="19" t="inlineStr"/>
      <c r="I345" s="19" t="inlineStr">
        <is>
          <t>/master/finance/bank-statement-formats
/master/finance/bank-transaction-types</t>
        </is>
      </c>
      <c r="J345" s="19" t="inlineStr">
        <is>
          <t>opened clean
opened clean</t>
        </is>
      </c>
    </row>
    <row r="346">
      <c r="A346" s="19" t="inlineStr">
        <is>
          <t>BV-INR-001</t>
        </is>
      </c>
      <c r="B346" s="19" t="inlineStr">
        <is>
          <t>Insurer reconciliation</t>
        </is>
      </c>
      <c r="C346" s="19" t="inlineStr">
        <is>
          <t>Column mapping per insurer</t>
        </is>
      </c>
      <c r="D346" s="19" t="inlineStr">
        <is>
          <t>Pass</t>
        </is>
      </c>
      <c r="E346" s="19" t="inlineStr">
        <is>
          <t>backend/test/insurer-reconciliation.test.js</t>
        </is>
      </c>
      <c r="F346" s="19" t="inlineStr">
        <is>
          <t>keeps a column mapping per insurer</t>
        </is>
      </c>
      <c r="G346" s="19" t="inlineStr">
        <is>
          <t>Set-up</t>
        </is>
      </c>
      <c r="H346" s="19" t="inlineStr">
        <is>
          <t>46 passed, 0 failed</t>
        </is>
      </c>
      <c r="I346" s="19" t="inlineStr">
        <is>
          <t>/master/finance/insurer-statement-formats</t>
        </is>
      </c>
      <c r="J346" s="19" t="inlineStr">
        <is>
          <t>opened clean</t>
        </is>
      </c>
    </row>
    <row r="347">
      <c r="A347" s="19" t="inlineStr">
        <is>
          <t>BV-INR-002</t>
        </is>
      </c>
      <c r="B347" s="19" t="inlineStr">
        <is>
          <t>Insurer reconciliation</t>
        </is>
      </c>
      <c r="C347" s="19" t="inlineStr">
        <is>
          <t>Import insurer SOA; auto-match by policy number</t>
        </is>
      </c>
      <c r="D347" s="19" t="inlineStr">
        <is>
          <t>Pass</t>
        </is>
      </c>
      <c r="E347" s="19" t="inlineStr">
        <is>
          <t>backend/test/insurer-reconciliation.test.js
backend/test/insurer-reconciliation.test.js</t>
        </is>
      </c>
      <c r="F347" s="19" t="inlineStr">
        <is>
          <t>reads a file with a format and flags rows it cannot read
imports a statement, auto-matches by policy number and reports the differences</t>
        </is>
      </c>
      <c r="G347" s="19" t="inlineStr">
        <is>
          <t>Reconciliation: bank and insurer statements</t>
        </is>
      </c>
      <c r="H347" s="19" t="inlineStr">
        <is>
          <t>10 passed, 0 failed</t>
        </is>
      </c>
      <c r="I347" s="19" t="inlineStr">
        <is>
          <t>/accounts/insurer-reconciliation/statements</t>
        </is>
      </c>
      <c r="J347" s="19" t="inlineStr">
        <is>
          <t>opened clean</t>
        </is>
      </c>
    </row>
    <row r="348">
      <c r="A348" s="19" t="inlineStr">
        <is>
          <t>BV-INR-003</t>
        </is>
      </c>
      <c r="B348" s="19" t="inlineStr">
        <is>
          <t>Insurer reconciliation</t>
        </is>
      </c>
      <c r="C348" s="19" t="inlineStr">
        <is>
          <t>Every difference resolved before submitting</t>
        </is>
      </c>
      <c r="D348" s="19" t="inlineStr">
        <is>
          <t>Pass</t>
        </is>
      </c>
      <c r="E348" s="19" t="inlineStr">
        <is>
          <t>backend/test/insurer-reconciliation.test.js</t>
        </is>
      </c>
      <c r="F348" s="19" t="inlineStr">
        <is>
          <t>matches by hand, and needs every difference resolved before submitting</t>
        </is>
      </c>
      <c r="G348" s="19" t="inlineStr">
        <is>
          <t>Reconciliation: bank and insurer statements</t>
        </is>
      </c>
      <c r="H348" s="19" t="inlineStr">
        <is>
          <t>10 passed, 0 failed</t>
        </is>
      </c>
      <c r="I348" s="19" t="inlineStr"/>
      <c r="J348" s="19" t="inlineStr"/>
    </row>
    <row r="349">
      <c r="A349" s="19" t="inlineStr">
        <is>
          <t>BV-INR-004</t>
        </is>
      </c>
      <c r="B349" s="19" t="inlineStr">
        <is>
          <t>Insurer reconciliation</t>
        </is>
      </c>
      <c r="C349" s="19" t="inlineStr">
        <is>
          <t>Approval by a different user posts the adjustment</t>
        </is>
      </c>
      <c r="D349" s="19" t="inlineStr">
        <is>
          <t>Pass</t>
        </is>
      </c>
      <c r="E349" s="19" t="inlineStr">
        <is>
          <t>backend/test/insurer-reconciliation.test.js</t>
        </is>
      </c>
      <c r="F349" s="19" t="inlineStr">
        <is>
          <t>only a different user with approve:insurer-reconciliation approves; approval posts the adjustment through the posting rule</t>
        </is>
      </c>
      <c r="G349" s="19" t="inlineStr">
        <is>
          <t>Reconciliation: bank and insurer statements</t>
        </is>
      </c>
      <c r="H349" s="19" t="inlineStr">
        <is>
          <t>10 passed, 0 failed</t>
        </is>
      </c>
      <c r="I349" s="19" t="inlineStr"/>
      <c r="J349" s="19" t="inlineStr"/>
    </row>
    <row r="350">
      <c r="A350" s="19" t="inlineStr">
        <is>
          <t>BV-INR-005</t>
        </is>
      </c>
      <c r="B350" s="19" t="inlineStr">
        <is>
          <t>Insurer reconciliation</t>
        </is>
      </c>
      <c r="C350" s="19" t="inlineStr">
        <is>
          <t>Differences report as Excel, CSV and PDF</t>
        </is>
      </c>
      <c r="D350" s="19" t="inlineStr">
        <is>
          <t>Pass</t>
        </is>
      </c>
      <c r="E350" s="19" t="inlineStr">
        <is>
          <t>backend/test/insurer-reconciliation.test.js</t>
        </is>
      </c>
      <c r="F350" s="19" t="inlineStr">
        <is>
          <t>exports the differences report as Excel, CSV and PDF</t>
        </is>
      </c>
      <c r="G350" s="19" t="inlineStr"/>
      <c r="H350" s="19" t="inlineStr"/>
      <c r="I350" s="19" t="inlineStr"/>
      <c r="J350" s="19" t="inlineStr"/>
    </row>
    <row r="351">
      <c r="A351" s="19" t="inlineStr">
        <is>
          <t>BV-INR-006</t>
        </is>
      </c>
      <c r="B351" s="19" t="inlineStr">
        <is>
          <t>Insurer reconciliation</t>
        </is>
      </c>
      <c r="C351" s="19" t="inlineStr">
        <is>
          <t>Finance works reinsurance reconciliation; treaties stay with reinsurance users</t>
        </is>
      </c>
      <c r="D351" s="19" t="inlineStr">
        <is>
          <t>Pass</t>
        </is>
      </c>
      <c r="E351" s="19" t="inlineStr">
        <is>
          <t>backend/test/role-access.test.js</t>
        </is>
      </c>
      <c r="F351" s="19" t="inlineStr">
        <is>
          <t>finance reads and works reconciliations; treaties and cessions stay with reinsurance users</t>
        </is>
      </c>
      <c r="G351" s="19" t="inlineStr"/>
      <c r="H351" s="19" t="inlineStr"/>
      <c r="I351" s="19" t="inlineStr">
        <is>
          <t>/reinsurance/reconciliation</t>
        </is>
      </c>
      <c r="J351" s="19" t="inlineStr">
        <is>
          <t>opened clean</t>
        </is>
      </c>
    </row>
    <row r="352">
      <c r="A352" s="19" t="inlineStr">
        <is>
          <t>BV-TAX-001</t>
        </is>
      </c>
      <c r="B352" s="19" t="inlineStr">
        <is>
          <t>Tax (BIR)</t>
        </is>
      </c>
      <c r="C352" s="19" t="inlineStr">
        <is>
          <t>2307 per payee per quarter by month and ATC</t>
        </is>
      </c>
      <c r="D352" s="19" t="inlineStr">
        <is>
          <t>Pass</t>
        </is>
      </c>
      <c r="E352" s="19" t="inlineStr">
        <is>
          <t>backend/test/period-end.test.js</t>
        </is>
      </c>
      <c r="F352" s="19" t="inlineStr">
        <is>
          <t>BIR Form 2307 per payee per quarter sums the withholding of the quarter by month and ATC</t>
        </is>
      </c>
      <c r="G352" s="19" t="inlineStr"/>
      <c r="H352" s="19" t="inlineStr"/>
      <c r="I352" s="19" t="inlineStr">
        <is>
          <t>/accounts/tax/2307</t>
        </is>
      </c>
      <c r="J352" s="19" t="inlineStr">
        <is>
          <t>opened clean</t>
        </is>
      </c>
    </row>
    <row r="353">
      <c r="A353" s="19" t="inlineStr">
        <is>
          <t>BV-TAX-002</t>
        </is>
      </c>
      <c r="B353" s="19" t="inlineStr">
        <is>
          <t>Tax (BIR)</t>
        </is>
      </c>
      <c r="C353" s="19" t="inlineStr">
        <is>
          <t>VAT summary monthly and quarterly</t>
        </is>
      </c>
      <c r="D353" s="19" t="inlineStr">
        <is>
          <t>Pass</t>
        </is>
      </c>
      <c r="E353" s="19" t="inlineStr">
        <is>
          <t>backend/test/commission-taxes.test.js</t>
        </is>
      </c>
      <c r="F353" s="19" t="inlineStr">
        <is>
          <t>the booking journal books output VAT on the commission and the EWT the insurer withholds (rule version 2)</t>
        </is>
      </c>
      <c r="G353" s="19" t="inlineStr">
        <is>
          <t>Reports and dashboards</t>
        </is>
      </c>
      <c r="H353" s="19" t="inlineStr">
        <is>
          <t>58 passed, 0 failed</t>
        </is>
      </c>
      <c r="I353" s="19" t="inlineStr">
        <is>
          <t>/accounts/tax/reports/bir-vat-summary</t>
        </is>
      </c>
      <c r="J353" s="19" t="inlineStr">
        <is>
          <t>opened clean</t>
        </is>
      </c>
    </row>
    <row r="354">
      <c r="A354" s="19" t="inlineStr">
        <is>
          <t>BV-TAX-003</t>
        </is>
      </c>
      <c r="B354" s="19" t="inlineStr">
        <is>
          <t>Tax (BIR)</t>
        </is>
      </c>
      <c r="C354" s="19" t="inlineStr">
        <is>
          <t>SAWT summary</t>
        </is>
      </c>
      <c r="D354" s="19" t="inlineStr">
        <is>
          <t>Pass</t>
        </is>
      </c>
      <c r="E354" s="19" t="inlineStr"/>
      <c r="F354" s="19" t="inlineStr"/>
      <c r="G354" s="19" t="inlineStr">
        <is>
          <t>Reports and dashboards</t>
        </is>
      </c>
      <c r="H354" s="19" t="inlineStr">
        <is>
          <t>58 passed, 0 failed</t>
        </is>
      </c>
      <c r="I354" s="19" t="inlineStr">
        <is>
          <t>/accounts/tax/reports/bir-sawt</t>
        </is>
      </c>
      <c r="J354" s="19" t="inlineStr">
        <is>
          <t>opened clean</t>
        </is>
      </c>
    </row>
    <row r="355">
      <c r="A355" s="19" t="inlineStr">
        <is>
          <t>BV-TAX-004</t>
        </is>
      </c>
      <c r="B355" s="19" t="inlineStr">
        <is>
          <t>Tax (BIR)</t>
        </is>
      </c>
      <c r="C355" s="19" t="inlineStr">
        <is>
          <t>QAP summary</t>
        </is>
      </c>
      <c r="D355" s="19" t="inlineStr">
        <is>
          <t>Pass</t>
        </is>
      </c>
      <c r="E355" s="19" t="inlineStr"/>
      <c r="F355" s="19" t="inlineStr"/>
      <c r="G355" s="19" t="inlineStr">
        <is>
          <t>Reports and dashboards</t>
        </is>
      </c>
      <c r="H355" s="19" t="inlineStr">
        <is>
          <t>58 passed, 0 failed</t>
        </is>
      </c>
      <c r="I355" s="19" t="inlineStr">
        <is>
          <t>/accounts/tax/reports/bir-qap</t>
        </is>
      </c>
      <c r="J355" s="19" t="inlineStr">
        <is>
          <t>opened clean</t>
        </is>
      </c>
    </row>
    <row r="356">
      <c r="A356" s="19" t="inlineStr">
        <is>
          <t>BV-TAX-005</t>
        </is>
      </c>
      <c r="B356" s="19" t="inlineStr">
        <is>
          <t>Tax (BIR)</t>
        </is>
      </c>
      <c r="C356" s="19" t="inlineStr">
        <is>
          <t>SLSP sales and purchases</t>
        </is>
      </c>
      <c r="D356" s="19" t="inlineStr">
        <is>
          <t>Pass</t>
        </is>
      </c>
      <c r="E356" s="19" t="inlineStr"/>
      <c r="F356" s="19" t="inlineStr"/>
      <c r="G356" s="19" t="inlineStr">
        <is>
          <t>Reports and dashboards</t>
        </is>
      </c>
      <c r="H356" s="19" t="inlineStr">
        <is>
          <t>58 passed, 0 failed</t>
        </is>
      </c>
      <c r="I356" s="19" t="inlineStr">
        <is>
          <t>/accounts/tax/reports/bir-slsp-sales
/accounts/tax/reports/bir-slsp-purchases</t>
        </is>
      </c>
      <c r="J356" s="19" t="inlineStr">
        <is>
          <t>opened clean
opened clean</t>
        </is>
      </c>
    </row>
    <row r="357">
      <c r="A357" s="19" t="inlineStr">
        <is>
          <t>BV-TAX-006</t>
        </is>
      </c>
      <c r="B357" s="19" t="inlineStr">
        <is>
          <t>Tax (BIR)</t>
        </is>
      </c>
      <c r="C357" s="19" t="inlineStr">
        <is>
          <t>Tax codes editable and used by commission taxes</t>
        </is>
      </c>
      <c r="D357" s="19" t="inlineStr">
        <is>
          <t>Pass</t>
        </is>
      </c>
      <c r="E357" s="19" t="inlineStr">
        <is>
          <t>backend/test/commission-taxes.test.js</t>
        </is>
      </c>
      <c r="F357" s="19" t="inlineStr">
        <is>
          <t>simulate shows the tax lines; rates and GL accounts follow the tax codes master</t>
        </is>
      </c>
      <c r="G357" s="19" t="inlineStr">
        <is>
          <t>Set-up</t>
        </is>
      </c>
      <c r="H357" s="19" t="inlineStr">
        <is>
          <t>46 passed, 0 failed</t>
        </is>
      </c>
      <c r="I357" s="19" t="inlineStr"/>
      <c r="J357" s="19" t="inlineStr"/>
    </row>
    <row r="358">
      <c r="A358" s="19" t="inlineStr">
        <is>
          <t>BV-TAX-007</t>
        </is>
      </c>
      <c r="B358" s="19" t="inlineStr">
        <is>
          <t>Tax (BIR)</t>
        </is>
      </c>
      <c r="C358" s="19" t="inlineStr">
        <is>
          <t>Premium tax instead of VAT; exempt products</t>
        </is>
      </c>
      <c r="D358" s="19" t="inlineStr">
        <is>
          <t>Pass</t>
        </is>
      </c>
      <c r="E358" s="19" t="inlineStr">
        <is>
          <t>backend/test/premium-charges.test.js</t>
        </is>
      </c>
      <c r="F358" s="19" t="inlineStr">
        <is>
          <t>uses the premium tax instead of VAT for premium-tax products and neither for exempt ones</t>
        </is>
      </c>
      <c r="G358" s="19" t="inlineStr"/>
      <c r="H358" s="19" t="inlineStr"/>
      <c r="I358" s="19" t="inlineStr"/>
      <c r="J358" s="19" t="inlineStr"/>
    </row>
    <row r="359">
      <c r="A359" s="19" t="inlineStr">
        <is>
          <t>BV-TAX-008</t>
        </is>
      </c>
      <c r="B359" s="19" t="inlineStr">
        <is>
          <t>Tax (BIR)</t>
        </is>
      </c>
      <c r="C359" s="19" t="inlineStr">
        <is>
          <t>Negative charges on a return premium</t>
        </is>
      </c>
      <c r="D359" s="19" t="inlineStr">
        <is>
          <t>Pass</t>
        </is>
      </c>
      <c r="E359" s="19" t="inlineStr">
        <is>
          <t>backend/test/premium-charges.test.js</t>
        </is>
      </c>
      <c r="F359" s="19" t="inlineStr">
        <is>
          <t>skips rules outside their effective dates and gives negative charges on a return premium</t>
        </is>
      </c>
      <c r="G359" s="19" t="inlineStr"/>
      <c r="H359" s="19" t="inlineStr"/>
      <c r="I359" s="19" t="inlineStr"/>
      <c r="J359" s="19" t="inlineStr"/>
    </row>
    <row r="360">
      <c r="A360" s="19" t="inlineStr">
        <is>
          <t>BV-TAX-009</t>
        </is>
      </c>
      <c r="B360" s="19" t="inlineStr">
        <is>
          <t>Tax (BIR)</t>
        </is>
      </c>
      <c r="C360" s="19" t="inlineStr">
        <is>
          <t>EWT withheld by insurer clears premium due</t>
        </is>
      </c>
      <c r="D360" s="19" t="inlineStr">
        <is>
          <t>Pass</t>
        </is>
      </c>
      <c r="E360" s="19" t="inlineStr">
        <is>
          <t>backend/test/commission-taxes.test.js</t>
        </is>
      </c>
      <c r="F360" s="19" t="inlineStr">
        <is>
          <t>the insurer voucher pays the premium net of commission and VAT plus the EWT, which clears the premium due to the insurer</t>
        </is>
      </c>
      <c r="G360" s="19" t="inlineStr"/>
      <c r="H360" s="19" t="inlineStr"/>
      <c r="I360" s="19" t="inlineStr"/>
      <c r="J360" s="19" t="inlineStr"/>
    </row>
    <row r="361">
      <c r="A361" s="19" t="inlineStr">
        <is>
          <t>BV-RIN-001</t>
        </is>
      </c>
      <c r="B361" s="19" t="inlineStr">
        <is>
          <t>Reinsurance</t>
        </is>
      </c>
      <c r="C361" s="19" t="inlineStr">
        <is>
          <t>Reinsurer with rating</t>
        </is>
      </c>
      <c r="D361" s="19" t="inlineStr">
        <is>
          <t>Pass</t>
        </is>
      </c>
      <c r="E361" s="19" t="inlineStr">
        <is>
          <t>backend/test/reinsurance.test.js
backend/test/reinsurance.test.js</t>
        </is>
      </c>
      <c r="F361" s="19" t="inlineStr">
        <is>
          <t>creates and updates a reinsurer; rejects unknown ratings
lists reinsurers against the configured minimum rating</t>
        </is>
      </c>
      <c r="G361" s="19" t="inlineStr">
        <is>
          <t>Reinsurance and incentives</t>
        </is>
      </c>
      <c r="H361" s="19" t="inlineStr">
        <is>
          <t>2 passed, 0 failed</t>
        </is>
      </c>
      <c r="I361" s="19" t="inlineStr"/>
      <c r="J361" s="19" t="inlineStr"/>
    </row>
    <row r="362">
      <c r="A362" s="19" t="inlineStr">
        <is>
          <t>BV-RIN-002</t>
        </is>
      </c>
      <c r="B362" s="19" t="inlineStr">
        <is>
          <t>Reinsurance</t>
        </is>
      </c>
      <c r="C362" s="19" t="inlineStr">
        <is>
          <t>Quota share treaty with maker-checker</t>
        </is>
      </c>
      <c r="D362" s="19" t="inlineStr">
        <is>
          <t>Pass</t>
        </is>
      </c>
      <c r="E362" s="19" t="inlineStr">
        <is>
          <t>backend/test/reinsurance.test.js</t>
        </is>
      </c>
      <c r="F362" s="19" t="inlineStr">
        <is>
          <t>creates a treaty pending approval; maker cannot approve; checker approves</t>
        </is>
      </c>
      <c r="G362" s="19" t="inlineStr">
        <is>
          <t>Reinsurance and incentives</t>
        </is>
      </c>
      <c r="H362" s="19" t="inlineStr">
        <is>
          <t>2 passed, 0 failed</t>
        </is>
      </c>
      <c r="I362" s="19" t="inlineStr">
        <is>
          <t>/master/reinsurance/treaty
/reinsurance/treaties</t>
        </is>
      </c>
      <c r="J362" s="19" t="inlineStr">
        <is>
          <t>opened clean
opened clean</t>
        </is>
      </c>
    </row>
    <row r="363">
      <c r="A363" s="19" t="inlineStr">
        <is>
          <t>BV-RIN-003</t>
        </is>
      </c>
      <c r="B363" s="19" t="inlineStr">
        <is>
          <t>Reinsurance</t>
        </is>
      </c>
      <c r="C363" s="19" t="inlineStr">
        <is>
          <t>Treaty with reinsurer below minimum rating blocked</t>
        </is>
      </c>
      <c r="D363" s="19" t="inlineStr">
        <is>
          <t>Pass</t>
        </is>
      </c>
      <c r="E363" s="19" t="inlineStr">
        <is>
          <t>backend/test/reinsurance.test.js</t>
        </is>
      </c>
      <c r="F363" s="19" t="inlineStr">
        <is>
          <t>blocks treaties with reinsurers below the minimum rating</t>
        </is>
      </c>
      <c r="G363" s="19" t="inlineStr"/>
      <c r="H363" s="19" t="inlineStr"/>
      <c r="I363" s="19" t="inlineStr"/>
      <c r="J363" s="19" t="inlineStr"/>
    </row>
    <row r="364">
      <c r="A364" s="19" t="inlineStr">
        <is>
          <t>BV-RIN-004</t>
        </is>
      </c>
      <c r="B364" s="19" t="inlineStr">
        <is>
          <t>Reinsurance</t>
        </is>
      </c>
      <c r="C364" s="19" t="inlineStr">
        <is>
          <t>Treaty and facultative cessions with confirmation</t>
        </is>
      </c>
      <c r="D364" s="19" t="inlineStr">
        <is>
          <t>Pass</t>
        </is>
      </c>
      <c r="E364" s="19" t="inlineStr">
        <is>
          <t>backend/test/reinsurance.test.js</t>
        </is>
      </c>
      <c r="F364" s="19" t="inlineStr">
        <is>
          <t>cessions: share, capacity check, maker-checker confirmation, facultative gate</t>
        </is>
      </c>
      <c r="G364" s="19" t="inlineStr">
        <is>
          <t>Reinsurance and incentives</t>
        </is>
      </c>
      <c r="H364" s="19" t="inlineStr">
        <is>
          <t>2 passed, 0 failed</t>
        </is>
      </c>
      <c r="I364" s="19" t="inlineStr">
        <is>
          <t>/reinsurance/cessions</t>
        </is>
      </c>
      <c r="J364" s="19" t="inlineStr">
        <is>
          <t>opened clean</t>
        </is>
      </c>
    </row>
    <row r="365">
      <c r="A365" s="19" t="inlineStr">
        <is>
          <t>BV-RIN-005</t>
        </is>
      </c>
      <c r="B365" s="19" t="inlineStr">
        <is>
          <t>Reinsurance</t>
        </is>
      </c>
      <c r="C365" s="19" t="inlineStr">
        <is>
          <t>Recovery: register, submit, settle</t>
        </is>
      </c>
      <c r="D365" s="19" t="inlineStr">
        <is>
          <t>Pass</t>
        </is>
      </c>
      <c r="E365" s="19" t="inlineStr">
        <is>
          <t>backend/test/reinsurance.test.js</t>
        </is>
      </c>
      <c r="F365" s="19" t="inlineStr">
        <is>
          <t>recoveries: register, submit, settle</t>
        </is>
      </c>
      <c r="G365" s="19" t="inlineStr"/>
      <c r="H365" s="19" t="inlineStr"/>
      <c r="I365" s="19" t="inlineStr">
        <is>
          <t>/reinsurance/claims</t>
        </is>
      </c>
      <c r="J365" s="19" t="inlineStr">
        <is>
          <t>opened clean</t>
        </is>
      </c>
    </row>
    <row r="366">
      <c r="A366" s="19" t="inlineStr">
        <is>
          <t>BV-RIN-006</t>
        </is>
      </c>
      <c r="B366" s="19" t="inlineStr">
        <is>
          <t>Reinsurance</t>
        </is>
      </c>
      <c r="C366" s="19" t="inlineStr">
        <is>
          <t>Bordereaux, analytics and reports</t>
        </is>
      </c>
      <c r="D366" s="19" t="inlineStr">
        <is>
          <t>Pass</t>
        </is>
      </c>
      <c r="E366" s="19" t="inlineStr">
        <is>
          <t>backend/test/reinsurance.test.js
backend/test/reinsurance.test.js</t>
        </is>
      </c>
      <c r="F366" s="19" t="inlineStr">
        <is>
          <t>bordereaux, reconciliation, analytics and reports
seeded treaties report premium ceded, claims recovered and utilization</t>
        </is>
      </c>
      <c r="G366" s="19" t="inlineStr">
        <is>
          <t>Reports and dashboards</t>
        </is>
      </c>
      <c r="H366" s="19" t="inlineStr">
        <is>
          <t>58 passed, 0 failed</t>
        </is>
      </c>
      <c r="I366" s="19" t="inlineStr">
        <is>
          <t>/reinsurance/analytics</t>
        </is>
      </c>
      <c r="J366" s="19" t="inlineStr">
        <is>
          <t>opened clean</t>
        </is>
      </c>
    </row>
    <row r="367">
      <c r="A367" s="19" t="inlineStr">
        <is>
          <t>BV-RIN-007</t>
        </is>
      </c>
      <c r="B367" s="19" t="inlineStr">
        <is>
          <t>Reinsurance</t>
        </is>
      </c>
      <c r="C367" s="19" t="inlineStr">
        <is>
          <t>Users without reinsurance permission denied</t>
        </is>
      </c>
      <c r="D367" s="19" t="inlineStr">
        <is>
          <t>Pass</t>
        </is>
      </c>
      <c r="E367" s="19" t="inlineStr">
        <is>
          <t>backend/test/reinsurance.test.js</t>
        </is>
      </c>
      <c r="F367" s="19" t="inlineStr">
        <is>
          <t>denies users without reinsurance permission</t>
        </is>
      </c>
      <c r="G367" s="19" t="inlineStr"/>
      <c r="H367" s="19" t="inlineStr"/>
      <c r="I367" s="19" t="inlineStr"/>
      <c r="J367" s="19" t="inlineStr"/>
    </row>
    <row r="368">
      <c r="A368" s="19" t="inlineStr">
        <is>
          <t>BV-INC-001</t>
        </is>
      </c>
      <c r="B368" s="19" t="inlineStr">
        <is>
          <t>Incentives</t>
        </is>
      </c>
      <c r="C368" s="19" t="inlineStr">
        <is>
          <t>Create an incentive program</t>
        </is>
      </c>
      <c r="D368" s="19" t="inlineStr">
        <is>
          <t>Pass</t>
        </is>
      </c>
      <c r="E368" s="19" t="inlineStr">
        <is>
          <t>backend/test/incentive.test.js</t>
        </is>
      </c>
      <c r="F368" s="19" t="inlineStr">
        <is>
          <t>creates, validates, updates and deletes a program</t>
        </is>
      </c>
      <c r="G368" s="19" t="inlineStr">
        <is>
          <t>Reinsurance and incentives</t>
        </is>
      </c>
      <c r="H368" s="19" t="inlineStr">
        <is>
          <t>2 passed, 0 failed</t>
        </is>
      </c>
      <c r="I368" s="19" t="inlineStr">
        <is>
          <t>/master/incentive/programs/view</t>
        </is>
      </c>
      <c r="J368" s="19" t="inlineStr">
        <is>
          <t>opened clean</t>
        </is>
      </c>
    </row>
    <row r="369">
      <c r="A369" s="19" t="inlineStr">
        <is>
          <t>BV-INC-002</t>
        </is>
      </c>
      <c r="B369" s="19" t="inlineStr">
        <is>
          <t>Incentives</t>
        </is>
      </c>
      <c r="C369" s="19" t="inlineStr">
        <is>
          <t>Calculate achievement and payout</t>
        </is>
      </c>
      <c r="D369" s="19" t="inlineStr">
        <is>
          <t>Pass</t>
        </is>
      </c>
      <c r="E369" s="19" t="inlineStr">
        <is>
          <t>backend/test/incentive.test.js
backend/test/role-access.test.js</t>
        </is>
      </c>
      <c r="F369" s="19" t="inlineStr">
        <is>
          <t>calculates achievement from policies and payout from tiers
finance runs a calculation and a second finance user approves it (maker-checker)</t>
        </is>
      </c>
      <c r="G369" s="19" t="inlineStr">
        <is>
          <t>Reinsurance and incentives</t>
        </is>
      </c>
      <c r="H369" s="19" t="inlineStr">
        <is>
          <t>2 passed, 0 failed</t>
        </is>
      </c>
      <c r="I369" s="19" t="inlineStr">
        <is>
          <t>/incentive/calculations</t>
        </is>
      </c>
      <c r="J369" s="19" t="inlineStr">
        <is>
          <t>opened clean</t>
        </is>
      </c>
    </row>
    <row r="370">
      <c r="A370" s="19" t="inlineStr">
        <is>
          <t>BV-INC-003</t>
        </is>
      </c>
      <c r="B370" s="19" t="inlineStr">
        <is>
          <t>Incentives</t>
        </is>
      </c>
      <c r="C370" s="19" t="inlineStr">
        <is>
          <t>Approve, reject and pay with maker-checker</t>
        </is>
      </c>
      <c r="D370" s="19" t="inlineStr">
        <is>
          <t>Pass</t>
        </is>
      </c>
      <c r="E370" s="19" t="inlineStr">
        <is>
          <t>backend/test/incentive.test.js</t>
        </is>
      </c>
      <c r="F370" s="19" t="inlineStr">
        <is>
          <t>maker-checker approval, rejection and payment</t>
        </is>
      </c>
      <c r="G370" s="19" t="inlineStr">
        <is>
          <t>Reinsurance and incentives</t>
        </is>
      </c>
      <c r="H370" s="19" t="inlineStr">
        <is>
          <t>2 passed, 0 failed</t>
        </is>
      </c>
      <c r="I370" s="19" t="inlineStr">
        <is>
          <t>/incentive/approvals</t>
        </is>
      </c>
      <c r="J370" s="19" t="inlineStr">
        <is>
          <t>opened clean</t>
        </is>
      </c>
    </row>
    <row r="371">
      <c r="A371" s="19" t="inlineStr">
        <is>
          <t>BV-INC-004</t>
        </is>
      </c>
      <c r="B371" s="19" t="inlineStr">
        <is>
          <t>Incentives</t>
        </is>
      </c>
      <c r="C371" s="19" t="inlineStr">
        <is>
          <t>Agent sees own programs and statement only</t>
        </is>
      </c>
      <c r="D371" s="19" t="inlineStr">
        <is>
          <t>Pass</t>
        </is>
      </c>
      <c r="E371" s="19" t="inlineStr">
        <is>
          <t>backend/test/incentive.test.js</t>
        </is>
      </c>
      <c r="F371" s="19" t="inlineStr">
        <is>
          <t>agents see their own programs and statement, not other agents</t>
        </is>
      </c>
      <c r="G371" s="19" t="inlineStr"/>
      <c r="H371" s="19" t="inlineStr"/>
      <c r="I371" s="19" t="inlineStr">
        <is>
          <t>/incentive/my-programs
/incentive/statement</t>
        </is>
      </c>
      <c r="J371" s="19" t="inlineStr">
        <is>
          <t>1 clipped element(s)
opened clean</t>
        </is>
      </c>
    </row>
    <row r="372">
      <c r="A372" s="19" t="inlineStr">
        <is>
          <t>BV-INC-005</t>
        </is>
      </c>
      <c r="B372" s="19" t="inlineStr">
        <is>
          <t>Incentives</t>
        </is>
      </c>
      <c r="C372" s="19" t="inlineStr">
        <is>
          <t>Manager reads statement of a chosen agent</t>
        </is>
      </c>
      <c r="D372" s="19" t="inlineStr">
        <is>
          <t>Pass</t>
        </is>
      </c>
      <c r="E372" s="19" t="inlineStr">
        <is>
          <t>backend/test/role-access.test.js</t>
        </is>
      </c>
      <c r="F372" s="19" t="inlineStr">
        <is>
          <t>GET /incentive/statement answers 200 for a manager who is not an agent (eligible: false) and the chosen agent's statement</t>
        </is>
      </c>
      <c r="G372" s="19" t="inlineStr"/>
      <c r="H372" s="19" t="inlineStr"/>
      <c r="I372" s="19" t="inlineStr"/>
      <c r="J372" s="19" t="inlineStr"/>
    </row>
    <row r="373">
      <c r="A373" s="19" t="inlineStr">
        <is>
          <t>BV-INC-006</t>
        </is>
      </c>
      <c r="B373" s="19" t="inlineStr">
        <is>
          <t>Incentives</t>
        </is>
      </c>
      <c r="C373" s="19" t="inlineStr">
        <is>
          <t>Incentive Results report</t>
        </is>
      </c>
      <c r="D373" s="19" t="inlineStr">
        <is>
          <t>Pass</t>
        </is>
      </c>
      <c r="E373" s="19" t="inlineStr">
        <is>
          <t>backend/test/incentive.test.js</t>
        </is>
      </c>
      <c r="F373" s="19" t="inlineStr">
        <is>
          <t>agent lists, report templates and report generation</t>
        </is>
      </c>
      <c r="G373" s="19" t="inlineStr">
        <is>
          <t>Reports and dashboards</t>
        </is>
      </c>
      <c r="H373" s="19" t="inlineStr">
        <is>
          <t>58 passed, 0 failed</t>
        </is>
      </c>
      <c r="I373" s="19" t="inlineStr"/>
      <c r="J373" s="19" t="inlineStr"/>
    </row>
    <row r="374">
      <c r="A374" s="19" t="inlineStr">
        <is>
          <t>BV-RPT-001</t>
        </is>
      </c>
      <c r="B374" s="19" t="inlineStr">
        <is>
          <t>Reports</t>
        </is>
      </c>
      <c r="C374" s="19" t="inlineStr">
        <is>
          <t>Catalogue lists every report; personas see their own</t>
        </is>
      </c>
      <c r="D374" s="19" t="inlineStr">
        <is>
          <t>Pass</t>
        </is>
      </c>
      <c r="E374" s="19" t="inlineStr">
        <is>
          <t>backend/test/reports.test.js
backend/test/reports.test.js
brokerverse/src/utils/menuPermissions.test.js</t>
        </is>
      </c>
      <c r="F374" s="19" t="inlineStr">
        <is>
          <t>every catalogue entry has its query and every query has a catalogue entry
lists every report for admins and filters by role for personas
accounting gets the financial reports and the catalogue, not the production register</t>
        </is>
      </c>
      <c r="G374" s="19" t="inlineStr"/>
      <c r="H374" s="19" t="inlineStr"/>
      <c r="I374" s="19" t="inlineStr">
        <is>
          <t>/reports/catalogue</t>
        </is>
      </c>
      <c r="J374" s="19" t="inlineStr">
        <is>
          <t>opened clean</t>
        </is>
      </c>
    </row>
    <row r="375">
      <c r="A375" s="19" t="inlineStr">
        <is>
          <t>BV-RPT-002</t>
        </is>
      </c>
      <c r="B375" s="19" t="inlineStr">
        <is>
          <t>Reports</t>
        </is>
      </c>
      <c r="C375" s="19" t="inlineStr">
        <is>
          <t>Invalid parameters refused</t>
        </is>
      </c>
      <c r="D375" s="19" t="inlineStr">
        <is>
          <t>Pass</t>
        </is>
      </c>
      <c r="E375" s="19" t="inlineStr">
        <is>
          <t>backend/test/reports.test.js
backend/test/reports.test.js</t>
        </is>
      </c>
      <c r="F375" s="19" t="inlineStr">
        <is>
          <t>validates parameters and access
returns a definition with the screen filter schema</t>
        </is>
      </c>
      <c r="G375" s="19" t="inlineStr"/>
      <c r="H375" s="19" t="inlineStr"/>
      <c r="I375" s="19" t="inlineStr"/>
      <c r="J375" s="19" t="inlineStr"/>
    </row>
    <row r="376">
      <c r="A376" s="19" t="inlineStr">
        <is>
          <t>BV-RPT-003</t>
        </is>
      </c>
      <c r="B376" s="19" t="inlineStr">
        <is>
          <t>Reports</t>
        </is>
      </c>
      <c r="C376" s="19" t="inlineStr">
        <is>
          <t>CSV, XLSX and PDF outputs with history</t>
        </is>
      </c>
      <c r="D376" s="19" t="inlineStr">
        <is>
          <t>Pass</t>
        </is>
      </c>
      <c r="E376" s="19" t="inlineStr">
        <is>
          <t>backend/test/reports.test.js
backend/test/printing.test.js
backend/test/printing.test.js</t>
        </is>
      </c>
      <c r="F376" s="19" t="inlineStr">
        <is>
          <t>writes CSV, XLSX and PDF files, records history and serves downloads
prints every number, date and policy number in full in a report PDF (totals too)
reports a table that does not fit, and the report layout shrinks the font then moves to A3</t>
        </is>
      </c>
      <c r="G376" s="19" t="inlineStr"/>
      <c r="H376" s="19" t="inlineStr"/>
      <c r="I376" s="19" t="inlineStr"/>
      <c r="J376" s="19" t="inlineStr"/>
    </row>
    <row r="377">
      <c r="A377" s="19" t="inlineStr">
        <is>
          <t>BV-RPT-004</t>
        </is>
      </c>
      <c r="B377" s="19" t="inlineStr">
        <is>
          <t>Reports</t>
        </is>
      </c>
      <c r="C377" s="19" t="inlineStr">
        <is>
          <t>Schedule a report for e-mail delivery</t>
        </is>
      </c>
      <c r="D377" s="19" t="inlineStr">
        <is>
          <t>Pass</t>
        </is>
      </c>
      <c r="E377" s="19" t="inlineStr">
        <is>
          <t>backend/test/reports.test.js
backend/test/reports.test.js
backend/test/reports.test.js
backend/test/reports.test.js</t>
        </is>
      </c>
      <c r="F377" s="19" t="inlineStr">
        <is>
          <t>creates a schedule backed by a scheduledReport job
updates the schedule and its job
runs now: generates the file and queues the e-mail
deletes the schedule and its job</t>
        </is>
      </c>
      <c r="G377" s="19" t="inlineStr"/>
      <c r="H377" s="19" t="inlineStr"/>
      <c r="I377" s="19" t="inlineStr"/>
      <c r="J377" s="19" t="inlineStr"/>
    </row>
    <row r="378">
      <c r="A378" s="19" t="inlineStr">
        <is>
          <t>BV-RPT-005</t>
        </is>
      </c>
      <c r="B378" s="19" t="inlineStr">
        <is>
          <t>Reports</t>
        </is>
      </c>
      <c r="C378" s="19" t="inlineStr">
        <is>
          <t>Agent filter offered to every report reader</t>
        </is>
      </c>
      <c r="D378" s="19" t="inlineStr">
        <is>
          <t>Pass</t>
        </is>
      </c>
      <c r="E378" s="19" t="inlineStr">
        <is>
          <t>backend/test/role-access.test.js</t>
        </is>
      </c>
      <c r="F378" s="19" t="inlineStr">
        <is>
          <t>GET /reports/filters/agents serves the report Agent filter to every report reader</t>
        </is>
      </c>
      <c r="G378" s="19" t="inlineStr"/>
      <c r="H378" s="19" t="inlineStr"/>
      <c r="I378" s="19" t="inlineStr"/>
      <c r="J378" s="19" t="inlineStr"/>
    </row>
    <row r="379">
      <c r="A379" s="19" t="inlineStr">
        <is>
          <t>BV-RPT-006</t>
        </is>
      </c>
      <c r="B379" s="19" t="inlineStr">
        <is>
          <t>Reports</t>
        </is>
      </c>
      <c r="C379" s="19" t="inlineStr">
        <is>
          <t>Own production only for a scoped agent</t>
        </is>
      </c>
      <c r="D379" s="19" t="inlineStr">
        <is>
          <t>Not Run</t>
        </is>
      </c>
      <c r="E379" s="19" t="inlineStr">
        <is>
          <t>backend/test/scope.test.js</t>
        </is>
      </c>
      <c r="F379" s="19" t="inlineStr">
        <is>
          <t>dashboards use the agent's own book</t>
        </is>
      </c>
      <c r="G379" s="19" t="inlineStr"/>
      <c r="H379" s="19" t="inlineStr"/>
      <c r="I379" s="19" t="inlineStr"/>
      <c r="J379" s="19" t="inlineStr"/>
    </row>
    <row r="380">
      <c r="A380" s="19" t="inlineStr">
        <is>
          <t>BV-DSH-001</t>
        </is>
      </c>
      <c r="B380" s="19" t="inlineStr">
        <is>
          <t>Dashboards</t>
        </is>
      </c>
      <c r="C380" s="19" t="inlineStr">
        <is>
          <t>Executive KPIs computed from the books</t>
        </is>
      </c>
      <c r="D380" s="19" t="inlineStr">
        <is>
          <t>Pass</t>
        </is>
      </c>
      <c r="E380" s="19" t="inlineStr">
        <is>
          <t>backend/test/dashboard.test.js
backend/test/dashboard.test.js</t>
        </is>
      </c>
      <c r="F380" s="19" t="inlineStr">
        <is>
          <t>executive KPIs are computed from the tables
calendar periods at month, quarter and year boundaries (Manila vs UTC midnight)</t>
        </is>
      </c>
      <c r="G380" s="19" t="inlineStr">
        <is>
          <t>Reports and dashboards</t>
        </is>
      </c>
      <c r="H380" s="19" t="inlineStr">
        <is>
          <t>58 passed, 0 failed</t>
        </is>
      </c>
      <c r="I380" s="19" t="inlineStr">
        <is>
          <t>/executive/dashboard</t>
        </is>
      </c>
      <c r="J380" s="19" t="inlineStr">
        <is>
          <t>opened clean</t>
        </is>
      </c>
    </row>
    <row r="381">
      <c r="A381" s="19" t="inlineStr">
        <is>
          <t>BV-DSH-002</t>
        </is>
      </c>
      <c r="B381" s="19" t="inlineStr">
        <is>
          <t>Dashboards</t>
        </is>
      </c>
      <c r="C381" s="19" t="inlineStr">
        <is>
          <t>Sales funnel shows the cycle prospects and quotations</t>
        </is>
      </c>
      <c r="D381" s="19" t="inlineStr">
        <is>
          <t>Pass</t>
        </is>
      </c>
      <c r="E381" s="19" t="inlineStr">
        <is>
          <t>backend/test/dashboard.test.js</t>
        </is>
      </c>
      <c r="F381" s="19" t="inlineStr">
        <is>
          <t>sales funnel, processing workbench and claims summary</t>
        </is>
      </c>
      <c r="G381" s="19" t="inlineStr">
        <is>
          <t>Reports and dashboards</t>
        </is>
      </c>
      <c r="H381" s="19" t="inlineStr">
        <is>
          <t>58 passed, 0 failed</t>
        </is>
      </c>
      <c r="I381" s="19" t="inlineStr">
        <is>
          <t>/sales/dashboard</t>
        </is>
      </c>
      <c r="J381" s="19" t="inlineStr">
        <is>
          <t>opened clean</t>
        </is>
      </c>
    </row>
    <row r="382">
      <c r="A382" s="19" t="inlineStr">
        <is>
          <t>BV-DSH-003</t>
        </is>
      </c>
      <c r="B382" s="19" t="inlineStr">
        <is>
          <t>Dashboards</t>
        </is>
      </c>
      <c r="C382" s="19" t="inlineStr">
        <is>
          <t>Account Executive home shows own figures</t>
        </is>
      </c>
      <c r="D382" s="19" t="inlineStr">
        <is>
          <t>Pass</t>
        </is>
      </c>
      <c r="E382" s="19" t="inlineStr">
        <is>
          <t>backend/test/dashboard.test.js
backend/test/role-access.test.js
backend/test/role-access.test.js</t>
        </is>
      </c>
      <c r="F382" s="19" t="inlineStr">
        <is>
          <t>agent home shows the signed-in user's own figures
collected and receivable premium come from the premium bills of the agent's book
a premium bill cancelled because the policy is direct bill shows DIRECT BILL under Paid, not PAID</t>
        </is>
      </c>
      <c r="G382" s="19" t="inlineStr">
        <is>
          <t>Reports and dashboards</t>
        </is>
      </c>
      <c r="H382" s="19" t="inlineStr">
        <is>
          <t>58 passed, 0 failed</t>
        </is>
      </c>
      <c r="I382" s="19" t="inlineStr">
        <is>
          <t>/agent/home</t>
        </is>
      </c>
      <c r="J382" s="19" t="inlineStr">
        <is>
          <t>opened clean</t>
        </is>
      </c>
    </row>
    <row r="383">
      <c r="A383" s="19" t="inlineStr">
        <is>
          <t>BV-DSH-004</t>
        </is>
      </c>
      <c r="B383" s="19" t="inlineStr">
        <is>
          <t>Dashboards</t>
        </is>
      </c>
      <c r="C383" s="19" t="inlineStr">
        <is>
          <t>Processing workbench</t>
        </is>
      </c>
      <c r="D383" s="19" t="inlineStr">
        <is>
          <t>Pass</t>
        </is>
      </c>
      <c r="E383" s="19" t="inlineStr">
        <is>
          <t>backend/test/dashboard.test.js</t>
        </is>
      </c>
      <c r="F383" s="19" t="inlineStr">
        <is>
          <t>sales funnel, processing workbench and claims summary</t>
        </is>
      </c>
      <c r="G383" s="19" t="inlineStr">
        <is>
          <t>Reports and dashboards</t>
        </is>
      </c>
      <c r="H383" s="19" t="inlineStr">
        <is>
          <t>58 passed, 0 failed</t>
        </is>
      </c>
      <c r="I383" s="19" t="inlineStr">
        <is>
          <t>/processing/dashboard</t>
        </is>
      </c>
      <c r="J383" s="19" t="inlineStr">
        <is>
          <t>opened clean</t>
        </is>
      </c>
    </row>
    <row r="384">
      <c r="A384" s="19" t="inlineStr">
        <is>
          <t>BV-DSH-005</t>
        </is>
      </c>
      <c r="B384" s="19" t="inlineStr">
        <is>
          <t>Dashboards</t>
        </is>
      </c>
      <c r="C384" s="19" t="inlineStr">
        <is>
          <t>Claims summary by status</t>
        </is>
      </c>
      <c r="D384" s="19" t="inlineStr">
        <is>
          <t>Pass</t>
        </is>
      </c>
      <c r="E384" s="19" t="inlineStr">
        <is>
          <t>backend/test/dashboard.test.js</t>
        </is>
      </c>
      <c r="F384" s="19" t="inlineStr">
        <is>
          <t>sales funnel, processing workbench and claims summary</t>
        </is>
      </c>
      <c r="G384" s="19" t="inlineStr">
        <is>
          <t>Reports and dashboards</t>
        </is>
      </c>
      <c r="H384" s="19" t="inlineStr">
        <is>
          <t>58 passed, 0 failed</t>
        </is>
      </c>
      <c r="I384" s="19" t="inlineStr">
        <is>
          <t>/claims/dashboard</t>
        </is>
      </c>
      <c r="J384" s="19" t="inlineStr">
        <is>
          <t>opened clean</t>
        </is>
      </c>
    </row>
    <row r="385">
      <c r="A385" s="19" t="inlineStr">
        <is>
          <t>BV-DSH-006</t>
        </is>
      </c>
      <c r="B385" s="19" t="inlineStr">
        <is>
          <t>Dashboards</t>
        </is>
      </c>
      <c r="C385" s="19" t="inlineStr">
        <is>
          <t>Dashboards enforce permissions</t>
        </is>
      </c>
      <c r="D385" s="19" t="inlineStr">
        <is>
          <t>Pass</t>
        </is>
      </c>
      <c r="E385" s="19" t="inlineStr">
        <is>
          <t>backend/test/dashboard.test.js</t>
        </is>
      </c>
      <c r="F385" s="19" t="inlineStr">
        <is>
          <t>enforces permissions</t>
        </is>
      </c>
      <c r="G385" s="19" t="inlineStr"/>
      <c r="H385" s="19" t="inlineStr"/>
      <c r="I385" s="19" t="inlineStr"/>
      <c r="J385" s="19" t="inlineStr"/>
    </row>
    <row r="386">
      <c r="A386" s="19" t="inlineStr">
        <is>
          <t>BV-DSH-007</t>
        </is>
      </c>
      <c r="B386" s="19" t="inlineStr">
        <is>
          <t>Dashboards</t>
        </is>
      </c>
      <c r="C386" s="19" t="inlineStr">
        <is>
          <t>Approval notifications go to the right audience</t>
        </is>
      </c>
      <c r="D386" s="19" t="inlineStr">
        <is>
          <t>Pass</t>
        </is>
      </c>
      <c r="E386" s="19" t="inlineStr">
        <is>
          <t>backend/test/role-access.test.js
backend/test/role-access.test.js</t>
        </is>
      </c>
      <c r="F386" s="19" t="inlineStr">
        <is>
          <t>a finance approval notification is shown to finance, not to customer services or sales
the approval notifications of the modules name their audience</t>
        </is>
      </c>
      <c r="G386" s="19" t="inlineStr"/>
      <c r="H386" s="19" t="inlineStr"/>
      <c r="I386" s="19" t="inlineStr"/>
      <c r="J386" s="19" t="inlineStr"/>
    </row>
    <row r="387">
      <c r="A387" s="19" t="inlineStr">
        <is>
          <t>BV-DSH-008</t>
        </is>
      </c>
      <c r="B387" s="19" t="inlineStr">
        <is>
          <t>Dashboards</t>
        </is>
      </c>
      <c r="C387" s="19" t="inlineStr">
        <is>
          <t>Dashboard trial balance balanced after the cycle</t>
        </is>
      </c>
      <c r="D387" s="19" t="inlineStr">
        <is>
          <t>Pass</t>
        </is>
      </c>
      <c r="E387" s="19" t="inlineStr">
        <is>
          <t>backend/test/reports.test.js</t>
        </is>
      </c>
      <c r="F387" s="19" t="inlineStr">
        <is>
          <t>journal register and a balanced trial balance from approved/posted vouchers only</t>
        </is>
      </c>
      <c r="G387" s="19" t="inlineStr">
        <is>
          <t>Reports and dashboards</t>
        </is>
      </c>
      <c r="H387" s="19" t="inlineStr">
        <is>
          <t>58 passed, 0 failed</t>
        </is>
      </c>
      <c r="I387" s="19" t="inlineStr"/>
      <c r="J387" s="19" t="inlineStr"/>
    </row>
    <row r="388">
      <c r="A388" s="19" t="inlineStr">
        <is>
          <t>BV-EML-001</t>
        </is>
      </c>
      <c r="B388" s="19" t="inlineStr">
        <is>
          <t>E-mail outbox and notifications</t>
        </is>
      </c>
      <c r="C388" s="19" t="inlineStr">
        <is>
          <t>Outbox lists messages and sending status</t>
        </is>
      </c>
      <c r="D388" s="19" t="inlineStr">
        <is>
          <t>Pass</t>
        </is>
      </c>
      <c r="E388" s="19" t="inlineStr">
        <is>
          <t>backend/test/email-outbox.test.js</t>
        </is>
      </c>
      <c r="F388" s="19" t="inlineStr">
        <is>
          <t>lists messages with their status, counts and whether sending is enabled (administrators only)</t>
        </is>
      </c>
      <c r="G388" s="19" t="inlineStr"/>
      <c r="H388" s="19" t="inlineStr"/>
      <c r="I388" s="19" t="inlineStr">
        <is>
          <t>/master/configuration/email-outbox</t>
        </is>
      </c>
      <c r="J388" s="19" t="inlineStr">
        <is>
          <t>opened clean</t>
        </is>
      </c>
    </row>
    <row r="389">
      <c r="A389" s="19" t="inlineStr">
        <is>
          <t>BV-EML-002</t>
        </is>
      </c>
      <c r="B389" s="19" t="inlineStr">
        <is>
          <t>E-mail outbox and notifications</t>
        </is>
      </c>
      <c r="C389" s="19" t="inlineStr">
        <is>
          <t>Retry while sending is off queues again</t>
        </is>
      </c>
      <c r="D389" s="19" t="inlineStr">
        <is>
          <t>Pass</t>
        </is>
      </c>
      <c r="E389" s="19" t="inlineStr">
        <is>
          <t>backend/test/email-outbox.test.js</t>
        </is>
      </c>
      <c r="F389" s="19" t="inlineStr">
        <is>
          <t>retry while sending is off queues the message again and says so</t>
        </is>
      </c>
      <c r="G389" s="19" t="inlineStr"/>
      <c r="H389" s="19" t="inlineStr"/>
      <c r="I389" s="19" t="inlineStr"/>
      <c r="J389" s="19" t="inlineStr"/>
    </row>
    <row r="390">
      <c r="A390" s="19" t="inlineStr">
        <is>
          <t>BV-EML-003</t>
        </is>
      </c>
      <c r="B390" s="19" t="inlineStr">
        <is>
          <t>E-mail outbox and notifications</t>
        </is>
      </c>
      <c r="C390" s="19" t="inlineStr">
        <is>
          <t>Retry while sending is on</t>
        </is>
      </c>
      <c r="D390" s="19" t="inlineStr">
        <is>
          <t>Blocked</t>
        </is>
      </c>
      <c r="E390" s="19" t="inlineStr">
        <is>
          <t>backend/test/email-outbox.test.js</t>
        </is>
      </c>
      <c r="F390" s="19" t="inlineStr">
        <is>
          <t>retry while sending is on tries the message at once and keeps the error of a failed attempt</t>
        </is>
      </c>
      <c r="G390" s="19" t="inlineStr"/>
      <c r="H390" s="19" t="inlineStr"/>
      <c r="I390" s="19" t="inlineStr"/>
      <c r="J390" s="19" t="inlineStr"/>
    </row>
    <row r="391">
      <c r="A391" s="19" t="inlineStr">
        <is>
          <t>BV-EML-004</t>
        </is>
      </c>
      <c r="B391" s="19" t="inlineStr">
        <is>
          <t>E-mail outbox and notifications</t>
        </is>
      </c>
      <c r="C391" s="19" t="inlineStr">
        <is>
          <t>Retry of a sent or unknown message refused</t>
        </is>
      </c>
      <c r="D391" s="19" t="inlineStr">
        <is>
          <t>Pass</t>
        </is>
      </c>
      <c r="E391" s="19" t="inlineStr">
        <is>
          <t>backend/test/email-outbox.test.js</t>
        </is>
      </c>
      <c r="F391" s="19" t="inlineStr">
        <is>
          <t>refuses to retry a sent message or an unknown one</t>
        </is>
      </c>
      <c r="G391" s="19" t="inlineStr"/>
      <c r="H391" s="19" t="inlineStr"/>
      <c r="I391" s="19" t="inlineStr"/>
      <c r="J391" s="19" t="inlineStr"/>
    </row>
    <row r="392">
      <c r="A392" s="19" t="inlineStr">
        <is>
          <t>BV-EML-005</t>
        </is>
      </c>
      <c r="B392" s="19" t="inlineStr">
        <is>
          <t>E-mail outbox and notifications</t>
        </is>
      </c>
      <c r="C392" s="19" t="inlineStr">
        <is>
          <t>Subjects plain text, bodies escaped</t>
        </is>
      </c>
      <c r="D392" s="19" t="inlineStr">
        <is>
          <t>Pass</t>
        </is>
      </c>
      <c r="E392" s="19" t="inlineStr">
        <is>
          <t>backend/test/configuration.test.js</t>
        </is>
      </c>
      <c r="F392" s="19" t="inlineStr">
        <is>
          <t>e-mail subjects are rendered as plain text, bodies HTML-escaped</t>
        </is>
      </c>
      <c r="G392" s="19" t="inlineStr"/>
      <c r="H392" s="19" t="inlineStr"/>
      <c r="I392" s="19" t="inlineStr"/>
      <c r="J392" s="19" t="inlineStr"/>
    </row>
    <row r="393">
      <c r="A393" s="19" t="inlineStr">
        <is>
          <t>BV-EML-006</t>
        </is>
      </c>
      <c r="B393" s="19" t="inlineStr">
        <is>
          <t>E-mail outbox and notifications</t>
        </is>
      </c>
      <c r="C393" s="19" t="inlineStr">
        <is>
          <t>Mail transport from SMTP URL</t>
        </is>
      </c>
      <c r="D393" s="19" t="inlineStr">
        <is>
          <t>Pass</t>
        </is>
      </c>
      <c r="E393" s="19" t="inlineStr">
        <is>
          <t>backend/test/dependencies.test.js</t>
        </is>
      </c>
      <c r="F393" s="19" t="inlineStr">
        <is>
          <t>nodemailer 10 builds a transport from a URL and sends through a stream transport</t>
        </is>
      </c>
      <c r="G393" s="19" t="inlineStr"/>
      <c r="H393" s="19" t="inlineStr"/>
      <c r="I393" s="19" t="inlineStr"/>
      <c r="J393" s="19" t="inlineStr"/>
    </row>
    <row r="394">
      <c r="A394" s="19" t="inlineStr">
        <is>
          <t>BV-AUD-001</t>
        </is>
      </c>
      <c r="B394" s="19" t="inlineStr">
        <is>
          <t>Audit trail</t>
        </is>
      </c>
      <c r="C394" s="19" t="inlineStr">
        <is>
          <t>Changes listed with before and after values</t>
        </is>
      </c>
      <c r="D394" s="19" t="inlineStr">
        <is>
          <t>Pass</t>
        </is>
      </c>
      <c r="E394" s="19" t="inlineStr">
        <is>
          <t>backend/test/core.test.js
backend/test/user-access.test.js</t>
        </is>
      </c>
      <c r="F394" s="19" t="inlineStr">
        <is>
          <t>writes an audit trail
lists, creates and locks users, and reads the audit trail</t>
        </is>
      </c>
      <c r="G394" s="19" t="inlineStr"/>
      <c r="H394" s="19" t="inlineStr"/>
      <c r="I394" s="19" t="inlineStr">
        <is>
          <t>/master/configuration/audit-trail</t>
        </is>
      </c>
      <c r="J394" s="19" t="inlineStr">
        <is>
          <t>opened clean</t>
        </is>
      </c>
    </row>
    <row r="395">
      <c r="A395" s="19" t="inlineStr">
        <is>
          <t>BV-AUD-002</t>
        </is>
      </c>
      <c r="B395" s="19" t="inlineStr">
        <is>
          <t>Audit trail</t>
        </is>
      </c>
      <c r="C395" s="19" t="inlineStr">
        <is>
          <t>Policy life cycle traced in the audit trail</t>
        </is>
      </c>
      <c r="D395" s="19" t="inlineStr">
        <is>
          <t>Pass</t>
        </is>
      </c>
      <c r="E395" s="19" t="inlineStr">
        <is>
          <t>backend/test/claims.test.js
backend/test/customer-response.test.js</t>
        </is>
      </c>
      <c r="F395" s="19" t="inlineStr">
        <is>
          <t>rejects a claim and returns the field-level audit trail
accepted: CustomerAccepted with the evidence stored, audited and listed</t>
        </is>
      </c>
      <c r="G395" s="19" t="inlineStr"/>
      <c r="H395" s="19" t="inlineStr"/>
      <c r="I395" s="19" t="inlineStr"/>
      <c r="J395" s="19" t="inlineStr"/>
    </row>
    <row r="396">
      <c r="A396" s="19" t="inlineStr">
        <is>
          <t>BV-AUD-003</t>
        </is>
      </c>
      <c r="B396" s="19" t="inlineStr">
        <is>
          <t>Audit trail</t>
        </is>
      </c>
      <c r="C396" s="19" t="inlineStr">
        <is>
          <t>Audit trail not available to business users</t>
        </is>
      </c>
      <c r="D396" s="19" t="inlineStr">
        <is>
          <t>Pass</t>
        </is>
      </c>
      <c r="E396" s="19" t="inlineStr">
        <is>
          <t>backend/test/user-access.test.js</t>
        </is>
      </c>
      <c r="F396" s="19" t="inlineStr">
        <is>
          <t>has no business access</t>
        </is>
      </c>
      <c r="G396" s="19" t="inlineStr"/>
      <c r="H396" s="19" t="inlineStr"/>
      <c r="I396" s="19" t="inlineStr"/>
      <c r="J396" s="19" t="inlineStr"/>
    </row>
    <row r="397">
      <c r="A397" s="19" t="inlineStr">
        <is>
          <t>BV-AUD-004</t>
        </is>
      </c>
      <c r="B397" s="19" t="inlineStr">
        <is>
          <t>Audit trail</t>
        </is>
      </c>
      <c r="C397" s="19" t="inlineStr">
        <is>
          <t>Audit rows never purged below 7 years</t>
        </is>
      </c>
      <c r="D397" s="19" t="inlineStr">
        <is>
          <t>Pass</t>
        </is>
      </c>
      <c r="E397" s="19" t="inlineStr">
        <is>
          <t>backend/test/operations.test.js</t>
        </is>
      </c>
      <c r="F397" s="19" t="inlineStr">
        <is>
          <t>keeps a table forever at 0 days and never purges the audit trail below 7 years</t>
        </is>
      </c>
      <c r="G397" s="19" t="inlineStr"/>
      <c r="H397" s="19" t="inlineStr"/>
      <c r="I397" s="19" t="inlineStr"/>
      <c r="J397" s="19" t="inlineStr"/>
    </row>
    <row r="398">
      <c r="A398" s="19" t="inlineStr">
        <is>
          <t>BV-E2E-001</t>
        </is>
      </c>
      <c r="B398" s="19" t="inlineStr">
        <is>
          <t>End-to-end life cycle</t>
        </is>
      </c>
      <c r="C398" s="19" t="inlineStr">
        <is>
          <t>Life cycle step 1: sign-in and lockout</t>
        </is>
      </c>
      <c r="D398" s="19" t="inlineStr">
        <is>
          <t>Pass</t>
        </is>
      </c>
      <c r="E398" s="19" t="inlineStr">
        <is>
          <t>backend/test/core.test.js</t>
        </is>
      </c>
      <c r="F398" s="19" t="inlineStr">
        <is>
          <t>rejects a wrong password and accepts the admin</t>
        </is>
      </c>
      <c r="G398" s="19" t="inlineStr">
        <is>
          <t>Set-up</t>
        </is>
      </c>
      <c r="H398" s="19" t="inlineStr">
        <is>
          <t>46 passed, 0 failed</t>
        </is>
      </c>
      <c r="I398" s="19" t="inlineStr"/>
      <c r="J398" s="19" t="inlineStr"/>
    </row>
    <row r="399">
      <c r="A399" s="19" t="inlineStr">
        <is>
          <t>BV-E2E-002</t>
        </is>
      </c>
      <c r="B399" s="19" t="inlineStr">
        <is>
          <t>End-to-end life cycle</t>
        </is>
      </c>
      <c r="C399" s="19" t="inlineStr">
        <is>
          <t>Life cycle step 2: personas created</t>
        </is>
      </c>
      <c r="D399" s="19" t="inlineStr">
        <is>
          <t>Pass</t>
        </is>
      </c>
      <c r="E399" s="19" t="inlineStr">
        <is>
          <t>backend/test/core.test.js</t>
        </is>
      </c>
      <c r="F399" s="19" t="inlineStr">
        <is>
          <t>admin creates a persona user who can then sign in with that role</t>
        </is>
      </c>
      <c r="G399" s="19" t="inlineStr">
        <is>
          <t>Set-up</t>
        </is>
      </c>
      <c r="H399" s="19" t="inlineStr">
        <is>
          <t>46 passed, 0 failed</t>
        </is>
      </c>
      <c r="I399" s="19" t="inlineStr"/>
      <c r="J399" s="19" t="inlineStr"/>
    </row>
    <row r="400">
      <c r="A400" s="19" t="inlineStr">
        <is>
          <t>BV-E2E-003</t>
        </is>
      </c>
      <c r="B400" s="19" t="inlineStr">
        <is>
          <t>End-to-end life cycle</t>
        </is>
      </c>
      <c r="C400" s="19" t="inlineStr">
        <is>
          <t>Life cycle step 3: configuration read</t>
        </is>
      </c>
      <c r="D400" s="19" t="inlineStr">
        <is>
          <t>Pass</t>
        </is>
      </c>
      <c r="E400" s="19" t="inlineStr">
        <is>
          <t>backend/test/core.test.js</t>
        </is>
      </c>
      <c r="F400" s="19" t="inlineStr">
        <is>
          <t>settings are read from the database and editable by admins</t>
        </is>
      </c>
      <c r="G400" s="19" t="inlineStr">
        <is>
          <t>Set-up</t>
        </is>
      </c>
      <c r="H400" s="19" t="inlineStr">
        <is>
          <t>46 passed, 0 failed</t>
        </is>
      </c>
      <c r="I400" s="19" t="inlineStr"/>
      <c r="J400" s="19" t="inlineStr"/>
    </row>
    <row r="401">
      <c r="A401" s="19" t="inlineStr">
        <is>
          <t>BV-E2E-004</t>
        </is>
      </c>
      <c r="B401" s="19" t="inlineStr">
        <is>
          <t>End-to-end life cycle</t>
        </is>
      </c>
      <c r="C401" s="19" t="inlineStr">
        <is>
          <t>Life cycle step 4: insurer master</t>
        </is>
      </c>
      <c r="D401" s="19" t="inlineStr">
        <is>
          <t>Pass</t>
        </is>
      </c>
      <c r="E401" s="19" t="inlineStr">
        <is>
          <t>backend/test/masters.test.js</t>
        </is>
      </c>
      <c r="F401" s="19" t="inlineStr">
        <is>
          <t>creates, reads, searches, updates and deactivates</t>
        </is>
      </c>
      <c r="G401" s="19" t="inlineStr">
        <is>
          <t>Set-up</t>
        </is>
      </c>
      <c r="H401" s="19" t="inlineStr">
        <is>
          <t>46 passed, 0 failed</t>
        </is>
      </c>
      <c r="I401" s="19" t="inlineStr"/>
      <c r="J401" s="19" t="inlineStr"/>
    </row>
    <row r="402">
      <c r="A402" s="19" t="inlineStr">
        <is>
          <t>BV-E2E-005</t>
        </is>
      </c>
      <c r="B402" s="19" t="inlineStr">
        <is>
          <t>End-to-end life cycle</t>
        </is>
      </c>
      <c r="C402" s="19" t="inlineStr">
        <is>
          <t>Life cycle step 5: prospect</t>
        </is>
      </c>
      <c r="D402" s="19" t="inlineStr">
        <is>
          <t>Pass</t>
        </is>
      </c>
      <c r="E402" s="19" t="inlineStr">
        <is>
          <t>backend/test/leads.test.js</t>
        </is>
      </c>
      <c r="F402" s="19" t="inlineStr">
        <is>
          <t>creates a lead and returns it at the top level and in data</t>
        </is>
      </c>
      <c r="G402" s="19" t="inlineStr">
        <is>
          <t>Retail package business</t>
        </is>
      </c>
      <c r="H402" s="19" t="inlineStr">
        <is>
          <t>84 passed, 0 failed</t>
        </is>
      </c>
      <c r="I402" s="19" t="inlineStr"/>
      <c r="J402" s="19" t="inlineStr"/>
    </row>
    <row r="403">
      <c r="A403" s="19" t="inlineStr">
        <is>
          <t>BV-E2E-006</t>
        </is>
      </c>
      <c r="B403" s="19" t="inlineStr">
        <is>
          <t>End-to-end life cycle</t>
        </is>
      </c>
      <c r="C403" s="19" t="inlineStr">
        <is>
          <t>Life cycle step 6: quotation</t>
        </is>
      </c>
      <c r="D403" s="19" t="inlineStr">
        <is>
          <t>Pass</t>
        </is>
      </c>
      <c r="E403" s="19" t="inlineStr">
        <is>
          <t>backend/test/quotations.test.js</t>
        </is>
      </c>
      <c r="F403" s="19" t="inlineStr">
        <is>
          <t>creates a quotation with a server-side premium breakdown from settings</t>
        </is>
      </c>
      <c r="G403" s="19" t="inlineStr">
        <is>
          <t>Retail package business</t>
        </is>
      </c>
      <c r="H403" s="19" t="inlineStr">
        <is>
          <t>84 passed, 0 failed</t>
        </is>
      </c>
      <c r="I403" s="19" t="inlineStr"/>
      <c r="J403" s="19" t="inlineStr"/>
    </row>
    <row r="404">
      <c r="A404" s="19" t="inlineStr">
        <is>
          <t>BV-E2E-007</t>
        </is>
      </c>
      <c r="B404" s="19" t="inlineStr">
        <is>
          <t>End-to-end life cycle</t>
        </is>
      </c>
      <c r="C404" s="19" t="inlineStr">
        <is>
          <t>Life cycle step 7: quotation downstream</t>
        </is>
      </c>
      <c r="D404" s="19" t="inlineStr">
        <is>
          <t>Pass</t>
        </is>
      </c>
      <c r="E404" s="19" t="inlineStr">
        <is>
          <t>backend/test/dashboard.test.js</t>
        </is>
      </c>
      <c r="F404" s="19" t="inlineStr">
        <is>
          <t>sales funnel, processing workbench and claims summary</t>
        </is>
      </c>
      <c r="G404" s="19" t="inlineStr">
        <is>
          <t>Reports and dashboards</t>
        </is>
      </c>
      <c r="H404" s="19" t="inlineStr">
        <is>
          <t>58 passed, 0 failed</t>
        </is>
      </c>
      <c r="I404" s="19" t="inlineStr"/>
      <c r="J404" s="19" t="inlineStr"/>
    </row>
    <row r="405">
      <c r="A405" s="19" t="inlineStr">
        <is>
          <t>BV-E2E-008</t>
        </is>
      </c>
      <c r="B405" s="19" t="inlineStr">
        <is>
          <t>End-to-end life cycle</t>
        </is>
      </c>
      <c r="C405" s="19" t="inlineStr">
        <is>
          <t>Life cycle step 8: send for approval</t>
        </is>
      </c>
      <c r="D405" s="19" t="inlineStr">
        <is>
          <t>Pass</t>
        </is>
      </c>
      <c r="E405" s="19" t="inlineStr">
        <is>
          <t>backend/test/customer-response.test.js</t>
        </is>
      </c>
      <c r="F405" s="19" t="inlineStr">
        <is>
          <t>moves to PendingCustomer and says plainly that e-mail is not configured</t>
        </is>
      </c>
      <c r="G405" s="19" t="inlineStr">
        <is>
          <t>Retail package business</t>
        </is>
      </c>
      <c r="H405" s="19" t="inlineStr">
        <is>
          <t>84 passed, 0 failed</t>
        </is>
      </c>
      <c r="I405" s="19" t="inlineStr"/>
      <c r="J405" s="19" t="inlineStr"/>
    </row>
    <row r="406">
      <c r="A406" s="19" t="inlineStr">
        <is>
          <t>BV-E2E-009</t>
        </is>
      </c>
      <c r="B406" s="19" t="inlineStr">
        <is>
          <t>End-to-end life cycle</t>
        </is>
      </c>
      <c r="C406" s="19" t="inlineStr">
        <is>
          <t>Life cycle step 9: customer acceptance</t>
        </is>
      </c>
      <c r="D406" s="19" t="inlineStr">
        <is>
          <t>Pass</t>
        </is>
      </c>
      <c r="E406" s="19" t="inlineStr">
        <is>
          <t>backend/test/customer-response.test.js</t>
        </is>
      </c>
      <c r="F406" s="19" t="inlineStr">
        <is>
          <t>accepted: CustomerAccepted with the evidence stored, audited and listed</t>
        </is>
      </c>
      <c r="G406" s="19" t="inlineStr">
        <is>
          <t>Retail package business</t>
        </is>
      </c>
      <c r="H406" s="19" t="inlineStr">
        <is>
          <t>84 passed, 0 failed</t>
        </is>
      </c>
      <c r="I406" s="19" t="inlineStr"/>
      <c r="J406" s="19" t="inlineStr"/>
    </row>
    <row r="407">
      <c r="A407" s="19" t="inlineStr">
        <is>
          <t>BV-E2E-010</t>
        </is>
      </c>
      <c r="B407" s="19" t="inlineStr">
        <is>
          <t>End-to-end life cycle</t>
        </is>
      </c>
      <c r="C407" s="19" t="inlineStr">
        <is>
          <t>Life cycle step 10: convert to policy</t>
        </is>
      </c>
      <c r="D407" s="19" t="inlineStr">
        <is>
          <t>Pass</t>
        </is>
      </c>
      <c r="E407" s="19" t="inlineStr">
        <is>
          <t>backend/test/quotations.test.js</t>
        </is>
      </c>
      <c r="F407" s="19" t="inlineStr">
        <is>
          <t>converts to policy: client, policy, receivable with bill number, commission accrual, owner notified</t>
        </is>
      </c>
      <c r="G407" s="19" t="inlineStr">
        <is>
          <t>Retail package business</t>
        </is>
      </c>
      <c r="H407" s="19" t="inlineStr">
        <is>
          <t>84 passed, 0 failed</t>
        </is>
      </c>
      <c r="I407" s="19" t="inlineStr"/>
      <c r="J407" s="19" t="inlineStr"/>
    </row>
    <row r="408">
      <c r="A408" s="19" t="inlineStr">
        <is>
          <t>BV-E2E-011</t>
        </is>
      </c>
      <c r="B408" s="19" t="inlineStr">
        <is>
          <t>End-to-end life cycle</t>
        </is>
      </c>
      <c r="C408" s="19" t="inlineStr">
        <is>
          <t>Life cycle step 11: downstream of issuance</t>
        </is>
      </c>
      <c r="D408" s="19" t="inlineStr">
        <is>
          <t>Pass</t>
        </is>
      </c>
      <c r="E408" s="19" t="inlineStr">
        <is>
          <t>backend/test/posting-rules.test.js</t>
        </is>
      </c>
      <c r="F408" s="19" t="inlineStr">
        <is>
          <t>policy booking and receipt: same accounts, amounts, memos and order (premium taxes not split)</t>
        </is>
      </c>
      <c r="G408" s="19" t="inlineStr">
        <is>
          <t>Reports and dashboards</t>
        </is>
      </c>
      <c r="H408" s="19" t="inlineStr">
        <is>
          <t>58 passed, 0 failed</t>
        </is>
      </c>
      <c r="I408" s="19" t="inlineStr"/>
      <c r="J408" s="19" t="inlineStr"/>
    </row>
    <row r="409">
      <c r="A409" s="19" t="inlineStr">
        <is>
          <t>BV-E2E-012</t>
        </is>
      </c>
      <c r="B409" s="19" t="inlineStr">
        <is>
          <t>End-to-end life cycle</t>
        </is>
      </c>
      <c r="C409" s="19" t="inlineStr">
        <is>
          <t>Life cycle step 12: receipts</t>
        </is>
      </c>
      <c r="D409" s="19" t="inlineStr">
        <is>
          <t>Pass</t>
        </is>
      </c>
      <c r="E409" s="19" t="inlineStr">
        <is>
          <t>backend/test/receipts.test.js</t>
        </is>
      </c>
      <c r="F409" s="19" t="inlineStr">
        <is>
          <t>official receipt against a receivable: partial then full payment, overpayment rejected</t>
        </is>
      </c>
      <c r="G409" s="19" t="inlineStr">
        <is>
          <t>Billing and collection</t>
        </is>
      </c>
      <c r="H409" s="19" t="inlineStr">
        <is>
          <t>61 passed, 0 failed</t>
        </is>
      </c>
      <c r="I409" s="19" t="inlineStr"/>
      <c r="J409" s="19" t="inlineStr"/>
    </row>
    <row r="410">
      <c r="A410" s="19" t="inlineStr">
        <is>
          <t>BV-E2E-013</t>
        </is>
      </c>
      <c r="B410" s="19" t="inlineStr">
        <is>
          <t>End-to-end life cycle</t>
        </is>
      </c>
      <c r="C410" s="19" t="inlineStr">
        <is>
          <t>Life cycle step 13: commission payout</t>
        </is>
      </c>
      <c r="D410" s="19" t="inlineStr">
        <is>
          <t>Pass</t>
        </is>
      </c>
      <c r="E410" s="19" t="inlineStr">
        <is>
          <t>backend/test/commission.test.js</t>
        </is>
      </c>
      <c r="F410" s="19" t="inlineStr">
        <is>
          <t>approval is maker-checker; approved lines post the accrual and can be bulk-disbursed and paid</t>
        </is>
      </c>
      <c r="G410" s="19" t="inlineStr">
        <is>
          <t>Money: remittances, commission, petty cash</t>
        </is>
      </c>
      <c r="H410" s="19" t="inlineStr">
        <is>
          <t>27 passed, 0 failed</t>
        </is>
      </c>
      <c r="I410" s="19" t="inlineStr"/>
      <c r="J410" s="19" t="inlineStr"/>
    </row>
    <row r="411">
      <c r="A411" s="19" t="inlineStr">
        <is>
          <t>BV-E2E-014</t>
        </is>
      </c>
      <c r="B411" s="19" t="inlineStr">
        <is>
          <t>End-to-end life cycle</t>
        </is>
      </c>
      <c r="C411" s="19" t="inlineStr">
        <is>
          <t>Life cycle step 14: remittance</t>
        </is>
      </c>
      <c r="D411" s="19" t="inlineStr">
        <is>
          <t>Pass</t>
        </is>
      </c>
      <c r="E411" s="19" t="inlineStr">
        <is>
          <t>backend/test/remittance.test.js</t>
        </is>
      </c>
      <c r="F411" s="19" t="inlineStr">
        <is>
          <t>an approved settlement raises the insurer payment voucher for the collected premium</t>
        </is>
      </c>
      <c r="G411" s="19" t="inlineStr">
        <is>
          <t>Money: remittances, commission, petty cash</t>
        </is>
      </c>
      <c r="H411" s="19" t="inlineStr">
        <is>
          <t>27 passed, 0 failed</t>
        </is>
      </c>
      <c r="I411" s="19" t="inlineStr"/>
      <c r="J411" s="19" t="inlineStr"/>
    </row>
    <row r="412">
      <c r="A412" s="19" t="inlineStr">
        <is>
          <t>BV-E2E-015</t>
        </is>
      </c>
      <c r="B412" s="19" t="inlineStr">
        <is>
          <t>End-to-end life cycle</t>
        </is>
      </c>
      <c r="C412" s="19" t="inlineStr">
        <is>
          <t>Life cycle step 15: endorsement</t>
        </is>
      </c>
      <c r="D412" s="19" t="inlineStr">
        <is>
          <t>Pass</t>
        </is>
      </c>
      <c r="E412" s="19" t="inlineStr">
        <is>
          <t>backend/test/endorsements.test.js</t>
        </is>
      </c>
      <c r="F412" s="19" t="inlineStr">
        <is>
          <t>bills a positive delta as a new receivable with a balanced journal and a collection item, and updates the policy premium</t>
        </is>
      </c>
      <c r="G412" s="19" t="inlineStr">
        <is>
          <t>Servicing: endorsements, renewals, claims</t>
        </is>
      </c>
      <c r="H412" s="19" t="inlineStr">
        <is>
          <t>31 passed, 0 failed</t>
        </is>
      </c>
      <c r="I412" s="19" t="inlineStr"/>
      <c r="J412" s="19" t="inlineStr"/>
    </row>
    <row r="413">
      <c r="A413" s="19" t="inlineStr">
        <is>
          <t>BV-E2E-016</t>
        </is>
      </c>
      <c r="B413" s="19" t="inlineStr">
        <is>
          <t>End-to-end life cycle</t>
        </is>
      </c>
      <c r="C413" s="19" t="inlineStr">
        <is>
          <t>Life cycle step 16: claim registration</t>
        </is>
      </c>
      <c r="D413" s="19" t="inlineStr">
        <is>
          <t>Pass</t>
        </is>
      </c>
      <c r="E413" s="19" t="inlineStr">
        <is>
          <t>backend/test/claims.test.js</t>
        </is>
      </c>
      <c r="F413" s="19" t="inlineStr">
        <is>
          <t>rejects invalid registrations (validation, loss date outside the period, unpaid premium) and honours the setting</t>
        </is>
      </c>
      <c r="G413" s="19" t="inlineStr">
        <is>
          <t>Servicing: endorsements, renewals, claims</t>
        </is>
      </c>
      <c r="H413" s="19" t="inlineStr">
        <is>
          <t>31 passed, 0 failed</t>
        </is>
      </c>
      <c r="I413" s="19" t="inlineStr"/>
      <c r="J413" s="19" t="inlineStr"/>
    </row>
    <row r="414">
      <c r="A414" s="19" t="inlineStr">
        <is>
          <t>BV-E2E-017</t>
        </is>
      </c>
      <c r="B414" s="19" t="inlineStr">
        <is>
          <t>End-to-end life cycle</t>
        </is>
      </c>
      <c r="C414" s="19" t="inlineStr">
        <is>
          <t>Life cycle step 17: claim settlement</t>
        </is>
      </c>
      <c r="D414" s="19" t="inlineStr">
        <is>
          <t>Pass</t>
        </is>
      </c>
      <c r="E414" s="19" t="inlineStr">
        <is>
          <t>backend/test/claims.test.js</t>
        </is>
      </c>
      <c r="F414" s="19" t="inlineStr">
        <is>
          <t>moves through review, adjuster report, settlement maker-checker to settled and closed</t>
        </is>
      </c>
      <c r="G414" s="19" t="inlineStr">
        <is>
          <t>Servicing: endorsements, renewals, claims</t>
        </is>
      </c>
      <c r="H414" s="19" t="inlineStr">
        <is>
          <t>31 passed, 0 failed</t>
        </is>
      </c>
      <c r="I414" s="19" t="inlineStr"/>
      <c r="J414" s="19" t="inlineStr"/>
    </row>
    <row r="415">
      <c r="A415" s="19" t="inlineStr">
        <is>
          <t>BV-E2E-018</t>
        </is>
      </c>
      <c r="B415" s="19" t="inlineStr">
        <is>
          <t>End-to-end life cycle</t>
        </is>
      </c>
      <c r="C415" s="19" t="inlineStr">
        <is>
          <t>Life cycle step 18: journal voucher</t>
        </is>
      </c>
      <c r="D415" s="19" t="inlineStr">
        <is>
          <t>Pass</t>
        </is>
      </c>
      <c r="E415" s="19" t="inlineStr">
        <is>
          <t>backend/test/journal.test.js</t>
        </is>
      </c>
      <c r="F415" s="19" t="inlineStr">
        <is>
          <t>maker creates a voucher for approval; maker cannot approve; checker approves and it posts</t>
        </is>
      </c>
      <c r="G415" s="19" t="inlineStr">
        <is>
          <t>Reconciliation: bank and insurer statements</t>
        </is>
      </c>
      <c r="H415" s="19" t="inlineStr">
        <is>
          <t>10 passed, 0 failed</t>
        </is>
      </c>
      <c r="I415" s="19" t="inlineStr"/>
      <c r="J415" s="19" t="inlineStr"/>
    </row>
    <row r="416">
      <c r="A416" s="19" t="inlineStr">
        <is>
          <t>BV-E2E-019</t>
        </is>
      </c>
      <c r="B416" s="19" t="inlineStr">
        <is>
          <t>End-to-end life cycle</t>
        </is>
      </c>
      <c r="C416" s="19" t="inlineStr">
        <is>
          <t>Life cycle step 19: scheduled jobs</t>
        </is>
      </c>
      <c r="D416" s="19" t="inlineStr">
        <is>
          <t>Pass</t>
        </is>
      </c>
      <c r="E416" s="19" t="inlineStr">
        <is>
          <t>backend/test/core.test.js</t>
        </is>
      </c>
      <c r="F416" s="19" t="inlineStr">
        <is>
          <t>runs a scheduled job and records the run</t>
        </is>
      </c>
      <c r="G416" s="19" t="inlineStr">
        <is>
          <t>Servicing: endorsements, renewals, claims</t>
        </is>
      </c>
      <c r="H416" s="19" t="inlineStr">
        <is>
          <t>31 passed, 0 failed</t>
        </is>
      </c>
      <c r="I416" s="19" t="inlineStr"/>
      <c r="J416" s="19" t="inlineStr"/>
    </row>
    <row r="417">
      <c r="A417" s="19" t="inlineStr">
        <is>
          <t>BV-E2E-020</t>
        </is>
      </c>
      <c r="B417" s="19" t="inlineStr">
        <is>
          <t>End-to-end life cycle</t>
        </is>
      </c>
      <c r="C417" s="19" t="inlineStr">
        <is>
          <t>Life cycle step 20: renewal</t>
        </is>
      </c>
      <c r="D417" s="19" t="inlineStr">
        <is>
          <t>Pass</t>
        </is>
      </c>
      <c r="E417" s="19" t="inlineStr">
        <is>
          <t>backend/test/renewals.test.js</t>
        </is>
      </c>
      <c r="F417" s="19" t="inlineStr">
        <is>
          <t>requires checker approval by a different user and then renews into a new policy term</t>
        </is>
      </c>
      <c r="G417" s="19" t="inlineStr">
        <is>
          <t>Servicing: endorsements, renewals, claims</t>
        </is>
      </c>
      <c r="H417" s="19" t="inlineStr">
        <is>
          <t>31 passed, 0 failed</t>
        </is>
      </c>
      <c r="I417" s="19" t="inlineStr"/>
      <c r="J417" s="19" t="inlineStr"/>
    </row>
    <row r="418">
      <c r="A418" s="19" t="inlineStr">
        <is>
          <t>BV-E2E-021</t>
        </is>
      </c>
      <c r="B418" s="19" t="inlineStr">
        <is>
          <t>End-to-end life cycle</t>
        </is>
      </c>
      <c r="C418" s="19" t="inlineStr">
        <is>
          <t>Life cycle step 21: role access</t>
        </is>
      </c>
      <c r="D418" s="19" t="inlineStr">
        <is>
          <t>Pass</t>
        </is>
      </c>
      <c r="E418" s="19" t="inlineStr">
        <is>
          <t>brokerverse/src/utils/menuPermissions.test.js
backend/test/hardening.test.js</t>
        </is>
      </c>
      <c r="F418" s="19" t="inlineStr">
        <is>
          <t>allows the role's own screens and the home route
every non-public route answers 401 without a token</t>
        </is>
      </c>
      <c r="G418" s="19" t="inlineStr"/>
      <c r="H418" s="19" t="inlineStr"/>
      <c r="I418" s="19" t="inlineStr"/>
      <c r="J418" s="19" t="inlineStr"/>
    </row>
    <row r="419">
      <c r="A419" s="19" t="inlineStr">
        <is>
          <t>BV-E2E-022</t>
        </is>
      </c>
      <c r="B419" s="19" t="inlineStr">
        <is>
          <t>End-to-end life cycle</t>
        </is>
      </c>
      <c r="C419" s="19" t="inlineStr">
        <is>
          <t>Life cycle step 22: reports</t>
        </is>
      </c>
      <c r="D419" s="19" t="inlineStr">
        <is>
          <t>Pass</t>
        </is>
      </c>
      <c r="E419" s="19" t="inlineStr">
        <is>
          <t>backend/test/reports.test.js</t>
        </is>
      </c>
      <c r="F419" s="19" t="inlineStr">
        <is>
          <t>writes CSV, XLSX and PDF files, records history and serves downloads</t>
        </is>
      </c>
      <c r="G419" s="19" t="inlineStr">
        <is>
          <t>Reports and dashboards</t>
        </is>
      </c>
      <c r="H419" s="19" t="inlineStr">
        <is>
          <t>58 passed, 0 failed</t>
        </is>
      </c>
      <c r="I419" s="19" t="inlineStr"/>
      <c r="J419" s="19" t="inlineStr"/>
    </row>
    <row r="420">
      <c r="A420" s="19" t="inlineStr">
        <is>
          <t>BV-E2E-023</t>
        </is>
      </c>
      <c r="B420" s="19" t="inlineStr">
        <is>
          <t>End-to-end life cycle</t>
        </is>
      </c>
      <c r="C420" s="19" t="inlineStr">
        <is>
          <t>Life cycle step 23: audit trail</t>
        </is>
      </c>
      <c r="D420" s="19" t="inlineStr">
        <is>
          <t>Pass</t>
        </is>
      </c>
      <c r="E420" s="19" t="inlineStr">
        <is>
          <t>backend/test/core.test.js</t>
        </is>
      </c>
      <c r="F420" s="19" t="inlineStr">
        <is>
          <t>writes an audit trail</t>
        </is>
      </c>
      <c r="G420" s="19" t="inlineStr"/>
      <c r="H420" s="19" t="inlineStr"/>
      <c r="I420" s="19" t="inlineStr"/>
      <c r="J420" s="19" t="inlineStr"/>
    </row>
    <row r="421">
      <c r="A421" s="19" t="inlineStr">
        <is>
          <t>BV-RPT-007</t>
        </is>
      </c>
      <c r="B421" s="19" t="inlineStr">
        <is>
          <t>Reports</t>
        </is>
      </c>
      <c r="C421" s="19" t="inlineStr">
        <is>
          <t>Run Production Register with every criterion and export to Excel</t>
        </is>
      </c>
      <c r="D421" s="19" t="inlineStr">
        <is>
          <t>Pass</t>
        </is>
      </c>
      <c r="E421" s="19" t="inlineStr">
        <is>
          <t>backend/test/reports.test.js
backend/test/uat-disconnects.test.js</t>
        </is>
      </c>
      <c r="F421" s="19" t="inlineStr">
        <is>
          <t>production register: rows, totals, summary, criteria groups and filters
the production register and the executive trend show a policy in the month it was issued</t>
        </is>
      </c>
      <c r="G421" s="19" t="inlineStr">
        <is>
          <t>Reports and dashboards</t>
        </is>
      </c>
      <c r="H421" s="19" t="inlineStr">
        <is>
          <t>58 passed, 0 failed</t>
        </is>
      </c>
      <c r="I421" s="19" t="inlineStr"/>
      <c r="J421" s="19" t="inlineStr"/>
    </row>
    <row r="422">
      <c r="A422" s="19" t="inlineStr">
        <is>
          <t>BV-RPT-008</t>
        </is>
      </c>
      <c r="B422" s="19" t="inlineStr">
        <is>
          <t>Reports</t>
        </is>
      </c>
      <c r="C422" s="19" t="inlineStr">
        <is>
          <t>Run Claims Position with every criterion and export to Excel</t>
        </is>
      </c>
      <c r="D422" s="19" t="inlineStr">
        <is>
          <t>Pass</t>
        </is>
      </c>
      <c r="E422" s="19" t="inlineStr">
        <is>
          <t>backend/test/reports.test.js</t>
        </is>
      </c>
      <c r="F422" s="19" t="inlineStr">
        <is>
          <t>claims position by criteria</t>
        </is>
      </c>
      <c r="G422" s="19" t="inlineStr">
        <is>
          <t>Reports and dashboards</t>
        </is>
      </c>
      <c r="H422" s="19" t="inlineStr">
        <is>
          <t>58 passed, 0 failed</t>
        </is>
      </c>
      <c r="I422" s="19" t="inlineStr"/>
      <c r="J422" s="19" t="inlineStr"/>
    </row>
    <row r="423">
      <c r="A423" s="19" t="inlineStr">
        <is>
          <t>BV-RPT-009</t>
        </is>
      </c>
      <c r="B423" s="19" t="inlineStr">
        <is>
          <t>Reports</t>
        </is>
      </c>
      <c r="C423" s="19" t="inlineStr">
        <is>
          <t>Run Renewal Retention with every criterion and export to Excel</t>
        </is>
      </c>
      <c r="D423" s="19" t="inlineStr">
        <is>
          <t>Pass</t>
        </is>
      </c>
      <c r="E423" s="19" t="inlineStr">
        <is>
          <t>backend/test/reports.test.js</t>
        </is>
      </c>
      <c r="F423" s="19" t="inlineStr">
        <is>
          <t>renewal retention, commission statement and remittance summary</t>
        </is>
      </c>
      <c r="G423" s="19" t="inlineStr">
        <is>
          <t>Reports and dashboards</t>
        </is>
      </c>
      <c r="H423" s="19" t="inlineStr">
        <is>
          <t>58 passed, 0 failed</t>
        </is>
      </c>
      <c r="I423" s="19" t="inlineStr"/>
      <c r="J423" s="19" t="inlineStr"/>
    </row>
    <row r="424">
      <c r="A424" s="19" t="inlineStr">
        <is>
          <t>BV-RPT-010</t>
        </is>
      </c>
      <c r="B424" s="19" t="inlineStr">
        <is>
          <t>Reports</t>
        </is>
      </c>
      <c r="C424" s="19" t="inlineStr">
        <is>
          <t>Run Remittance Summary with every criterion and export to Excel</t>
        </is>
      </c>
      <c r="D424" s="19" t="inlineStr">
        <is>
          <t>Pass</t>
        </is>
      </c>
      <c r="E424" s="19" t="inlineStr">
        <is>
          <t>backend/test/reports.test.js</t>
        </is>
      </c>
      <c r="F424" s="19" t="inlineStr">
        <is>
          <t>renewal retention, commission statement and remittance summary</t>
        </is>
      </c>
      <c r="G424" s="19" t="inlineStr">
        <is>
          <t>Reports and dashboards</t>
        </is>
      </c>
      <c r="H424" s="19" t="inlineStr">
        <is>
          <t>58 passed, 0 failed</t>
        </is>
      </c>
      <c r="I424" s="19" t="inlineStr"/>
      <c r="J424" s="19" t="inlineStr"/>
    </row>
    <row r="425">
      <c r="A425" s="19" t="inlineStr">
        <is>
          <t>BV-RPT-011</t>
        </is>
      </c>
      <c r="B425" s="19" t="inlineStr">
        <is>
          <t>Reports</t>
        </is>
      </c>
      <c r="C425" s="19" t="inlineStr">
        <is>
          <t>Run Broker Commission Statement with every criterion and export to Excel</t>
        </is>
      </c>
      <c r="D425" s="19" t="inlineStr">
        <is>
          <t>Pass</t>
        </is>
      </c>
      <c r="E425" s="19" t="inlineStr">
        <is>
          <t>backend/test/reports.test.js</t>
        </is>
      </c>
      <c r="F425" s="19" t="inlineStr">
        <is>
          <t>renewal retention, commission statement and remittance summary</t>
        </is>
      </c>
      <c r="G425" s="19" t="inlineStr">
        <is>
          <t>Reports and dashboards</t>
        </is>
      </c>
      <c r="H425" s="19" t="inlineStr">
        <is>
          <t>58 passed, 0 failed</t>
        </is>
      </c>
      <c r="I425" s="19" t="inlineStr"/>
      <c r="J425" s="19" t="inlineStr"/>
    </row>
    <row r="426">
      <c r="A426" s="19" t="inlineStr">
        <is>
          <t>BV-RPT-012</t>
        </is>
      </c>
      <c r="B426" s="19" t="inlineStr">
        <is>
          <t>Reports</t>
        </is>
      </c>
      <c r="C426" s="19" t="inlineStr">
        <is>
          <t>Run Premium by Product / Month / Insurer with every criterion and export to Excel</t>
        </is>
      </c>
      <c r="D426" s="19" t="inlineStr">
        <is>
          <t>Pass</t>
        </is>
      </c>
      <c r="E426" s="19" t="inlineStr">
        <is>
          <t>backend/test/reports.test.js</t>
        </is>
      </c>
      <c r="F426" s="19" t="inlineStr">
        <is>
          <t>aggregate reports: premium by product/month, new vs renewal, lead funnel, cessions, incentives</t>
        </is>
      </c>
      <c r="G426" s="19" t="inlineStr">
        <is>
          <t>Reports and dashboards</t>
        </is>
      </c>
      <c r="H426" s="19" t="inlineStr">
        <is>
          <t>58 passed, 0 failed</t>
        </is>
      </c>
      <c r="I426" s="19" t="inlineStr"/>
      <c r="J426" s="19" t="inlineStr"/>
    </row>
    <row r="427">
      <c r="A427" s="19" t="inlineStr">
        <is>
          <t>BV-RPT-013</t>
        </is>
      </c>
      <c r="B427" s="19" t="inlineStr">
        <is>
          <t>Reports</t>
        </is>
      </c>
      <c r="C427" s="19" t="inlineStr">
        <is>
          <t>Run New Business vs Renewals with every criterion and export to Excel</t>
        </is>
      </c>
      <c r="D427" s="19" t="inlineStr">
        <is>
          <t>Pass</t>
        </is>
      </c>
      <c r="E427" s="19" t="inlineStr">
        <is>
          <t>backend/test/reports.test.js</t>
        </is>
      </c>
      <c r="F427" s="19" t="inlineStr">
        <is>
          <t>aggregate reports: premium by product/month, new vs renewal, lead funnel, cessions, incentives</t>
        </is>
      </c>
      <c r="G427" s="19" t="inlineStr">
        <is>
          <t>Reports and dashboards</t>
        </is>
      </c>
      <c r="H427" s="19" t="inlineStr">
        <is>
          <t>58 passed, 0 failed</t>
        </is>
      </c>
      <c r="I427" s="19" t="inlineStr"/>
      <c r="J427" s="19" t="inlineStr"/>
    </row>
    <row r="428">
      <c r="A428" s="19" t="inlineStr">
        <is>
          <t>BV-RPT-014</t>
        </is>
      </c>
      <c r="B428" s="19" t="inlineStr">
        <is>
          <t>Reports</t>
        </is>
      </c>
      <c r="C428" s="19" t="inlineStr">
        <is>
          <t>Run Claims Ageing with every criterion and export to Excel</t>
        </is>
      </c>
      <c r="D428" s="19" t="inlineStr">
        <is>
          <t>Pass</t>
        </is>
      </c>
      <c r="E428" s="19" t="inlineStr"/>
      <c r="F428" s="19" t="inlineStr"/>
      <c r="G428" s="19" t="inlineStr">
        <is>
          <t>Reports and dashboards</t>
        </is>
      </c>
      <c r="H428" s="19" t="inlineStr">
        <is>
          <t>58 passed, 0 failed</t>
        </is>
      </c>
      <c r="I428" s="19" t="inlineStr"/>
      <c r="J428" s="19" t="inlineStr"/>
    </row>
    <row r="429">
      <c r="A429" s="19" t="inlineStr">
        <is>
          <t>BV-RPT-015</t>
        </is>
      </c>
      <c r="B429" s="19" t="inlineStr">
        <is>
          <t>Reports</t>
        </is>
      </c>
      <c r="C429" s="19" t="inlineStr">
        <is>
          <t>Run Lead Conversion Funnel with every criterion and export to Excel</t>
        </is>
      </c>
      <c r="D429" s="19" t="inlineStr">
        <is>
          <t>Pass</t>
        </is>
      </c>
      <c r="E429" s="19" t="inlineStr">
        <is>
          <t>backend/test/reports.test.js</t>
        </is>
      </c>
      <c r="F429" s="19" t="inlineStr">
        <is>
          <t>aggregate reports: premium by product/month, new vs renewal, lead funnel, cessions, incentives</t>
        </is>
      </c>
      <c r="G429" s="19" t="inlineStr">
        <is>
          <t>Reports and dashboards</t>
        </is>
      </c>
      <c r="H429" s="19" t="inlineStr">
        <is>
          <t>58 passed, 0 failed</t>
        </is>
      </c>
      <c r="I429" s="19" t="inlineStr"/>
      <c r="J429" s="19" t="inlineStr"/>
    </row>
    <row r="430">
      <c r="A430" s="19" t="inlineStr">
        <is>
          <t>BV-RPT-016</t>
        </is>
      </c>
      <c r="B430" s="19" t="inlineStr">
        <is>
          <t>Reports</t>
        </is>
      </c>
      <c r="C430" s="19" t="inlineStr">
        <is>
          <t>Run Placement Pipeline with every criterion and export to Excel</t>
        </is>
      </c>
      <c r="D430" s="19" t="inlineStr">
        <is>
          <t>Pass</t>
        </is>
      </c>
      <c r="E430" s="19" t="inlineStr">
        <is>
          <t>backend/test/placement.test.js</t>
        </is>
      </c>
      <c r="F430" s="19" t="inlineStr">
        <is>
          <t>runs the Placement Pipeline and Market Response reports</t>
        </is>
      </c>
      <c r="G430" s="19" t="inlineStr">
        <is>
          <t>Reports and dashboards</t>
        </is>
      </c>
      <c r="H430" s="19" t="inlineStr">
        <is>
          <t>58 passed, 0 failed</t>
        </is>
      </c>
      <c r="I430" s="19" t="inlineStr"/>
      <c r="J430" s="19" t="inlineStr"/>
    </row>
    <row r="431">
      <c r="A431" s="19" t="inlineStr">
        <is>
          <t>BV-RPT-017</t>
        </is>
      </c>
      <c r="B431" s="19" t="inlineStr">
        <is>
          <t>Reports</t>
        </is>
      </c>
      <c r="C431" s="19" t="inlineStr">
        <is>
          <t>Run Market Response with every criterion and export to Excel</t>
        </is>
      </c>
      <c r="D431" s="19" t="inlineStr">
        <is>
          <t>Pass</t>
        </is>
      </c>
      <c r="E431" s="19" t="inlineStr">
        <is>
          <t>backend/test/placement.test.js</t>
        </is>
      </c>
      <c r="F431" s="19" t="inlineStr">
        <is>
          <t>runs the Placement Pipeline and Market Response reports</t>
        </is>
      </c>
      <c r="G431" s="19" t="inlineStr">
        <is>
          <t>Reports and dashboards</t>
        </is>
      </c>
      <c r="H431" s="19" t="inlineStr">
        <is>
          <t>58 passed, 0 failed</t>
        </is>
      </c>
      <c r="I431" s="19" t="inlineStr"/>
      <c r="J431" s="19" t="inlineStr"/>
    </row>
    <row r="432">
      <c r="A432" s="19" t="inlineStr">
        <is>
          <t>BV-RPT-018</t>
        </is>
      </c>
      <c r="B432" s="19" t="inlineStr">
        <is>
          <t>Reports</t>
        </is>
      </c>
      <c r="C432" s="19" t="inlineStr">
        <is>
          <t>Run Reinsurance Cession Register with every criterion and export to Excel</t>
        </is>
      </c>
      <c r="D432" s="19" t="inlineStr">
        <is>
          <t>Pass</t>
        </is>
      </c>
      <c r="E432" s="19" t="inlineStr">
        <is>
          <t>backend/test/reports.test.js</t>
        </is>
      </c>
      <c r="F432" s="19" t="inlineStr">
        <is>
          <t>aggregate reports: premium by product/month, new vs renewal, lead funnel, cessions, incentives</t>
        </is>
      </c>
      <c r="G432" s="19" t="inlineStr">
        <is>
          <t>Reports and dashboards</t>
        </is>
      </c>
      <c r="H432" s="19" t="inlineStr">
        <is>
          <t>58 passed, 0 failed</t>
        </is>
      </c>
      <c r="I432" s="19" t="inlineStr"/>
      <c r="J432" s="19" t="inlineStr"/>
    </row>
    <row r="433">
      <c r="A433" s="19" t="inlineStr">
        <is>
          <t>BV-RPT-019</t>
        </is>
      </c>
      <c r="B433" s="19" t="inlineStr">
        <is>
          <t>Reports</t>
        </is>
      </c>
      <c r="C433" s="19" t="inlineStr">
        <is>
          <t>Run Co-insurance Register with every criterion and export to Excel</t>
        </is>
      </c>
      <c r="D433" s="19" t="inlineStr">
        <is>
          <t>Pass</t>
        </is>
      </c>
      <c r="E433" s="19" t="inlineStr">
        <is>
          <t>backend/test/posting-rules.test.js</t>
        </is>
      </c>
      <c r="F433" s="19" t="inlineStr">
        <is>
          <t>reports: Co-insurance Register and Due to Insurers by Co-insurer</t>
        </is>
      </c>
      <c r="G433" s="19" t="inlineStr">
        <is>
          <t>Reports and dashboards</t>
        </is>
      </c>
      <c r="H433" s="19" t="inlineStr">
        <is>
          <t>58 passed, 0 failed</t>
        </is>
      </c>
      <c r="I433" s="19" t="inlineStr"/>
      <c r="J433" s="19" t="inlineStr"/>
    </row>
    <row r="434">
      <c r="A434" s="19" t="inlineStr">
        <is>
          <t>BV-RPT-020</t>
        </is>
      </c>
      <c r="B434" s="19" t="inlineStr">
        <is>
          <t>Reports</t>
        </is>
      </c>
      <c r="C434" s="19" t="inlineStr">
        <is>
          <t>Run SOA / Premium Receivable with every criterion and export to Excel</t>
        </is>
      </c>
      <c r="D434" s="19" t="inlineStr">
        <is>
          <t>Pass</t>
        </is>
      </c>
      <c r="E434" s="19" t="inlineStr">
        <is>
          <t>backend/test/reports.test.js</t>
        </is>
      </c>
      <c r="F434" s="19" t="inlineStr">
        <is>
          <t>receivables, collections, receipts and disbursements</t>
        </is>
      </c>
      <c r="G434" s="19" t="inlineStr">
        <is>
          <t>Reports and dashboards</t>
        </is>
      </c>
      <c r="H434" s="19" t="inlineStr">
        <is>
          <t>58 passed, 0 failed</t>
        </is>
      </c>
      <c r="I434" s="19" t="inlineStr"/>
      <c r="J434" s="19" t="inlineStr"/>
    </row>
    <row r="435">
      <c r="A435" s="19" t="inlineStr">
        <is>
          <t>BV-RPT-021</t>
        </is>
      </c>
      <c r="B435" s="19" t="inlineStr">
        <is>
          <t>Reports</t>
        </is>
      </c>
      <c r="C435" s="19" t="inlineStr">
        <is>
          <t>Run Collection Report with every criterion and export to Excel</t>
        </is>
      </c>
      <c r="D435" s="19" t="inlineStr">
        <is>
          <t>Pass</t>
        </is>
      </c>
      <c r="E435" s="19" t="inlineStr">
        <is>
          <t>backend/test/reports.test.js</t>
        </is>
      </c>
      <c r="F435" s="19" t="inlineStr">
        <is>
          <t>receivables, collections, receipts and disbursements</t>
        </is>
      </c>
      <c r="G435" s="19" t="inlineStr">
        <is>
          <t>Reports and dashboards</t>
        </is>
      </c>
      <c r="H435" s="19" t="inlineStr">
        <is>
          <t>58 passed, 0 failed</t>
        </is>
      </c>
      <c r="I435" s="19" t="inlineStr"/>
      <c r="J435" s="19" t="inlineStr"/>
    </row>
    <row r="436">
      <c r="A436" s="19" t="inlineStr">
        <is>
          <t>BV-RPT-022</t>
        </is>
      </c>
      <c r="B436" s="19" t="inlineStr">
        <is>
          <t>Reports</t>
        </is>
      </c>
      <c r="C436" s="19" t="inlineStr">
        <is>
          <t>Run Receivables Ageing with every criterion and export to Excel</t>
        </is>
      </c>
      <c r="D436" s="19" t="inlineStr">
        <is>
          <t>Pass</t>
        </is>
      </c>
      <c r="E436" s="19" t="inlineStr">
        <is>
          <t>backend/test/reports.test.js</t>
        </is>
      </c>
      <c r="F436" s="19" t="inlineStr">
        <is>
          <t>receivables, collections, receipts and disbursements</t>
        </is>
      </c>
      <c r="G436" s="19" t="inlineStr">
        <is>
          <t>Reports and dashboards</t>
        </is>
      </c>
      <c r="H436" s="19" t="inlineStr">
        <is>
          <t>58 passed, 0 failed</t>
        </is>
      </c>
      <c r="I436" s="19" t="inlineStr"/>
      <c r="J436" s="19" t="inlineStr"/>
    </row>
    <row r="437">
      <c r="A437" s="19" t="inlineStr">
        <is>
          <t>BV-RPT-023</t>
        </is>
      </c>
      <c r="B437" s="19" t="inlineStr">
        <is>
          <t>Reports</t>
        </is>
      </c>
      <c r="C437" s="19" t="inlineStr">
        <is>
          <t>Run Commission Receivable - Direct Bill with every criterion and export to Excel</t>
        </is>
      </c>
      <c r="D437" s="19" t="inlineStr">
        <is>
          <t>Pass</t>
        </is>
      </c>
      <c r="E437" s="19" t="inlineStr">
        <is>
          <t>backend/test/direct-bill.test.js</t>
        </is>
      </c>
      <c r="F437" s="19" t="inlineStr">
        <is>
          <t>commission receivable report and trial balance show it as due from the insurer</t>
        </is>
      </c>
      <c r="G437" s="19" t="inlineStr">
        <is>
          <t>Reports and dashboards</t>
        </is>
      </c>
      <c r="H437" s="19" t="inlineStr">
        <is>
          <t>58 passed, 0 failed</t>
        </is>
      </c>
      <c r="I437" s="19" t="inlineStr"/>
      <c r="J437" s="19" t="inlineStr"/>
    </row>
    <row r="438">
      <c r="A438" s="19" t="inlineStr">
        <is>
          <t>BV-RPT-024</t>
        </is>
      </c>
      <c r="B438" s="19" t="inlineStr">
        <is>
          <t>Reports</t>
        </is>
      </c>
      <c r="C438" s="19" t="inlineStr">
        <is>
          <t>Run Receipts Register with every criterion and export to Excel</t>
        </is>
      </c>
      <c r="D438" s="19" t="inlineStr">
        <is>
          <t>Pass</t>
        </is>
      </c>
      <c r="E438" s="19" t="inlineStr">
        <is>
          <t>backend/test/reports.test.js</t>
        </is>
      </c>
      <c r="F438" s="19" t="inlineStr">
        <is>
          <t>receivables, collections, receipts and disbursements</t>
        </is>
      </c>
      <c r="G438" s="19" t="inlineStr">
        <is>
          <t>Reports and dashboards</t>
        </is>
      </c>
      <c r="H438" s="19" t="inlineStr">
        <is>
          <t>58 passed, 0 failed</t>
        </is>
      </c>
      <c r="I438" s="19" t="inlineStr"/>
      <c r="J438" s="19" t="inlineStr"/>
    </row>
    <row r="439">
      <c r="A439" s="19" t="inlineStr">
        <is>
          <t>BV-RPT-025</t>
        </is>
      </c>
      <c r="B439" s="19" t="inlineStr">
        <is>
          <t>Reports</t>
        </is>
      </c>
      <c r="C439" s="19" t="inlineStr">
        <is>
          <t>Run Payables / Disbursement Register with every criterion and export to Excel</t>
        </is>
      </c>
      <c r="D439" s="19" t="inlineStr">
        <is>
          <t>Pass</t>
        </is>
      </c>
      <c r="E439" s="19" t="inlineStr">
        <is>
          <t>backend/test/reports.test.js</t>
        </is>
      </c>
      <c r="F439" s="19" t="inlineStr">
        <is>
          <t>receivables, collections, receipts and disbursements</t>
        </is>
      </c>
      <c r="G439" s="19" t="inlineStr">
        <is>
          <t>Reports and dashboards</t>
        </is>
      </c>
      <c r="H439" s="19" t="inlineStr">
        <is>
          <t>58 passed, 0 failed</t>
        </is>
      </c>
      <c r="I439" s="19" t="inlineStr"/>
      <c r="J439" s="19" t="inlineStr"/>
    </row>
    <row r="440">
      <c r="A440" s="19" t="inlineStr">
        <is>
          <t>BV-RPT-026</t>
        </is>
      </c>
      <c r="B440" s="19" t="inlineStr">
        <is>
          <t>Reports</t>
        </is>
      </c>
      <c r="C440" s="19" t="inlineStr">
        <is>
          <t>Run Journal Register with every criterion and export to Excel</t>
        </is>
      </c>
      <c r="D440" s="19" t="inlineStr">
        <is>
          <t>Pass</t>
        </is>
      </c>
      <c r="E440" s="19" t="inlineStr">
        <is>
          <t>backend/test/reports.test.js</t>
        </is>
      </c>
      <c r="F440" s="19" t="inlineStr">
        <is>
          <t>journal register and a balanced trial balance from approved/posted vouchers only</t>
        </is>
      </c>
      <c r="G440" s="19" t="inlineStr">
        <is>
          <t>Reports and dashboards</t>
        </is>
      </c>
      <c r="H440" s="19" t="inlineStr">
        <is>
          <t>58 passed, 0 failed</t>
        </is>
      </c>
      <c r="I440" s="19" t="inlineStr"/>
      <c r="J440" s="19" t="inlineStr"/>
    </row>
    <row r="441">
      <c r="A441" s="19" t="inlineStr">
        <is>
          <t>BV-RPT-027</t>
        </is>
      </c>
      <c r="B441" s="19" t="inlineStr">
        <is>
          <t>Reports</t>
        </is>
      </c>
      <c r="C441" s="19" t="inlineStr">
        <is>
          <t>Run Trial Balance with every criterion and export to Excel</t>
        </is>
      </c>
      <c r="D441" s="19" t="inlineStr">
        <is>
          <t>Pass</t>
        </is>
      </c>
      <c r="E441" s="19" t="inlineStr">
        <is>
          <t>backend/test/reports.test.js</t>
        </is>
      </c>
      <c r="F441" s="19" t="inlineStr">
        <is>
          <t>journal register and a balanced trial balance from approved/posted vouchers only</t>
        </is>
      </c>
      <c r="G441" s="19" t="inlineStr">
        <is>
          <t>Reports and dashboards</t>
        </is>
      </c>
      <c r="H441" s="19" t="inlineStr">
        <is>
          <t>58 passed, 0 failed</t>
        </is>
      </c>
      <c r="I441" s="19" t="inlineStr"/>
      <c r="J441" s="19" t="inlineStr"/>
    </row>
    <row r="442">
      <c r="A442" s="19" t="inlineStr">
        <is>
          <t>BV-RPT-028</t>
        </is>
      </c>
      <c r="B442" s="19" t="inlineStr">
        <is>
          <t>Reports</t>
        </is>
      </c>
      <c r="C442" s="19" t="inlineStr">
        <is>
          <t>Run Incentive Results with every criterion and export to Excel</t>
        </is>
      </c>
      <c r="D442" s="19" t="inlineStr">
        <is>
          <t>Pass</t>
        </is>
      </c>
      <c r="E442" s="19" t="inlineStr">
        <is>
          <t>backend/test/reports.test.js</t>
        </is>
      </c>
      <c r="F442" s="19" t="inlineStr">
        <is>
          <t>aggregate reports: premium by product/month, new vs renewal, lead funnel, cessions, incentives</t>
        </is>
      </c>
      <c r="G442" s="19" t="inlineStr">
        <is>
          <t>Reports and dashboards</t>
        </is>
      </c>
      <c r="H442" s="19" t="inlineStr">
        <is>
          <t>58 passed, 0 failed</t>
        </is>
      </c>
      <c r="I442" s="19" t="inlineStr"/>
      <c r="J442" s="19" t="inlineStr"/>
    </row>
    <row r="443">
      <c r="A443" s="19" t="inlineStr">
        <is>
          <t>BV-RPT-029</t>
        </is>
      </c>
      <c r="B443" s="19" t="inlineStr">
        <is>
          <t>Reports</t>
        </is>
      </c>
      <c r="C443" s="19" t="inlineStr">
        <is>
          <t>Run Due to Insurers by Co-insurer with every criterion and export to Excel</t>
        </is>
      </c>
      <c r="D443" s="19" t="inlineStr">
        <is>
          <t>Pass</t>
        </is>
      </c>
      <c r="E443" s="19" t="inlineStr">
        <is>
          <t>backend/test/posting-rules.test.js</t>
        </is>
      </c>
      <c r="F443" s="19" t="inlineStr">
        <is>
          <t>reports: Co-insurance Register and Due to Insurers by Co-insurer</t>
        </is>
      </c>
      <c r="G443" s="19" t="inlineStr">
        <is>
          <t>Reports and dashboards</t>
        </is>
      </c>
      <c r="H443" s="19" t="inlineStr">
        <is>
          <t>58 passed, 0 failed</t>
        </is>
      </c>
      <c r="I443" s="19" t="inlineStr"/>
      <c r="J443" s="19" t="inlineStr"/>
    </row>
    <row r="444">
      <c r="A444" s="19" t="inlineStr">
        <is>
          <t>BV-RPT-030</t>
        </is>
      </c>
      <c r="B444" s="19" t="inlineStr">
        <is>
          <t>Reports</t>
        </is>
      </c>
      <c r="C444" s="19" t="inlineStr">
        <is>
          <t>Run Income Statement with every criterion and export to Excel</t>
        </is>
      </c>
      <c r="D444" s="19" t="inlineStr">
        <is>
          <t>Pass</t>
        </is>
      </c>
      <c r="E444" s="19" t="inlineStr">
        <is>
          <t>backend/test/period-end.test.js</t>
        </is>
      </c>
      <c r="F444" s="19" t="inlineStr">
        <is>
          <t>income statement net income = trial balance P&amp;L; the balance sheet balances</t>
        </is>
      </c>
      <c r="G444" s="19" t="inlineStr">
        <is>
          <t>Reports and dashboards</t>
        </is>
      </c>
      <c r="H444" s="19" t="inlineStr">
        <is>
          <t>58 passed, 0 failed</t>
        </is>
      </c>
      <c r="I444" s="19" t="inlineStr"/>
      <c r="J444" s="19" t="inlineStr"/>
    </row>
    <row r="445">
      <c r="A445" s="19" t="inlineStr">
        <is>
          <t>BV-RPT-031</t>
        </is>
      </c>
      <c r="B445" s="19" t="inlineStr">
        <is>
          <t>Reports</t>
        </is>
      </c>
      <c r="C445" s="19" t="inlineStr">
        <is>
          <t>Run Balance Sheet with every criterion and export to Excel</t>
        </is>
      </c>
      <c r="D445" s="19" t="inlineStr">
        <is>
          <t>Pass</t>
        </is>
      </c>
      <c r="E445" s="19" t="inlineStr">
        <is>
          <t>backend/test/period-end.test.js</t>
        </is>
      </c>
      <c r="F445" s="19" t="inlineStr">
        <is>
          <t>income statement net income = trial balance P&amp;L; the balance sheet balances</t>
        </is>
      </c>
      <c r="G445" s="19" t="inlineStr">
        <is>
          <t>Reports and dashboards</t>
        </is>
      </c>
      <c r="H445" s="19" t="inlineStr">
        <is>
          <t>58 passed, 0 failed</t>
        </is>
      </c>
      <c r="I445" s="19" t="inlineStr"/>
      <c r="J445" s="19" t="inlineStr"/>
    </row>
    <row r="446">
      <c r="A446" s="19" t="inlineStr">
        <is>
          <t>BV-RPT-032</t>
        </is>
      </c>
      <c r="B446" s="19" t="inlineStr">
        <is>
          <t>Reports</t>
        </is>
      </c>
      <c r="C446" s="19" t="inlineStr">
        <is>
          <t>Run Trial Balance (Opening / Movement / Closing) with every criterion and export to Excel</t>
        </is>
      </c>
      <c r="D446" s="19" t="inlineStr">
        <is>
          <t>Pass</t>
        </is>
      </c>
      <c r="E446" s="19" t="inlineStr"/>
      <c r="F446" s="19" t="inlineStr"/>
      <c r="G446" s="19" t="inlineStr">
        <is>
          <t>Reports and dashboards</t>
        </is>
      </c>
      <c r="H446" s="19" t="inlineStr">
        <is>
          <t>58 passed, 0 failed</t>
        </is>
      </c>
      <c r="I446" s="19" t="inlineStr"/>
      <c r="J446" s="19" t="inlineStr"/>
    </row>
    <row r="447">
      <c r="A447" s="19" t="inlineStr">
        <is>
          <t>BV-RPT-033</t>
        </is>
      </c>
      <c r="B447" s="19" t="inlineStr">
        <is>
          <t>Reports</t>
        </is>
      </c>
      <c r="C447" s="19" t="inlineStr">
        <is>
          <t>Run General Ledger Detail with every criterion and export to Excel</t>
        </is>
      </c>
      <c r="D447" s="19" t="inlineStr">
        <is>
          <t>Pass</t>
        </is>
      </c>
      <c r="E447" s="19" t="inlineStr"/>
      <c r="F447" s="19" t="inlineStr"/>
      <c r="G447" s="19" t="inlineStr">
        <is>
          <t>Reports and dashboards</t>
        </is>
      </c>
      <c r="H447" s="19" t="inlineStr">
        <is>
          <t>58 passed, 0 failed</t>
        </is>
      </c>
      <c r="I447" s="19" t="inlineStr"/>
      <c r="J447" s="19" t="inlineStr"/>
    </row>
    <row r="448">
      <c r="A448" s="19" t="inlineStr">
        <is>
          <t>BV-RPT-034</t>
        </is>
      </c>
      <c r="B448" s="19" t="inlineStr">
        <is>
          <t>Reports</t>
        </is>
      </c>
      <c r="C448" s="19" t="inlineStr">
        <is>
          <t>Run Aged Payables to Insurers with every criterion and export to Excel</t>
        </is>
      </c>
      <c r="D448" s="19" t="inlineStr">
        <is>
          <t>Pass</t>
        </is>
      </c>
      <c r="E448" s="19" t="inlineStr"/>
      <c r="F448" s="19" t="inlineStr"/>
      <c r="G448" s="19" t="inlineStr">
        <is>
          <t>Reports and dashboards</t>
        </is>
      </c>
      <c r="H448" s="19" t="inlineStr">
        <is>
          <t>58 passed, 0 failed</t>
        </is>
      </c>
      <c r="I448" s="19" t="inlineStr"/>
      <c r="J448" s="19" t="inlineStr"/>
    </row>
    <row r="449">
      <c r="A449" s="19" t="inlineStr">
        <is>
          <t>BV-RPT-035</t>
        </is>
      </c>
      <c r="B449" s="19" t="inlineStr">
        <is>
          <t>Reports</t>
        </is>
      </c>
      <c r="C449" s="19" t="inlineStr">
        <is>
          <t>Run Month-End Close Status with every criterion and export to Excel</t>
        </is>
      </c>
      <c r="D449" s="19" t="inlineStr">
        <is>
          <t>Pass</t>
        </is>
      </c>
      <c r="E449" s="19" t="inlineStr"/>
      <c r="F449" s="19" t="inlineStr"/>
      <c r="G449" s="19" t="inlineStr">
        <is>
          <t>Reports and dashboards</t>
        </is>
      </c>
      <c r="H449" s="19" t="inlineStr">
        <is>
          <t>58 passed, 0 failed</t>
        </is>
      </c>
      <c r="I449" s="19" t="inlineStr"/>
      <c r="J449" s="19" t="inlineStr"/>
    </row>
    <row r="450">
      <c r="A450" s="19" t="inlineStr">
        <is>
          <t>BV-RPT-036</t>
        </is>
      </c>
      <c r="B450" s="19" t="inlineStr">
        <is>
          <t>Reports</t>
        </is>
      </c>
      <c r="C450" s="19" t="inlineStr">
        <is>
          <t>Run VAT Summary with every criterion and export to Excel</t>
        </is>
      </c>
      <c r="D450" s="19" t="inlineStr">
        <is>
          <t>Pass</t>
        </is>
      </c>
      <c r="E450" s="19" t="inlineStr"/>
      <c r="F450" s="19" t="inlineStr"/>
      <c r="G450" s="19" t="inlineStr">
        <is>
          <t>Reports and dashboards</t>
        </is>
      </c>
      <c r="H450" s="19" t="inlineStr">
        <is>
          <t>58 passed, 0 failed</t>
        </is>
      </c>
      <c r="I450" s="19" t="inlineStr"/>
      <c r="J450" s="19" t="inlineStr"/>
    </row>
    <row r="451">
      <c r="A451" s="19" t="inlineStr">
        <is>
          <t>BV-RPT-037</t>
        </is>
      </c>
      <c r="B451" s="19" t="inlineStr">
        <is>
          <t>Reports</t>
        </is>
      </c>
      <c r="C451" s="19" t="inlineStr">
        <is>
          <t>Run SAWT - Summary Alphalist of Withholding Taxes with every criterion and export to Excel</t>
        </is>
      </c>
      <c r="D451" s="19" t="inlineStr">
        <is>
          <t>Pass</t>
        </is>
      </c>
      <c r="E451" s="19" t="inlineStr"/>
      <c r="F451" s="19" t="inlineStr"/>
      <c r="G451" s="19" t="inlineStr">
        <is>
          <t>Reports and dashboards</t>
        </is>
      </c>
      <c r="H451" s="19" t="inlineStr">
        <is>
          <t>58 passed, 0 failed</t>
        </is>
      </c>
      <c r="I451" s="19" t="inlineStr"/>
      <c r="J451" s="19" t="inlineStr"/>
    </row>
    <row r="452">
      <c r="A452" s="19" t="inlineStr">
        <is>
          <t>BV-RPT-038</t>
        </is>
      </c>
      <c r="B452" s="19" t="inlineStr">
        <is>
          <t>Reports</t>
        </is>
      </c>
      <c r="C452" s="19" t="inlineStr">
        <is>
          <t>Run QAP - Quarterly Alphalist of Payees with every criterion and export to Excel</t>
        </is>
      </c>
      <c r="D452" s="19" t="inlineStr">
        <is>
          <t>Pass</t>
        </is>
      </c>
      <c r="E452" s="19" t="inlineStr"/>
      <c r="F452" s="19" t="inlineStr"/>
      <c r="G452" s="19" t="inlineStr">
        <is>
          <t>Reports and dashboards</t>
        </is>
      </c>
      <c r="H452" s="19" t="inlineStr">
        <is>
          <t>58 passed, 0 failed</t>
        </is>
      </c>
      <c r="I452" s="19" t="inlineStr"/>
      <c r="J452" s="19" t="inlineStr"/>
    </row>
    <row r="453">
      <c r="A453" s="19" t="inlineStr">
        <is>
          <t>BV-RPT-039</t>
        </is>
      </c>
      <c r="B453" s="19" t="inlineStr">
        <is>
          <t>Reports</t>
        </is>
      </c>
      <c r="C453" s="19" t="inlineStr">
        <is>
          <t>Run SLSP - Summary List of Sales with every criterion and export to Excel</t>
        </is>
      </c>
      <c r="D453" s="19" t="inlineStr">
        <is>
          <t>Pass</t>
        </is>
      </c>
      <c r="E453" s="19" t="inlineStr"/>
      <c r="F453" s="19" t="inlineStr"/>
      <c r="G453" s="19" t="inlineStr">
        <is>
          <t>Reports and dashboards</t>
        </is>
      </c>
      <c r="H453" s="19" t="inlineStr">
        <is>
          <t>58 passed, 0 failed</t>
        </is>
      </c>
      <c r="I453" s="19" t="inlineStr"/>
      <c r="J453" s="19" t="inlineStr"/>
    </row>
    <row r="454">
      <c r="A454" s="19" t="inlineStr">
        <is>
          <t>BV-RPT-040</t>
        </is>
      </c>
      <c r="B454" s="19" t="inlineStr">
        <is>
          <t>Reports</t>
        </is>
      </c>
      <c r="C454" s="19" t="inlineStr">
        <is>
          <t>Run SLSP - Summary List of Purchases with every criterion and export to Excel</t>
        </is>
      </c>
      <c r="D454" s="19" t="inlineStr">
        <is>
          <t>Pass</t>
        </is>
      </c>
      <c r="E454" s="19" t="inlineStr"/>
      <c r="F454" s="19" t="inlineStr"/>
      <c r="G454" s="19" t="inlineStr">
        <is>
          <t>Reports and dashboards</t>
        </is>
      </c>
      <c r="H454" s="19" t="inlineStr">
        <is>
          <t>58 passed, 0 failed</t>
        </is>
      </c>
      <c r="I454" s="19" t="inlineStr"/>
      <c r="J454" s="19" t="inlineStr"/>
    </row>
    <row r="455">
      <c r="A455" s="19" t="inlineStr">
        <is>
          <t>BV-RPT-041</t>
        </is>
      </c>
      <c r="B455" s="19" t="inlineStr">
        <is>
          <t>Reports</t>
        </is>
      </c>
      <c r="C455" s="19" t="inlineStr">
        <is>
          <t>Run Bank Reconciliation Statement with every criterion and export to Excel</t>
        </is>
      </c>
      <c r="D455" s="19" t="inlineStr">
        <is>
          <t>Pass</t>
        </is>
      </c>
      <c r="E455" s="19" t="inlineStr">
        <is>
          <t>backend/test/bank-reconciliation.test.js</t>
        </is>
      </c>
      <c r="F455" s="19" t="inlineStr">
        <is>
          <t>runs the bank reconciliation reports</t>
        </is>
      </c>
      <c r="G455" s="19" t="inlineStr">
        <is>
          <t>Reports and dashboards</t>
        </is>
      </c>
      <c r="H455" s="19" t="inlineStr">
        <is>
          <t>58 passed, 0 failed</t>
        </is>
      </c>
      <c r="I455" s="19" t="inlineStr"/>
      <c r="J455" s="19" t="inlineStr"/>
    </row>
    <row r="456">
      <c r="A456" s="19" t="inlineStr">
        <is>
          <t>BV-RPT-042</t>
        </is>
      </c>
      <c r="B456" s="19" t="inlineStr">
        <is>
          <t>Reports</t>
        </is>
      </c>
      <c r="C456" s="19" t="inlineStr">
        <is>
          <t>Run Outstanding Cheques with every criterion and export to Excel</t>
        </is>
      </c>
      <c r="D456" s="19" t="inlineStr">
        <is>
          <t>Pass</t>
        </is>
      </c>
      <c r="E456" s="19" t="inlineStr">
        <is>
          <t>backend/test/bank-reconciliation.test.js</t>
        </is>
      </c>
      <c r="F456" s="19" t="inlineStr">
        <is>
          <t>runs the bank reconciliation reports</t>
        </is>
      </c>
      <c r="G456" s="19" t="inlineStr">
        <is>
          <t>Reports and dashboards</t>
        </is>
      </c>
      <c r="H456" s="19" t="inlineStr">
        <is>
          <t>58 passed, 0 failed</t>
        </is>
      </c>
      <c r="I456" s="19" t="inlineStr"/>
      <c r="J456" s="19" t="inlineStr"/>
    </row>
    <row r="457">
      <c r="A457" s="19" t="inlineStr">
        <is>
          <t>BV-RPT-043</t>
        </is>
      </c>
      <c r="B457" s="19" t="inlineStr">
        <is>
          <t>Reports</t>
        </is>
      </c>
      <c r="C457" s="19" t="inlineStr">
        <is>
          <t>Run Deposits in Transit with every criterion and export to Excel</t>
        </is>
      </c>
      <c r="D457" s="19" t="inlineStr">
        <is>
          <t>Pass</t>
        </is>
      </c>
      <c r="E457" s="19" t="inlineStr">
        <is>
          <t>backend/test/bank-reconciliation.test.js</t>
        </is>
      </c>
      <c r="F457" s="19" t="inlineStr">
        <is>
          <t>runs the bank reconciliation reports</t>
        </is>
      </c>
      <c r="G457" s="19" t="inlineStr">
        <is>
          <t>Reports and dashboards</t>
        </is>
      </c>
      <c r="H457" s="19" t="inlineStr">
        <is>
          <t>58 passed, 0 failed</t>
        </is>
      </c>
      <c r="I457" s="19" t="inlineStr"/>
      <c r="J457" s="19" t="inlineStr"/>
    </row>
    <row r="458">
      <c r="A458" s="19" t="inlineStr">
        <is>
          <t>BV-RPT-044</t>
        </is>
      </c>
      <c r="B458" s="19" t="inlineStr">
        <is>
          <t>Reports</t>
        </is>
      </c>
      <c r="C458" s="19" t="inlineStr">
        <is>
          <t>Run Unmatched Bank Lines with every criterion and export to Excel</t>
        </is>
      </c>
      <c r="D458" s="19" t="inlineStr">
        <is>
          <t>Pass</t>
        </is>
      </c>
      <c r="E458" s="19" t="inlineStr">
        <is>
          <t>backend/test/bank-reconciliation.test.js</t>
        </is>
      </c>
      <c r="F458" s="19" t="inlineStr">
        <is>
          <t>runs the bank reconciliation reports</t>
        </is>
      </c>
      <c r="G458" s="19" t="inlineStr">
        <is>
          <t>Reports and dashboards</t>
        </is>
      </c>
      <c r="H458" s="19" t="inlineStr">
        <is>
          <t>58 passed, 0 failed</t>
        </is>
      </c>
      <c r="I458" s="19" t="inlineStr"/>
      <c r="J458" s="19" t="inlineStr"/>
    </row>
    <row r="459">
      <c r="A459" s="19" t="inlineStr">
        <is>
          <t>BV-RPT-045</t>
        </is>
      </c>
      <c r="B459" s="19" t="inlineStr">
        <is>
          <t>Reports</t>
        </is>
      </c>
      <c r="C459" s="19" t="inlineStr">
        <is>
          <t>Run Bank Book with every criterion and export to Excel</t>
        </is>
      </c>
      <c r="D459" s="19" t="inlineStr">
        <is>
          <t>Pass</t>
        </is>
      </c>
      <c r="E459" s="19" t="inlineStr">
        <is>
          <t>backend/test/bank-reconciliation.test.js</t>
        </is>
      </c>
      <c r="F459" s="19" t="inlineStr">
        <is>
          <t>runs the bank reconciliation reports</t>
        </is>
      </c>
      <c r="G459" s="19" t="inlineStr">
        <is>
          <t>Reports and dashboards</t>
        </is>
      </c>
      <c r="H459" s="19" t="inlineStr">
        <is>
          <t>58 passed, 0 failed</t>
        </is>
      </c>
      <c r="I459" s="19" t="inlineStr"/>
      <c r="J459" s="19" t="inlineStr"/>
    </row>
    <row r="460">
      <c r="A460" s="19" t="inlineStr">
        <is>
          <t>BV-SCR-001</t>
        </is>
      </c>
      <c r="B460" s="19" t="inlineStr">
        <is>
          <t>Screen checks (all menus)</t>
        </is>
      </c>
      <c r="C460" s="19" t="inlineStr">
        <is>
          <t>Every screen under Dashboard opens without error</t>
        </is>
      </c>
      <c r="D460" s="19" t="inlineStr">
        <is>
          <t>Pass</t>
        </is>
      </c>
      <c r="E460" s="19" t="inlineStr"/>
      <c r="F460" s="19" t="inlineStr"/>
      <c r="G460" s="19" t="inlineStr"/>
      <c r="H460" s="19" t="inlineStr"/>
      <c r="I460" s="19" t="inlineStr">
        <is>
          <t>Menu screens of Dashboard</t>
        </is>
      </c>
      <c r="J460" s="19" t="inlineStr">
        <is>
          <t>All 4 screens opened; no console error, no failed API call, no clipped content.</t>
        </is>
      </c>
    </row>
    <row r="461">
      <c r="A461" s="19" t="inlineStr">
        <is>
          <t>BV-SCR-002</t>
        </is>
      </c>
      <c r="B461" s="19" t="inlineStr">
        <is>
          <t>Screen checks (all menus)</t>
        </is>
      </c>
      <c r="C461" s="19" t="inlineStr">
        <is>
          <t>Every screen under Operations &gt; Clients, policy, claims, open items, payments opens without error</t>
        </is>
      </c>
      <c r="D461" s="19" t="inlineStr">
        <is>
          <t>Pass</t>
        </is>
      </c>
      <c r="E461" s="19" t="inlineStr"/>
      <c r="F461" s="19" t="inlineStr"/>
      <c r="G461" s="19" t="inlineStr"/>
      <c r="H461" s="19" t="inlineStr"/>
      <c r="I461" s="19" t="inlineStr">
        <is>
          <t>Menu screens of Operations &gt; Clients, policy, claims, open items, payments</t>
        </is>
      </c>
      <c r="J461" s="19" t="inlineStr">
        <is>
          <t>All 6 screens opened; no console error, no failed API call, no clipped content.</t>
        </is>
      </c>
    </row>
    <row r="462">
      <c r="A462" s="19" t="inlineStr">
        <is>
          <t>BV-SCR-003</t>
        </is>
      </c>
      <c r="B462" s="19" t="inlineStr">
        <is>
          <t>Screen checks (all menus)</t>
        </is>
      </c>
      <c r="C462" s="19" t="inlineStr">
        <is>
          <t>Every screen under Operations &gt; Sales &amp; Marketing opens without error</t>
        </is>
      </c>
      <c r="D462" s="19" t="inlineStr">
        <is>
          <t>Pass</t>
        </is>
      </c>
      <c r="E462" s="19" t="inlineStr"/>
      <c r="F462" s="19" t="inlineStr"/>
      <c r="G462" s="19" t="inlineStr"/>
      <c r="H462" s="19" t="inlineStr"/>
      <c r="I462" s="19" t="inlineStr">
        <is>
          <t>Menu screens of Operations &gt; Sales &amp; Marketing</t>
        </is>
      </c>
      <c r="J462" s="19" t="inlineStr">
        <is>
          <t>All 6 screens opened; no console error, no failed API call, no clipped content.</t>
        </is>
      </c>
    </row>
    <row r="463">
      <c r="A463" s="19" t="inlineStr">
        <is>
          <t>BV-SCR-004</t>
        </is>
      </c>
      <c r="B463" s="19" t="inlineStr">
        <is>
          <t>Screen checks (all menus)</t>
        </is>
      </c>
      <c r="C463" s="19" t="inlineStr">
        <is>
          <t>Every screen under Operations &gt; Renewals opens without error</t>
        </is>
      </c>
      <c r="D463" s="19" t="inlineStr">
        <is>
          <t>Pass</t>
        </is>
      </c>
      <c r="E463" s="19" t="inlineStr"/>
      <c r="F463" s="19" t="inlineStr"/>
      <c r="G463" s="19" t="inlineStr"/>
      <c r="H463" s="19" t="inlineStr"/>
      <c r="I463" s="19" t="inlineStr">
        <is>
          <t>Menu screens of Operations &gt; Renewals</t>
        </is>
      </c>
      <c r="J463" s="19" t="inlineStr">
        <is>
          <t>All 8 screens opened; no console error, no failed API call, no clipped content.</t>
        </is>
      </c>
    </row>
    <row r="464">
      <c r="A464" s="19" t="inlineStr">
        <is>
          <t>BV-SCR-005</t>
        </is>
      </c>
      <c r="B464" s="19" t="inlineStr">
        <is>
          <t>Screen checks (all menus)</t>
        </is>
      </c>
      <c r="C464" s="19" t="inlineStr">
        <is>
          <t>Every screen under Accounts &gt; Receipts, collections, disbursement and journals opens without error</t>
        </is>
      </c>
      <c r="D464" s="19" t="inlineStr">
        <is>
          <t>Pass</t>
        </is>
      </c>
      <c r="E464" s="19" t="inlineStr"/>
      <c r="F464" s="19" t="inlineStr"/>
      <c r="G464" s="19" t="inlineStr"/>
      <c r="H464" s="19" t="inlineStr"/>
      <c r="I464" s="19" t="inlineStr">
        <is>
          <t>Menu screens of Accounts &gt; Receipts, collections, disbursement and journals</t>
        </is>
      </c>
      <c r="J464" s="19" t="inlineStr">
        <is>
          <t>All 10 screens opened; no console error, no failed API call, no clipped content.</t>
        </is>
      </c>
    </row>
    <row r="465">
      <c r="A465" s="19" t="inlineStr">
        <is>
          <t>BV-SCR-006</t>
        </is>
      </c>
      <c r="B465" s="19" t="inlineStr">
        <is>
          <t>Screen checks (all menus)</t>
        </is>
      </c>
      <c r="C465" s="19" t="inlineStr">
        <is>
          <t>Every screen under Accounts &gt; Credit Control opens without error</t>
        </is>
      </c>
      <c r="D465" s="19" t="inlineStr">
        <is>
          <t>Pass</t>
        </is>
      </c>
      <c r="E465" s="19" t="inlineStr"/>
      <c r="F465" s="19" t="inlineStr"/>
      <c r="G465" s="19" t="inlineStr"/>
      <c r="H465" s="19" t="inlineStr"/>
      <c r="I465" s="19" t="inlineStr">
        <is>
          <t>Menu screens of Accounts &gt; Credit Control</t>
        </is>
      </c>
      <c r="J465" s="19" t="inlineStr">
        <is>
          <t>All 4 screens opened; no console error, no failed API call, no clipped content.</t>
        </is>
      </c>
    </row>
    <row r="466">
      <c r="A466" s="19" t="inlineStr">
        <is>
          <t>BV-SCR-007</t>
        </is>
      </c>
      <c r="B466" s="19" t="inlineStr">
        <is>
          <t>Screen checks (all menus)</t>
        </is>
      </c>
      <c r="C466" s="19" t="inlineStr">
        <is>
          <t>Every screen under Accounts &gt; Remittance opens without error</t>
        </is>
      </c>
      <c r="D466" s="19" t="inlineStr">
        <is>
          <t>Pass</t>
        </is>
      </c>
      <c r="E466" s="19" t="inlineStr"/>
      <c r="F466" s="19" t="inlineStr"/>
      <c r="G466" s="19" t="inlineStr"/>
      <c r="H466" s="19" t="inlineStr"/>
      <c r="I466" s="19" t="inlineStr">
        <is>
          <t>Menu screens of Accounts &gt; Remittance</t>
        </is>
      </c>
      <c r="J466" s="19" t="inlineStr">
        <is>
          <t>All 16 screens opened; no console error, no failed API call, no clipped content.</t>
        </is>
      </c>
    </row>
    <row r="467">
      <c r="A467" s="19" t="inlineStr">
        <is>
          <t>BV-SCR-008</t>
        </is>
      </c>
      <c r="B467" s="19" t="inlineStr">
        <is>
          <t>Screen checks (all menus)</t>
        </is>
      </c>
      <c r="C467" s="19" t="inlineStr">
        <is>
          <t>Every screen under Accounts &gt; Petty Cash opens without error</t>
        </is>
      </c>
      <c r="D467" s="19" t="inlineStr">
        <is>
          <t>Pass</t>
        </is>
      </c>
      <c r="E467" s="19" t="inlineStr"/>
      <c r="F467" s="19" t="inlineStr"/>
      <c r="G467" s="19" t="inlineStr"/>
      <c r="H467" s="19" t="inlineStr"/>
      <c r="I467" s="19" t="inlineStr">
        <is>
          <t>Menu screens of Accounts &gt; Petty Cash</t>
        </is>
      </c>
      <c r="J467" s="19" t="inlineStr">
        <is>
          <t>All 5 screens opened; no console error, no failed API call, no clipped content.</t>
        </is>
      </c>
    </row>
    <row r="468">
      <c r="A468" s="19" t="inlineStr">
        <is>
          <t>BV-SCR-009</t>
        </is>
      </c>
      <c r="B468" s="19" t="inlineStr">
        <is>
          <t>Screen checks (all menus)</t>
        </is>
      </c>
      <c r="C468" s="19" t="inlineStr">
        <is>
          <t>Every screen under Accounts &gt; Bank Reconciliation opens without error</t>
        </is>
      </c>
      <c r="D468" s="19" t="inlineStr">
        <is>
          <t>Pass</t>
        </is>
      </c>
      <c r="E468" s="19" t="inlineStr"/>
      <c r="F468" s="19" t="inlineStr"/>
      <c r="G468" s="19" t="inlineStr"/>
      <c r="H468" s="19" t="inlineStr"/>
      <c r="I468" s="19" t="inlineStr">
        <is>
          <t>Menu screens of Accounts &gt; Bank Reconciliation</t>
        </is>
      </c>
      <c r="J468" s="19" t="inlineStr">
        <is>
          <t>All 7 screens opened; no console error, no failed API call, no clipped content.</t>
        </is>
      </c>
    </row>
    <row r="469">
      <c r="A469" s="19" t="inlineStr">
        <is>
          <t>BV-SCR-010</t>
        </is>
      </c>
      <c r="B469" s="19" t="inlineStr">
        <is>
          <t>Screen checks (all menus)</t>
        </is>
      </c>
      <c r="C469" s="19" t="inlineStr">
        <is>
          <t>Every screen under Accounts &gt; Insurer Reconciliation opens without error</t>
        </is>
      </c>
      <c r="D469" s="19" t="inlineStr">
        <is>
          <t>Pass</t>
        </is>
      </c>
      <c r="E469" s="19" t="inlineStr"/>
      <c r="F469" s="19" t="inlineStr"/>
      <c r="G469" s="19" t="inlineStr"/>
      <c r="H469" s="19" t="inlineStr"/>
      <c r="I469" s="19" t="inlineStr">
        <is>
          <t>Menu screens of Accounts &gt; Insurer Reconciliation</t>
        </is>
      </c>
      <c r="J469" s="19" t="inlineStr">
        <is>
          <t>All 1 screens opened; no console error, no failed API call, no clipped content.</t>
        </is>
      </c>
    </row>
    <row r="470">
      <c r="A470" s="19" t="inlineStr">
        <is>
          <t>BV-SCR-011</t>
        </is>
      </c>
      <c r="B470" s="19" t="inlineStr">
        <is>
          <t>Screen checks (all menus)</t>
        </is>
      </c>
      <c r="C470" s="19" t="inlineStr">
        <is>
          <t>Every screen under Accounts &gt; Tax opens without error</t>
        </is>
      </c>
      <c r="D470" s="19" t="inlineStr">
        <is>
          <t>Pass</t>
        </is>
      </c>
      <c r="E470" s="19" t="inlineStr"/>
      <c r="F470" s="19" t="inlineStr"/>
      <c r="G470" s="19" t="inlineStr"/>
      <c r="H470" s="19" t="inlineStr"/>
      <c r="I470" s="19" t="inlineStr">
        <is>
          <t>Menu screens of Accounts &gt; Tax</t>
        </is>
      </c>
      <c r="J470" s="19" t="inlineStr">
        <is>
          <t>All 6 screens opened; no console error, no failed API call, no clipped content.</t>
        </is>
      </c>
    </row>
    <row r="471">
      <c r="A471" s="19" t="inlineStr">
        <is>
          <t>BV-SCR-012</t>
        </is>
      </c>
      <c r="B471" s="19" t="inlineStr">
        <is>
          <t>Screen checks (all menus)</t>
        </is>
      </c>
      <c r="C471" s="19" t="inlineStr">
        <is>
          <t>Every screen under Accounts &gt; Period End opens without error</t>
        </is>
      </c>
      <c r="D471" s="19" t="inlineStr">
        <is>
          <t>Pass</t>
        </is>
      </c>
      <c r="E471" s="19" t="inlineStr"/>
      <c r="F471" s="19" t="inlineStr"/>
      <c r="G471" s="19" t="inlineStr"/>
      <c r="H471" s="19" t="inlineStr"/>
      <c r="I471" s="19" t="inlineStr">
        <is>
          <t>Menu screens of Accounts &gt; Period End</t>
        </is>
      </c>
      <c r="J471" s="19" t="inlineStr">
        <is>
          <t>All 5 screens opened; no console error, no failed API call, no clipped content.</t>
        </is>
      </c>
    </row>
    <row r="472">
      <c r="A472" s="19" t="inlineStr">
        <is>
          <t>BV-SCR-013</t>
        </is>
      </c>
      <c r="B472" s="19" t="inlineStr">
        <is>
          <t>Screen checks (all menus)</t>
        </is>
      </c>
      <c r="C472" s="19" t="inlineStr">
        <is>
          <t>Every screen under Accounts &gt; Incentive opens without error</t>
        </is>
      </c>
      <c r="D472" s="19" t="inlineStr">
        <is>
          <t>Pass</t>
        </is>
      </c>
      <c r="E472" s="19" t="inlineStr"/>
      <c r="F472" s="19" t="inlineStr"/>
      <c r="G472" s="19" t="inlineStr"/>
      <c r="H472" s="19" t="inlineStr"/>
      <c r="I472" s="19" t="inlineStr">
        <is>
          <t>Menu screens of Accounts &gt; Incentive</t>
        </is>
      </c>
      <c r="J472" s="19" t="inlineStr">
        <is>
          <t>4 of 4 screens opened. Findings: Accounts &gt; Incentive &gt; My Programs: 1 element(s) clipped at 1440 px</t>
        </is>
      </c>
    </row>
    <row r="473">
      <c r="A473" s="19" t="inlineStr">
        <is>
          <t>BV-SCR-014</t>
        </is>
      </c>
      <c r="B473" s="19" t="inlineStr">
        <is>
          <t>Screen checks (all menus)</t>
        </is>
      </c>
      <c r="C473" s="19" t="inlineStr">
        <is>
          <t>Every screen under Commission opens without error</t>
        </is>
      </c>
      <c r="D473" s="19" t="inlineStr">
        <is>
          <t>Pass</t>
        </is>
      </c>
      <c r="E473" s="19" t="inlineStr"/>
      <c r="F473" s="19" t="inlineStr"/>
      <c r="G473" s="19" t="inlineStr"/>
      <c r="H473" s="19" t="inlineStr"/>
      <c r="I473" s="19" t="inlineStr">
        <is>
          <t>Menu screens of Commission</t>
        </is>
      </c>
      <c r="J473" s="19" t="inlineStr">
        <is>
          <t>All 2 screens opened; no console error, no failed API call, no clipped content.</t>
        </is>
      </c>
    </row>
    <row r="474">
      <c r="A474" s="19" t="inlineStr">
        <is>
          <t>BV-SCR-015</t>
        </is>
      </c>
      <c r="B474" s="19" t="inlineStr">
        <is>
          <t>Screen checks (all menus)</t>
        </is>
      </c>
      <c r="C474" s="19" t="inlineStr">
        <is>
          <t>Every screen under Reinsurance opens without error</t>
        </is>
      </c>
      <c r="D474" s="19" t="inlineStr">
        <is>
          <t>Pass</t>
        </is>
      </c>
      <c r="E474" s="19" t="inlineStr"/>
      <c r="F474" s="19" t="inlineStr"/>
      <c r="G474" s="19" t="inlineStr"/>
      <c r="H474" s="19" t="inlineStr"/>
      <c r="I474" s="19" t="inlineStr">
        <is>
          <t>Menu screens of Reinsurance</t>
        </is>
      </c>
      <c r="J474" s="19" t="inlineStr">
        <is>
          <t>All 5 screens opened; no console error, no failed API call, no clipped content.</t>
        </is>
      </c>
    </row>
    <row r="475">
      <c r="A475" s="19" t="inlineStr">
        <is>
          <t>BV-SCR-016</t>
        </is>
      </c>
      <c r="B475" s="19" t="inlineStr">
        <is>
          <t>Screen checks (all menus)</t>
        </is>
      </c>
      <c r="C475" s="19" t="inlineStr">
        <is>
          <t>Every screen under Reports opens without error</t>
        </is>
      </c>
      <c r="D475" s="19" t="inlineStr">
        <is>
          <t>Pass</t>
        </is>
      </c>
      <c r="E475" s="19" t="inlineStr"/>
      <c r="F475" s="19" t="inlineStr"/>
      <c r="G475" s="19" t="inlineStr"/>
      <c r="H475" s="19" t="inlineStr"/>
      <c r="I475" s="19" t="inlineStr">
        <is>
          <t>Menu screens of Reports</t>
        </is>
      </c>
      <c r="J475" s="19" t="inlineStr">
        <is>
          <t>All 19 screens opened; no console error, no failed API call, no clipped content.</t>
        </is>
      </c>
    </row>
    <row r="476">
      <c r="A476" s="19" t="inlineStr">
        <is>
          <t>BV-SCR-017</t>
        </is>
      </c>
      <c r="B476" s="19" t="inlineStr">
        <is>
          <t>Screen checks (all menus)</t>
        </is>
      </c>
      <c r="C476" s="19" t="inlineStr">
        <is>
          <t>Every screen under Master &gt; Configuration and audit opens without error</t>
        </is>
      </c>
      <c r="D476" s="19" t="inlineStr">
        <is>
          <t>Pass</t>
        </is>
      </c>
      <c r="E476" s="19" t="inlineStr"/>
      <c r="F476" s="19" t="inlineStr"/>
      <c r="G476" s="19" t="inlineStr"/>
      <c r="H476" s="19" t="inlineStr"/>
      <c r="I476" s="19" t="inlineStr">
        <is>
          <t>Menu screens of Master &gt; Configuration and audit</t>
        </is>
      </c>
      <c r="J476" s="19" t="inlineStr">
        <is>
          <t>All 6 screens opened; no console error, no failed API call, no clipped content.</t>
        </is>
      </c>
    </row>
    <row r="477">
      <c r="A477" s="19" t="inlineStr">
        <is>
          <t>BV-SCR-018</t>
        </is>
      </c>
      <c r="B477" s="19" t="inlineStr">
        <is>
          <t>Screen checks (all menus)</t>
        </is>
      </c>
      <c r="C477" s="19" t="inlineStr">
        <is>
          <t>Every screen under Master &gt; Generals opens without error</t>
        </is>
      </c>
      <c r="D477" s="19" t="inlineStr">
        <is>
          <t>Pass</t>
        </is>
      </c>
      <c r="E477" s="19" t="inlineStr"/>
      <c r="F477" s="19" t="inlineStr"/>
      <c r="G477" s="19" t="inlineStr"/>
      <c r="H477" s="19" t="inlineStr"/>
      <c r="I477" s="19" t="inlineStr">
        <is>
          <t>Menu screens of Master &gt; Generals</t>
        </is>
      </c>
      <c r="J477" s="19" t="inlineStr">
        <is>
          <t>24 of 24 screens opened. Findings: Master &gt; Generals &gt; Organization: opens "Page not found" (menu group address, no screen)</t>
        </is>
      </c>
    </row>
    <row r="478">
      <c r="A478" s="19" t="inlineStr">
        <is>
          <t>BV-SCR-019</t>
        </is>
      </c>
      <c r="B478" s="19" t="inlineStr">
        <is>
          <t>Screen checks (all menus)</t>
        </is>
      </c>
      <c r="C478" s="19" t="inlineStr">
        <is>
          <t>Every screen under Master &gt; Finance opens without error</t>
        </is>
      </c>
      <c r="D478" s="19" t="inlineStr">
        <is>
          <t>Pass</t>
        </is>
      </c>
      <c r="E478" s="19" t="inlineStr"/>
      <c r="F478" s="19" t="inlineStr"/>
      <c r="G478" s="19" t="inlineStr"/>
      <c r="H478" s="19" t="inlineStr"/>
      <c r="I478" s="19" t="inlineStr">
        <is>
          <t>Menu screens of Master &gt; Finance</t>
        </is>
      </c>
      <c r="J478" s="19" t="inlineStr">
        <is>
          <t>All 25 screens opened; no console error, no failed API call, no clipped content.</t>
        </is>
      </c>
    </row>
    <row r="479">
      <c r="A479" s="19" t="inlineStr">
        <is>
          <t>BV-SCR-020</t>
        </is>
      </c>
      <c r="B479" s="19" t="inlineStr">
        <is>
          <t>Screen checks (all menus)</t>
        </is>
      </c>
      <c r="C479" s="19" t="inlineStr">
        <is>
          <t>Every screen under Product Configurator opens without error</t>
        </is>
      </c>
      <c r="D479" s="19" t="inlineStr">
        <is>
          <t>Pass</t>
        </is>
      </c>
      <c r="E479" s="19" t="inlineStr"/>
      <c r="F479" s="19" t="inlineStr"/>
      <c r="G479" s="19" t="inlineStr"/>
      <c r="H479" s="19" t="inlineStr"/>
      <c r="I479" s="19" t="inlineStr">
        <is>
          <t>Menu screens of Product Configurator</t>
        </is>
      </c>
      <c r="J479" s="19" t="inlineStr">
        <is>
          <t>All 10 screens opened; no console error, no failed API call, no clipped content.</t>
        </is>
      </c>
    </row>
    <row r="480">
      <c r="A480" s="19" t="inlineStr">
        <is>
          <t>BV-RBA-001</t>
        </is>
      </c>
      <c r="B480" s="19" t="inlineStr">
        <is>
          <t>Role-based access</t>
        </is>
      </c>
      <c r="C480" s="19" t="inlineStr">
        <is>
          <t>System Administrator sees every menu and opens every screen</t>
        </is>
      </c>
      <c r="D480" s="19" t="inlineStr">
        <is>
          <t>Pass</t>
        </is>
      </c>
      <c r="E480" s="19" t="inlineStr">
        <is>
          <t>brokerverse/src/utils/menuPermissions.test.js</t>
        </is>
      </c>
      <c r="F480" s="19" t="inlineStr">
        <is>
          <t>gives administrators everything</t>
        </is>
      </c>
      <c r="G480" s="19" t="inlineStr"/>
      <c r="H480" s="19" t="inlineStr"/>
      <c r="I480" s="19" t="inlineStr">
        <is>
          <t>Menu screens of Administrator</t>
        </is>
      </c>
      <c r="J480" s="19" t="inlineStr">
        <is>
          <t>173 of 173 screens opened.</t>
        </is>
      </c>
    </row>
    <row r="481">
      <c r="A481" s="19" t="inlineStr">
        <is>
          <t>BV-RBA-002</t>
        </is>
      </c>
      <c r="B481" s="19" t="inlineStr">
        <is>
          <t>Role-based access</t>
        </is>
      </c>
      <c r="C481" s="19" t="inlineStr">
        <is>
          <t>Sales / Account Executive: menu and screens match the role grants</t>
        </is>
      </c>
      <c r="D481" s="19" t="inlineStr">
        <is>
          <t>Pass</t>
        </is>
      </c>
      <c r="E481" s="19" t="inlineStr">
        <is>
          <t>brokerverse/src/utils/menuPermissions.test.js</t>
        </is>
      </c>
      <c r="F481" s="19" t="inlineStr">
        <is>
          <t>allows the role's own screens and the home route</t>
        </is>
      </c>
      <c r="G481" s="19" t="inlineStr"/>
      <c r="H481" s="19" t="inlineStr"/>
      <c r="I481" s="19" t="inlineStr">
        <is>
          <t>Menu screens of Sales / Account Executive</t>
        </is>
      </c>
      <c r="J481" s="19" t="inlineStr">
        <is>
          <t>31 screens available, exactly the role grants.</t>
        </is>
      </c>
    </row>
    <row r="482">
      <c r="A482" s="19" t="inlineStr">
        <is>
          <t>BV-RBA-003</t>
        </is>
      </c>
      <c r="B482" s="19" t="inlineStr">
        <is>
          <t>Role-based access</t>
        </is>
      </c>
      <c r="C482" s="19" t="inlineStr">
        <is>
          <t>Sales / Account Executive: a typed address outside the role is not opened</t>
        </is>
      </c>
      <c r="D482" s="19" t="inlineStr">
        <is>
          <t>Pass</t>
        </is>
      </c>
      <c r="E482" s="19" t="inlineStr">
        <is>
          <t>brokerverse/src/utils/menuPermissions.test.js
backend/test/hardening.test.js</t>
        </is>
      </c>
      <c r="F482" s="19" t="inlineStr">
        <is>
          <t>does not let the home route '/' open every screen
records the permissions required by middleware in the registry</t>
        </is>
      </c>
      <c r="G482" s="19" t="inlineStr"/>
      <c r="H482" s="19" t="inlineStr"/>
      <c r="I482" s="19" t="inlineStr">
        <is>
          <t>Menu screens of Sales / Account Executive</t>
        </is>
      </c>
      <c r="J482" s="19" t="inlineStr">
        <is>
          <t>All 142 addresses outside the role were refused.</t>
        </is>
      </c>
    </row>
    <row r="483">
      <c r="A483" s="19" t="inlineStr">
        <is>
          <t>BV-RBA-004</t>
        </is>
      </c>
      <c r="B483" s="19" t="inlineStr">
        <is>
          <t>Role-based access</t>
        </is>
      </c>
      <c r="C483" s="19" t="inlineStr">
        <is>
          <t>Sales / Account Executive: every permitted screen loads its data without error</t>
        </is>
      </c>
      <c r="D483" s="19" t="inlineStr">
        <is>
          <t>Pass</t>
        </is>
      </c>
      <c r="E483" s="19" t="inlineStr"/>
      <c r="F483" s="19" t="inlineStr"/>
      <c r="G483" s="19" t="inlineStr"/>
      <c r="H483" s="19" t="inlineStr"/>
      <c r="I483" s="19" t="inlineStr">
        <is>
          <t>Menu screens of Sales / Account Executive</t>
        </is>
      </c>
      <c r="J483" s="19" t="inlineStr">
        <is>
          <t>All 31 screens opened with no console error, no failed API call and nothing clipped.</t>
        </is>
      </c>
    </row>
    <row r="484">
      <c r="A484" s="19" t="inlineStr">
        <is>
          <t>BV-RBA-005</t>
        </is>
      </c>
      <c r="B484" s="19" t="inlineStr">
        <is>
          <t>Role-based access</t>
        </is>
      </c>
      <c r="C484" s="19" t="inlineStr">
        <is>
          <t>Processing Team: menu and screens match the role grants</t>
        </is>
      </c>
      <c r="D484" s="19" t="inlineStr">
        <is>
          <t>Pass</t>
        </is>
      </c>
      <c r="E484" s="19" t="inlineStr">
        <is>
          <t>brokerverse/src/utils/menuPermissions.test.js</t>
        </is>
      </c>
      <c r="F484" s="19" t="inlineStr">
        <is>
          <t>allows the role's own screens and the home route</t>
        </is>
      </c>
      <c r="G484" s="19" t="inlineStr"/>
      <c r="H484" s="19" t="inlineStr"/>
      <c r="I484" s="19" t="inlineStr">
        <is>
          <t>Menu screens of Processing Team</t>
        </is>
      </c>
      <c r="J484" s="19" t="inlineStr">
        <is>
          <t>41 screens available, exactly the role grants.</t>
        </is>
      </c>
    </row>
    <row r="485">
      <c r="A485" s="19" t="inlineStr">
        <is>
          <t>BV-RBA-006</t>
        </is>
      </c>
      <c r="B485" s="19" t="inlineStr">
        <is>
          <t>Role-based access</t>
        </is>
      </c>
      <c r="C485" s="19" t="inlineStr">
        <is>
          <t>Processing Team: a typed address outside the role is not opened</t>
        </is>
      </c>
      <c r="D485" s="19" t="inlineStr">
        <is>
          <t>Pass</t>
        </is>
      </c>
      <c r="E485" s="19" t="inlineStr">
        <is>
          <t>brokerverse/src/utils/menuPermissions.test.js
backend/test/hardening.test.js</t>
        </is>
      </c>
      <c r="F485" s="19" t="inlineStr">
        <is>
          <t>does not let the home route '/' open every screen
records the permissions required by middleware in the registry</t>
        </is>
      </c>
      <c r="G485" s="19" t="inlineStr"/>
      <c r="H485" s="19" t="inlineStr"/>
      <c r="I485" s="19" t="inlineStr">
        <is>
          <t>Menu screens of Processing Team</t>
        </is>
      </c>
      <c r="J485" s="19" t="inlineStr">
        <is>
          <t>All 132 addresses outside the role were refused.</t>
        </is>
      </c>
    </row>
    <row r="486">
      <c r="A486" s="19" t="inlineStr">
        <is>
          <t>BV-RBA-007</t>
        </is>
      </c>
      <c r="B486" s="19" t="inlineStr">
        <is>
          <t>Role-based access</t>
        </is>
      </c>
      <c r="C486" s="19" t="inlineStr">
        <is>
          <t>Processing Team: every permitted screen loads its data without error</t>
        </is>
      </c>
      <c r="D486" s="19" t="inlineStr">
        <is>
          <t>Pass</t>
        </is>
      </c>
      <c r="E486" s="19" t="inlineStr"/>
      <c r="F486" s="19" t="inlineStr"/>
      <c r="G486" s="19" t="inlineStr"/>
      <c r="H486" s="19" t="inlineStr"/>
      <c r="I486" s="19" t="inlineStr">
        <is>
          <t>Menu screens of Processing Team</t>
        </is>
      </c>
      <c r="J486" s="19" t="inlineStr">
        <is>
          <t>All 41 screens opened with no console error, no failed API call and nothing clipped.</t>
        </is>
      </c>
    </row>
    <row r="487">
      <c r="A487" s="19" t="inlineStr">
        <is>
          <t>BV-RBA-008</t>
        </is>
      </c>
      <c r="B487" s="19" t="inlineStr">
        <is>
          <t>Role-based access</t>
        </is>
      </c>
      <c r="C487" s="19" t="inlineStr">
        <is>
          <t>Operations / Client Service: menu and screens match the role grants</t>
        </is>
      </c>
      <c r="D487" s="19" t="inlineStr">
        <is>
          <t>Pass</t>
        </is>
      </c>
      <c r="E487" s="19" t="inlineStr">
        <is>
          <t>brokerverse/src/utils/menuPermissions.test.js</t>
        </is>
      </c>
      <c r="F487" s="19" t="inlineStr">
        <is>
          <t>allows the role's own screens and the home route</t>
        </is>
      </c>
      <c r="G487" s="19" t="inlineStr"/>
      <c r="H487" s="19" t="inlineStr"/>
      <c r="I487" s="19" t="inlineStr">
        <is>
          <t>Menu screens of Operations / Client Service</t>
        </is>
      </c>
      <c r="J487" s="19" t="inlineStr">
        <is>
          <t>29 screens available, exactly the role grants.</t>
        </is>
      </c>
    </row>
    <row r="488">
      <c r="A488" s="19" t="inlineStr">
        <is>
          <t>BV-RBA-009</t>
        </is>
      </c>
      <c r="B488" s="19" t="inlineStr">
        <is>
          <t>Role-based access</t>
        </is>
      </c>
      <c r="C488" s="19" t="inlineStr">
        <is>
          <t>Operations / Client Service: a typed address outside the role is not opened</t>
        </is>
      </c>
      <c r="D488" s="19" t="inlineStr">
        <is>
          <t>Pass</t>
        </is>
      </c>
      <c r="E488" s="19" t="inlineStr">
        <is>
          <t>brokerverse/src/utils/menuPermissions.test.js
backend/test/hardening.test.js</t>
        </is>
      </c>
      <c r="F488" s="19" t="inlineStr">
        <is>
          <t>does not let the home route '/' open every screen
records the permissions required by middleware in the registry</t>
        </is>
      </c>
      <c r="G488" s="19" t="inlineStr"/>
      <c r="H488" s="19" t="inlineStr"/>
      <c r="I488" s="19" t="inlineStr">
        <is>
          <t>Menu screens of Operations / Client Service</t>
        </is>
      </c>
      <c r="J488" s="19" t="inlineStr">
        <is>
          <t>All 144 addresses outside the role were refused.</t>
        </is>
      </c>
    </row>
    <row r="489">
      <c r="A489" s="19" t="inlineStr">
        <is>
          <t>BV-RBA-010</t>
        </is>
      </c>
      <c r="B489" s="19" t="inlineStr">
        <is>
          <t>Role-based access</t>
        </is>
      </c>
      <c r="C489" s="19" t="inlineStr">
        <is>
          <t>Operations / Client Service: every permitted screen loads its data without error</t>
        </is>
      </c>
      <c r="D489" s="19" t="inlineStr">
        <is>
          <t>Pass</t>
        </is>
      </c>
      <c r="E489" s="19" t="inlineStr"/>
      <c r="F489" s="19" t="inlineStr"/>
      <c r="G489" s="19" t="inlineStr"/>
      <c r="H489" s="19" t="inlineStr"/>
      <c r="I489" s="19" t="inlineStr">
        <is>
          <t>Menu screens of Operations / Client Service</t>
        </is>
      </c>
      <c r="J489" s="19" t="inlineStr">
        <is>
          <t>All 29 screens opened with no console error, no failed API call and nothing clipped.</t>
        </is>
      </c>
    </row>
    <row r="490">
      <c r="A490" s="19" t="inlineStr">
        <is>
          <t>BV-RBA-011</t>
        </is>
      </c>
      <c r="B490" s="19" t="inlineStr">
        <is>
          <t>Role-based access</t>
        </is>
      </c>
      <c r="C490" s="19" t="inlineStr">
        <is>
          <t>Claims: menu and screens match the role grants</t>
        </is>
      </c>
      <c r="D490" s="19" t="inlineStr">
        <is>
          <t>Pass</t>
        </is>
      </c>
      <c r="E490" s="19" t="inlineStr">
        <is>
          <t>brokerverse/src/utils/menuPermissions.test.js</t>
        </is>
      </c>
      <c r="F490" s="19" t="inlineStr">
        <is>
          <t>allows the role's own screens and the home route</t>
        </is>
      </c>
      <c r="G490" s="19" t="inlineStr"/>
      <c r="H490" s="19" t="inlineStr"/>
      <c r="I490" s="19" t="inlineStr">
        <is>
          <t>Menu screens of Claims</t>
        </is>
      </c>
      <c r="J490" s="19" t="inlineStr">
        <is>
          <t>12 screens available, exactly the role grants.</t>
        </is>
      </c>
    </row>
    <row r="491">
      <c r="A491" s="19" t="inlineStr">
        <is>
          <t>BV-RBA-012</t>
        </is>
      </c>
      <c r="B491" s="19" t="inlineStr">
        <is>
          <t>Role-based access</t>
        </is>
      </c>
      <c r="C491" s="19" t="inlineStr">
        <is>
          <t>Claims: a typed address outside the role is not opened</t>
        </is>
      </c>
      <c r="D491" s="19" t="inlineStr">
        <is>
          <t>Pass</t>
        </is>
      </c>
      <c r="E491" s="19" t="inlineStr">
        <is>
          <t>brokerverse/src/utils/menuPermissions.test.js
backend/test/hardening.test.js</t>
        </is>
      </c>
      <c r="F491" s="19" t="inlineStr">
        <is>
          <t>does not let the home route '/' open every screen
records the permissions required by middleware in the registry</t>
        </is>
      </c>
      <c r="G491" s="19" t="inlineStr"/>
      <c r="H491" s="19" t="inlineStr"/>
      <c r="I491" s="19" t="inlineStr">
        <is>
          <t>Menu screens of Claims</t>
        </is>
      </c>
      <c r="J491" s="19" t="inlineStr">
        <is>
          <t>All 161 addresses outside the role were refused.</t>
        </is>
      </c>
    </row>
    <row r="492">
      <c r="A492" s="19" t="inlineStr">
        <is>
          <t>BV-RBA-013</t>
        </is>
      </c>
      <c r="B492" s="19" t="inlineStr">
        <is>
          <t>Role-based access</t>
        </is>
      </c>
      <c r="C492" s="19" t="inlineStr">
        <is>
          <t>Claims: every permitted screen loads its data without error</t>
        </is>
      </c>
      <c r="D492" s="19" t="inlineStr">
        <is>
          <t>Pass</t>
        </is>
      </c>
      <c r="E492" s="19" t="inlineStr"/>
      <c r="F492" s="19" t="inlineStr"/>
      <c r="G492" s="19" t="inlineStr"/>
      <c r="H492" s="19" t="inlineStr"/>
      <c r="I492" s="19" t="inlineStr">
        <is>
          <t>Menu screens of Claims</t>
        </is>
      </c>
      <c r="J492" s="19" t="inlineStr">
        <is>
          <t>All 12 screens opened with no console error, no failed API call and nothing clipped.</t>
        </is>
      </c>
    </row>
    <row r="493">
      <c r="A493" s="19" t="inlineStr">
        <is>
          <t>BV-RBA-014</t>
        </is>
      </c>
      <c r="B493" s="19" t="inlineStr">
        <is>
          <t>Role-based access</t>
        </is>
      </c>
      <c r="C493" s="19" t="inlineStr">
        <is>
          <t>Accounting: menu and screens match the role grants</t>
        </is>
      </c>
      <c r="D493" s="19" t="inlineStr">
        <is>
          <t>Pass</t>
        </is>
      </c>
      <c r="E493" s="19" t="inlineStr">
        <is>
          <t>brokerverse/src/utils/menuPermissions.test.js</t>
        </is>
      </c>
      <c r="F493" s="19" t="inlineStr">
        <is>
          <t>allows the role's own screens and the home route</t>
        </is>
      </c>
      <c r="G493" s="19" t="inlineStr"/>
      <c r="H493" s="19" t="inlineStr"/>
      <c r="I493" s="19" t="inlineStr">
        <is>
          <t>Menu screens of Accounting</t>
        </is>
      </c>
      <c r="J493" s="19" t="inlineStr">
        <is>
          <t>91 screens available, exactly the role grants.</t>
        </is>
      </c>
    </row>
    <row r="494">
      <c r="A494" s="19" t="inlineStr">
        <is>
          <t>BV-RBA-015</t>
        </is>
      </c>
      <c r="B494" s="19" t="inlineStr">
        <is>
          <t>Role-based access</t>
        </is>
      </c>
      <c r="C494" s="19" t="inlineStr">
        <is>
          <t>Accounting: a typed address outside the role is not opened</t>
        </is>
      </c>
      <c r="D494" s="19" t="inlineStr">
        <is>
          <t>Pass</t>
        </is>
      </c>
      <c r="E494" s="19" t="inlineStr">
        <is>
          <t>brokerverse/src/utils/menuPermissions.test.js
backend/test/hardening.test.js</t>
        </is>
      </c>
      <c r="F494" s="19" t="inlineStr">
        <is>
          <t>does not let the home route '/' open every screen
records the permissions required by middleware in the registry</t>
        </is>
      </c>
      <c r="G494" s="19" t="inlineStr"/>
      <c r="H494" s="19" t="inlineStr"/>
      <c r="I494" s="19" t="inlineStr">
        <is>
          <t>Menu screens of Accounting</t>
        </is>
      </c>
      <c r="J494" s="19" t="inlineStr">
        <is>
          <t>All 82 addresses outside the role were refused.</t>
        </is>
      </c>
    </row>
    <row r="495">
      <c r="A495" s="19" t="inlineStr">
        <is>
          <t>BV-RBA-016</t>
        </is>
      </c>
      <c r="B495" s="19" t="inlineStr">
        <is>
          <t>Role-based access</t>
        </is>
      </c>
      <c r="C495" s="19" t="inlineStr">
        <is>
          <t>Accounting: every permitted screen loads its data without error</t>
        </is>
      </c>
      <c r="D495" s="19" t="inlineStr">
        <is>
          <t>Pass</t>
        </is>
      </c>
      <c r="E495" s="19" t="inlineStr"/>
      <c r="F495" s="19" t="inlineStr"/>
      <c r="G495" s="19" t="inlineStr"/>
      <c r="H495" s="19" t="inlineStr"/>
      <c r="I495" s="19" t="inlineStr">
        <is>
          <t>Menu screens of Accounting</t>
        </is>
      </c>
      <c r="J495" s="19" t="inlineStr">
        <is>
          <t>91 screens opened; problems: Accounts &gt; Incentive &gt; My Programs: 1 element(s) clipped at 1440 px / Master &gt; Finance &gt; Premium Taxes &amp; LGU Rates: failed API call 403 GET /placements/options, console error: Failed to load resource: the server responded with a status of 403 (Forbidden)</t>
        </is>
      </c>
    </row>
    <row r="496">
      <c r="A496" s="19" t="inlineStr">
        <is>
          <t>BV-RBA-017</t>
        </is>
      </c>
      <c r="B496" s="19" t="inlineStr">
        <is>
          <t>Role-based access</t>
        </is>
      </c>
      <c r="C496" s="19" t="inlineStr">
        <is>
          <t>Accounting Manager: menu and screens match the role grants</t>
        </is>
      </c>
      <c r="D496" s="19" t="inlineStr">
        <is>
          <t>Pass</t>
        </is>
      </c>
      <c r="E496" s="19" t="inlineStr">
        <is>
          <t>brokerverse/src/utils/menuPermissions.test.js</t>
        </is>
      </c>
      <c r="F496" s="19" t="inlineStr">
        <is>
          <t>allows the role's own screens and the home route</t>
        </is>
      </c>
      <c r="G496" s="19" t="inlineStr"/>
      <c r="H496" s="19" t="inlineStr"/>
      <c r="I496" s="19" t="inlineStr">
        <is>
          <t>Menu screens of Accounting Manager</t>
        </is>
      </c>
      <c r="J496" s="19" t="inlineStr">
        <is>
          <t>91 screens available, exactly the role grants.</t>
        </is>
      </c>
    </row>
    <row r="497">
      <c r="A497" s="19" t="inlineStr">
        <is>
          <t>BV-RBA-018</t>
        </is>
      </c>
      <c r="B497" s="19" t="inlineStr">
        <is>
          <t>Role-based access</t>
        </is>
      </c>
      <c r="C497" s="19" t="inlineStr">
        <is>
          <t>Accounting Manager: a typed address outside the role is not opened</t>
        </is>
      </c>
      <c r="D497" s="19" t="inlineStr">
        <is>
          <t>Pass</t>
        </is>
      </c>
      <c r="E497" s="19" t="inlineStr">
        <is>
          <t>brokerverse/src/utils/menuPermissions.test.js
backend/test/hardening.test.js</t>
        </is>
      </c>
      <c r="F497" s="19" t="inlineStr">
        <is>
          <t>does not let the home route '/' open every screen
records the permissions required by middleware in the registry</t>
        </is>
      </c>
      <c r="G497" s="19" t="inlineStr"/>
      <c r="H497" s="19" t="inlineStr"/>
      <c r="I497" s="19" t="inlineStr">
        <is>
          <t>Menu screens of Accounting Manager</t>
        </is>
      </c>
      <c r="J497" s="19" t="inlineStr">
        <is>
          <t>All 82 addresses outside the role were refused.</t>
        </is>
      </c>
    </row>
    <row r="498">
      <c r="A498" s="19" t="inlineStr">
        <is>
          <t>BV-RBA-019</t>
        </is>
      </c>
      <c r="B498" s="19" t="inlineStr">
        <is>
          <t>Role-based access</t>
        </is>
      </c>
      <c r="C498" s="19" t="inlineStr">
        <is>
          <t>Accounting Manager: every permitted screen loads its data without error</t>
        </is>
      </c>
      <c r="D498" s="19" t="inlineStr">
        <is>
          <t>Pass</t>
        </is>
      </c>
      <c r="E498" s="19" t="inlineStr"/>
      <c r="F498" s="19" t="inlineStr"/>
      <c r="G498" s="19" t="inlineStr"/>
      <c r="H498" s="19" t="inlineStr"/>
      <c r="I498" s="19" t="inlineStr">
        <is>
          <t>Menu screens of Accounting Manager</t>
        </is>
      </c>
      <c r="J498" s="19" t="inlineStr">
        <is>
          <t>91 screens opened; problems: Accounts &gt; Incentive &gt; My Programs: 1 element(s) clipped at 1440 px / Master &gt; Finance &gt; Premium Taxes &amp; LGU Rates: failed API call 403 GET /placements/options, console error: Failed to load resource: the server responded with a status of 403 (Forbidden)</t>
        </is>
      </c>
    </row>
    <row r="499">
      <c r="A499" s="19" t="inlineStr">
        <is>
          <t>BV-PHM-001</t>
        </is>
      </c>
      <c r="B499" s="19" t="inlineStr">
        <is>
          <t>Philippine reference masters</t>
        </is>
      </c>
      <c r="C499" s="19" t="inlineStr">
        <is>
          <t>PSGC 2Q 2026 regions, provinces, cities and municipalities are delivered</t>
        </is>
      </c>
      <c r="D499" s="19" t="inlineStr">
        <is>
          <t>Pass</t>
        </is>
      </c>
      <c r="E499" s="19" t="inlineStr">
        <is>
          <t>backend/test/addresses.test.js
backend/test/addresses.test.js
backend/test/addresses.test.js</t>
        </is>
      </c>
      <c r="F499" s="19" t="inlineStr">
        <is>
          <t>ships 18 regions, 82 provinces, 1,642 cities and municipalities with PSGC codes
labels the State master Province and keeps its API code and field names
the reference seed is the one generated from the shipped PSGC files</t>
        </is>
      </c>
      <c r="G499" s="19" t="n"/>
      <c r="H499" s="19" t="n"/>
      <c r="I499" s="19" t="n"/>
      <c r="J499" s="19" t="n"/>
    </row>
    <row r="500">
      <c r="A500" s="19" t="inlineStr">
        <is>
          <t>BV-PHM-002</t>
        </is>
      </c>
      <c r="B500" s="19" t="inlineStr">
        <is>
          <t>Philippine reference masters</t>
        </is>
      </c>
      <c r="C500" s="19" t="inlineStr">
        <is>
          <t>Region, province, city and barangay drill down in an address</t>
        </is>
      </c>
      <c r="D500" s="19" t="inlineStr">
        <is>
          <t>Pass</t>
        </is>
      </c>
      <c r="E500" s="19" t="inlineStr">
        <is>
          <t>backend/test/addresses.test.js
backend/test/addresses.test.js
brokerverse/src/agentModule/component/PhAddressFields/PhAddressFields.test.jsx</t>
        </is>
      </c>
      <c r="F500" s="19" t="inlineStr">
        <is>
          <t>walks NCR -&gt; Metro Manila -&gt; Makati City -&gt; barangays, by id
accepts codes, PSGC codes and names for the parent; filters provinces by region
shows the Philippine address parts, the barangay as free text when the list is not loaded</t>
        </is>
      </c>
      <c r="G500" s="19" t="n"/>
      <c r="H500" s="19" t="n"/>
      <c r="I500" s="19" t="n"/>
      <c r="J500" s="19" t="n"/>
    </row>
    <row r="501">
      <c r="A501" s="19" t="inlineStr">
        <is>
          <t>BV-PHM-003</t>
        </is>
      </c>
      <c r="B501" s="19" t="inlineStr">
        <is>
          <t>Philippine reference masters</t>
        </is>
      </c>
      <c r="C501" s="19" t="inlineStr">
        <is>
          <t>A ZIP code fills the city, province and region</t>
        </is>
      </c>
      <c r="D501" s="19" t="inlineStr">
        <is>
          <t>Pass</t>
        </is>
      </c>
      <c r="E501" s="19" t="inlineStr">
        <is>
          <t>backend/test/addresses.test.js
brokerverse/src/agentModule/component/PhAddressFields/PhAddressFields.test.jsx</t>
        </is>
      </c>
      <c r="F501" s="19" t="inlineStr">
        <is>
          <t>suggests the ZIP code of a city and fills an address from a ZIP code
fills city, province and region from a ZIP code typed first</t>
        </is>
      </c>
      <c r="G501" s="19" t="n"/>
      <c r="H501" s="19" t="n"/>
      <c r="I501" s="19" t="n"/>
      <c r="J501" s="19" t="n"/>
    </row>
    <row r="502">
      <c r="A502" s="19" t="inlineStr">
        <is>
          <t>BV-PHM-004</t>
        </is>
      </c>
      <c r="B502" s="19" t="inlineStr">
        <is>
          <t>Philippine reference masters</t>
        </is>
      </c>
      <c r="C502" s="19" t="inlineStr">
        <is>
          <t>Barangays of a region load once with a dry run first</t>
        </is>
      </c>
      <c r="D502" s="19" t="inlineStr">
        <is>
          <t>Pass</t>
        </is>
      </c>
      <c r="E502" s="19" t="inlineStr">
        <is>
          <t>backend/test/addresses.test.js</t>
        </is>
      </c>
      <c r="F502" s="19" t="inlineStr">
        <is>
          <t>loads the barangays of a region once (dry run first), keeps those entered by hand, and fills ZIP codes</t>
        </is>
      </c>
      <c r="G502" s="19" t="n"/>
      <c r="H502" s="19" t="n"/>
      <c r="I502" s="19" t="n"/>
      <c r="J502" s="19" t="n"/>
    </row>
    <row r="503">
      <c r="A503" s="19" t="inlineStr">
        <is>
          <t>BV-PHM-005</t>
        </is>
      </c>
      <c r="B503" s="19" t="inlineStr">
        <is>
          <t>Philippine reference masters</t>
        </is>
      </c>
      <c r="C503" s="19" t="inlineStr">
        <is>
          <t>Street and region are stored and the region follows the province</t>
        </is>
      </c>
      <c r="D503" s="19" t="inlineStr">
        <is>
          <t>Pass</t>
        </is>
      </c>
      <c r="E503" s="19" t="inlineStr">
        <is>
          <t>backend/test/addresses.test.js</t>
        </is>
      </c>
      <c r="F503" s="19" t="inlineStr">
        <is>
          <t>stores street and region; fills the region from the province</t>
        </is>
      </c>
      <c r="G503" s="19" t="n"/>
      <c r="H503" s="19" t="n"/>
      <c r="I503" s="19" t="n"/>
      <c r="J503" s="19" t="n"/>
    </row>
    <row r="504">
      <c r="A504" s="19" t="inlineStr">
        <is>
          <t>BV-PHM-006</t>
        </is>
      </c>
      <c r="B504" s="19" t="inlineStr">
        <is>
          <t>Philippine reference masters</t>
        </is>
      </c>
      <c r="C504" s="19" t="inlineStr">
        <is>
          <t>Address lists need a signed-in user</t>
        </is>
      </c>
      <c r="D504" s="19" t="inlineStr">
        <is>
          <t>Pass</t>
        </is>
      </c>
      <c r="E504" s="19" t="inlineStr">
        <is>
          <t>backend/test/addresses.test.js</t>
        </is>
      </c>
      <c r="F504" s="19" t="inlineStr">
        <is>
          <t>requires a signed-in user</t>
        </is>
      </c>
      <c r="G504" s="19" t="n"/>
      <c r="H504" s="19" t="n"/>
      <c r="I504" s="19" t="n"/>
      <c r="J504" s="19" t="n"/>
    </row>
    <row r="505">
      <c r="A505" s="19" t="inlineStr">
        <is>
          <t>BV-PHM-007</t>
        </is>
      </c>
      <c r="B505" s="19" t="inlineStr">
        <is>
          <t>Philippine reference masters</t>
        </is>
      </c>
      <c r="C505" s="19" t="inlineStr">
        <is>
          <t>Salutations, civil status, ID types, customer types, payment modes and holidays are delivered</t>
        </is>
      </c>
      <c r="D505" s="19" t="inlineStr">
        <is>
          <t>Not Run</t>
        </is>
      </c>
      <c r="E505" s="19" t="n"/>
      <c r="F505" s="19" t="n"/>
      <c r="G505" s="19" t="n"/>
      <c r="H505" s="19" t="n"/>
      <c r="I505" s="19" t="n"/>
      <c r="J505" s="19" t="n"/>
    </row>
    <row r="506">
      <c r="A506" s="19" t="inlineStr">
        <is>
          <t>BV-PHM-008</t>
        </is>
      </c>
      <c r="B506" s="19" t="inlineStr">
        <is>
          <t>Philippine reference masters</t>
        </is>
      </c>
      <c r="C506" s="19" t="inlineStr">
        <is>
          <t>Philippine banks and the IC-licensed non-life insurers are delivered with certificate fields</t>
        </is>
      </c>
      <c r="D506" s="19" t="inlineStr">
        <is>
          <t>Not Run</t>
        </is>
      </c>
      <c r="E506" s="19" t="n"/>
      <c r="F506" s="19" t="n"/>
      <c r="G506" s="19" t="n"/>
      <c r="H506" s="19" t="n"/>
      <c r="I506" s="19" t="n"/>
      <c r="J506" s="19" t="n"/>
    </row>
    <row r="507">
      <c r="A507" s="19" t="inlineStr">
        <is>
          <t>BV-PHM-009</t>
        </is>
      </c>
      <c r="B507" s="19" t="inlineStr">
        <is>
          <t>Philippine reference masters</t>
        </is>
      </c>
      <c r="C507" s="19" t="inlineStr">
        <is>
          <t>Working-day deadlines skip weekends and national holidays</t>
        </is>
      </c>
      <c r="D507" s="19" t="inlineStr">
        <is>
          <t>Pass</t>
        </is>
      </c>
      <c r="E507" s="19" t="inlineStr">
        <is>
          <t>backend/test/aml.test.js</t>
        </is>
      </c>
      <c r="F507" s="19" t="inlineStr">
        <is>
          <t>works an STR case from alerts to the filed report with the due date in working days</t>
        </is>
      </c>
      <c r="G507" s="19" t="n"/>
      <c r="H507" s="19" t="n"/>
      <c r="I507" s="19" t="n"/>
      <c r="J507" s="19" t="n"/>
    </row>
    <row r="508">
      <c r="A508" s="19" t="inlineStr">
        <is>
          <t>BV-NAV-001</t>
        </is>
      </c>
      <c r="B508" s="19" t="inlineStr">
        <is>
          <t>Navigation and help</t>
        </is>
      </c>
      <c r="C508" s="19" t="inlineStr">
        <is>
          <t>Master lists its screens in sections, three levels at most</t>
        </is>
      </c>
      <c r="D508" s="19" t="inlineStr">
        <is>
          <t>Pass</t>
        </is>
      </c>
      <c r="E508" s="19" t="inlineStr">
        <is>
          <t>brokerverse/src/utils/menuPermissions.test.js
brokerverse/src/utils/menuPermissions.test.js</t>
        </is>
      </c>
      <c r="F508" s="19" t="inlineStr">
        <is>
          <t>Master holds sections of screens, no deeper groups
is at most three levels deep, with icons on the top level only</t>
        </is>
      </c>
      <c r="G508" s="19" t="n"/>
      <c r="H508" s="19" t="n"/>
      <c r="I508" s="19" t="n"/>
      <c r="J508" s="19" t="n"/>
    </row>
    <row r="509">
      <c r="A509" s="19" t="inlineStr">
        <is>
          <t>BV-NAV-002</t>
        </is>
      </c>
      <c r="B509" s="19" t="inlineStr">
        <is>
          <t>Navigation and help</t>
        </is>
      </c>
      <c r="C509" s="19" t="inlineStr">
        <is>
          <t>Each role sees only its menus and Home where it works from it</t>
        </is>
      </c>
      <c r="D509" s="19" t="inlineStr">
        <is>
          <t>Pass</t>
        </is>
      </c>
      <c r="E509" s="19" t="inlineStr">
        <is>
          <t>brokerverse/src/utils/menuPermissions.test.js
brokerverse/src/utils/menuPermissions.test.js
brokerverse/src/utils/menuPermissions.test.js</t>
        </is>
      </c>
      <c r="F509" s="19" t="inlineStr">
        <is>
          <t>a role with a dashboard still lands on it, not on Home
withdrawn role codes (a token issued before the rename) grant nothing
Home is a top-level entry for the roles that work from it, not inside Operations</t>
        </is>
      </c>
      <c r="G509" s="19" t="n"/>
      <c r="H509" s="19" t="n"/>
      <c r="I509" s="19" t="n"/>
      <c r="J509" s="19" t="n"/>
    </row>
    <row r="510">
      <c r="A510" s="19" t="inlineStr">
        <is>
          <t>BV-NAV-003</t>
        </is>
      </c>
      <c r="B510" s="19" t="inlineStr">
        <is>
          <t>Navigation and help</t>
        </is>
      </c>
      <c r="C510" s="19" t="inlineStr">
        <is>
          <t>Menu search finds screens with their path</t>
        </is>
      </c>
      <c r="D510" s="19" t="inlineStr">
        <is>
          <t>Pass</t>
        </is>
      </c>
      <c r="E510" s="19" t="inlineStr">
        <is>
          <t>brokerverse/src/components/SideBar/menuTree.test.js
brokerverse/src/components/SideBar/menuTree.test.js</t>
        </is>
      </c>
      <c r="F510" s="19" t="inlineStr">
        <is>
          <t>finds screens with their group path, best matches first
returns nothing for an empty query</t>
        </is>
      </c>
      <c r="G510" s="19" t="n"/>
      <c r="H510" s="19" t="n"/>
      <c r="I510" s="19" t="n"/>
      <c r="J510" s="19" t="n"/>
    </row>
    <row r="511">
      <c r="A511" s="19" t="inlineStr">
        <is>
          <t>BV-NAV-004</t>
        </is>
      </c>
      <c r="B511" s="19" t="inlineStr">
        <is>
          <t>Navigation and help</t>
        </is>
      </c>
      <c r="C511" s="19" t="inlineStr">
        <is>
          <t>F1 opens the help for the screen in use</t>
        </is>
      </c>
      <c r="D511" s="19" t="inlineStr">
        <is>
          <t>Pass</t>
        </is>
      </c>
      <c r="E511" s="19" t="inlineStr">
        <is>
          <t>brokerverse/src/components/HelpPanel/helpRoutes.test.js
brokerverse/src/components/HelpPanel/helpRoutes.test.js</t>
        </is>
      </c>
      <c r="F511" s="19" t="inlineStr">
        <is>
          <t>every menu screen has a section of its own
links only to headings of the user manual (run npm run help:build after the manual changes)</t>
        </is>
      </c>
      <c r="G511" s="19" t="n"/>
      <c r="H511" s="19" t="n"/>
      <c r="I511" s="19" t="n"/>
      <c r="J511" s="19" t="n"/>
    </row>
    <row r="512">
      <c r="A512" s="19" t="inlineStr">
        <is>
          <t>BV-NAV-005</t>
        </is>
      </c>
      <c r="B512" s="19" t="inlineStr">
        <is>
          <t>Navigation and help</t>
        </is>
      </c>
      <c r="C512" s="19" t="inlineStr">
        <is>
          <t>Raise a support ticket from the Help panel</t>
        </is>
      </c>
      <c r="D512" s="19" t="inlineStr">
        <is>
          <t>Pass</t>
        </is>
      </c>
      <c r="E512" s="19" t="inlineStr">
        <is>
          <t>brokerverse/src/components/HelpPanel/helpRoutes.test.js
brokerverse/src/components/HelpPanel/helpRoutes.test.js</t>
        </is>
      </c>
      <c r="F512" s="19" t="inlineStr">
        <is>
          <t>fills the ticket with the screen, the user, the version and the time
shows only what is set, and only a web address as the portal</t>
        </is>
      </c>
      <c r="G512" s="19" t="n"/>
      <c r="H512" s="19" t="n"/>
      <c r="I512" s="19" t="n"/>
      <c r="J512" s="19" t="n"/>
    </row>
    <row r="513">
      <c r="A513" s="19" t="inlineStr">
        <is>
          <t>BV-NAV-006</t>
        </is>
      </c>
      <c r="B513" s="19" t="inlineStr">
        <is>
          <t>Navigation and help</t>
        </is>
      </c>
      <c r="C513" s="19" t="inlineStr">
        <is>
          <t>Lists show skeleton rows while the first page loads</t>
        </is>
      </c>
      <c r="D513" s="19" t="inlineStr">
        <is>
          <t>Pass</t>
        </is>
      </c>
      <c r="E513" s="19" t="inlineStr">
        <is>
          <t>brokerverse/src/components/DataTable/DataTable.test.jsx
brokerverse/src/components/DataTable/DataTable.test.jsx
brokerverse/src/components/DataTable/DataTable.test.jsx</t>
        </is>
      </c>
      <c r="F513" s="19" t="inlineStr">
        <is>
          <t>draws the column headings and as many skeleton rows as the page size while the first page loads
shows the rows once they arrive, and keeps them under the veil on a refresh
says No records when the load finished empty</t>
        </is>
      </c>
      <c r="G513" s="19" t="n"/>
      <c r="H513" s="19" t="n"/>
      <c r="I513" s="19" t="n"/>
      <c r="J513" s="19" t="n"/>
    </row>
    <row r="514">
      <c r="A514" s="19" t="inlineStr">
        <is>
          <t>BV-NAV-007</t>
        </is>
      </c>
      <c r="B514" s="19" t="inlineStr">
        <is>
          <t>Navigation and help</t>
        </is>
      </c>
      <c r="C514" s="19" t="inlineStr">
        <is>
          <t>A typed address outside the role is refused</t>
        </is>
      </c>
      <c r="D514" s="19" t="inlineStr">
        <is>
          <t>Pass</t>
        </is>
      </c>
      <c r="E514" s="19" t="inlineStr">
        <is>
          <t>brokerverse/src/utils/menuPermissions.test.js
brokerverse/src/utils/canOpen.test.js</t>
        </is>
      </c>
      <c r="F514" s="19" t="inlineStr">
        <is>
          <t>does not let the home route '/' open every screen
claims users are not offered Create Policy (Leads) nor Bulk Upload (write:policies)</t>
        </is>
      </c>
      <c r="G514" s="19" t="n"/>
      <c r="H514" s="19" t="n"/>
      <c r="I514" s="19" t="n"/>
      <c r="J514" s="19" t="n"/>
    </row>
    <row r="515">
      <c r="A515" s="19" t="inlineStr">
        <is>
          <t>BV-MYW-001</t>
        </is>
      </c>
      <c r="B515" s="19" t="inlineStr">
        <is>
          <t>My Work</t>
        </is>
      </c>
      <c r="C515" s="19" t="inlineStr">
        <is>
          <t>My Items lists the items of the user by category</t>
        </is>
      </c>
      <c r="D515" s="19" t="inlineStr">
        <is>
          <t>Pass</t>
        </is>
      </c>
      <c r="E515" s="19" t="inlineStr">
        <is>
          <t>backend/test/my-work.test.js
backend/test/my-work.test.js
brokerverse/src/module/MyWork/MyWork.test.jsx</t>
        </is>
      </c>
      <c r="F515" s="19" t="inlineStr">
        <is>
          <t>sales sees its own book: quotation, premium due, expiring policy, missing ID
summary counts by category and the header figures, only categories the role may read
shows the header figures, the categories with counts and the user's items</t>
        </is>
      </c>
      <c r="G515" s="19" t="n"/>
      <c r="H515" s="19" t="n"/>
      <c r="I515" s="19" t="n"/>
      <c r="J515" s="19" t="n"/>
    </row>
    <row r="516">
      <c r="A516" s="19" t="inlineStr">
        <is>
          <t>BV-MYW-002</t>
        </is>
      </c>
      <c r="B516" s="19" t="inlineStr">
        <is>
          <t>My Work</t>
        </is>
      </c>
      <c r="C516" s="19" t="inlineStr">
        <is>
          <t>A manager sees the team by reporting line</t>
        </is>
      </c>
      <c r="D516" s="19" t="inlineStr">
        <is>
          <t>Pass</t>
        </is>
      </c>
      <c r="E516" s="19" t="inlineStr">
        <is>
          <t>backend/test/my-work.test.js
backend/test/my-work.test.js
brokerverse/src/module/MyWork/MyWork.test.jsx</t>
        </is>
      </c>
      <c r="F516" s="19" t="inlineStr">
        <is>
          <t>a manager sees the team (users reporting to them), not their own scope nor other teams
team scope refuses a user outside the team; a user without a team has an empty team view
a manager has the My Team tab with the per-person breakdown</t>
        </is>
      </c>
      <c r="G516" s="19" t="n"/>
      <c r="H516" s="19" t="n"/>
      <c r="I516" s="19" t="n"/>
      <c r="J516" s="19" t="n"/>
    </row>
    <row r="517">
      <c r="A517" s="19" t="inlineStr">
        <is>
          <t>BV-MYW-003</t>
        </is>
      </c>
      <c r="B517" s="19" t="inlineStr">
        <is>
          <t>My Work</t>
        </is>
      </c>
      <c r="C517" s="19" t="inlineStr">
        <is>
          <t>A user sees approvals of others, never their own submission</t>
        </is>
      </c>
      <c r="D517" s="19" t="inlineStr">
        <is>
          <t>Pass</t>
        </is>
      </c>
      <c r="E517" s="19" t="inlineStr">
        <is>
          <t>backend/test/my-work.test.js</t>
        </is>
      </c>
      <c r="F517" s="19" t="inlineStr">
        <is>
          <t>accounting sees the approvals of others, never its own submission</t>
        </is>
      </c>
      <c r="G517" s="19" t="n"/>
      <c r="H517" s="19" t="n"/>
      <c r="I517" s="19" t="n"/>
      <c r="J517" s="19" t="n"/>
    </row>
    <row r="518">
      <c r="A518" s="19" t="inlineStr">
        <is>
          <t>BV-MYW-004</t>
        </is>
      </c>
      <c r="B518" s="19" t="inlineStr">
        <is>
          <t>My Work</t>
        </is>
      </c>
      <c r="C518" s="19" t="inlineStr">
        <is>
          <t>A claims lead reassigns a claim within the team</t>
        </is>
      </c>
      <c r="D518" s="19" t="inlineStr">
        <is>
          <t>Pass</t>
        </is>
      </c>
      <c r="E518" s="19" t="inlineStr">
        <is>
          <t>backend/test/my-work.test.js
backend/test/my-work.test.js</t>
        </is>
      </c>
      <c r="F518" s="19" t="inlineStr">
        <is>
          <t>the claims lead hands a claim of their team to another team member
refuses a reassignment outside one's team or without the module permission</t>
        </is>
      </c>
      <c r="G518" s="19" t="n"/>
      <c r="H518" s="19" t="n"/>
      <c r="I518" s="19" t="n"/>
      <c r="J518" s="19" t="n"/>
    </row>
    <row r="519">
      <c r="A519" s="19" t="inlineStr">
        <is>
          <t>BV-MYW-005</t>
        </is>
      </c>
      <c r="B519" s="19" t="inlineStr">
        <is>
          <t>My Work</t>
        </is>
      </c>
      <c r="C519" s="19" t="inlineStr">
        <is>
          <t>Create, complete and reopen a task with a reminder</t>
        </is>
      </c>
      <c r="D519" s="19" t="inlineStr">
        <is>
          <t>Pass</t>
        </is>
      </c>
      <c r="E519" s="19" t="inlineStr">
        <is>
          <t>backend/test/my-work.test.js
backend/test/my-work.test.js
backend/test/my-work.test.js
brokerverse/src/module/MyWork/logic.test.js</t>
        </is>
      </c>
      <c r="F519" s="19" t="inlineStr">
        <is>
          <t>a user creates their own task with a reminder; a manager assigns one to their team member
completes and reopens a task, with the audit trail
notifies reminders when they come and an overdue task once
validates the title, date, time and related record</t>
        </is>
      </c>
      <c r="G519" s="19" t="n"/>
      <c r="H519" s="19" t="n"/>
      <c r="I519" s="19" t="n"/>
      <c r="J519" s="19" t="n"/>
    </row>
    <row r="520">
      <c r="A520" s="19" t="inlineStr">
        <is>
          <t>BV-MYW-006</t>
        </is>
      </c>
      <c r="B520" s="19" t="inlineStr">
        <is>
          <t>My Work</t>
        </is>
      </c>
      <c r="C520" s="19" t="inlineStr">
        <is>
          <t>Promises to pay, renewal next steps and claim follow-ups become tasks</t>
        </is>
      </c>
      <c r="D520" s="19" t="inlineStr">
        <is>
          <t>Pass</t>
        </is>
      </c>
      <c r="E520" s="19" t="inlineStr">
        <is>
          <t>backend/test/my-work.test.js</t>
        </is>
      </c>
      <c r="F520" s="19" t="inlineStr">
        <is>
          <t>a promise to pay, a renewal next step and a claim follow-up date become tasks; closing the record closes them</t>
        </is>
      </c>
      <c r="G520" s="19" t="n"/>
      <c r="H520" s="19" t="n"/>
      <c r="I520" s="19" t="n"/>
      <c r="J520" s="19" t="n"/>
    </row>
    <row r="521">
      <c r="A521" s="19" t="inlineStr">
        <is>
          <t>BV-MYW-007</t>
        </is>
      </c>
      <c r="B521" s="19" t="inlineStr">
        <is>
          <t>My Work</t>
        </is>
      </c>
      <c r="C521" s="19" t="inlineStr">
        <is>
          <t>Calendar shows tasks and items by day</t>
        </is>
      </c>
      <c r="D521" s="19" t="inlineStr">
        <is>
          <t>Pass</t>
        </is>
      </c>
      <c r="E521" s="19" t="inlineStr">
        <is>
          <t>backend/test/my-work.test.js
brokerverse/src/module/MyWork/logic.test.js</t>
        </is>
      </c>
      <c r="F521" s="19" t="inlineStr">
        <is>
          <t>agenda: items due in a date range for the calendar
shows one day, or seven days from the chosen day (also across a month end)</t>
        </is>
      </c>
      <c r="G521" s="19" t="n"/>
      <c r="H521" s="19" t="n"/>
      <c r="I521" s="19" t="n"/>
      <c r="J521" s="19" t="n"/>
    </row>
    <row r="522">
      <c r="A522" s="19" t="inlineStr">
        <is>
          <t>BV-MYW-008</t>
        </is>
      </c>
      <c r="B522" s="19" t="inlineStr">
        <is>
          <t>My Work</t>
        </is>
      </c>
      <c r="C522" s="19" t="inlineStr">
        <is>
          <t>A user limited to their own book never sees another book</t>
        </is>
      </c>
      <c r="D522" s="19" t="inlineStr">
        <is>
          <t>Pass</t>
        </is>
      </c>
      <c r="E522" s="19" t="inlineStr">
        <is>
          <t>backend/test/my-work.test.js</t>
        </is>
      </c>
      <c r="F522" s="19" t="inlineStr">
        <is>
          <t>a user limited to their own book never sees another book, even with scope all</t>
        </is>
      </c>
      <c r="G522" s="19" t="n"/>
      <c r="H522" s="19" t="n"/>
      <c r="I522" s="19" t="n"/>
      <c r="J522" s="19" t="n"/>
    </row>
    <row r="523">
      <c r="A523" s="19" t="inlineStr">
        <is>
          <t>BV-PCR-001</t>
        </is>
      </c>
      <c r="B523" s="19" t="inlineStr">
        <is>
          <t>Product rules in the flow</t>
        </is>
      </c>
      <c r="C523" s="19" t="inlineStr">
        <is>
          <t>A vehicle within 15 years is accepted automatically</t>
        </is>
      </c>
      <c r="D523" s="19" t="inlineStr">
        <is>
          <t>Pass</t>
        </is>
      </c>
      <c r="E523" s="19" t="inlineStr">
        <is>
          <t>backend/test/product-rules-in-flow.test.js</t>
        </is>
      </c>
      <c r="F523" s="19" t="inlineStr">
        <is>
          <t>auto-accepts a vehicle within 15 years</t>
        </is>
      </c>
      <c r="G523" s="19" t="n"/>
      <c r="H523" s="19" t="n"/>
      <c r="I523" s="19" t="n"/>
      <c r="J523" s="19" t="n"/>
    </row>
    <row r="524">
      <c r="A524" s="19" t="inlineStr">
        <is>
          <t>BV-PCR-002</t>
        </is>
      </c>
      <c r="B524" s="19" t="inlineStr">
        <is>
          <t>Product rules in the flow</t>
        </is>
      </c>
      <c r="C524" s="19" t="inlineStr">
        <is>
          <t>An older vehicle is referred to the authority role</t>
        </is>
      </c>
      <c r="D524" s="19" t="inlineStr">
        <is>
          <t>Pass</t>
        </is>
      </c>
      <c r="E524" s="19" t="inlineStr">
        <is>
          <t>backend/test/product-rules-in-flow.test.js
backend/test/product-rules-in-flow.test.js
backend/test/product-rules-in-flow.test.js</t>
        </is>
      </c>
      <c r="F524" s="19" t="inlineStr">
        <is>
          <t>refers a 16-year-old vehicle to the rule's authority (Processing Team) and blocks sending, approval and issuance
lets only the authority role approve the referral, within its authority limit
a declined referral rejects the quotation</t>
        </is>
      </c>
      <c r="G524" s="19" t="n"/>
      <c r="H524" s="19" t="n"/>
      <c r="I524" s="19" t="n"/>
      <c r="J524" s="19" t="n"/>
    </row>
    <row r="525">
      <c r="A525" s="19" t="inlineStr">
        <is>
          <t>BV-PCR-003</t>
        </is>
      </c>
      <c r="B525" s="19" t="inlineStr">
        <is>
          <t>Product rules in the flow</t>
        </is>
      </c>
      <c r="C525" s="19" t="inlineStr">
        <is>
          <t>A PUV is declined by rule</t>
        </is>
      </c>
      <c r="D525" s="19" t="inlineStr">
        <is>
          <t>Pass</t>
        </is>
      </c>
      <c r="E525" s="19" t="inlineStr">
        <is>
          <t>backend/test/product-rules-in-flow.test.js</t>
        </is>
      </c>
      <c r="F525" s="19" t="inlineStr">
        <is>
          <t>declines a PUV with the rule's message (vehicle use stated, or assumed from a PUJ / bus class)</t>
        </is>
      </c>
      <c r="G525" s="19" t="n"/>
      <c r="H525" s="19" t="n"/>
      <c r="I525" s="19" t="n"/>
      <c r="J525" s="19" t="n"/>
    </row>
    <row r="526">
      <c r="A526" s="19" t="inlineStr">
        <is>
          <t>BV-PCR-004</t>
        </is>
      </c>
      <c r="B526" s="19" t="inlineStr">
        <is>
          <t>Product rules in the flow</t>
        </is>
      </c>
      <c r="C526" s="19" t="inlineStr">
        <is>
          <t>Loading rules and rating factors change the premium</t>
        </is>
      </c>
      <c r="D526" s="19" t="inlineStr">
        <is>
          <t>Pass</t>
        </is>
      </c>
      <c r="E526" s="19" t="inlineStr">
        <is>
          <t>backend/test/product-rules-in-flow.test.js
backend/test/product-rules-in-flow.test.js</t>
        </is>
      </c>
      <c r="F526" s="19" t="inlineStr">
        <is>
          <t>adds the loading of a loading rule to the net premium (driver under 21: 15%)
applies a rating factor of the template to the premium (vehicle age band)</t>
        </is>
      </c>
      <c r="G526" s="19" t="n"/>
      <c r="H526" s="19" t="n"/>
      <c r="I526" s="19" t="n"/>
      <c r="J526" s="19" t="n"/>
    </row>
    <row r="527">
      <c r="A527" s="19" t="inlineStr">
        <is>
          <t>BV-PCR-005</t>
        </is>
      </c>
      <c r="B527" s="19" t="inlineStr">
        <is>
          <t>Product rules in the flow</t>
        </is>
      </c>
      <c r="C527" s="19" t="inlineStr">
        <is>
          <t>An insurer-specific rule applies only to that insurer</t>
        </is>
      </c>
      <c r="D527" s="19" t="inlineStr">
        <is>
          <t>Pass</t>
        </is>
      </c>
      <c r="E527" s="19" t="inlineStr">
        <is>
          <t>backend/test/product-rules-in-flow.test.js
backend/test/product-rules-in-flow.test.js</t>
        </is>
      </c>
      <c r="F527" s="19" t="inlineStr">
        <is>
          <t>applies an insurer-specific rule only to that insurer
declines an insurer whose own acceptance rule declines the risk on the slip</t>
        </is>
      </c>
      <c r="G527" s="19" t="n"/>
      <c r="H527" s="19" t="n"/>
      <c r="I527" s="19" t="n"/>
      <c r="J527" s="19" t="n"/>
    </row>
    <row r="528">
      <c r="A528" s="19" t="inlineStr">
        <is>
          <t>BV-PCR-006</t>
        </is>
      </c>
      <c r="B528" s="19" t="inlineStr">
        <is>
          <t>Product rules in the flow</t>
        </is>
      </c>
      <c r="C528" s="19" t="inlineStr">
        <is>
          <t>An insurer outside the product market is refused on a request for quotation</t>
        </is>
      </c>
      <c r="D528" s="19" t="inlineStr">
        <is>
          <t>Pass</t>
        </is>
      </c>
      <c r="E528" s="19" t="inlineStr">
        <is>
          <t>backend/test/product-rules-in-flow.test.js
backend/test/product-rules-in-flow.test.js</t>
        </is>
      </c>
      <c r="F528" s="19" t="inlineStr">
        <is>
          <t>refuses an insurer outside the product market on a Request for Quotation
computes the year-to-date production of a market mapping from the policies issued</t>
        </is>
      </c>
      <c r="G528" s="19" t="n"/>
      <c r="H528" s="19" t="n"/>
      <c r="I528" s="19" t="n"/>
      <c r="J528" s="19" t="n"/>
    </row>
    <row r="529">
      <c r="A529" s="19" t="inlineStr">
        <is>
          <t>BV-PCR-007</t>
        </is>
      </c>
      <c r="B529" s="19" t="inlineStr">
        <is>
          <t>Product rules in the flow</t>
        </is>
      </c>
      <c r="C529" s="19" t="inlineStr">
        <is>
          <t>A rule that cannot be evaluated is refused; changes are audited</t>
        </is>
      </c>
      <c r="D529" s="19" t="inlineStr">
        <is>
          <t>Pass</t>
        </is>
      </c>
      <c r="E529" s="19" t="inlineStr">
        <is>
          <t>backend/test/product-rules-in-flow.test.js
backend/test/product-rules-in-flow.test.js
brokerverse/src/module/ProductConfigurator/shared/ruleLogic.test.js</t>
        </is>
      </c>
      <c r="F529" s="19" t="inlineStr">
        <is>
          <t>refuses rules that cannot be evaluated and keeps an audit history
tests a risk against a template from the Acceptance Rules screen
asks for the value, a number for a number field, the loading % and the authority role</t>
        </is>
      </c>
      <c r="G529" s="19" t="n"/>
      <c r="H529" s="19" t="n"/>
      <c r="I529" s="19" t="n"/>
      <c r="J529" s="19" t="n"/>
    </row>
    <row r="530">
      <c r="A530" s="19" t="inlineStr">
        <is>
          <t>BV-PCR-008</t>
        </is>
      </c>
      <c r="B530" s="19" t="inlineStr">
        <is>
          <t>Product rules in the flow</t>
        </is>
      </c>
      <c r="C530" s="19" t="inlineStr">
        <is>
          <t>An uploaded layout with merge fields prints the policy schedule</t>
        </is>
      </c>
      <c r="D530" s="19" t="inlineStr">
        <is>
          <t>Pass</t>
        </is>
      </c>
      <c r="E530" s="19" t="inlineStr">
        <is>
          <t>backend/test/product-rules-in-flow.test.js
backend/test/product-rules-in-flow.test.js
brokerverse/src/module/ProductConfigurator/shared/ruleLogic.test.js</t>
        </is>
      </c>
      <c r="F530" s="19" t="inlineStr">
        <is>
          <t>refuses an invalid upload and uses a valid uploaded layout for the printed and e-mailed policy schedule
prints the standard schedule with the product cover terms until a layout is uploaded
lists the merge fields used and the unknown ones</t>
        </is>
      </c>
      <c r="G530" s="19" t="n"/>
      <c r="H530" s="19" t="n"/>
      <c r="I530" s="19" t="n"/>
      <c r="J530" s="19" t="n"/>
    </row>
    <row r="531">
      <c r="A531" s="19" t="inlineStr">
        <is>
          <t>BV-PCR-009</t>
        </is>
      </c>
      <c r="B531" s="19" t="inlineStr">
        <is>
          <t>Product rules in the flow</t>
        </is>
      </c>
      <c r="C531" s="19" t="inlineStr">
        <is>
          <t>The CTPL certificate is listed among policy documents</t>
        </is>
      </c>
      <c r="D531" s="19" t="inlineStr">
        <is>
          <t>Pass</t>
        </is>
      </c>
      <c r="E531" s="19" t="inlineStr">
        <is>
          <t>backend/test/product-rules-in-flow.test.js</t>
        </is>
      </c>
      <c r="F531" s="19" t="inlineStr">
        <is>
          <t>lists the CTPL certificate among the policy documents and prints it</t>
        </is>
      </c>
      <c r="G531" s="19" t="n"/>
      <c r="H531" s="19" t="n"/>
      <c r="I531" s="19" t="n"/>
      <c r="J531" s="19" t="n"/>
    </row>
    <row r="532">
      <c r="A532" s="19" t="inlineStr">
        <is>
          <t>BV-GLW-001</t>
        </is>
      </c>
      <c r="B532" s="19" t="inlineStr">
        <is>
          <t>Go-live workbench and environments</t>
        </is>
      </c>
      <c r="C532" s="19" t="inlineStr">
        <is>
          <t>Download the configuration and migration workbooks</t>
        </is>
      </c>
      <c r="D532" s="19" t="inlineStr">
        <is>
          <t>Pass</t>
        </is>
      </c>
      <c r="E532" s="19" t="inlineStr">
        <is>
          <t>backend/test/go-live-workbench.test.js
backend/test/go-live-workbench.test.js</t>
        </is>
      </c>
      <c r="F532" s="19" t="inlineStr">
        <is>
          <t>downloads each kit as one workbook: Instructions, Lists, one sheet per object, navy headers, required marks, sample row, drop-downs
is for the System Administrator only (403 for another role)</t>
        </is>
      </c>
      <c r="G532" s="19" t="n"/>
      <c r="H532" s="19" t="n"/>
      <c r="I532" s="19" t="n"/>
      <c r="J532" s="19" t="n"/>
    </row>
    <row r="533">
      <c r="A533" s="19" t="inlineStr">
        <is>
          <t>BV-GLW-002</t>
        </is>
      </c>
      <c r="B533" s="19" t="inlineStr">
        <is>
          <t>Go-live workbench and environments</t>
        </is>
      </c>
      <c r="C533" s="19" t="inlineStr">
        <is>
          <t>Validate reports errors with sheet, row and column and refuses the load</t>
        </is>
      </c>
      <c r="D533" s="19" t="inlineStr">
        <is>
          <t>Pass</t>
        </is>
      </c>
      <c r="E533" s="19" t="inlineStr">
        <is>
          <t>backend/test/go-live-workbench.test.js
backend/test/go-live-workbench.test.js</t>
        </is>
      </c>
      <c r="F533" s="19" t="inlineStr">
        <is>
          <t>reports the rows in error (sheet, row, column, message) and refuses the load until fixed
downloads the rows in error with an Errors column; the fixed file validates and loads</t>
        </is>
      </c>
      <c r="G533" s="19" t="n"/>
      <c r="H533" s="19" t="n"/>
      <c r="I533" s="19" t="n"/>
      <c r="J533" s="19" t="n"/>
    </row>
    <row r="534">
      <c r="A534" s="19" t="inlineStr">
        <is>
          <t>BV-GLW-003</t>
        </is>
      </c>
      <c r="B534" s="19" t="inlineStr">
        <is>
          <t>Go-live workbench and environments</t>
        </is>
      </c>
      <c r="C534" s="19" t="inlineStr">
        <is>
          <t>Loading the same workbook again creates no duplicate</t>
        </is>
      </c>
      <c r="D534" s="19" t="inlineStr">
        <is>
          <t>Pass</t>
        </is>
      </c>
      <c r="E534" s="19" t="inlineStr">
        <is>
          <t>backend/test/go-live-workbench.test.js
backend/test/go-live-workbench.test.js</t>
        </is>
      </c>
      <c r="F534" s="19" t="inlineStr">
        <is>
          <t>loading the whole workbook again updates nothing and never duplicates (natural keys)
the workbook with the current data loads back into the same environment with no change (promotion round trip)</t>
        </is>
      </c>
      <c r="G534" s="19" t="n"/>
      <c r="H534" s="19" t="n"/>
      <c r="I534" s="19" t="n"/>
      <c r="J534" s="19" t="n"/>
    </row>
    <row r="535">
      <c r="A535" s="19" t="inlineStr">
        <is>
          <t>BV-GLW-004</t>
        </is>
      </c>
      <c r="B535" s="19" t="inlineStr">
        <is>
          <t>Go-live workbench and environments</t>
        </is>
      </c>
      <c r="C535" s="19" t="inlineStr">
        <is>
          <t>Migration refuses rows on or after the cutover date</t>
        </is>
      </c>
      <c r="D535" s="19" t="inlineStr">
        <is>
          <t>Pass</t>
        </is>
      </c>
      <c r="E535" s="19" t="inlineStr">
        <is>
          <t>backend/test/go-live-workbench.test.js
backend/test/go-live-workbench.test.js</t>
        </is>
      </c>
      <c r="F535" s="19" t="inlineStr">
        <is>
          <t>refuses rows dated on or after the cutover date and policies not in force
needs the cutover date</t>
        </is>
      </c>
      <c r="G535" s="19" t="n"/>
      <c r="H535" s="19" t="n"/>
      <c r="I535" s="19" t="n"/>
      <c r="J535" s="19" t="n"/>
    </row>
    <row r="536">
      <c r="A536" s="19" t="inlineStr">
        <is>
          <t>BV-GLW-005</t>
        </is>
      </c>
      <c r="B536" s="19" t="inlineStr">
        <is>
          <t>Go-live workbench and environments</t>
        </is>
      </c>
      <c r="C536" s="19" t="inlineStr">
        <is>
          <t>Migration load posts nothing and reconciles counts and totals</t>
        </is>
      </c>
      <c r="D536" s="19" t="inlineStr">
        <is>
          <t>Pass</t>
        </is>
      </c>
      <c r="E536" s="19" t="inlineStr">
        <is>
          <t>backend/test/go-live-workbench.test.js</t>
        </is>
      </c>
      <c r="F536" s="19" t="inlineStr">
        <is>
          <t>loads flagged records without journals, bills or commission accruals, with a reconciliation</t>
        </is>
      </c>
      <c r="G536" s="19" t="n"/>
      <c r="H536" s="19" t="n"/>
      <c r="I536" s="19" t="n"/>
      <c r="J536" s="19" t="n"/>
    </row>
    <row r="537">
      <c r="A537" s="19" t="inlineStr">
        <is>
          <t>BV-GLW-006</t>
        </is>
      </c>
      <c r="B537" s="19" t="inlineStr">
        <is>
          <t>Go-live workbench and environments</t>
        </is>
      </c>
      <c r="C537" s="19" t="inlineStr">
        <is>
          <t>The lock refuses the migration kit and the reset</t>
        </is>
      </c>
      <c r="D537" s="19" t="inlineStr">
        <is>
          <t>Pass</t>
        </is>
      </c>
      <c r="E537" s="19" t="inlineStr">
        <is>
          <t>backend/test/go-live-workbench.test.js
backend/test/reset-transactions.test.js</t>
        </is>
      </c>
      <c r="F537" s="19" t="inlineStr">
        <is>
          <t>refuses the migration kit once go-live is locked; the configuration kit stays available
refuses while golive.locked is on, and changes nothing</t>
        </is>
      </c>
      <c r="G537" s="19" t="n"/>
      <c r="H537" s="19" t="n"/>
      <c r="I537" s="19" t="n"/>
      <c r="J537" s="19" t="n"/>
    </row>
    <row r="538">
      <c r="A538" s="19" t="inlineStr">
        <is>
          <t>BV-GLW-007</t>
        </is>
      </c>
      <c r="B538" s="19" t="inlineStr">
        <is>
          <t>Go-live workbench and environments</t>
        </is>
      </c>
      <c r="C538" s="19" t="inlineStr">
        <is>
          <t>Compare this environment with an export of another</t>
        </is>
      </c>
      <c r="D538" s="19" t="inlineStr">
        <is>
          <t>Pass</t>
        </is>
      </c>
      <c r="E538" s="19" t="inlineStr">
        <is>
          <t>backend/test/environment-comparison.test.js
backend/test/environment-comparison.test.js
backend/test/environment-comparison.test.js</t>
        </is>
      </c>
      <c r="F538" s="19" t="inlineStr">
        <is>
          <t>an export of this same environment is Mirrored: every row identical, nothing loaded
a changed field is reported with the exact column, value in the file and value here
environment-specific fields are listed apart, not as differences; numbering counters with the toggle</t>
        </is>
      </c>
      <c r="G538" s="19" t="n"/>
      <c r="H538" s="19" t="n"/>
      <c r="I538" s="19" t="n"/>
      <c r="J538" s="19" t="n"/>
    </row>
    <row r="539">
      <c r="A539" s="19" t="inlineStr">
        <is>
          <t>BV-GLW-008</t>
        </is>
      </c>
      <c r="B539" s="19" t="inlineStr">
        <is>
          <t>Go-live workbench and environments</t>
        </is>
      </c>
      <c r="C539" s="19" t="inlineStr">
        <is>
          <t>Command-line comparison returns 0 when mirrored and 1 when different</t>
        </is>
      </c>
      <c r="D539" s="19" t="inlineStr">
        <is>
          <t>Pass</t>
        </is>
      </c>
      <c r="E539" s="19" t="inlineStr">
        <is>
          <t>backend/test/environment-comparison.test.js</t>
        </is>
      </c>
      <c r="F539" s="19" t="inlineStr">
        <is>
          <t>returns 0 when the two environments are mirrored and 1 when they differ, and writes the workbook</t>
        </is>
      </c>
      <c r="G539" s="19" t="n"/>
      <c r="H539" s="19" t="n"/>
      <c r="I539" s="19" t="n"/>
      <c r="J539" s="19" t="n"/>
    </row>
    <row r="540">
      <c r="A540" s="19" t="inlineStr">
        <is>
          <t>BV-GLW-009</t>
        </is>
      </c>
      <c r="B540" s="19" t="inlineStr">
        <is>
          <t>Go-live workbench and environments</t>
        </is>
      </c>
      <c r="C540" s="19" t="inlineStr">
        <is>
          <t>Reset removes transactions and keeps masters and configuration</t>
        </is>
      </c>
      <c r="D540" s="19" t="inlineStr">
        <is>
          <t>Pass</t>
        </is>
      </c>
      <c r="E540" s="19" t="inlineStr">
        <is>
          <t>backend/test/reset-transactions.test.js
backend/test/reset-transactions.test.js
backend/test/reset-transactions.test.js</t>
        </is>
      </c>
      <c r="F540" s="19" t="inlineStr">
        <is>
          <t>dry run counts per table and changes nothing
removes the transactions and keeps masters, configuration, users and settings; numbering restarts; the ledger is empty
restarts a series at the next number configured for the period (Set next number, go-live Numbering sheet), not at 1</t>
        </is>
      </c>
      <c r="G540" s="19" t="n"/>
      <c r="H540" s="19" t="n"/>
      <c r="I540" s="19" t="n"/>
      <c r="J540" s="19" t="n"/>
    </row>
    <row r="541">
      <c r="A541" s="19" t="inlineStr">
        <is>
          <t>BV-GLW-010</t>
        </is>
      </c>
      <c r="B541" s="19" t="inlineStr">
        <is>
          <t>Go-live workbench and environments</t>
        </is>
      </c>
      <c r="C541" s="19" t="inlineStr">
        <is>
          <t>Masking a copy masks every personal value and verifies it</t>
        </is>
      </c>
      <c r="D541" s="19" t="inlineStr">
        <is>
          <t>Pass</t>
        </is>
      </c>
      <c r="E541" s="19" t="inlineStr">
        <is>
          <t>backend/test/mask-data.test.js
backend/test/mask-data.test.js
backend/test/mask-data.test.js</t>
        </is>
      </c>
      <c r="F541" s="19" t="inlineStr">
        <is>
          <t>masks every personal value, everywhere
keeps figures, balances and the trial balance
verification finds personal data left, and the files of the copy are replaced or purged</t>
        </is>
      </c>
      <c r="G541" s="19" t="n"/>
      <c r="H541" s="19" t="n"/>
      <c r="I541" s="19" t="n"/>
      <c r="J541" s="19" t="n"/>
    </row>
    <row r="542">
      <c r="A542" s="19" t="inlineStr">
        <is>
          <t>BV-GLW-011</t>
        </is>
      </c>
      <c r="B542" s="19" t="inlineStr">
        <is>
          <t>Go-live workbench and environments</t>
        </is>
      </c>
      <c r="C542" s="19" t="inlineStr">
        <is>
          <t>Masking refuses Production; --remark-copy re-marks and masks a restored copy</t>
        </is>
      </c>
      <c r="D542" s="19" t="inlineStr">
        <is>
          <t>Pass</t>
        </is>
      </c>
      <c r="E542" s="19" t="inlineStr">
        <is>
          <t>backend/test/mask-data.test.js
backend/test/mask-data.test.js
backend/test/mask-data.test.js</t>
        </is>
      </c>
      <c r="F542" s="19" t="inlineStr">
        <is>
          <t>refuses a database marked production, and a locked database without the marker
a dry run re-marks nothing; --execute re-marks the copy, records the restore and masks in the same step
registers only a database marked production</t>
        </is>
      </c>
      <c r="G542" s="19" t="n"/>
      <c r="H542" s="19" t="n"/>
      <c r="I542" s="19" t="n"/>
      <c r="J542" s="19" t="n"/>
    </row>
    <row r="543">
      <c r="A543" s="19" t="inlineStr">
        <is>
          <t>BV-GLW-012</t>
        </is>
      </c>
      <c r="B543" s="19" t="inlineStr">
        <is>
          <t>Go-live workbench and environments</t>
        </is>
      </c>
      <c r="C543" s="19" t="inlineStr">
        <is>
          <t>Schema applies once when two instances migrate together</t>
        </is>
      </c>
      <c r="D543" s="19" t="inlineStr">
        <is>
          <t>Pass</t>
        </is>
      </c>
      <c r="E543" s="19" t="inlineStr">
        <is>
          <t>backend/test/operations.test.js
backend/test/operations.test.js</t>
        </is>
      </c>
      <c r="F543" s="19" t="inlineStr">
        <is>
          <t>applies a pending migration once when two instances migrate at the same time
waits for the lock held by another instance</t>
        </is>
      </c>
      <c r="G543" s="19" t="n"/>
      <c r="H543" s="19" t="n"/>
      <c r="I543" s="19" t="n"/>
      <c r="J543" s="19" t="n"/>
    </row>
    <row r="544">
      <c r="A544" s="19" t="inlineStr">
        <is>
          <t>BV-GLW-013</t>
        </is>
      </c>
      <c r="B544" s="19" t="inlineStr">
        <is>
          <t>Go-live workbench and environments</t>
        </is>
      </c>
      <c r="C544" s="19" t="inlineStr">
        <is>
          <t>Go-live rehearsal between two environments passes every check</t>
        </is>
      </c>
      <c r="D544" s="19" t="inlineStr">
        <is>
          <t>Pass</t>
        </is>
      </c>
      <c r="E544" s="19" t="inlineStr">
        <is>
          <t>docs/e2e/GOLIVE_REHEARSAL_RUN.md</t>
        </is>
      </c>
      <c r="F544" s="19" t="inlineStr">
        <is>
          <t>go-live rehearsal run: all 51 checks passed</t>
        </is>
      </c>
      <c r="G544" s="19" t="n"/>
      <c r="H544" s="19" t="n"/>
      <c r="I544" s="19" t="n"/>
      <c r="J544" s="19" t="n"/>
    </row>
    <row r="545">
      <c r="A545" s="19" t="inlineStr">
        <is>
          <t>BV-AML-001</t>
        </is>
      </c>
      <c r="B545" s="19" t="inlineStr">
        <is>
          <t>AML/CFT</t>
        </is>
      </c>
      <c r="C545" s="19" t="inlineStr">
        <is>
          <t>Onboard an individual client before the first policy</t>
        </is>
      </c>
      <c r="D545" s="19" t="inlineStr">
        <is>
          <t>Pass</t>
        </is>
      </c>
      <c r="E545" s="19" t="inlineStr">
        <is>
          <t>backend/test/aml.test.js
backend/test/aml.test.js
brokerverse/src/module/Compliance/Compliance.test.jsx</t>
        </is>
      </c>
      <c r="F545" s="19" t="inlineStr">
        <is>
          <t>creates an individual client with its identification, rated and screened, without any policy
validates the Philippine mobile number, TIN and the identification of an individual
accepts Philippine mobile numbers and TINs only</t>
        </is>
      </c>
      <c r="G545" s="19" t="n"/>
      <c r="H545" s="19" t="n"/>
      <c r="I545" s="19" t="n"/>
      <c r="J545" s="19" t="n"/>
    </row>
    <row r="546">
      <c r="A546" s="19" t="inlineStr">
        <is>
          <t>BV-AML-002</t>
        </is>
      </c>
      <c r="B546" s="19" t="inlineStr">
        <is>
          <t>AML/CFT</t>
        </is>
      </c>
      <c r="C546" s="19" t="inlineStr">
        <is>
          <t>Onboard a juridical client with signatories and beneficial owners</t>
        </is>
      </c>
      <c r="D546" s="19" t="inlineStr">
        <is>
          <t>Pass</t>
        </is>
      </c>
      <c r="E546" s="19" t="inlineStr">
        <is>
          <t>backend/test/aml.test.js
brokerverse/src/module/Compliance/Compliance.test.jsx</t>
        </is>
      </c>
      <c r="F546" s="19" t="inlineStr">
        <is>
          <t>onboards a juridical client with registration, signatories, beneficial owners and the board resolution
requires the identification of an individual and the registration of a juridical client</t>
        </is>
      </c>
      <c r="G546" s="19" t="n"/>
      <c r="H546" s="19" t="n"/>
      <c r="I546" s="19" t="n"/>
      <c r="J546" s="19" t="n"/>
    </row>
    <row r="547">
      <c r="A547" s="19" t="inlineStr">
        <is>
          <t>BV-AML-003</t>
        </is>
      </c>
      <c r="B547" s="19" t="inlineStr">
        <is>
          <t>AML/CFT</t>
        </is>
      </c>
      <c r="C547" s="19" t="inlineStr">
        <is>
          <t>A PEP is rated High and no policy issues until EDD is approved</t>
        </is>
      </c>
      <c r="D547" s="19" t="inlineStr">
        <is>
          <t>Pass</t>
        </is>
      </c>
      <c r="E547" s="19" t="inlineStr">
        <is>
          <t>backend/test/aml.test.js
backend/test/aml.test.js</t>
        </is>
      </c>
      <c r="F547" s="19" t="inlineStr">
        <is>
          <t>rates a PEP High, opens an EDD review and refuses the policy until the compliance officer approves it
the officer who submits an EDD review cannot also approve it</t>
        </is>
      </c>
      <c r="G547" s="19" t="n"/>
      <c r="H547" s="19" t="n"/>
      <c r="I547" s="19" t="n"/>
      <c r="J547" s="19" t="n"/>
    </row>
    <row r="548">
      <c r="A548" s="19" t="inlineStr">
        <is>
          <t>BV-AML-004</t>
        </is>
      </c>
      <c r="B548" s="19" t="inlineStr">
        <is>
          <t>AML/CFT</t>
        </is>
      </c>
      <c r="C548" s="19" t="inlineStr">
        <is>
          <t>Risk score follows the factor table; override holds until KYC refresh</t>
        </is>
      </c>
      <c r="D548" s="19" t="inlineStr">
        <is>
          <t>Pass</t>
        </is>
      </c>
      <c r="E548" s="19" t="inlineStr">
        <is>
          <t>backend/test/aml.test.js
backend/test/aml.test.js</t>
        </is>
      </c>
      <c r="F548" s="19" t="inlineStr">
        <is>
          <t>scores the configurable factors and thresholds; an override holds until the KYC refresh
lists the clients due for KYC refresh per the schedule and the weekly job marks them</t>
        </is>
      </c>
      <c r="G548" s="19" t="n"/>
      <c r="H548" s="19" t="n"/>
      <c r="I548" s="19" t="n"/>
      <c r="J548" s="19" t="n"/>
    </row>
    <row r="549">
      <c r="A549" s="19" t="inlineStr">
        <is>
          <t>BV-AML-005</t>
        </is>
      </c>
      <c r="B549" s="19" t="inlineStr">
        <is>
          <t>AML/CFT</t>
        </is>
      </c>
      <c r="C549" s="19" t="inlineStr">
        <is>
          <t>Upload a list version; every client is screened again</t>
        </is>
      </c>
      <c r="D549" s="19" t="inlineStr">
        <is>
          <t>Pass</t>
        </is>
      </c>
      <c r="E549" s="19" t="inlineStr">
        <is>
          <t>backend/test/aml.test.js
backend/test/aml.test.js
backend/test/aml.test.js</t>
        </is>
      </c>
      <c r="F549" s="19" t="inlineStr">
        <is>
          <t>loads a versioned list from CSV and rescreens every client: a new match is queued
uploads the UN consolidated list as XML with its checksum and searches its entries
reads the UN consolidated list XML</t>
        </is>
      </c>
      <c r="G549" s="19" t="n"/>
      <c r="H549" s="19" t="n"/>
      <c r="I549" s="19" t="n"/>
      <c r="J549" s="19" t="n"/>
    </row>
    <row r="550">
      <c r="A550" s="19" t="inlineStr">
        <is>
          <t>BV-AML-006</t>
        </is>
      </c>
      <c r="B550" s="19" t="inlineStr">
        <is>
          <t>AML/CFT</t>
        </is>
      </c>
      <c r="C550" s="19" t="inlineStr">
        <is>
          <t>An open hit blocks issue and payouts; Clear is remembered</t>
        </is>
      </c>
      <c r="D550" s="19" t="inlineStr">
        <is>
          <t>Pass</t>
        </is>
      </c>
      <c r="E550" s="19" t="inlineStr">
        <is>
          <t>backend/test/aml.test.js
backend/test/aml.test.js
backend/test/aml.test.js</t>
        </is>
      </c>
      <c r="F550" s="19" t="inlineStr">
        <is>
          <t>refuses the policy while the hit is open; once cleared the same match is cleared again automatically
screens the claimant at a claim payment through the same payout check
internal negative list: an entry added on screen makes a version and a confirmed match blocks payouts</t>
        </is>
      </c>
      <c r="G550" s="19" t="n"/>
      <c r="H550" s="19" t="n"/>
      <c r="I550" s="19" t="n"/>
      <c r="J550" s="19" t="n"/>
    </row>
    <row r="551">
      <c r="A551" s="19" t="inlineStr">
        <is>
          <t>BV-AML-007</t>
        </is>
      </c>
      <c r="B551" s="19" t="inlineStr">
        <is>
          <t>AML/CFT</t>
        </is>
      </c>
      <c r="C551" s="19" t="inlineStr">
        <is>
          <t>Names match regardless of order, accents, honorifics and legal forms</t>
        </is>
      </c>
      <c r="D551" s="19" t="inlineStr">
        <is>
          <t>Pass</t>
        </is>
      </c>
      <c r="E551" s="19" t="inlineStr">
        <is>
          <t>backend/test/aml.test.js
backend/test/aml.test.js</t>
        </is>
      </c>
      <c r="F551" s="19" t="inlineStr">
        <is>
          <t>normalises names and ignores word order, accents, honorifics and legal forms
matches aliases and lowers the score for another year of birth</t>
        </is>
      </c>
      <c r="G551" s="19" t="n"/>
      <c r="H551" s="19" t="n"/>
      <c r="I551" s="19" t="n"/>
      <c r="J551" s="19" t="n"/>
    </row>
    <row r="552">
      <c r="A552" s="19" t="inlineStr">
        <is>
          <t>BV-AML-008</t>
        </is>
      </c>
      <c r="B552" s="19" t="inlineStr">
        <is>
          <t>AML/CFT</t>
        </is>
      </c>
      <c r="C552" s="19" t="inlineStr">
        <is>
          <t>Cash above PHP 500,000 in one banking day raises a covered transaction</t>
        </is>
      </c>
      <c r="D552" s="19" t="inlineStr">
        <is>
          <t>Pass</t>
        </is>
      </c>
      <c r="E552" s="19" t="inlineStr">
        <is>
          <t>backend/test/aml.test.js</t>
        </is>
      </c>
      <c r="F552" s="19" t="inlineStr">
        <is>
          <t>flags cash above PHP 500,000 in one banking day and structured cash below it</t>
        </is>
      </c>
      <c r="G552" s="19" t="n"/>
      <c r="H552" s="19" t="n"/>
      <c r="I552" s="19" t="n"/>
      <c r="J552" s="19" t="n"/>
    </row>
    <row r="553">
      <c r="A553" s="19" t="inlineStr">
        <is>
          <t>BV-AML-009</t>
        </is>
      </c>
      <c r="B553" s="19" t="inlineStr">
        <is>
          <t>AML/CFT</t>
        </is>
      </c>
      <c r="C553" s="19" t="inlineStr">
        <is>
          <t>Third-party refund, overpayment refunded and early cancellation are flagged</t>
        </is>
      </c>
      <c r="D553" s="19" t="inlineStr">
        <is>
          <t>Pass</t>
        </is>
      </c>
      <c r="E553" s="19" t="inlineStr">
        <is>
          <t>backend/test/aml.test.js
backend/test/aml.test.js</t>
        </is>
      </c>
      <c r="F553" s="19" t="inlineStr">
        <is>
          <t>flags a refund to a third party, an overpayment refunded and an early cancellation with return premium
closes a suspicious alert with a reason; the daily job runs the rules</t>
        </is>
      </c>
      <c r="G553" s="19" t="n"/>
      <c r="H553" s="19" t="n"/>
      <c r="I553" s="19" t="n"/>
      <c r="J553" s="19" t="n"/>
    </row>
    <row r="554">
      <c r="A554" s="19" t="inlineStr">
        <is>
          <t>BV-AML-010</t>
        </is>
      </c>
      <c r="B554" s="19" t="inlineStr">
        <is>
          <t>AML/CFT</t>
        </is>
      </c>
      <c r="C554" s="19" t="inlineStr">
        <is>
          <t>Generate the CTR file and record the filing</t>
        </is>
      </c>
      <c r="D554" s="19" t="inlineStr">
        <is>
          <t>Pass</t>
        </is>
      </c>
      <c r="E554" s="19" t="inlineStr">
        <is>
          <t>backend/test/aml.test.js</t>
        </is>
      </c>
      <c r="F554" s="19" t="inlineStr">
        <is>
          <t>generates the CTR file in the AMLC layout, marks it submitted and keeps the alerts reported</t>
        </is>
      </c>
      <c r="G554" s="19" t="n"/>
      <c r="H554" s="19" t="n"/>
      <c r="I554" s="19" t="n"/>
      <c r="J554" s="19" t="n"/>
    </row>
    <row r="555">
      <c r="A555" s="19" t="inlineStr">
        <is>
          <t>BV-AML-011</t>
        </is>
      </c>
      <c r="B555" s="19" t="inlineStr">
        <is>
          <t>AML/CFT</t>
        </is>
      </c>
      <c r="C555" s="19" t="inlineStr">
        <is>
          <t>Work an STR case to the filed report</t>
        </is>
      </c>
      <c r="D555" s="19" t="inlineStr">
        <is>
          <t>Pass</t>
        </is>
      </c>
      <c r="E555" s="19" t="inlineStr">
        <is>
          <t>backend/test/aml.test.js</t>
        </is>
      </c>
      <c r="F555" s="19" t="inlineStr">
        <is>
          <t>works an STR case from alerts to the filed report with the due date in working days</t>
        </is>
      </c>
      <c r="G555" s="19" t="n"/>
      <c r="H555" s="19" t="n"/>
      <c r="I555" s="19" t="n"/>
      <c r="J555" s="19" t="n"/>
    </row>
    <row r="556">
      <c r="A556" s="19" t="inlineStr">
        <is>
          <t>BV-AML-012</t>
        </is>
      </c>
      <c r="B556" s="19" t="inlineStr">
        <is>
          <t>AML/CFT</t>
        </is>
      </c>
      <c r="C556" s="19" t="inlineStr">
        <is>
          <t>Compliance officer reads clients but cannot post receipts; records kept 5 years</t>
        </is>
      </c>
      <c r="D556" s="19" t="inlineStr">
        <is>
          <t>Pass</t>
        </is>
      </c>
      <c r="E556" s="19" t="inlineStr">
        <is>
          <t>backend/test/aml.test.js
backend/test/aml.test.js
backend/test/aml.test.js
brokerverse/src/module/Compliance/Compliance.test.jsx</t>
        </is>
      </c>
      <c r="F556" s="19" t="inlineStr">
        <is>
          <t>holds the AML permissions and reads clients, but cannot post receipts
shows the counts on the AML dashboard and keeps AML records for 5 years
screens through the provider adapter in test mode, logs every request and retries failures
is open to the compliance officer and the administrator, with EDD Reviews for Operations</t>
        </is>
      </c>
      <c r="G556" s="19" t="n"/>
      <c r="H556" s="19" t="n"/>
      <c r="I556" s="19" t="n"/>
      <c r="J556" s="19" t="n"/>
    </row>
    <row r="557">
      <c r="A557" s="19" t="inlineStr">
        <is>
          <t>BV-ICC-001</t>
        </is>
      </c>
      <c r="B557" s="19" t="inlineStr">
        <is>
          <t>IC compliance</t>
        </is>
      </c>
      <c r="C557" s="19" t="inlineStr">
        <is>
          <t>Record licences and see their state and expiry calendar</t>
        </is>
      </c>
      <c r="D557" s="19" t="inlineStr">
        <is>
          <t>Pass</t>
        </is>
      </c>
      <c r="E557" s="19" t="inlineStr">
        <is>
          <t>backend/test/ic-compliance.test.js (package B branch)
backend/test/ic-compliance.test.js (package B branch)</t>
        </is>
      </c>
      <c r="F557" s="19" t="inlineStr">
        <is>
          <t>records the firm licence, a referrer licence, and computes the state and the expiry calendar
renews: a new licence term, the old one superseded; Excel export</t>
        </is>
      </c>
      <c r="G557" s="19" t="n"/>
      <c r="H557" s="19" t="n"/>
      <c r="I557" s="19" t="n"/>
      <c r="J557" s="19" t="n"/>
    </row>
    <row r="558">
      <c r="A558" s="19" t="inlineStr">
        <is>
          <t>BV-ICC-002</t>
        </is>
      </c>
      <c r="B558" s="19" t="inlineStr">
        <is>
          <t>IC compliance</t>
        </is>
      </c>
      <c r="C558" s="19" t="inlineStr">
        <is>
          <t>Reminders at each threshold, once</t>
        </is>
      </c>
      <c r="D558" s="19" t="inlineStr">
        <is>
          <t>Pass</t>
        </is>
      </c>
      <c r="E558" s="19" t="inlineStr">
        <is>
          <t>backend/test/ic-compliance.test.js (package B branch)</t>
        </is>
      </c>
      <c r="F558" s="19" t="inlineStr">
        <is>
          <t>reminds the compliance team once per threshold (compliance.licence_reminder_days) and marks the renewal due</t>
        </is>
      </c>
      <c r="G558" s="19" t="n"/>
      <c r="H558" s="19" t="n"/>
      <c r="I558" s="19" t="n"/>
      <c r="J558" s="19" t="n"/>
    </row>
    <row r="559">
      <c r="A559" s="19" t="inlineStr">
        <is>
          <t>BV-ICC-003</t>
        </is>
      </c>
      <c r="B559" s="19" t="inlineStr">
        <is>
          <t>IC compliance</t>
        </is>
      </c>
      <c r="C559" s="19" t="inlineStr">
        <is>
          <t>Commission to an unlicensed agent is blocked</t>
        </is>
      </c>
      <c r="D559" s="19" t="inlineStr">
        <is>
          <t>Pass</t>
        </is>
      </c>
      <c r="E559" s="19" t="inlineStr">
        <is>
          <t>backend/test/ic-compliance.test.js (package B branch)
backend/test/ic-compliance.test.js (package B branch)</t>
        </is>
      </c>
      <c r="F559" s="19" t="inlineStr">
        <is>
          <t>block: an agent without a licence cannot be approved, have a payout generated or a payout voucher approved
warn: the payout goes ahead, the warning is returned and recorded; off: no check; a referrer type without licence is not checked</t>
        </is>
      </c>
      <c r="G559" s="19" t="n"/>
      <c r="H559" s="19" t="n"/>
      <c r="I559" s="19" t="n"/>
      <c r="J559" s="19" t="n"/>
    </row>
    <row r="560">
      <c r="A560" s="19" t="inlineStr">
        <is>
          <t>BV-ICC-004</t>
        </is>
      </c>
      <c r="B560" s="19" t="inlineStr">
        <is>
          <t>IC compliance</t>
        </is>
      </c>
      <c r="C560" s="19" t="inlineStr">
        <is>
          <t>Record a director with declarations and a review</t>
        </is>
      </c>
      <c r="D560" s="19" t="inlineStr">
        <is>
          <t>Pass</t>
        </is>
      </c>
      <c r="E560" s="19" t="inlineStr">
        <is>
          <t>backend/test/ic-compliance.test.js (package B branch)
backend/test/ic-compliance.test.js (package B branch)</t>
        </is>
      </c>
      <c r="F560" s="19" t="inlineStr">
        <is>
          <t>adds a director with the configured declarations, needs remarks on a "no", reviews and sets the next review
is read by Accounting but written only by the compliance roles</t>
        </is>
      </c>
      <c r="G560" s="19" t="n"/>
      <c r="H560" s="19" t="n"/>
      <c r="I560" s="19" t="n"/>
      <c r="J560" s="19" t="n"/>
    </row>
    <row r="561">
      <c r="A561" s="19" t="inlineStr">
        <is>
          <t>BV-ICC-005</t>
        </is>
      </c>
      <c r="B561" s="19" t="inlineStr">
        <is>
          <t>IC compliance</t>
        </is>
      </c>
      <c r="C561" s="19" t="inlineStr">
        <is>
          <t>Placement with an insurer whose certificate expired is refused in block mode</t>
        </is>
      </c>
      <c r="D561" s="19" t="inlineStr">
        <is>
          <t>Pass</t>
        </is>
      </c>
      <c r="E561" s="19" t="inlineStr">
        <is>
          <t>backend/test/ic-compliance.test.js (package B branch)
backend/test/ic-compliance.test.js (package B branch)
backend/test/ic-compliance.test.js (package B branch)
backend/test/ic-compliance.test.js (package B branch)</t>
        </is>
      </c>
      <c r="F561" s="19" t="inlineStr">
        <is>
          <t>block: the request for quotation and the policy issue are refused with an insurer whose certificate expired
warn: allowed, with the warning in the answer and the audit trail
the daily job reminds the compliance team of expiring and expired certificates
reports each insurer's certificate: valid, expiring, expired, missing; Excel</t>
        </is>
      </c>
      <c r="G561" s="19" t="n"/>
      <c r="H561" s="19" t="n"/>
      <c r="I561" s="19" t="n"/>
      <c r="J561" s="19" t="n"/>
    </row>
    <row r="562">
      <c r="A562" s="19" t="inlineStr">
        <is>
          <t>BV-ICC-006</t>
        </is>
      </c>
      <c r="B562" s="19" t="inlineStr">
        <is>
          <t>IC compliance</t>
        </is>
      </c>
      <c r="C562" s="19" t="inlineStr">
        <is>
          <t>Premiums by insurer and IC line, split by co-insurance share</t>
        </is>
      </c>
      <c r="D562" s="19" t="inlineStr">
        <is>
          <t>Pass</t>
        </is>
      </c>
      <c r="E562" s="19" t="inlineStr">
        <is>
          <t>backend/test/ic-compliance.test.js (package B branch)</t>
        </is>
      </c>
      <c r="F562" s="19" t="inlineStr">
        <is>
          <t>production report: premiums by insurer and IC line, split by co-insurance share, by quarter; Excel in the IC layout</t>
        </is>
      </c>
      <c r="G562" s="19" t="n"/>
      <c r="H562" s="19" t="n"/>
      <c r="I562" s="19" t="n"/>
      <c r="J562" s="19" t="n"/>
    </row>
    <row r="563">
      <c r="A563" s="19" t="inlineStr">
        <is>
          <t>BV-ICC-007</t>
        </is>
      </c>
      <c r="B563" s="19" t="inlineStr">
        <is>
          <t>IC compliance</t>
        </is>
      </c>
      <c r="C563" s="19" t="inlineStr">
        <is>
          <t>Annual statement schedules from the ledger with checks</t>
        </is>
      </c>
      <c r="D563" s="19" t="inlineStr">
        <is>
          <t>Pass</t>
        </is>
      </c>
      <c r="E563" s="19" t="inlineStr">
        <is>
          <t>backend/test/ic-compliance.test.js (package B branch)
backend/test/ic-compliance.test.js (package B branch)</t>
        </is>
      </c>
      <c r="F563" s="19" t="inlineStr">
        <is>
          <t>annual statement: balance sheet that balances, income statement, schedules and the accountant confirmation sheet
the account mapping is configuration: a prefix change moves an account, accounting cannot change it</t>
        </is>
      </c>
      <c r="G563" s="19" t="n"/>
      <c r="H563" s="19" t="n"/>
      <c r="I563" s="19" t="n"/>
      <c r="J563" s="19" t="n"/>
    </row>
    <row r="564">
      <c r="A564" s="19" t="inlineStr">
        <is>
          <t>BV-ICC-008</t>
        </is>
      </c>
      <c r="B564" s="19" t="inlineStr">
        <is>
          <t>IC compliance</t>
        </is>
      </c>
      <c r="C564" s="19" t="inlineStr">
        <is>
          <t>Log, acknowledge and resolve a complaint within the deadlines</t>
        </is>
      </c>
      <c r="D564" s="19" t="inlineStr">
        <is>
          <t>Pass</t>
        </is>
      </c>
      <c r="E564" s="19" t="inlineStr">
        <is>
          <t>backend/test/ic-compliance.test.js (package B branch)
backend/test/ic-compliance.test.js (package B branch)</t>
        </is>
      </c>
      <c r="F564" s="19" t="inlineStr">
        <is>
          <t>logs a complaint linked to a policy with deadlines from the settings, assigns, acknowledges and prints the letter
resolves, refers to the regulator, closes; the regulator report counts it with its ageing</t>
        </is>
      </c>
      <c r="G564" s="19" t="n"/>
      <c r="H564" s="19" t="n"/>
      <c r="I564" s="19" t="n"/>
      <c r="J564" s="19" t="n"/>
    </row>
    <row r="565">
      <c r="A565" s="19" t="inlineStr">
        <is>
          <t>BV-ICC-009</t>
        </is>
      </c>
      <c r="B565" s="19" t="inlineStr">
        <is>
          <t>IC compliance</t>
        </is>
      </c>
      <c r="C565" s="19" t="inlineStr">
        <is>
          <t>Complex complaints get the longer deadline and overdue ones escalate</t>
        </is>
      </c>
      <c r="D565" s="19" t="inlineStr">
        <is>
          <t>Pass</t>
        </is>
      </c>
      <c r="E565" s="19" t="inlineStr">
        <is>
          <t>backend/test/ic-compliance.test.js (package B branch)</t>
        </is>
      </c>
      <c r="F565" s="19" t="inlineStr">
        <is>
          <t>a complex complaint gets the longer deadline; overdue complaints are escalated by the daily job</t>
        </is>
      </c>
      <c r="G565" s="19" t="n"/>
      <c r="H565" s="19" t="n"/>
      <c r="I565" s="19" t="n"/>
      <c r="J565" s="19" t="n"/>
    </row>
    <row r="566">
      <c r="A566" s="19" t="inlineStr">
        <is>
          <t>BV-ICC-010</t>
        </is>
      </c>
      <c r="B566" s="19" t="inlineStr">
        <is>
          <t>IC compliance</t>
        </is>
      </c>
      <c r="C566" s="19" t="inlineStr">
        <is>
          <t>Sales reads the register but cannot log complaints</t>
        </is>
      </c>
      <c r="D566" s="19" t="inlineStr">
        <is>
          <t>Pass</t>
        </is>
      </c>
      <c r="E566" s="19" t="inlineStr">
        <is>
          <t>backend/test/ic-compliance.test.js (package B branch)</t>
        </is>
      </c>
      <c r="F566" s="19" t="inlineStr">
        <is>
          <t>sales reads the register, cannot log complaints</t>
        </is>
      </c>
      <c r="G566" s="19" t="n"/>
      <c r="H566" s="19" t="n"/>
      <c r="I566" s="19" t="n"/>
      <c r="J566" s="19" t="n"/>
    </row>
    <row r="567">
      <c r="A567" s="19" t="inlineStr">
        <is>
          <t>BV-ICC-011</t>
        </is>
      </c>
      <c r="B567" s="19" t="inlineStr">
        <is>
          <t>IC compliance</t>
        </is>
      </c>
      <c r="C567" s="19" t="inlineStr">
        <is>
          <t>Premiums payable to insurers are covered by the premium trust account</t>
        </is>
      </c>
      <c r="D567" s="19" t="inlineStr">
        <is>
          <t>Pass</t>
        </is>
      </c>
      <c r="E567" s="19" t="inlineStr">
        <is>
          <t>backend/test/ic-compliance.test.js (package B branch)</t>
        </is>
      </c>
      <c r="F567" s="19" t="inlineStr">
        <is>
          <t>annual statement: balance sheet that balances, income statement, schedules and the accountant confirmation sheet</t>
        </is>
      </c>
      <c r="G567" s="19" t="n"/>
      <c r="H567" s="19" t="n"/>
      <c r="I567" s="19" t="n"/>
      <c r="J567" s="19" t="n"/>
    </row>
    <row r="568">
      <c r="A568" s="19" t="inlineStr">
        <is>
          <t>BV-NPC-001</t>
        </is>
      </c>
      <c r="B568" s="19" t="inlineStr">
        <is>
          <t>Personal data protection</t>
        </is>
      </c>
      <c r="C568" s="19" t="inlineStr">
        <is>
          <t>Log a breach with the 72-hour clock from discovery</t>
        </is>
      </c>
      <c r="D568" s="19" t="inlineStr">
        <is>
          <t>Pass</t>
        </is>
      </c>
      <c r="E568" s="19" t="inlineStr">
        <is>
          <t>backend/test/data-breaches.test.js (package B branch)</t>
        </is>
      </c>
      <c r="F568" s="19" t="inlineStr">
        <is>
          <t>logs a breach with the 72-hour deadline from discovery and notifies the data privacy team</t>
        </is>
      </c>
      <c r="G568" s="19" t="n"/>
      <c r="H568" s="19" t="n"/>
      <c r="I568" s="19" t="n"/>
      <c r="J568" s="19" t="n"/>
    </row>
    <row r="569">
      <c r="A569" s="19" t="inlineStr">
        <is>
          <t>BV-NPC-002</t>
        </is>
      </c>
      <c r="B569" s="19" t="inlineStr">
        <is>
          <t>Personal data protection</t>
        </is>
      </c>
      <c r="C569" s="19" t="inlineStr">
        <is>
          <t>Assess against the NPC criteria; another decision needs a reason</t>
        </is>
      </c>
      <c r="D569" s="19" t="inlineStr">
        <is>
          <t>Pass</t>
        </is>
      </c>
      <c r="E569" s="19" t="inlineStr">
        <is>
          <t>backend/test/data-breaches.test.js (package B branch)</t>
        </is>
      </c>
      <c r="F569" s="19" t="inlineStr">
        <is>
          <t>assesses against the NPC criteria; a different decision needs a reason</t>
        </is>
      </c>
      <c r="G569" s="19" t="n"/>
      <c r="H569" s="19" t="n"/>
      <c r="I569" s="19" t="n"/>
      <c r="J569" s="19" t="n"/>
    </row>
    <row r="570">
      <c r="A570" s="19" t="inlineStr">
        <is>
          <t>BV-NPC-003</t>
        </is>
      </c>
      <c r="B570" s="19" t="inlineStr">
        <is>
          <t>Personal data protection</t>
        </is>
      </c>
      <c r="C570" s="19" t="inlineStr">
        <is>
          <t>Record NPC notification (late needs a reason), data subjects and close</t>
        </is>
      </c>
      <c r="D570" s="19" t="inlineStr">
        <is>
          <t>Pass</t>
        </is>
      </c>
      <c r="E570" s="19" t="inlineStr">
        <is>
          <t>backend/test/data-breaches.test.js (package B branch)
backend/test/data-breaches.test.js (package B branch)</t>
        </is>
      </c>
      <c r="F570" s="19" t="inlineStr">
        <is>
          <t>records the NPC notification (late needs a reason), the data subjects notified, and closes
the hourly job reminds as the deadline nears and once it has passed, once per mark</t>
        </is>
      </c>
      <c r="G570" s="19" t="n"/>
      <c r="H570" s="19" t="n"/>
      <c r="I570" s="19" t="n"/>
      <c r="J570" s="19" t="n"/>
    </row>
    <row r="571">
      <c r="A571" s="19" t="inlineStr">
        <is>
          <t>BV-NPC-004</t>
        </is>
      </c>
      <c r="B571" s="19" t="inlineStr">
        <is>
          <t>Personal data protection</t>
        </is>
      </c>
      <c r="C571" s="19" t="inlineStr">
        <is>
          <t>Annual report counts incidents and breaches</t>
        </is>
      </c>
      <c r="D571" s="19" t="inlineStr">
        <is>
          <t>Pass</t>
        </is>
      </c>
      <c r="E571" s="19" t="inlineStr">
        <is>
          <t>backend/test/data-breaches.test.js (package B branch)
backend/test/data-breaches.test.js (package B branch)</t>
        </is>
      </c>
      <c r="F571" s="19" t="inlineStr">
        <is>
          <t>a security incident without personal data has no NPC clock; the annual report counts both (Excel)
is reserved to the data privacy team (read:privacy / write:privacy)</t>
        </is>
      </c>
      <c r="G571" s="19" t="n"/>
      <c r="H571" s="19" t="n"/>
      <c r="I571" s="19" t="n"/>
      <c r="J571" s="19" t="n"/>
    </row>
    <row r="572">
      <c r="A572" s="19" t="inlineStr">
        <is>
          <t>BV-NPC-005</t>
        </is>
      </c>
      <c r="B572" s="19" t="inlineStr">
        <is>
          <t>Personal data protection</t>
        </is>
      </c>
      <c r="C572" s="19" t="inlineStr">
        <is>
          <t>A user without view:pii sees personal identifiers masked</t>
        </is>
      </c>
      <c r="D572" s="19" t="inlineStr">
        <is>
          <t>Pass</t>
        </is>
      </c>
      <c r="E572" s="19" t="inlineStr">
        <is>
          <t>backend/test/personal-data-protection.test.js (package B branch)
backend/test/personal-data-protection.test.js (package B branch)
backend/test/personal-data-protection.test.js (package B branch)</t>
        </is>
      </c>
      <c r="F572" s="19" t="inlineStr">
        <is>
          <t>a user without View full personal identifiers gets TIN, ID, mobile, e-mail and birth date masked on views and lists
a form sent back with masked values does not overwrite the stored ones
exports are masked for the same users (Excel, CSV); holders get full values</t>
        </is>
      </c>
      <c r="G572" s="19" t="n"/>
      <c r="H572" s="19" t="n"/>
      <c r="I572" s="19" t="n"/>
      <c r="J572" s="19" t="n"/>
    </row>
    <row r="573">
      <c r="A573" s="19" t="inlineStr">
        <is>
          <t>BV-NPC-006</t>
        </is>
      </c>
      <c r="B573" s="19" t="inlineStr">
        <is>
          <t>Personal data protection</t>
        </is>
      </c>
      <c r="C573" s="19" t="inlineStr">
        <is>
          <t>On-request mode: holders unmask and each request is audited</t>
        </is>
      </c>
      <c r="D573" s="19" t="inlineStr">
        <is>
          <t>Pass</t>
        </is>
      </c>
      <c r="E573" s="19" t="inlineStr">
        <is>
          <t>backend/test/personal-data-protection.test.js (package B branch)
backend/test/personal-data-protection.test.js (package B branch)</t>
        </is>
      </c>
      <c r="F573" s="19" t="inlineStr">
        <is>
          <t>on-request mode: holders see masked values until they unmask; each unmasked request is in the audit trail
masking can be switched off; exempt paths answer in full</t>
        </is>
      </c>
      <c r="G573" s="19" t="n"/>
      <c r="H573" s="19" t="n"/>
      <c r="I573" s="19" t="n"/>
      <c r="J573" s="19" t="n"/>
    </row>
    <row r="574">
      <c r="A574" s="19" t="inlineStr">
        <is>
          <t>BV-NPC-007</t>
        </is>
      </c>
      <c r="B574" s="19" t="inlineStr">
        <is>
          <t>Personal data protection</t>
        </is>
      </c>
      <c r="C574" s="19" t="inlineStr">
        <is>
          <t>TIN, ID and bank numbers are stored encrypted; search by exact TIN works</t>
        </is>
      </c>
      <c r="D574" s="19" t="inlineStr">
        <is>
          <t>Pass</t>
        </is>
      </c>
      <c r="E574" s="19" t="inlineStr">
        <is>
          <t>backend/test/personal-data-protection.test.js (package B branch)
backend/test/personal-data-protection.test.js (package B branch)
backend/test/personal-data-protection.test.js (package B branch)</t>
        </is>
      </c>
      <c r="F574" s="19" t="inlineStr">
        <is>
          <t>stores TIN and government ID numbers encrypted with a blind index; the API answers them in clear
finds a client by its exact TIN in any format (list and global search)
referrer TIN and bank account are encrypted; the payout screen shows the last digits only</t>
        </is>
      </c>
      <c r="G574" s="19" t="n"/>
      <c r="H574" s="19" t="n"/>
      <c r="I574" s="19" t="n"/>
      <c r="J574" s="19" t="n"/>
    </row>
    <row r="575">
      <c r="A575" s="19" t="inlineStr">
        <is>
          <t>BV-NPC-008</t>
        </is>
      </c>
      <c r="B575" s="19" t="inlineStr">
        <is>
          <t>Personal data protection</t>
        </is>
      </c>
      <c r="C575" s="19" t="inlineStr">
        <is>
          <t>Rotate the encryption key</t>
        </is>
      </c>
      <c r="D575" s="19" t="inlineStr">
        <is>
          <t>Pass</t>
        </is>
      </c>
      <c r="E575" s="19" t="inlineStr">
        <is>
          <t>backend/test/personal-data-protection.test.js (package B branch)
backend/test/personal-data-protection.test.js (package B branch)</t>
        </is>
      </c>
      <c r="F575" s="19" t="inlineStr">
        <is>
          <t>rotates to a new key: values re-encrypted, blind indexes recomputed; old backups stay readable with the old key
the database encrypts every writer (SQL included), keeps an unchanged value, and refuses a session without the key</t>
        </is>
      </c>
      <c r="G575" s="19" t="n"/>
      <c r="H575" s="19" t="n"/>
      <c r="I575" s="19" t="n"/>
      <c r="J575" s="19" t="n"/>
    </row>
    <row r="576">
      <c r="A576" s="19" t="inlineStr">
        <is>
          <t>BV-NPC-009</t>
        </is>
      </c>
      <c r="B576" s="19" t="inlineStr">
        <is>
          <t>Personal data protection</t>
        </is>
      </c>
      <c r="C576" s="19" t="inlineStr">
        <is>
          <t>Record and withdraw consent per purpose</t>
        </is>
      </c>
      <c r="D576" s="19" t="inlineStr">
        <is>
          <t>Pass</t>
        </is>
      </c>
      <c r="E576" s="19" t="inlineStr">
        <is>
          <t>backend/test/privacy.test.js
backend/test/privacy.test.js</t>
        </is>
      </c>
      <c r="F576" s="19" t="inlineStr">
        <is>
          <t>records consent per purpose with the notice version in force, and lists the current status per purpose
withdraws a consent; the history keeps both records and a later grant becomes current</t>
        </is>
      </c>
      <c r="G576" s="19" t="n"/>
      <c r="H576" s="19" t="n"/>
      <c r="I576" s="19" t="n"/>
      <c r="J576" s="19" t="n"/>
    </row>
    <row r="577">
      <c r="A577" s="19" t="inlineStr">
        <is>
          <t>BV-NPC-010</t>
        </is>
      </c>
      <c r="B577" s="19" t="inlineStr">
        <is>
          <t>Personal data protection</t>
        </is>
      </c>
      <c r="C577" s="19" t="inlineStr">
        <is>
          <t>Log a request with its due date; export; anonymise with checks</t>
        </is>
      </c>
      <c r="D577" s="19" t="inlineStr">
        <is>
          <t>Pass</t>
        </is>
      </c>
      <c r="E577" s="19" t="inlineStr">
        <is>
          <t>backend/test/privacy.test.js
backend/test/privacy.test.js
backend/test/privacy.test.js</t>
        </is>
      </c>
      <c r="F577" s="19" t="inlineStr">
        <is>
          <t>numbers a request from the DSR series and sets the due date privacy.request_due_days after receipt
downloads the export as a workbook
refuses a client with a policy in force, a balance due and an open claim, listing the reasons</t>
        </is>
      </c>
      <c r="G577" s="19" t="n"/>
      <c r="H577" s="19" t="n"/>
      <c r="I577" s="19" t="n"/>
      <c r="J577" s="19" t="n"/>
    </row>
    <row r="578">
      <c r="A578" s="19" t="inlineStr">
        <is>
          <t>BV-NPC-011</t>
        </is>
      </c>
      <c r="B578" s="19" t="inlineStr">
        <is>
          <t>Personal data protection</t>
        </is>
      </c>
      <c r="C578" s="19" t="inlineStr">
        <is>
          <t>Audit Trail screen shows labelled events and masks ID numbers</t>
        </is>
      </c>
      <c r="D578" s="19" t="inlineStr">
        <is>
          <t>Pass</t>
        </is>
      </c>
      <c r="E578" s="19" t="inlineStr">
        <is>
          <t>backend/test/audit-events.test.js
backend/test/audit-events.test.js
backend/test/audit-events.test.js</t>
        </is>
      </c>
      <c r="F578" s="19" t="inlineStr">
        <is>
          <t>never shows secrets and masks ID numbers without read:privacy
pages the audit log as events with filters and downloads it
never shows password hashes or secrets in the trail</t>
        </is>
      </c>
      <c r="G578" s="19" t="n"/>
      <c r="H578" s="19" t="n"/>
      <c r="I578" s="19" t="n"/>
      <c r="J578" s="19" t="n"/>
    </row>
    <row r="579">
      <c r="A579" s="19" t="inlineStr">
        <is>
          <t>BV-BIR-001</t>
        </is>
      </c>
      <c r="B579" s="19" t="inlineStr">
        <is>
          <t>BIR forms and invoicing</t>
        </is>
      </c>
      <c r="C579" s="19" t="inlineStr">
        <is>
          <t>Quarterly EWT return per ATC reconciled with QAP and ledger</t>
        </is>
      </c>
      <c r="D579" s="19" t="inlineStr">
        <is>
          <t>Pass</t>
        </is>
      </c>
      <c r="E579" s="19" t="inlineStr">
        <is>
          <t>backend/test/bir-forms.test.js</t>
        </is>
      </c>
      <c r="F579" s="19" t="inlineStr">
        <is>
          <t>computes the quarterly return per ATC from the vouchers and reconciles it with the QAP and the ledger</t>
        </is>
      </c>
      <c r="G579" s="19" t="n"/>
      <c r="H579" s="19" t="n"/>
      <c r="I579" s="19" t="n"/>
      <c r="J579" s="19" t="n"/>
    </row>
    <row r="580">
      <c r="A580" s="19" t="inlineStr">
        <is>
          <t>BV-BIR-002</t>
        </is>
      </c>
      <c r="B580" s="19" t="inlineStr">
        <is>
          <t>BIR forms and invoicing</t>
        </is>
      </c>
      <c r="C580" s="19" t="inlineStr">
        <is>
          <t>0619-E only for months 1 and 2; filings deducted on 1601-EQ</t>
        </is>
      </c>
      <c r="D580" s="19" t="inlineStr">
        <is>
          <t>Pass</t>
        </is>
      </c>
      <c r="E580" s="19" t="inlineStr">
        <is>
          <t>backend/test/bir-forms.test.js</t>
        </is>
      </c>
      <c r="F580" s="19" t="inlineStr">
        <is>
          <t>refuses a 0619-E for the third month of a quarter and records filings that the 1601-EQ deducts</t>
        </is>
      </c>
      <c r="G580" s="19" t="n"/>
      <c r="H580" s="19" t="n"/>
      <c r="I580" s="19" t="n"/>
      <c r="J580" s="19" t="n"/>
    </row>
    <row r="581">
      <c r="A581" s="19" t="inlineStr">
        <is>
          <t>BV-BIR-003</t>
        </is>
      </c>
      <c r="B581" s="19" t="inlineStr">
        <is>
          <t>BIR forms and invoicing</t>
        </is>
      </c>
      <c r="C581" s="19" t="inlineStr">
        <is>
          <t>Print and export the return; only Accounting records filings</t>
        </is>
      </c>
      <c r="D581" s="19" t="inlineStr">
        <is>
          <t>Pass</t>
        </is>
      </c>
      <c r="E581" s="19" t="inlineStr">
        <is>
          <t>backend/test/bir-forms.test.js
brokerverse/src/module/BirTax/BirTax.test.jsx</t>
        </is>
      </c>
      <c r="F581" s="19" t="inlineStr">
        <is>
          <t>prints the return as PDF and exports it to Excel; only Accounting may record filings
opens the tax screens and the insurer overrides to Accounting only</t>
        </is>
      </c>
      <c r="G581" s="19" t="n"/>
      <c r="H581" s="19" t="n"/>
      <c r="I581" s="19" t="n"/>
      <c r="J581" s="19" t="n"/>
    </row>
    <row r="582">
      <c r="A582" s="19" t="inlineStr">
        <is>
          <t>BV-BIR-004</t>
        </is>
      </c>
      <c r="B582" s="19" t="inlineStr">
        <is>
          <t>BIR forms and invoicing</t>
        </is>
      </c>
      <c r="C582" s="19" t="inlineStr">
        <is>
          <t>Annual alphalist per payee and ATC with monthly remittances</t>
        </is>
      </c>
      <c r="D582" s="19" t="inlineStr">
        <is>
          <t>Pass</t>
        </is>
      </c>
      <c r="E582" s="19" t="inlineStr">
        <is>
          <t>backend/test/bir-forms.test.js</t>
        </is>
      </c>
      <c r="F582" s="19" t="inlineStr">
        <is>
          <t>lists every payee of the year per ATC with the tax withheld, and the remittances per month</t>
        </is>
      </c>
      <c r="G582" s="19" t="n"/>
      <c r="H582" s="19" t="n"/>
      <c r="I582" s="19" t="n"/>
      <c r="J582" s="19" t="n"/>
    </row>
    <row r="583">
      <c r="A583" s="19" t="inlineStr">
        <is>
          <t>BV-BIR-005</t>
        </is>
      </c>
      <c r="B583" s="19" t="inlineStr">
        <is>
          <t>BIR forms and invoicing</t>
        </is>
      </c>
      <c r="C583" s="19" t="inlineStr">
        <is>
          <t>QAP, SAWT, 1604-E and SLSP DAT files follow the documented layout</t>
        </is>
      </c>
      <c r="D583" s="19" t="inlineStr">
        <is>
          <t>Pass</t>
        </is>
      </c>
      <c r="E583" s="19" t="inlineStr">
        <is>
          <t>backend/test/bir-forms.test.js
backend/test/bir-forms.test.js</t>
        </is>
      </c>
      <c r="F583" s="19" t="inlineStr">
        <is>
          <t>writes the QAP, SAWT, 1604-E and SLSP files exactly as the documented layout (fixed expected files)
builds the files from the alphalist reports and the 1604-E schedules</t>
        </is>
      </c>
      <c r="G583" s="19" t="n"/>
      <c r="H583" s="19" t="n"/>
      <c r="I583" s="19" t="n"/>
      <c r="J583" s="19" t="n"/>
    </row>
    <row r="584">
      <c r="A584" s="19" t="inlineStr">
        <is>
          <t>BV-BIR-006</t>
        </is>
      </c>
      <c r="B584" s="19" t="inlineStr">
        <is>
          <t>BIR forms and invoicing</t>
        </is>
      </c>
      <c r="C584" s="19" t="inlineStr">
        <is>
          <t>Percentage tax of a non-VAT broker</t>
        </is>
      </c>
      <c r="D584" s="19" t="inlineStr">
        <is>
          <t>Pass</t>
        </is>
      </c>
      <c r="E584" s="19" t="inlineStr">
        <is>
          <t>backend/test/bir-forms.test.js</t>
        </is>
      </c>
      <c r="F584" s="19" t="inlineStr">
        <is>
          <t>computes the percentage tax of a non-VAT broker on the ledger revenue at the configured rate</t>
        </is>
      </c>
      <c r="G584" s="19" t="n"/>
      <c r="H584" s="19" t="n"/>
      <c r="I584" s="19" t="n"/>
      <c r="J584" s="19" t="n"/>
    </row>
    <row r="585">
      <c r="A585" s="19" t="inlineStr">
        <is>
          <t>BV-BIR-007</t>
        </is>
      </c>
      <c r="B585" s="19" t="inlineStr">
        <is>
          <t>BIR forms and invoicing</t>
        </is>
      </c>
      <c r="C585" s="19" t="inlineStr">
        <is>
          <t>Issue EOPT sales invoices with required fields and serial control</t>
        </is>
      </c>
      <c r="D585" s="19" t="inlineStr">
        <is>
          <t>Pass</t>
        </is>
      </c>
      <c r="E585" s="19" t="inlineStr">
        <is>
          <t>backend/test/bir-forms.test.js
backend/test/bir-forms.test.js</t>
        </is>
      </c>
      <c r="F585" s="19" t="inlineStr">
        <is>
          <t>issues numbered invoices with the required fields, posts a manual invoice and acknowledges its payments
invoices a commission debit note once, keeps numbers without gaps and stops at the registered serial range</t>
        </is>
      </c>
      <c r="G585" s="19" t="n"/>
      <c r="H585" s="19" t="n"/>
      <c r="I585" s="19" t="n"/>
      <c r="J585" s="19" t="n"/>
    </row>
    <row r="586">
      <c r="A586" s="19" t="inlineStr">
        <is>
          <t>BV-BIR-008</t>
        </is>
      </c>
      <c r="B586" s="19" t="inlineStr">
        <is>
          <t>BIR forms and invoicing</t>
        </is>
      </c>
      <c r="C586" s="19" t="inlineStr">
        <is>
          <t>E-invoices are queued, signed and sent in test mode</t>
        </is>
      </c>
      <c r="D586" s="19" t="inlineStr">
        <is>
          <t>Pass</t>
        </is>
      </c>
      <c r="E586" s="19" t="inlineStr">
        <is>
          <t>backend/test/bir-forms.test.js
backend/test/bir-forms.test.js</t>
        </is>
      </c>
      <c r="F586" s="19" t="inlineStr">
        <is>
          <t>builds a signed payload; switched off nothing is queued
queues invoices and cancellations, sends them to the fake provider, retries failures and supports the manual fallback</t>
        </is>
      </c>
      <c r="G586" s="19" t="n"/>
      <c r="H586" s="19" t="n"/>
      <c r="I586" s="19" t="n"/>
      <c r="J586" s="19" t="n"/>
    </row>
    <row r="587">
      <c r="A587" s="19" t="inlineStr">
        <is>
          <t>BV-BIR-009</t>
        </is>
      </c>
      <c r="B587" s="19" t="inlineStr">
        <is>
          <t>BIR forms and invoicing</t>
        </is>
      </c>
      <c r="C587" s="19" t="inlineStr">
        <is>
          <t>Print loose-leaf books with running page numbers</t>
        </is>
      </c>
      <c r="D587" s="19" t="inlineStr">
        <is>
          <t>Pass</t>
        </is>
      </c>
      <c r="E587" s="19" t="inlineStr">
        <is>
          <t>backend/test/bir-forms.test.js
backend/test/bir-forms.test.js</t>
        </is>
      </c>
      <c r="F587" s="19" t="inlineStr">
        <is>
          <t>prints the loose-leaf books with page numbers running on through the year, reprints and voids
produces the system description, the backup procedure, the audit trail extract and the checklist</t>
        </is>
      </c>
      <c r="G587" s="19" t="n"/>
      <c r="H587" s="19" t="n"/>
      <c r="I587" s="19" t="n"/>
      <c r="J587" s="19" t="n"/>
    </row>
    <row r="588">
      <c r="A588" s="19" t="inlineStr">
        <is>
          <t>BV-BIR-010</t>
        </is>
      </c>
      <c r="B588" s="19" t="inlineStr">
        <is>
          <t>BIR forms and invoicing</t>
        </is>
      </c>
      <c r="C588" s="19" t="inlineStr">
        <is>
          <t>Compute, approve and post overriding commission from an insurer</t>
        </is>
      </c>
      <c r="D588" s="19" t="inlineStr">
        <is>
          <t>Pass</t>
        </is>
      </c>
      <c r="E588" s="19" t="inlineStr">
        <is>
          <t>backend/test/insurer-overrides.test.js
backend/test/insurer-overrides.test.js
backend/test/insurer-overrides.test.js</t>
        </is>
      </c>
      <c r="F588" s="19" t="inlineStr">
        <is>
          <t>computes from the production, approves by a second user and posts the receivable
validates tiers and reads slab and banded tiers
creates an agreement with tiers (validated) and lists the sample agreements</t>
        </is>
      </c>
      <c r="G588" s="19" t="n"/>
      <c r="H588" s="19" t="n"/>
      <c r="I588" s="19" t="n"/>
      <c r="J588" s="19" t="n"/>
    </row>
    <row r="589">
      <c r="A589" s="19" t="inlineStr">
        <is>
          <t>BV-BIR-011</t>
        </is>
      </c>
      <c r="B589" s="19" t="inlineStr">
        <is>
          <t>BIR forms and invoicing</t>
        </is>
      </c>
      <c r="C589" s="19" t="inlineStr">
        <is>
          <t>Loss ratio basis uses system or insurer claims figure</t>
        </is>
      </c>
      <c r="D589" s="19" t="inlineStr">
        <is>
          <t>Pass</t>
        </is>
      </c>
      <c r="E589" s="19" t="inlineStr">
        <is>
          <t>backend/test/insurer-overrides.test.js</t>
        </is>
      </c>
      <c r="F589" s="19" t="inlineStr">
        <is>
          <t>reads the loss ratio (system claims or the insurer's figure) and the growth against the prior year</t>
        </is>
      </c>
      <c r="G589" s="19" t="n"/>
      <c r="H589" s="19" t="n"/>
      <c r="I589" s="19" t="n"/>
      <c r="J589" s="19" t="n"/>
    </row>
    <row r="590">
      <c r="A590" s="19" t="inlineStr">
        <is>
          <t>BV-OPX-001</t>
        </is>
      </c>
      <c r="B590" s="19" t="inlineStr">
        <is>
          <t>Operations extensions</t>
        </is>
      </c>
      <c r="C590" s="19" t="inlineStr">
        <is>
          <t>Issue a cover note from an accepted quotation</t>
        </is>
      </c>
      <c r="D590" s="19" t="inlineStr">
        <is>
          <t>Pass</t>
        </is>
      </c>
      <c r="E590" s="19" t="inlineStr">
        <is>
          <t>backend/test/ops-accounting.test.js
backend/test/ops-accounting.test.js</t>
        </is>
      </c>
      <c r="F590" s="19" t="inlineStr">
        <is>
          <t>issues a cover note from an accepted quotation for the configured validity, once
refuses a quotation the customer has not accepted</t>
        </is>
      </c>
      <c r="G590" s="19" t="n"/>
      <c r="H590" s="19" t="n"/>
      <c r="I590" s="19" t="n"/>
      <c r="J590" s="19" t="n"/>
    </row>
    <row r="591">
      <c r="A591" s="19" t="inlineStr">
        <is>
          <t>BV-OPX-002</t>
        </is>
      </c>
      <c r="B591" s="19" t="inlineStr">
        <is>
          <t>Operations extensions</t>
        </is>
      </c>
      <c r="C591" s="19" t="inlineStr">
        <is>
          <t>Policy issue supersedes the cover note; expiry job</t>
        </is>
      </c>
      <c r="D591" s="19" t="inlineStr">
        <is>
          <t>Pass</t>
        </is>
      </c>
      <c r="E591" s="19" t="inlineStr">
        <is>
          <t>backend/test/ops-accounting.test.js
backend/test/ops-accounting.test.js
backend/test/ops-accounting.test.js</t>
        </is>
      </c>
      <c r="F591" s="19" t="inlineStr">
        <is>
          <t>links the policy issued from the quotation and supersedes the cover note
reminds before expiry and expires a cover note past its end date (daily job)
prints the cover note with the letterhead</t>
        </is>
      </c>
      <c r="G591" s="19" t="n"/>
      <c r="H591" s="19" t="n"/>
      <c r="I591" s="19" t="n"/>
      <c r="J591" s="19" t="n"/>
    </row>
    <row r="592">
      <c r="A592" s="19" t="inlineStr">
        <is>
          <t>BV-OPX-003</t>
        </is>
      </c>
      <c r="B592" s="19" t="inlineStr">
        <is>
          <t>Operations extensions</t>
        </is>
      </c>
      <c r="C592" s="19" t="inlineStr">
        <is>
          <t>Short-period when the insured cancels, pro-rata when the insurer cancels</t>
        </is>
      </c>
      <c r="D592" s="19" t="inlineStr">
        <is>
          <t>Pass</t>
        </is>
      </c>
      <c r="E592" s="19" t="inlineStr">
        <is>
          <t>backend/test/ops-accounting.test.js
backend/test/ops-accounting.test.js</t>
        </is>
      </c>
      <c r="F592" s="19" t="inlineStr">
        <is>
          <t>computes short-period when the insured cancels, pro-rata when the insurer does and flat from inception
short-period scale: the band of the days in force, scaled to a year for a shorter term</t>
        </is>
      </c>
      <c r="G592" s="19" t="n"/>
      <c r="H592" s="19" t="n"/>
      <c r="I592" s="19" t="n"/>
      <c r="J592" s="19" t="n"/>
    </row>
    <row r="593">
      <c r="A593" s="19" t="inlineStr">
        <is>
          <t>BV-OPX-004</t>
        </is>
      </c>
      <c r="B593" s="19" t="inlineStr">
        <is>
          <t>Operations extensions</t>
        </is>
      </c>
      <c r="C593" s="19" t="inlineStr">
        <is>
          <t>Completing the cancellation credits the bill and reverses taxes and commission</t>
        </is>
      </c>
      <c r="D593" s="19" t="inlineStr">
        <is>
          <t>Pass</t>
        </is>
      </c>
      <c r="E593" s="19" t="inlineStr">
        <is>
          <t>backend/test/ops-accounting.test.js
backend/test/ops-accounting.test.js</t>
        </is>
      </c>
      <c r="F593" s="19" t="inlineStr">
        <is>
          <t>a cancellation endorsement carries the computed return; completing it credits the bill, reverses taxes and commission, and cancels the policy
a partial cancellation returns the premium of the part and keeps the policy in force</t>
        </is>
      </c>
      <c r="G593" s="19" t="n"/>
      <c r="H593" s="19" t="n"/>
      <c r="I593" s="19" t="n"/>
      <c r="J593" s="19" t="n"/>
    </row>
    <row r="594">
      <c r="A594" s="19" t="inlineStr">
        <is>
          <t>BV-OPX-005</t>
        </is>
      </c>
      <c r="B594" s="19" t="inlineStr">
        <is>
          <t>Operations extensions</t>
        </is>
      </c>
      <c r="C594" s="19" t="inlineStr">
        <is>
          <t>Checklist by line and claim type blocks submission until complete</t>
        </is>
      </c>
      <c r="D594" s="19" t="inlineStr">
        <is>
          <t>Pass</t>
        </is>
      </c>
      <c r="E594" s="19" t="inlineStr">
        <is>
          <t>backend/test/ops-accounting.test.js
backend/test/ops-accounting.test.js
backend/test/ops-accounting.test.js
backend/test/ops-accounting.test.js</t>
        </is>
      </c>
      <c r="F594" s="19" t="inlineStr">
        <is>
          <t>builds the checklist from the master by line of business and claim type
refuses the submission to the insurer while a required document is missing
reminds the claimant of the missing documents (by hand and by the daily job)
submits once every required document is received or waived</t>
        </is>
      </c>
      <c r="G594" s="19" t="n"/>
      <c r="H594" s="19" t="n"/>
      <c r="I594" s="19" t="n"/>
      <c r="J594" s="19" t="n"/>
    </row>
    <row r="595">
      <c r="A595" s="19" t="inlineStr">
        <is>
          <t>BV-OPX-006</t>
        </is>
      </c>
      <c r="B595" s="19" t="inlineStr">
        <is>
          <t>Operations extensions</t>
        </is>
      </c>
      <c r="C595" s="19" t="inlineStr">
        <is>
          <t>Estimate, adjuster decision and letter of authority</t>
        </is>
      </c>
      <c r="D595" s="19" t="inlineStr">
        <is>
          <t>Pass</t>
        </is>
      </c>
      <c r="E595" s="19" t="inlineStr">
        <is>
          <t>backend/test/ops-accounting.test.js
backend/test/ops-accounting.test.js
backend/test/ops-accounting.test.js</t>
        </is>
      </c>
      <c r="F595" s="19" t="inlineStr">
        <is>
          <t>records an estimate of an accredited shop (Repair Shop master maintained by Claims) and the adjuster's decision
issues the letter of authority with the participation of the insured, then a supplementary one
releases the vehicle and prints the acknowledgement</t>
        </is>
      </c>
      <c r="G595" s="19" t="n"/>
      <c r="H595" s="19" t="n"/>
      <c r="I595" s="19" t="n"/>
      <c r="J595" s="19" t="n"/>
    </row>
    <row r="596">
      <c r="A596" s="19" t="inlineStr">
        <is>
          <t>BV-OPX-007</t>
        </is>
      </c>
      <c r="B596" s="19" t="inlineStr">
        <is>
          <t>Operations extensions</t>
        </is>
      </c>
      <c r="C596" s="19" t="inlineStr">
        <is>
          <t>Jobs run in Manila time and use the Manila business date</t>
        </is>
      </c>
      <c r="D596" s="19" t="inlineStr">
        <is>
          <t>Pass</t>
        </is>
      </c>
      <c r="E596" s="19" t="inlineStr">
        <is>
          <t>backend/test/operations.test.js
backend/test/operations.test.js</t>
        </is>
      </c>
      <c r="F596" s="19" t="inlineStr">
        <is>
          <t>schedules every job in general.timezone (06:00 Manila, not 06:00 UTC) and shows the zone
uses the Manila business date, not the database current_date, in the expiry and renewal-notice jobs</t>
        </is>
      </c>
      <c r="G596" s="19" t="n"/>
      <c r="H596" s="19" t="n"/>
      <c r="I596" s="19" t="n"/>
      <c r="J596" s="19" t="n"/>
    </row>
    <row r="597">
      <c r="A597" s="19" t="inlineStr">
        <is>
          <t>BV-ACX-001</t>
        </is>
      </c>
      <c r="B597" s="19" t="inlineStr">
        <is>
          <t>Accounting extensions</t>
        </is>
      </c>
      <c r="C597" s="19" t="inlineStr">
        <is>
          <t>Register and deposit a PDC on its date</t>
        </is>
      </c>
      <c r="D597" s="19" t="inlineStr">
        <is>
          <t>Pass</t>
        </is>
      </c>
      <c r="E597" s="19" t="inlineStr">
        <is>
          <t>backend/test/ops-accounting.test.js
backend/test/ops-accounting.test.js</t>
        </is>
      </c>
      <c r="F597" s="19" t="inlineStr">
        <is>
          <t>registers cheques on hand against a bill, never more than the bill
deposits a cheque on its date: the receipt is created and posted; not before its date</t>
        </is>
      </c>
      <c r="G597" s="19" t="n"/>
      <c r="H597" s="19" t="n"/>
      <c r="I597" s="19" t="n"/>
      <c r="J597" s="19" t="n"/>
    </row>
    <row r="598">
      <c r="A598" s="19" t="inlineStr">
        <is>
          <t>BV-ACX-002</t>
        </is>
      </c>
      <c r="B598" s="19" t="inlineStr">
        <is>
          <t>Accounting extensions</t>
        </is>
      </c>
      <c r="C598" s="19" t="inlineStr">
        <is>
          <t>A bounced cheque cancels the receipt and is replaced</t>
        </is>
      </c>
      <c r="D598" s="19" t="inlineStr">
        <is>
          <t>Pass</t>
        </is>
      </c>
      <c r="E598" s="19" t="inlineStr">
        <is>
          <t>backend/test/ops-accounting.test.js</t>
        </is>
      </c>
      <c r="F598" s="19" t="inlineStr">
        <is>
          <t>a bounced cheque cancels its receipt (the bill is open again) and is replaced</t>
        </is>
      </c>
      <c r="G598" s="19" t="n"/>
      <c r="H598" s="19" t="n"/>
      <c r="I598" s="19" t="n"/>
      <c r="J598" s="19" t="n"/>
    </row>
    <row r="599">
      <c r="A599" s="19" t="inlineStr">
        <is>
          <t>BV-ACX-003</t>
        </is>
      </c>
      <c r="B599" s="19" t="inlineStr">
        <is>
          <t>Accounting extensions</t>
        </is>
      </c>
      <c r="C599" s="19" t="inlineStr">
        <is>
          <t>Issue a separate invoice per instalment</t>
        </is>
      </c>
      <c r="D599" s="19" t="inlineStr">
        <is>
          <t>Pass</t>
        </is>
      </c>
      <c r="E599" s="19" t="inlineStr">
        <is>
          <t>backend/test/ops-accounting.test.js
backend/test/ops-accounting.test.js</t>
        </is>
      </c>
      <c r="F599" s="19" t="inlineStr">
        <is>
          <t>replaces the bill by one bill per instalment with its own due date and booking journal
payments, the plan view, the ageing and the warranty monitor work per instalment</t>
        </is>
      </c>
      <c r="G599" s="19" t="n"/>
      <c r="H599" s="19" t="n"/>
      <c r="I599" s="19" t="n"/>
      <c r="J599" s="19" t="n"/>
    </row>
    <row r="600">
      <c r="A600" s="19" t="inlineStr">
        <is>
          <t>BV-ACX-004</t>
        </is>
      </c>
      <c r="B600" s="19" t="inlineStr">
        <is>
          <t>Accounting extensions</t>
        </is>
      </c>
      <c r="C600" s="19" t="inlineStr">
        <is>
          <t>Record insurer funds and pay the claimant</t>
        </is>
      </c>
      <c r="D600" s="19" t="inlineStr">
        <is>
          <t>Pass</t>
        </is>
      </c>
      <c r="E600" s="19" t="inlineStr">
        <is>
          <t>backend/test/ops-accounting.test.js</t>
        </is>
      </c>
      <c r="F600" s="19" t="inlineStr">
        <is>
          <t>lists the claim awaiting funds, records the funds and pays the claimant with a payment voucher and a release form</t>
        </is>
      </c>
      <c r="G600" s="19" t="n"/>
      <c r="H600" s="19" t="n"/>
      <c r="I600" s="19" t="n"/>
      <c r="J600" s="19" t="n"/>
    </row>
    <row r="601">
      <c r="A601" s="19" t="inlineStr">
        <is>
          <t>BV-ACX-005</t>
        </is>
      </c>
      <c r="B601" s="19" t="inlineStr">
        <is>
          <t>Accounting extensions</t>
        </is>
      </c>
      <c r="C601" s="19" t="inlineStr">
        <is>
          <t>Supplier invoice with input VAT and EWT, approved by another user</t>
        </is>
      </c>
      <c r="D601" s="19" t="inlineStr">
        <is>
          <t>Pass</t>
        </is>
      </c>
      <c r="E601" s="19" t="inlineStr">
        <is>
          <t>backend/test/ops-accounting.test.js
backend/test/ops-accounting.test.js
backend/test/ops-accounting.test.js</t>
        </is>
      </c>
      <c r="F601" s="19" t="inlineStr">
        <is>
          <t>Accounting maintains suppliers; an invoice computes input VAT and EWT and goes for approval
is approved by another user holding approve:payables and posts ap.invoice with one line per expense account
pays the invoice (ap.payment), ages what is open and reopens it when the payment is cancelled</t>
        </is>
      </c>
      <c r="G601" s="19" t="n"/>
      <c r="H601" s="19" t="n"/>
      <c r="I601" s="19" t="n"/>
      <c r="J601" s="19" t="n"/>
    </row>
    <row r="602">
      <c r="A602" s="19" t="inlineStr">
        <is>
          <t>BV-ACX-006</t>
        </is>
      </c>
      <c r="B602" s="19" t="inlineStr">
        <is>
          <t>Accounting extensions</t>
        </is>
      </c>
      <c r="C602" s="19" t="inlineStr">
        <is>
          <t>Register an asset and post monthly depreciation once</t>
        </is>
      </c>
      <c r="D602" s="19" t="inlineStr">
        <is>
          <t>Pass</t>
        </is>
      </c>
      <c r="E602" s="19" t="inlineStr">
        <is>
          <t>backend/test/ops-accounting.test.js
backend/test/ops-accounting.test.js
backend/test/ops-accounting.test.js
backend/test/ops-accounting.test.js</t>
        </is>
      </c>
      <c r="F602" s="19" t="inlineStr">
        <is>
          <t>straight-line schedule ends at the salvage value
registers an asset with the life and accounts of its class, and an asset line of a supplier invoice is capitalised
the monthly run posts one journal per class, once per period
is a step of the month-end close (nothing posted twice)</t>
        </is>
      </c>
      <c r="G602" s="19" t="n"/>
      <c r="H602" s="19" t="n"/>
      <c r="I602" s="19" t="n"/>
      <c r="J602" s="19" t="n"/>
    </row>
    <row r="603">
      <c r="A603" s="19" t="inlineStr">
        <is>
          <t>BV-DST-001</t>
        </is>
      </c>
      <c r="B603" s="19" t="inlineStr">
        <is>
          <t>Distribution</t>
        </is>
      </c>
      <c r="C603" s="19" t="inlineStr">
        <is>
          <t>Round robin assignment with history</t>
        </is>
      </c>
      <c r="D603" s="19" t="inlineStr">
        <is>
          <t>Pass</t>
        </is>
      </c>
      <c r="E603" s="19" t="inlineStr">
        <is>
          <t>backend/test/lead-assignment.test.js
backend/test/lead-assignment.test.js</t>
        </is>
      </c>
      <c r="F603" s="19" t="inlineStr">
        <is>
          <t>assigns matching prospects in turn (round robin) and records the history
a prospect no rule matches stays with its creator, or goes to the queue when leads.assignment_fallback is queue</t>
        </is>
      </c>
      <c r="G603" s="19" t="n"/>
      <c r="H603" s="19" t="n"/>
      <c r="I603" s="19" t="n"/>
      <c r="J603" s="19" t="n"/>
    </row>
    <row r="604">
      <c r="A604" s="19" t="inlineStr">
        <is>
          <t>BV-DST-002</t>
        </is>
      </c>
      <c r="B604" s="19" t="inlineStr">
        <is>
          <t>Distribution</t>
        </is>
      </c>
      <c r="C604" s="19" t="inlineStr">
        <is>
          <t>Queue and bulk reassignment</t>
        </is>
      </c>
      <c r="D604" s="19" t="inlineStr">
        <is>
          <t>Pass</t>
        </is>
      </c>
      <c r="E604" s="19" t="inlineStr">
        <is>
          <t>backend/test/lead-assignment.test.js
backend/test/lead-assignment.test.js
backend/test/lead-assignment.test.js</t>
        </is>
      </c>
      <c r="F604" s="19" t="inlineStr">
        <is>
          <t>lists the queue and reassigns from it; bulk reassignment moves many prospects with history and audit
the daily job queues prospects still New after leads.assignment_sla_hours
the team view shows a manager the prospects of everyone reporting to them, and not another team</t>
        </is>
      </c>
      <c r="G604" s="19" t="n"/>
      <c r="H604" s="19" t="n"/>
      <c r="I604" s="19" t="n"/>
      <c r="J604" s="19" t="n"/>
    </row>
    <row r="605">
      <c r="A605" s="19" t="inlineStr">
        <is>
          <t>BV-DST-003</t>
        </is>
      </c>
      <c r="B605" s="19" t="inlineStr">
        <is>
          <t>Distribution</t>
        </is>
      </c>
      <c r="C605" s="19" t="inlineStr">
        <is>
          <t>Channels by hierarchy; channel carried to quotation and policy</t>
        </is>
      </c>
      <c r="D605" s="19" t="inlineStr">
        <is>
          <t>Pass</t>
        </is>
      </c>
      <c r="E605" s="19" t="inlineStr">
        <is>
          <t>backend/test/distribution-channels.test.js
backend/test/distribution-channels.test.js
backend/test/distribution-channels.test.js</t>
        </is>
      </c>
      <c r="F605" s="19" t="inlineStr">
        <is>
          <t>builds the hierarchy: a dealer branch sits under a dealer group, a bank branch under a financing bank
a prospect carries its channel; its quotation and policy inherit it, and the channel referrer earns the comsub
Dealer Production totals prospects, quotations and policies per channel, rolled up to the dealer group</t>
        </is>
      </c>
      <c r="G605" s="19" t="n"/>
      <c r="H605" s="19" t="n"/>
      <c r="I605" s="19" t="n"/>
      <c r="J605" s="19" t="n"/>
    </row>
    <row r="606">
      <c r="A606" s="19" t="inlineStr">
        <is>
          <t>BV-DST-004</t>
        </is>
      </c>
      <c r="B606" s="19" t="inlineStr">
        <is>
          <t>Distribution</t>
        </is>
      </c>
      <c r="C606" s="19" t="inlineStr">
        <is>
          <t>Upload dealer sales creating prospects, quotations and policies</t>
        </is>
      </c>
      <c r="D606" s="19" t="inlineStr">
        <is>
          <t>Pass</t>
        </is>
      </c>
      <c r="E606" s="19" t="inlineStr">
        <is>
          <t>backend/test/motor-programmes.test.js
backend/test/motor-programmes.test.js</t>
        </is>
      </c>
      <c r="F606" s="19" t="inlineStr">
        <is>
          <t>an upload creates prospect, quotation and policy per sale, billed to the dealer for a free first year; a bad row is reported
refuses the same car twice</t>
        </is>
      </c>
      <c r="G606" s="19" t="n"/>
      <c r="H606" s="19" t="n"/>
      <c r="I606" s="19" t="n"/>
      <c r="J606" s="19" t="n"/>
    </row>
    <row r="607">
      <c r="A607" s="19" t="inlineStr">
        <is>
          <t>BV-DST-005</t>
        </is>
      </c>
      <c r="B607" s="19" t="inlineStr">
        <is>
          <t>Distribution</t>
        </is>
      </c>
      <c r="C607" s="19" t="inlineStr">
        <is>
          <t>Subsidy split and bank endorsement letter</t>
        </is>
      </c>
      <c r="D607" s="19" t="inlineStr">
        <is>
          <t>Pass</t>
        </is>
      </c>
      <c r="E607" s="19" t="inlineStr">
        <is>
          <t>backend/test/motor-programmes.test.js
backend/test/motor-programmes.test.js</t>
        </is>
      </c>
      <c r="F607" s="19" t="inlineStr">
        <is>
          <t>a subsidised programme bills the dealer its share and the buyer the rest
prints the bank endorsement letter of a financed sale (one or a batch) and e-mails it to the bank</t>
        </is>
      </c>
      <c r="G607" s="19" t="n"/>
      <c r="H607" s="19" t="n"/>
      <c r="I607" s="19" t="n"/>
      <c r="J607" s="19" t="n"/>
    </row>
    <row r="608">
      <c r="A608" s="19" t="inlineStr">
        <is>
          <t>BV-DST-006</t>
        </is>
      </c>
      <c r="B608" s="19" t="inlineStr">
        <is>
          <t>Distribution</t>
        </is>
      </c>
      <c r="C608" s="19" t="inlineStr">
        <is>
          <t>Price vehicles, issue one policy, add and delete by endorsement</t>
        </is>
      </c>
      <c r="D608" s="19" t="inlineStr">
        <is>
          <t>Pass</t>
        </is>
      </c>
      <c r="E608" s="19" t="inlineStr">
        <is>
          <t>backend/test/fleet-schedules.test.js
backend/test/fleet-schedules.test.js
backend/test/fleet-schedules.test.js
backend/test/fleet-schedules.test.js</t>
        </is>
      </c>
      <c r="F608" s="19" t="inlineStr">
        <is>
          <t>starts a draft schedule and prices each vehicle on its own (own damage, liability, CTPL tariff, taxes)
issues one policy for the total premium of the vehicles, with its bill
adds a vehicle by endorsement at the pro-rata premium of the days left; the additional premium is billed
deletes a vehicle by endorsement: return premium credited pro-rata, the vehicle keeps its dates on cover</t>
        </is>
      </c>
      <c r="G608" s="19" t="n"/>
      <c r="H608" s="19" t="n"/>
      <c r="I608" s="19" t="n"/>
      <c r="J608" s="19" t="n"/>
    </row>
    <row r="609">
      <c r="A609" s="19" t="inlineStr">
        <is>
          <t>BV-DST-007</t>
        </is>
      </c>
      <c r="B609" s="19" t="inlineStr">
        <is>
          <t>Distribution</t>
        </is>
      </c>
      <c r="C609" s="19" t="inlineStr">
        <is>
          <t>Certificates and monthly declaration billing</t>
        </is>
      </c>
      <c r="D609" s="19" t="inlineStr">
        <is>
          <t>Pass</t>
        </is>
      </c>
      <c r="E609" s="19" t="inlineStr">
        <is>
          <t>backend/test/marine-open-cover.test.js
backend/test/marine-open-cover.test.js
backend/test/marine-open-cover.test.js</t>
        </is>
      </c>
      <c r="F609" s="19" t="inlineStr">
        <is>
          <t>issues certificates: insured value with mark-up, rate of the conveyance, minimum premium, limit per conveyance
the monthly declaration takes the shipments of the month with the premium taxes; billing raises the bill on the open policy
a month without shipments is a nil declaration with nothing to bill</t>
        </is>
      </c>
      <c r="G609" s="19" t="n"/>
      <c r="H609" s="19" t="n"/>
      <c r="I609" s="19" t="n"/>
      <c r="J609" s="19" t="n"/>
    </row>
    <row r="610">
      <c r="A610" s="19" t="inlineStr">
        <is>
          <t>BV-DST-008</t>
        </is>
      </c>
      <c r="B610" s="19" t="inlineStr">
        <is>
          <t>Distribution</t>
        </is>
      </c>
      <c r="C610" s="19" t="inlineStr">
        <is>
          <t>Place and bind a facultative slip</t>
        </is>
      </c>
      <c r="D610" s="19" t="inlineStr">
        <is>
          <t>Pass</t>
        </is>
      </c>
      <c r="E610" s="19" t="inlineStr">
        <is>
          <t>backend/test/facultative-reinsurance.test.js
backend/test/facultative-reinsurance.test.js
backend/test/facultative-reinsurance.test.js</t>
        </is>
      </c>
      <c r="F610" s="19" t="inlineStr">
        <is>
          <t>is placed when the accepted lines reach 100% of the share; over-placement is refused; binding needs a full placement
binding books the premium due from the cedant, the net due to each reinsurer and the brokerage
records the premium received and paid with their journals, and closes once both sides are settled</t>
        </is>
      </c>
      <c r="G610" s="19" t="n"/>
      <c r="H610" s="19" t="n"/>
      <c r="I610" s="19" t="n"/>
      <c r="J610" s="19" t="n"/>
    </row>
    <row r="611">
      <c r="A611" s="19" t="inlineStr">
        <is>
          <t>BV-DST-009</t>
        </is>
      </c>
      <c r="B611" s="19" t="inlineStr">
        <is>
          <t>Distribution</t>
        </is>
      </c>
      <c r="C611" s="19" t="inlineStr">
        <is>
          <t>Client comparison report without commission</t>
        </is>
      </c>
      <c r="D611" s="19" t="inlineStr">
        <is>
          <t>Pass</t>
        </is>
      </c>
      <c r="E611" s="19" t="inlineStr">
        <is>
          <t>backend/test/comparison-reports.test.js
backend/test/comparison-reports.test.js
backend/test/comparison-reports.test.js</t>
        </is>
      </c>
      <c r="F611" s="19" t="inlineStr">
        <is>
          <t>is prepared from the offers of a request for quotation, ranked by total premium, cheapest recommended by default
the broker changes the recommendation and reasons; the report prints with letterhead, the recommendation and no commission
is e-mailed to the client through the outbox with the PDF attached, and records the client's choice</t>
        </is>
      </c>
      <c r="G611" s="19" t="n"/>
      <c r="H611" s="19" t="n"/>
      <c r="I611" s="19" t="n"/>
      <c r="J611" s="19" t="n"/>
    </row>
    <row r="612">
      <c r="A612" s="19" t="inlineStr">
        <is>
          <t>BV-DST-010</t>
        </is>
      </c>
      <c r="B612" s="19" t="inlineStr">
        <is>
          <t>Distribution</t>
        </is>
      </c>
      <c r="C612" s="19" t="inlineStr">
        <is>
          <t>Campaigns reach only consenting recipients; opt-out recorded</t>
        </is>
      </c>
      <c r="D612" s="19" t="inlineStr">
        <is>
          <t>Pass</t>
        </is>
      </c>
      <c r="E612" s="19" t="inlineStr">
        <is>
          <t>backend/test/campaigns.test.js
backend/test/campaigns.test.js
backend/test/campaigns.test.js
brokerverse/src/module/Distribution/Distribution.test.jsx</t>
        </is>
      </c>
      <c r="F612" s="19" t="inlineStr">
        <is>
          <t>previews a segment: only clients whose marketing consent is in force are reachable
the opt-out link records a refusal in the consent register; the next campaign skips the person
sending queues the e-mails of consenting recipients to the outbox and records the excluded
previews who a segment reaches before saving it</t>
        </is>
      </c>
      <c r="G612" s="19" t="n"/>
      <c r="H612" s="19" t="n"/>
      <c r="I612" s="19" t="n"/>
      <c r="J612" s="19" t="n"/>
    </row>
    <row r="613">
      <c r="A613" s="19" t="inlineStr">
        <is>
          <t>BV-DST-011</t>
        </is>
      </c>
      <c r="B613" s="19" t="inlineStr">
        <is>
          <t>Distribution</t>
        </is>
      </c>
      <c r="C613" s="19" t="inlineStr">
        <is>
          <t>Ad hoc report with grouping, totals, export and sharing</t>
        </is>
      </c>
      <c r="D613" s="19" t="inlineStr">
        <is>
          <t>Pass</t>
        </is>
      </c>
      <c r="E613" s="19" t="inlineStr">
        <is>
          <t>backend/test/report-builder.test.js
backend/test/report-builder.test.js
backend/test/report-builder.test.js
brokerverse/src/module/Distribution/Distribution.test.jsx</t>
        </is>
      </c>
      <c r="F613" s="19" t="inlineStr">
        <is>
          <t>runs columns with filters, and grouping with totals
limits a scoped user to their own book
the BI extract writes one CSV per dataset to the storage folder
opens a saved report and runs it, showing the totals of the numeric columns</t>
        </is>
      </c>
      <c r="G613" s="19" t="n"/>
      <c r="H613" s="19" t="n"/>
      <c r="I613" s="19" t="n"/>
      <c r="J613" s="19" t="n"/>
    </row>
    <row r="614">
      <c r="A614" s="19" t="inlineStr">
        <is>
          <t>BV-INT-001</t>
        </is>
      </c>
      <c r="B614" s="19" t="inlineStr">
        <is>
          <t>Integrations</t>
        </is>
      </c>
      <c r="C614" s="19" t="inlineStr">
        <is>
          <t>Connectors show credential variable names, never values; live refused while incomplete</t>
        </is>
      </c>
      <c r="D614" s="19" t="inlineStr">
        <is>
          <t>Pass</t>
        </is>
      </c>
      <c r="E614" s="19" t="inlineStr">
        <is>
          <t>backend/test/integrations.test.js
backend/test/integrations.test.js
brokerverse/src/module/Integrations/IntegrationScreens.test.jsx</t>
        </is>
      </c>
      <c r="F614" s="19" t="inlineStr">
        <is>
          <t>lists connectors with the credential variable names and whether they are set, never the values
refuses a credential value instead of a variable name, and live mode while something is missing
the monitor lists the connectors with their credential variable and what blocks live use</t>
        </is>
      </c>
      <c r="G614" s="19" t="n"/>
      <c r="H614" s="19" t="n"/>
      <c r="I614" s="19" t="n"/>
      <c r="J614" s="19" t="n"/>
    </row>
    <row r="615">
      <c r="A615" s="19" t="inlineStr">
        <is>
          <t>BV-INT-002</t>
        </is>
      </c>
      <c r="B615" s="19" t="inlineStr">
        <is>
          <t>Integrations</t>
        </is>
      </c>
      <c r="C615" s="19" t="inlineStr">
        <is>
          <t>Failed messages are retried with growing waits; refused ones fail at once</t>
        </is>
      </c>
      <c r="D615" s="19" t="inlineStr">
        <is>
          <t>Pass</t>
        </is>
      </c>
      <c r="E615" s="19" t="inlineStr">
        <is>
          <t>backend/test/integrations.test.js
backend/test/integrations.test.js</t>
        </is>
      </c>
      <c r="F615" s="19" t="inlineStr">
        <is>
          <t>retries a failing provider with growing waits, then sends
a refused request fails at once; resend after the fix sends it; a queued message can be cancelled</t>
        </is>
      </c>
      <c r="G615" s="19" t="n"/>
      <c r="H615" s="19" t="n"/>
      <c r="I615" s="19" t="n"/>
      <c r="J615" s="19" t="n"/>
    </row>
    <row r="616">
      <c r="A616" s="19" t="inlineStr">
        <is>
          <t>BV-INT-003</t>
        </is>
      </c>
      <c r="B616" s="19" t="inlineStr">
        <is>
          <t>Integrations</t>
        </is>
      </c>
      <c r="C616" s="19" t="inlineStr">
        <is>
          <t>SMS respects consent; renewal and payment reminders sent once</t>
        </is>
      </c>
      <c r="D616" s="19" t="inlineStr">
        <is>
          <t>Pass</t>
        </is>
      </c>
      <c r="E616" s="19" t="inlineStr">
        <is>
          <t>backend/test/integrations.test.js
backend/test/integrations.test.js
backend/test/integrations.test.js</t>
        </is>
      </c>
      <c r="F616" s="19" t="inlineStr">
        <is>
          <t>checks consent: refused processing consent and marketing without consent are skipped with the reason
renewal notice and payment reminder jobs queue one message per event and send it
a claim moving to a configured status sends the claim update; an ad hoc message goes to the client</t>
        </is>
      </c>
      <c r="G616" s="19" t="n"/>
      <c r="H616" s="19" t="n"/>
      <c r="I616" s="19" t="n"/>
      <c r="J616" s="19" t="n"/>
    </row>
    <row r="617">
      <c r="A617" s="19" t="inlineStr">
        <is>
          <t>BV-INT-004</t>
        </is>
      </c>
      <c r="B617" s="19" t="inlineStr">
        <is>
          <t>Integrations</t>
        </is>
      </c>
      <c r="C617" s="19" t="inlineStr">
        <is>
          <t>COC allocated and authenticated at issue; code printed</t>
        </is>
      </c>
      <c r="D617" s="19" t="inlineStr">
        <is>
          <t>Pass</t>
        </is>
      </c>
      <c r="E617" s="19" t="inlineStr">
        <is>
          <t>backend/test/integrations.test.js
brokerverse/src/module/Integrations/IntegrationScreens.test.jsx</t>
        </is>
      </c>
      <c r="F617" s="19" t="inlineStr">
        <is>
          <t>a CTPL cover issued gets the next COC number and is authenticated through the provider; the code is printed
the CTPL screen counts the covers by status</t>
        </is>
      </c>
      <c r="G617" s="19" t="n"/>
      <c r="H617" s="19" t="n"/>
      <c r="I617" s="19" t="n"/>
      <c r="J617" s="19" t="n"/>
    </row>
    <row r="618">
      <c r="A618" s="19" t="inlineStr">
        <is>
          <t>BV-INT-005</t>
        </is>
      </c>
      <c r="B618" s="19" t="inlineStr">
        <is>
          <t>Integrations</t>
        </is>
      </c>
      <c r="C618" s="19" t="inlineStr">
        <is>
          <t>Missing vehicle details hold the request; code keyed in by hand; series control</t>
        </is>
      </c>
      <c r="D618" s="19" t="inlineStr">
        <is>
          <t>Pass</t>
        </is>
      </c>
      <c r="E618" s="19" t="inlineStr">
        <is>
          <t>backend/test/integrations.test.js
backend/test/integrations.test.js
backend/test/integrations.test.js</t>
        </is>
      </c>
      <c r="F618" s="19" t="inlineStr">
        <is>
          <t>missing vehicle details hold the request; the provider refusing it leaves a failure; the code is keyed in by hand
COC series: overlap refused, exhaustion closes the series, a policy without numbers waits for one; LTO feed when switched on
an authentication result pushed by the provider is verified and applied through the inbox</t>
        </is>
      </c>
      <c r="G618" s="19" t="n"/>
      <c r="H618" s="19" t="n"/>
      <c r="I618" s="19" t="n"/>
      <c r="J618" s="19" t="n"/>
    </row>
    <row r="619">
      <c r="A619" s="19" t="inlineStr">
        <is>
          <t>BV-INT-006</t>
        </is>
      </c>
      <c r="B619" s="19" t="inlineStr">
        <is>
          <t>Integrations</t>
        </is>
      </c>
      <c r="C619" s="19" t="inlineStr">
        <is>
          <t>Policy issuance, policy data and claim status through the insurer mapping</t>
        </is>
      </c>
      <c r="D619" s="19" t="inlineStr">
        <is>
          <t>Pass</t>
        </is>
      </c>
      <c r="E619" s="19" t="inlineStr">
        <is>
          <t>backend/test/integrations.test.js</t>
        </is>
      </c>
      <c r="F619" s="19" t="inlineStr">
        <is>
          <t>policy issuance request, policy data and claim status through the mapping; claim status file as fallback</t>
        </is>
      </c>
      <c r="G619" s="19" t="n"/>
      <c r="H619" s="19" t="n"/>
      <c r="I619" s="19" t="n"/>
      <c r="J619" s="19" t="n"/>
    </row>
    <row r="620">
      <c r="A620" s="19" t="inlineStr">
        <is>
          <t>BV-INT-007</t>
        </is>
      </c>
      <c r="B620" s="19" t="inlineStr">
        <is>
          <t>Integrations</t>
        </is>
      </c>
      <c r="C620" s="19" t="inlineStr">
        <is>
          <t>Pay remittance and referrer payout by bank file</t>
        </is>
      </c>
      <c r="D620" s="19" t="inlineStr">
        <is>
          <t>Pass</t>
        </is>
      </c>
      <c r="E620" s="19" t="inlineStr">
        <is>
          <t>backend/test/integrations.test.js
backend/test/integrations.test.js
backend/test/integrations.test.js
brokerverse/src/module/Integrations/IntegrationScreens.test.jsx</t>
        </is>
      </c>
      <c r="F620" s="19" t="inlineStr">
        <is>
          <t>pays an insurer remittance and a referrer payout by file: approval, file, status file, journals; a rejected payment frees its voucher
the layout engine writes fixed-width and delimited files and reads status files
payee bank accounts: one default per payee, unknown bank refused
the bank file layouts mark the starter layouts</t>
        </is>
      </c>
      <c r="G620" s="19" t="n"/>
      <c r="H620" s="19" t="n"/>
      <c r="I620" s="19" t="n"/>
      <c r="J620" s="19" t="n"/>
    </row>
    <row r="621">
      <c r="A621" s="19" t="inlineStr">
        <is>
          <t>BV-BRD-001</t>
        </is>
      </c>
      <c r="B621" s="19" t="inlineStr">
        <is>
          <t>Branding and e-signatures</t>
        </is>
      </c>
      <c r="C621" s="19" t="inlineStr">
        <is>
          <t>Save a theme that passes contrast; the screens follow</t>
        </is>
      </c>
      <c r="D621" s="19" t="inlineStr">
        <is>
          <t>Pass</t>
        </is>
      </c>
      <c r="E621" s="19" t="inlineStr">
        <is>
          <t>backend/test/branding.test.js
backend/test/branding.test.js
brokerverse/src/theme/runtime/themeEngine.test.js</t>
        </is>
      </c>
      <c r="F621" s="19" t="inlineStr">
        <is>
          <t>keeps the compiled BDOI theme as the default preset, and every preset passes WCAG AA
refuses unknown fonts, bad colours, external images and failing contrast; warns on the rest
computes WCAG contrast and colour mixes</t>
        </is>
      </c>
      <c r="G621" s="19" t="n"/>
      <c r="H621" s="19" t="n"/>
      <c r="I621" s="19" t="n"/>
      <c r="J621" s="19" t="n"/>
    </row>
    <row r="622">
      <c r="A622" s="19" t="inlineStr">
        <is>
          <t>BV-BRD-002</t>
        </is>
      </c>
      <c r="B622" s="19" t="inlineStr">
        <is>
          <t>Branding and e-signatures</t>
        </is>
      </c>
      <c r="C622" s="19" t="inlineStr">
        <is>
          <t>Branding applies before sign-in</t>
        </is>
      </c>
      <c r="D622" s="19" t="inlineStr">
        <is>
          <t>Pass</t>
        </is>
      </c>
      <c r="E622" s="19" t="inlineStr">
        <is>
          <t>backend/test/branding.test.js
backend/test/branding.test.js
backend/test/branding.test.js
brokerverse/src/theme/runtime/themeEngine.test.js</t>
        </is>
      </c>
      <c r="F622" s="19" t="inlineStr">
        <is>
          <t>serves the branding before sign-in with an ETag (304 when unchanged), and a saved theme changes it
serves an uploaded sign-in picture publicly, and refuses unsafe or oversize uploads
refuses SVG images with scripts, event handlers or external references
loads GET /api/branding before sign-in and applies it</t>
        </is>
      </c>
      <c r="G622" s="19" t="n"/>
      <c r="H622" s="19" t="n"/>
      <c r="I622" s="19" t="n"/>
      <c r="J622" s="19" t="n"/>
    </row>
    <row r="623">
      <c r="A623" s="19" t="inlineStr">
        <is>
          <t>BV-BRD-003</t>
        </is>
      </c>
      <c r="B623" s="19" t="inlineStr">
        <is>
          <t>Branding and e-signatures</t>
        </is>
      </c>
      <c r="C623" s="19" t="inlineStr">
        <is>
          <t>Documents, report files and e-mails carry the brand</t>
        </is>
      </c>
      <c r="D623" s="19" t="inlineStr">
        <is>
          <t>Pass</t>
        </is>
      </c>
      <c r="E623" s="19" t="inlineStr">
        <is>
          <t>backend/test/branding.test.js
backend/test/branding.test.js
backend/test/branding.test.js
backend/test/branding.test.js</t>
        </is>
      </c>
      <c r="F623" s="19" t="inlineStr">
        <is>
          <t>every document and the report PDF print the logo, the theme colours and the footer line
report Excel files take the header colours of the theme, and the logo and banner when the theme asks
e-mails are sent in the e-mail layout of the theme
fills the footer line from the primary company, and leaves out a licence line without a licence</t>
        </is>
      </c>
      <c r="G623" s="19" t="n"/>
      <c r="H623" s="19" t="n"/>
      <c r="I623" s="19" t="n"/>
      <c r="J623" s="19" t="n"/>
    </row>
    <row r="624">
      <c r="A624" s="19" t="inlineStr">
        <is>
          <t>BV-BRD-004</t>
        </is>
      </c>
      <c r="B624" s="19" t="inlineStr">
        <is>
          <t>Branding and e-signatures</t>
        </is>
      </c>
      <c r="C624" s="19" t="inlineStr">
        <is>
          <t>Capture a signature with consent and print it on approved documents only</t>
        </is>
      </c>
      <c r="D624" s="19" t="inlineStr">
        <is>
          <t>Pass</t>
        </is>
      </c>
      <c r="E624" s="19" t="inlineStr">
        <is>
          <t>backend/test/branding.test.js
backend/test/branding.test.js
backend/test/branding.test.js
backend/test/branding.test.js</t>
        </is>
      </c>
      <c r="F624" s="19" t="inlineStr">
        <is>
          <t>captures a drawn signature only with consent and a printable image; versions replace each other
prints the signature on issued documents only; drafts carry the UNSIGNED DRAFT watermark
a user signs their own signature; the approving user signs the payment voucher once approved
keeps signature images out of the file links and shows them only to authorised users; every event is audited</t>
        </is>
      </c>
      <c r="G624" s="19" t="n"/>
      <c r="H624" s="19" t="n"/>
      <c r="I624" s="19" t="n"/>
      <c r="J624" s="19" t="n"/>
    </row>
    <row r="625">
      <c r="A625" s="19" t="inlineStr">
        <is>
          <t>BV-BRD-005</t>
        </is>
      </c>
      <c r="B625" s="19" t="inlineStr">
        <is>
          <t>Branding and e-signatures</t>
        </is>
      </c>
      <c r="C625" s="19" t="inlineStr">
        <is>
          <t>Map signatures to documents through slots</t>
        </is>
      </c>
      <c r="D625" s="19" t="inlineStr">
        <is>
          <t>Pass</t>
        </is>
      </c>
      <c r="E625" s="19" t="inlineStr">
        <is>
          <t>backend/test/branding.test.js</t>
        </is>
      </c>
      <c r="F625" s="19" t="inlineStr">
        <is>
          <t>maps signatures to documents through the slot configuration</t>
        </is>
      </c>
      <c r="G625" s="19" t="n"/>
      <c r="H625" s="19" t="n"/>
      <c r="I625" s="19" t="n"/>
      <c r="J625" s="19" t="n"/>
    </row>
    <row r="626">
      <c r="A626" s="19" t="inlineStr">
        <is>
          <t>BV-BRD-006</t>
        </is>
      </c>
      <c r="B626" s="19" t="inlineStr">
        <is>
          <t>Branding and e-signatures</t>
        </is>
      </c>
      <c r="C626" s="19" t="inlineStr">
        <is>
          <t>Export and import a brand pack; optional client pack needs permission</t>
        </is>
      </c>
      <c r="D626" s="19" t="inlineStr">
        <is>
          <t>Pass</t>
        </is>
      </c>
      <c r="E626" s="19" t="inlineStr">
        <is>
          <t>backend/test/branding.test.js
backend/test/branding.test.js</t>
        </is>
      </c>
      <c r="F626" s="19" t="inlineStr">
        <is>
          <t>exports and imports a brand pack (zip and JSON), dry run first
applies the Toyota Insurance Services brand pack (optional client pack, not the default)</t>
        </is>
      </c>
      <c r="G626" s="19" t="n"/>
      <c r="H626" s="19" t="n"/>
      <c r="I626" s="19" t="n"/>
      <c r="J626" s="19" t="n"/>
    </row>
    <row r="627">
      <c r="A627" s="19" t="inlineStr">
        <is>
          <t>BV-PKG-001</t>
        </is>
      </c>
      <c r="B627" s="19" t="inlineStr">
        <is>
          <t>Package G features</t>
        </is>
      </c>
      <c r="C627" s="19" t="inlineStr">
        <is>
          <t>Log calls, meetings and follow-ups on a prospect</t>
        </is>
      </c>
      <c r="D627" s="19" t="inlineStr">
        <is>
          <t>Pass</t>
        </is>
      </c>
      <c r="E627" s="19" t="inlineStr">
        <is>
          <t>backend/test/sales-activities.test.js</t>
        </is>
      </c>
      <c r="F627" s="19" t="inlineStr">
        <is>
          <t>logs a call on a prospect; its next step becomes a follow-up task in the account executive's My Work</t>
        </is>
      </c>
      <c r="G627" s="19" t="inlineStr">
        <is>
          <t>Retail package business</t>
        </is>
      </c>
      <c r="H627" s="19" t="inlineStr">
        <is>
          <t>passed</t>
        </is>
      </c>
      <c r="I627" s="19" t="n"/>
      <c r="J627" s="19" t="n"/>
    </row>
    <row r="628">
      <c r="A628" s="19" t="inlineStr">
        <is>
          <t>BV-PKG-002</t>
        </is>
      </c>
      <c r="B628" s="19" t="inlineStr">
        <is>
          <t>Package G features</t>
        </is>
      </c>
      <c r="C628" s="19" t="inlineStr">
        <is>
          <t>Quote wizard takes covers and risk fields from the Product Configurator</t>
        </is>
      </c>
      <c r="D628" s="19" t="inlineStr">
        <is>
          <t>Pass</t>
        </is>
      </c>
      <c r="E628" s="19" t="inlineStr">
        <is>
          <t>backend/test/quote-covers-risk-fields.test.js</t>
        </is>
      </c>
      <c r="F628" s="19" t="inlineStr">
        <is>
          <t>prices only the covers chosen: optional covers left out are zero, mandatory ones are always in</t>
        </is>
      </c>
      <c r="G628" s="19" t="inlineStr">
        <is>
          <t>Retail package business</t>
        </is>
      </c>
      <c r="H628" s="19" t="inlineStr">
        <is>
          <t>passed</t>
        </is>
      </c>
      <c r="I628" s="19" t="n"/>
      <c r="J628" s="19" t="n"/>
    </row>
    <row r="629">
      <c r="A629" s="19" t="inlineStr">
        <is>
          <t>BV-PKG-003</t>
        </is>
      </c>
      <c r="B629" s="19" t="inlineStr">
        <is>
          <t>Package G features</t>
        </is>
      </c>
      <c r="C629" s="19" t="inlineStr">
        <is>
          <t>Issue BIR Form 2307 to suppliers from AP payments</t>
        </is>
      </c>
      <c r="D629" s="19" t="inlineStr">
        <is>
          <t>Pass</t>
        </is>
      </c>
      <c r="E629" s="19" t="inlineStr">
        <is>
          <t>backend/test/ap-2307-asset-disposal.test.js</t>
        </is>
      </c>
      <c r="F629" s="19" t="inlineStr">
        <is>
          <t>lists every supplier with EWT in the quarter, per ATC of the invoice's tax code</t>
        </is>
      </c>
      <c r="G629" s="19" t="inlineStr">
        <is>
          <t>Reinsurance, incentives, payables and fixed assets</t>
        </is>
      </c>
      <c r="H629" s="19" t="inlineStr">
        <is>
          <t>passed</t>
        </is>
      </c>
      <c r="I629" s="19" t="n"/>
      <c r="J629" s="19" t="n"/>
    </row>
    <row r="630">
      <c r="A630" s="19" t="inlineStr">
        <is>
          <t>BV-PKG-004</t>
        </is>
      </c>
      <c r="B630" s="19" t="inlineStr">
        <is>
          <t>Package G features</t>
        </is>
      </c>
      <c r="C630" s="19" t="inlineStr">
        <is>
          <t>Dispose of a fixed asset with gain or loss</t>
        </is>
      </c>
      <c r="D630" s="19" t="inlineStr">
        <is>
          <t>Pass</t>
        </is>
      </c>
      <c r="E630" s="19" t="inlineStr">
        <is>
          <t>backend/test/ap-2307-asset-disposal.test.js</t>
        </is>
      </c>
      <c r="F630" s="19" t="inlineStr">
        <is>
          <t>sells an asset for cash: fa.disposal removes cost and accumulated depreciation, books the loss and the output VAT, and issues the sales invoice</t>
        </is>
      </c>
      <c r="G630" s="19" t="inlineStr">
        <is>
          <t>Reinsurance, incentives, payables and fixed assets</t>
        </is>
      </c>
      <c r="H630" s="19" t="inlineStr">
        <is>
          <t>passed</t>
        </is>
      </c>
      <c r="I630" s="19" t="n"/>
      <c r="J630" s="19" t="n"/>
    </row>
  </sheetData>
  <autoFilter ref="A1:J630"/>
  <conditionalFormatting sqref="D2:D630">
    <cfRule type="expression" priority="1" dxfId="0">
      <formula>$D2="Pass"</formula>
    </cfRule>
    <cfRule type="expression" priority="2" dxfId="1">
      <formula>$D2="Fail"</formula>
    </cfRule>
    <cfRule type="expression" priority="3" dxfId="2">
      <formula>$D2="Blocked"</formula>
    </cfRule>
    <cfRule type="expression" priority="4" dxfId="3">
      <formula>$D2="Not Run"</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46" customWidth="1" min="3" max="3"/>
    <col width="8" customWidth="1" min="4" max="4"/>
    <col width="9" customWidth="1" min="5" max="5"/>
    <col width="44" customWidth="1" min="6" max="6"/>
    <col width="7" customWidth="1" min="7" max="7"/>
    <col width="7" customWidth="1" min="8" max="8"/>
    <col width="10" customWidth="1" min="9" max="9"/>
    <col width="44" customWidth="1" min="10" max="10"/>
    <col width="34" customWidth="1" min="11" max="11"/>
    <col width="30" customWidth="1" min="12" max="12"/>
  </cols>
  <sheetData>
    <row r="1">
      <c r="A1" s="18" t="inlineStr">
        <is>
          <t>Process ID</t>
        </is>
      </c>
      <c r="B1" s="18" t="inlineStr">
        <is>
          <t>Process area</t>
        </is>
      </c>
      <c r="C1" s="18" t="inlineStr">
        <is>
          <t>Process</t>
        </is>
      </c>
      <c r="D1" s="18" t="inlineStr">
        <is>
          <t>Type</t>
        </is>
      </c>
      <c r="E1" s="18" t="inlineStr">
        <is>
          <t>Fit score</t>
        </is>
      </c>
      <c r="F1" s="18" t="inlineStr">
        <is>
          <t>Test cases</t>
        </is>
      </c>
      <c r="G1" s="18" t="inlineStr">
        <is>
          <t>Cases</t>
        </is>
      </c>
      <c r="H1" s="18" t="inlineStr">
        <is>
          <t>Pass</t>
        </is>
      </c>
      <c r="I1" s="18" t="inlineStr">
        <is>
          <t>Not passed</t>
        </is>
      </c>
      <c r="J1" s="18" t="inlineStr">
        <is>
          <t>Backend test files</t>
        </is>
      </c>
      <c r="K1" s="18" t="inlineStr">
        <is>
          <t>Front-end test files</t>
        </is>
      </c>
      <c r="L1" s="18" t="inlineStr">
        <is>
          <t>Coverage</t>
        </is>
      </c>
    </row>
    <row r="2" ht="67" customHeight="1">
      <c r="A2" s="20" t="inlineStr">
        <is>
          <t>1.01</t>
        </is>
      </c>
      <c r="B2" s="21" t="inlineStr">
        <is>
          <t>Client onboarding, KYC and AML</t>
        </is>
      </c>
      <c r="C2" s="21" t="inlineStr">
        <is>
          <t>Individual client record with Philippine address, mobile and TIN</t>
        </is>
      </c>
      <c r="D2" s="20" t="inlineStr">
        <is>
          <t>Ops</t>
        </is>
      </c>
      <c r="E2" s="20" t="n">
        <v>1</v>
      </c>
      <c r="F2" s="21" t="inlineStr">
        <is>
          <t>BV-PRS-001; BV-PHM-002, BV-PHM-003, BV-PHM-005; BV-AML-001</t>
        </is>
      </c>
      <c r="G2" s="20" t="n">
        <v>5</v>
      </c>
      <c r="H2" s="20" t="n">
        <v>5</v>
      </c>
      <c r="I2" s="20" t="n">
        <v>0</v>
      </c>
      <c r="J2" s="21" t="inlineStr">
        <is>
          <t>backend/test/leads.test.js
backend/test/dashboard.test.js
backend/test/addresses.test.js
backend/test/aml.test.js
backend/test/clients.test.js</t>
        </is>
      </c>
      <c r="K2" s="21" t="inlineStr">
        <is>
          <t>brokerverse/src/agentModule/component/PhAddressFields/PhAddressFields.test.jsx
brokerverse/src/module/Compliance/Compliance.test.jsx</t>
        </is>
      </c>
      <c r="L2" s="21" t="inlineStr">
        <is>
          <t>Covered: test cases and automated tests passed</t>
        </is>
      </c>
    </row>
    <row r="3" ht="28" customHeight="1">
      <c r="A3" s="20" t="inlineStr">
        <is>
          <t>1.02</t>
        </is>
      </c>
      <c r="B3" s="21" t="inlineStr">
        <is>
          <t>Client onboarding, KYC and AML</t>
        </is>
      </c>
      <c r="C3" s="21" t="inlineStr">
        <is>
          <t>Corporate client with TIN, registered name and authorised signatories</t>
        </is>
      </c>
      <c r="D3" s="20" t="inlineStr">
        <is>
          <t>AMLC</t>
        </is>
      </c>
      <c r="E3" s="20" t="n">
        <v>1</v>
      </c>
      <c r="F3" s="21" t="inlineStr">
        <is>
          <t>BV-AML-002</t>
        </is>
      </c>
      <c r="G3" s="20" t="n">
        <v>1</v>
      </c>
      <c r="H3" s="20" t="n">
        <v>1</v>
      </c>
      <c r="I3" s="20" t="n">
        <v>0</v>
      </c>
      <c r="J3" s="21" t="inlineStr">
        <is>
          <t>backend/test/aml.test.js
backend/test/leads.test.js</t>
        </is>
      </c>
      <c r="K3" s="21" t="inlineStr">
        <is>
          <t>brokerverse/src/module/Compliance/Compliance.test.jsx</t>
        </is>
      </c>
      <c r="L3" s="21" t="inlineStr">
        <is>
          <t>Covered: test cases and automated tests passed</t>
        </is>
      </c>
    </row>
    <row r="4" ht="54" customHeight="1">
      <c r="A4" s="20" t="inlineStr">
        <is>
          <t>1.03</t>
        </is>
      </c>
      <c r="B4" s="21" t="inlineStr">
        <is>
          <t>Client onboarding, KYC and AML</t>
        </is>
      </c>
      <c r="C4" s="21" t="inlineStr">
        <is>
          <t>Customer identification: government ID type, number and image</t>
        </is>
      </c>
      <c r="D4" s="20" t="inlineStr">
        <is>
          <t>AMLC</t>
        </is>
      </c>
      <c r="E4" s="20" t="n">
        <v>2</v>
      </c>
      <c r="F4" s="21" t="inlineStr">
        <is>
          <t>BV-POL-002, BV-POL-003; BV-AML-001; BV-PHM-007</t>
        </is>
      </c>
      <c r="G4" s="20" t="n">
        <v>4</v>
      </c>
      <c r="H4" s="20" t="n">
        <v>3</v>
      </c>
      <c r="I4" s="20" t="n">
        <v>1</v>
      </c>
      <c r="J4" s="21" t="inlineStr">
        <is>
          <t>backend/test/quotations.test.js
backend/test/quote-to-policy.test.js
backend/test/aml.test.js
backend/test/policies.test.js</t>
        </is>
      </c>
      <c r="K4" s="21" t="inlineStr">
        <is>
          <t>brokerverse/src/module/Compliance/Compliance.test.jsx</t>
        </is>
      </c>
      <c r="L4" s="22" t="inlineStr">
        <is>
          <t>Covered: some cases not passed (see Test Cases)</t>
        </is>
      </c>
    </row>
    <row r="5" ht="28" customHeight="1">
      <c r="A5" s="20" t="inlineStr">
        <is>
          <t>1.04</t>
        </is>
      </c>
      <c r="B5" s="21" t="inlineStr">
        <is>
          <t>Client onboarding, KYC and AML</t>
        </is>
      </c>
      <c r="C5" s="21" t="inlineStr">
        <is>
          <t>Risk-based customer due diligence rating and enhanced due diligence</t>
        </is>
      </c>
      <c r="D5" s="20" t="inlineStr">
        <is>
          <t>AMLC</t>
        </is>
      </c>
      <c r="E5" s="20" t="n">
        <v>0</v>
      </c>
      <c r="F5" s="21" t="inlineStr">
        <is>
          <t>BV-AML-003, BV-AML-004</t>
        </is>
      </c>
      <c r="G5" s="20" t="n">
        <v>2</v>
      </c>
      <c r="H5" s="20" t="n">
        <v>2</v>
      </c>
      <c r="I5" s="20" t="n">
        <v>0</v>
      </c>
      <c r="J5" s="21" t="inlineStr">
        <is>
          <t>backend/test/aml.test.js</t>
        </is>
      </c>
      <c r="K5" s="21" t="n"/>
      <c r="L5" s="21" t="inlineStr">
        <is>
          <t>Covered: test cases and automated tests passed</t>
        </is>
      </c>
    </row>
    <row r="6" ht="15" customHeight="1">
      <c r="A6" s="20" t="inlineStr">
        <is>
          <t>1.05</t>
        </is>
      </c>
      <c r="B6" s="21" t="inlineStr">
        <is>
          <t>Client onboarding, KYC and AML</t>
        </is>
      </c>
      <c r="C6" s="21" t="inlineStr">
        <is>
          <t>Beneficial ownership of juridical clients</t>
        </is>
      </c>
      <c r="D6" s="20" t="inlineStr">
        <is>
          <t>AMLC</t>
        </is>
      </c>
      <c r="E6" s="20" t="n">
        <v>0</v>
      </c>
      <c r="F6" s="21" t="inlineStr">
        <is>
          <t>BV-AML-002</t>
        </is>
      </c>
      <c r="G6" s="20" t="n">
        <v>1</v>
      </c>
      <c r="H6" s="20" t="n">
        <v>1</v>
      </c>
      <c r="I6" s="20" t="n">
        <v>0</v>
      </c>
      <c r="J6" s="21" t="inlineStr">
        <is>
          <t>backend/test/aml.test.js</t>
        </is>
      </c>
      <c r="K6" s="21" t="inlineStr">
        <is>
          <t>brokerverse/src/module/Compliance/Compliance.test.jsx</t>
        </is>
      </c>
      <c r="L6" s="21" t="inlineStr">
        <is>
          <t>Covered: test cases and automated tests passed</t>
        </is>
      </c>
    </row>
    <row r="7" ht="15" customHeight="1">
      <c r="A7" s="20" t="inlineStr">
        <is>
          <t>1.06</t>
        </is>
      </c>
      <c r="B7" s="21" t="inlineStr">
        <is>
          <t>Client onboarding, KYC and AML</t>
        </is>
      </c>
      <c r="C7" s="21" t="inlineStr">
        <is>
          <t>Sanctions, PEP and negative list screening</t>
        </is>
      </c>
      <c r="D7" s="20" t="inlineStr">
        <is>
          <t>AMLC</t>
        </is>
      </c>
      <c r="E7" s="20" t="n">
        <v>0</v>
      </c>
      <c r="F7" s="21" t="inlineStr">
        <is>
          <t>BV-AML-005, BV-AML-006, BV-AML-007</t>
        </is>
      </c>
      <c r="G7" s="20" t="n">
        <v>3</v>
      </c>
      <c r="H7" s="20" t="n">
        <v>3</v>
      </c>
      <c r="I7" s="20" t="n">
        <v>0</v>
      </c>
      <c r="J7" s="21" t="inlineStr">
        <is>
          <t>backend/test/aml.test.js</t>
        </is>
      </c>
      <c r="K7" s="21" t="n"/>
      <c r="L7" s="21" t="inlineStr">
        <is>
          <t>Covered: test cases and automated tests passed</t>
        </is>
      </c>
    </row>
    <row r="8" ht="28" customHeight="1">
      <c r="A8" s="20" t="inlineStr">
        <is>
          <t>1.07</t>
        </is>
      </c>
      <c r="B8" s="21" t="inlineStr">
        <is>
          <t>Client onboarding, KYC and AML</t>
        </is>
      </c>
      <c r="C8" s="21" t="inlineStr">
        <is>
          <t>Covered and suspicious transaction monitoring and AMLC reporting</t>
        </is>
      </c>
      <c r="D8" s="20" t="inlineStr">
        <is>
          <t>AMLC</t>
        </is>
      </c>
      <c r="E8" s="20" t="n">
        <v>0</v>
      </c>
      <c r="F8" s="21" t="inlineStr">
        <is>
          <t>BV-AML-008, BV-AML-009, BV-AML-010, BV-AML-011</t>
        </is>
      </c>
      <c r="G8" s="20" t="n">
        <v>4</v>
      </c>
      <c r="H8" s="20" t="n">
        <v>4</v>
      </c>
      <c r="I8" s="20" t="n">
        <v>0</v>
      </c>
      <c r="J8" s="21" t="inlineStr">
        <is>
          <t>backend/test/aml.test.js</t>
        </is>
      </c>
      <c r="K8" s="21" t="n"/>
      <c r="L8" s="21" t="inlineStr">
        <is>
          <t>Covered: test cases and automated tests passed</t>
        </is>
      </c>
    </row>
    <row r="9" ht="28" customHeight="1">
      <c r="A9" s="20" t="inlineStr">
        <is>
          <t>1.08</t>
        </is>
      </c>
      <c r="B9" s="21" t="inlineStr">
        <is>
          <t>Client onboarding, KYC and AML</t>
        </is>
      </c>
      <c r="C9" s="21" t="inlineStr">
        <is>
          <t>KYC and transaction record retention (5 years or more)</t>
        </is>
      </c>
      <c r="D9" s="20" t="inlineStr">
        <is>
          <t>AMLC</t>
        </is>
      </c>
      <c r="E9" s="20" t="n">
        <v>2</v>
      </c>
      <c r="F9" s="21" t="inlineStr">
        <is>
          <t>BV-AML-012; BV-NPC-010</t>
        </is>
      </c>
      <c r="G9" s="20" t="n">
        <v>2</v>
      </c>
      <c r="H9" s="20" t="n">
        <v>2</v>
      </c>
      <c r="I9" s="20" t="n">
        <v>0</v>
      </c>
      <c r="J9" s="21" t="inlineStr">
        <is>
          <t>backend/test/aml.test.js
backend/test/privacy.test.js</t>
        </is>
      </c>
      <c r="K9" s="21" t="inlineStr">
        <is>
          <t>brokerverse/src/module/Compliance/Compliance.test.jsx</t>
        </is>
      </c>
      <c r="L9" s="21" t="inlineStr">
        <is>
          <t>Covered: test cases and automated tests passed</t>
        </is>
      </c>
    </row>
    <row r="10" ht="80" customHeight="1">
      <c r="A10" s="20" t="inlineStr">
        <is>
          <t>1.09</t>
        </is>
      </c>
      <c r="B10" s="21" t="inlineStr">
        <is>
          <t>Client onboarding, KYC and AML</t>
        </is>
      </c>
      <c r="C10" s="21" t="inlineStr">
        <is>
          <t>Single client view across policies, claims, renewals and endorsements</t>
        </is>
      </c>
      <c r="D10" s="20" t="inlineStr">
        <is>
          <t>Ops</t>
        </is>
      </c>
      <c r="E10" s="20" t="n">
        <v>2</v>
      </c>
      <c r="F10" s="21" t="inlineStr">
        <is>
          <t>BV-PRS-001 to BV-PRS-012 (all 12); BV-E2E-001</t>
        </is>
      </c>
      <c r="G10" s="20" t="n">
        <v>13</v>
      </c>
      <c r="H10" s="20" t="n">
        <v>13</v>
      </c>
      <c r="I10" s="20" t="n">
        <v>0</v>
      </c>
      <c r="J10" s="21" t="inlineStr">
        <is>
          <t>backend/test/leads.test.js
backend/test/dashboard.test.js
backend/test/clients.test.js
backend/test/hardening.test.js
backend/test/scope.test.js
backend/test/core.test.js</t>
        </is>
      </c>
      <c r="K10" s="21" t="inlineStr">
        <is>
          <t>brokerverse/src/services/__tests__/leadService.test.js</t>
        </is>
      </c>
      <c r="L10" s="21" t="inlineStr">
        <is>
          <t>Covered: test cases and automated tests passed</t>
        </is>
      </c>
    </row>
    <row r="11" ht="28" customHeight="1">
      <c r="A11" s="20" t="inlineStr">
        <is>
          <t>1.10</t>
        </is>
      </c>
      <c r="B11" s="21" t="inlineStr">
        <is>
          <t>Client onboarding, KYC and AML</t>
        </is>
      </c>
      <c r="C11" s="21" t="inlineStr">
        <is>
          <t>Privacy notice and consent per purpose at onboarding</t>
        </is>
      </c>
      <c r="D11" s="20" t="inlineStr">
        <is>
          <t>NPC</t>
        </is>
      </c>
      <c r="E11" s="20" t="n">
        <v>2</v>
      </c>
      <c r="F11" s="21" t="inlineStr">
        <is>
          <t>BV-SEC-034; BV-NPC-009</t>
        </is>
      </c>
      <c r="G11" s="20" t="n">
        <v>2</v>
      </c>
      <c r="H11" s="20" t="n">
        <v>2</v>
      </c>
      <c r="I11" s="20" t="n">
        <v>0</v>
      </c>
      <c r="J11" s="21" t="inlineStr">
        <is>
          <t>backend/test/privacy.test.js</t>
        </is>
      </c>
      <c r="K11" s="21" t="n"/>
      <c r="L11" s="21" t="inlineStr">
        <is>
          <t>Covered: test cases and automated tests passed</t>
        </is>
      </c>
    </row>
    <row r="12" ht="41" customHeight="1">
      <c r="A12" s="20" t="inlineStr">
        <is>
          <t>2.01</t>
        </is>
      </c>
      <c r="B12" s="21" t="inlineStr">
        <is>
          <t>Prospecting and sales pipeline</t>
        </is>
      </c>
      <c r="C12" s="21" t="inlineStr">
        <is>
          <t>Lead capture by line (motor, fire, IAR, employee benefits), retail or corporate, with bulk upload</t>
        </is>
      </c>
      <c r="D12" s="20" t="inlineStr">
        <is>
          <t>Ops</t>
        </is>
      </c>
      <c r="E12" s="20" t="n">
        <v>2</v>
      </c>
      <c r="F12" s="21" t="inlineStr">
        <is>
          <t>BV-PRS-001, BV-PRS-002, BV-PRS-005</t>
        </is>
      </c>
      <c r="G12" s="20" t="n">
        <v>3</v>
      </c>
      <c r="H12" s="20" t="n">
        <v>3</v>
      </c>
      <c r="I12" s="20" t="n">
        <v>0</v>
      </c>
      <c r="J12" s="21" t="inlineStr">
        <is>
          <t>backend/test/leads.test.js
backend/test/dashboard.test.js</t>
        </is>
      </c>
      <c r="K12" s="21" t="inlineStr">
        <is>
          <t>brokerverse/src/services/__tests__/leadService.test.js</t>
        </is>
      </c>
      <c r="L12" s="21" t="inlineStr">
        <is>
          <t>Covered: test cases and automated tests passed</t>
        </is>
      </c>
    </row>
    <row r="13" ht="80" customHeight="1">
      <c r="A13" s="20" t="inlineStr">
        <is>
          <t>2.03</t>
        </is>
      </c>
      <c r="B13" s="21" t="inlineStr">
        <is>
          <t>Prospecting and sales pipeline</t>
        </is>
      </c>
      <c r="C13" s="21" t="inlineStr">
        <is>
          <t>Lead status pipeline and conversion funnel</t>
        </is>
      </c>
      <c r="D13" s="20" t="inlineStr">
        <is>
          <t>Ops</t>
        </is>
      </c>
      <c r="E13" s="20" t="n">
        <v>2</v>
      </c>
      <c r="F13" s="21" t="inlineStr">
        <is>
          <t>BV-PRS-001 to BV-PRS-012 (all 12)</t>
        </is>
      </c>
      <c r="G13" s="20" t="n">
        <v>12</v>
      </c>
      <c r="H13" s="20" t="n">
        <v>12</v>
      </c>
      <c r="I13" s="20" t="n">
        <v>0</v>
      </c>
      <c r="J13" s="21" t="inlineStr">
        <is>
          <t>backend/test/leads.test.js
backend/test/dashboard.test.js
backend/test/clients.test.js
backend/test/hardening.test.js
backend/test/scope.test.js
backend/test/reports.test.js</t>
        </is>
      </c>
      <c r="K13" s="21" t="inlineStr">
        <is>
          <t>brokerverse/src/services/__tests__/leadService.test.js</t>
        </is>
      </c>
      <c r="L13" s="21" t="inlineStr">
        <is>
          <t>Covered: test cases and automated tests passed</t>
        </is>
      </c>
    </row>
    <row r="14" ht="28" customHeight="1">
      <c r="A14" s="20" t="inlineStr">
        <is>
          <t>2.04</t>
        </is>
      </c>
      <c r="B14" s="21" t="inlineStr">
        <is>
          <t>Prospecting and sales pipeline</t>
        </is>
      </c>
      <c r="C14" s="21" t="inlineStr">
        <is>
          <t>Sales activities: calls, meetings, follow-up tasks and reminders</t>
        </is>
      </c>
      <c r="D14" s="20" t="inlineStr">
        <is>
          <t>Ops</t>
        </is>
      </c>
      <c r="E14" s="20" t="n">
        <v>0</v>
      </c>
      <c r="F14" s="21" t="inlineStr">
        <is>
          <t>BV-PKG-001; BV-MYW-005</t>
        </is>
      </c>
      <c r="G14" s="20" t="n">
        <v>2</v>
      </c>
      <c r="H14" s="20" t="n">
        <v>1</v>
      </c>
      <c r="I14" s="20" t="n">
        <v>1</v>
      </c>
      <c r="J14" s="21" t="inlineStr">
        <is>
          <t>backend/test/my-work.test.js</t>
        </is>
      </c>
      <c r="K14" s="21" t="inlineStr">
        <is>
          <t>brokerverse/src/module/MyWork/logic.test.js</t>
        </is>
      </c>
      <c r="L14" s="22" t="inlineStr">
        <is>
          <t>Covered: some cases not passed (see Test Cases)</t>
        </is>
      </c>
    </row>
    <row r="15" ht="28" customHeight="1">
      <c r="A15" s="20" t="inlineStr">
        <is>
          <t>2.05</t>
        </is>
      </c>
      <c r="B15" s="21" t="inlineStr">
        <is>
          <t>Prospecting and sales pipeline</t>
        </is>
      </c>
      <c r="C15" s="21" t="inlineStr">
        <is>
          <t>Lead assignment to account executives and team visibility</t>
        </is>
      </c>
      <c r="D15" s="20" t="inlineStr">
        <is>
          <t>Ops</t>
        </is>
      </c>
      <c r="E15" s="20" t="n">
        <v>1</v>
      </c>
      <c r="F15" s="21" t="inlineStr">
        <is>
          <t>BV-DST-001, BV-DST-002</t>
        </is>
      </c>
      <c r="G15" s="20" t="n">
        <v>2</v>
      </c>
      <c r="H15" s="20" t="n">
        <v>2</v>
      </c>
      <c r="I15" s="20" t="n">
        <v>0</v>
      </c>
      <c r="J15" s="21" t="inlineStr">
        <is>
          <t>backend/test/lead-assignment.test.js
backend/test/scope.test.js</t>
        </is>
      </c>
      <c r="K15" s="21" t="n"/>
      <c r="L15" s="21" t="inlineStr">
        <is>
          <t>Covered: test cases and automated tests passed</t>
        </is>
      </c>
    </row>
    <row r="16" ht="41" customHeight="1">
      <c r="A16" s="20" t="inlineStr">
        <is>
          <t>2.06</t>
        </is>
      </c>
      <c r="B16" s="21" t="inlineStr">
        <is>
          <t>Prospecting and sales pipeline</t>
        </is>
      </c>
      <c r="C16" s="21" t="inlineStr">
        <is>
          <t>Sales targets and sales dashboard</t>
        </is>
      </c>
      <c r="D16" s="20" t="inlineStr">
        <is>
          <t>Ops</t>
        </is>
      </c>
      <c r="E16" s="20" t="n">
        <v>2</v>
      </c>
      <c r="F16" s="21" t="inlineStr">
        <is>
          <t>BV-DSH-001 to BV-DSH-008 (all 8)</t>
        </is>
      </c>
      <c r="G16" s="20" t="n">
        <v>8</v>
      </c>
      <c r="H16" s="20" t="n">
        <v>8</v>
      </c>
      <c r="I16" s="20" t="n">
        <v>0</v>
      </c>
      <c r="J16" s="21" t="inlineStr">
        <is>
          <t>backend/test/dashboard.test.js
backend/test/role-access.test.js
backend/test/reports.test.js</t>
        </is>
      </c>
      <c r="K16" s="21" t="n"/>
      <c r="L16" s="21" t="inlineStr">
        <is>
          <t>Covered: test cases and automated tests passed</t>
        </is>
      </c>
    </row>
    <row r="17" ht="41" customHeight="1">
      <c r="A17" s="20" t="inlineStr">
        <is>
          <t>2.07</t>
        </is>
      </c>
      <c r="B17" s="21" t="inlineStr">
        <is>
          <t>Prospecting and sales pipeline</t>
        </is>
      </c>
      <c r="C17" s="21" t="inlineStr">
        <is>
          <t>Dealer, bank and affinity channel referrals (captive agency, motor dealer branches)</t>
        </is>
      </c>
      <c r="D17" s="20" t="inlineStr">
        <is>
          <t>Ops</t>
        </is>
      </c>
      <c r="E17" s="20" t="n">
        <v>1</v>
      </c>
      <c r="F17" s="21" t="inlineStr">
        <is>
          <t>BV-DST-003, BV-DST-004, BV-DST-005</t>
        </is>
      </c>
      <c r="G17" s="20" t="n">
        <v>3</v>
      </c>
      <c r="H17" s="20" t="n">
        <v>3</v>
      </c>
      <c r="I17" s="20" t="n">
        <v>0</v>
      </c>
      <c r="J17" s="21" t="inlineStr">
        <is>
          <t>backend/test/distribution-channels.test.js
backend/test/motor-programmes.test.js
backend/test/commission.test.js</t>
        </is>
      </c>
      <c r="K17" s="21" t="n"/>
      <c r="L17" s="21" t="inlineStr">
        <is>
          <t>Covered: test cases and automated tests passed</t>
        </is>
      </c>
    </row>
    <row r="18" ht="15" customHeight="1">
      <c r="A18" s="20" t="inlineStr">
        <is>
          <t>2.08</t>
        </is>
      </c>
      <c r="B18" s="21" t="inlineStr">
        <is>
          <t>Prospecting and sales pipeline</t>
        </is>
      </c>
      <c r="C18" s="21" t="inlineStr">
        <is>
          <t>Marketing campaigns to consenting clients</t>
        </is>
      </c>
      <c r="D18" s="20" t="inlineStr">
        <is>
          <t>Ops</t>
        </is>
      </c>
      <c r="E18" s="20" t="n">
        <v>1</v>
      </c>
      <c r="F18" s="21" t="inlineStr">
        <is>
          <t>BV-DST-010</t>
        </is>
      </c>
      <c r="G18" s="20" t="n">
        <v>1</v>
      </c>
      <c r="H18" s="20" t="n">
        <v>1</v>
      </c>
      <c r="I18" s="20" t="n">
        <v>0</v>
      </c>
      <c r="J18" s="21" t="inlineStr">
        <is>
          <t>backend/test/campaigns.test.js</t>
        </is>
      </c>
      <c r="K18" s="21" t="inlineStr">
        <is>
          <t>brokerverse/src/module/Distribution/Distribution.test.jsx</t>
        </is>
      </c>
      <c r="L18" s="21" t="inlineStr">
        <is>
          <t>Covered: test cases and automated tests passed</t>
        </is>
      </c>
    </row>
    <row r="19" ht="28" customHeight="1">
      <c r="A19" s="20" t="inlineStr">
        <is>
          <t>3.01</t>
        </is>
      </c>
      <c r="B19" s="21" t="inlineStr">
        <is>
          <t>Quotation and insurer comparison</t>
        </is>
      </c>
      <c r="C19" s="21" t="inlineStr">
        <is>
          <t>Quick quote of packaged products from insurer rate tables</t>
        </is>
      </c>
      <c r="D19" s="20" t="inlineStr">
        <is>
          <t>Ops</t>
        </is>
      </c>
      <c r="E19" s="20" t="n">
        <v>2</v>
      </c>
      <c r="F19" s="21" t="inlineStr">
        <is>
          <t>BV-QQT-001</t>
        </is>
      </c>
      <c r="G19" s="20" t="n">
        <v>1</v>
      </c>
      <c r="H19" s="20" t="n">
        <v>1</v>
      </c>
      <c r="I19" s="20" t="n">
        <v>0</v>
      </c>
      <c r="J19" s="21" t="inlineStr">
        <is>
          <t>backend/test/motor-tariff.test.js
backend/test/packages.test.js</t>
        </is>
      </c>
      <c r="K19" s="21" t="n"/>
      <c r="L19" s="21" t="inlineStr">
        <is>
          <t>Covered: test cases and automated tests passed</t>
        </is>
      </c>
    </row>
    <row r="20" ht="28" customHeight="1">
      <c r="A20" s="20" t="inlineStr">
        <is>
          <t>3.02</t>
        </is>
      </c>
      <c r="B20" s="21" t="inlineStr">
        <is>
          <t>Quotation and insurer comparison</t>
        </is>
      </c>
      <c r="C20" s="21" t="inlineStr">
        <is>
          <t>Side-by-side comparison of insurers on screen</t>
        </is>
      </c>
      <c r="D20" s="20" t="inlineStr">
        <is>
          <t>Ops</t>
        </is>
      </c>
      <c r="E20" s="20" t="n">
        <v>2</v>
      </c>
      <c r="F20" s="21" t="inlineStr">
        <is>
          <t>BV-QQT-007</t>
        </is>
      </c>
      <c r="G20" s="20" t="n">
        <v>1</v>
      </c>
      <c r="H20" s="20" t="n">
        <v>1</v>
      </c>
      <c r="I20" s="20" t="n">
        <v>0</v>
      </c>
      <c r="J20" s="21" t="inlineStr">
        <is>
          <t>backend/test/packages.test.js</t>
        </is>
      </c>
      <c r="K20" s="21" t="n"/>
      <c r="L20" s="21" t="inlineStr">
        <is>
          <t>Covered: test cases and automated tests passed</t>
        </is>
      </c>
    </row>
    <row r="21" ht="28" customHeight="1">
      <c r="A21" s="20" t="inlineStr">
        <is>
          <t>3.03</t>
        </is>
      </c>
      <c r="B21" s="21" t="inlineStr">
        <is>
          <t>Quotation and insurer comparison</t>
        </is>
      </c>
      <c r="C21" s="21" t="inlineStr">
        <is>
          <t>Client-facing comparison and recommendation report</t>
        </is>
      </c>
      <c r="D21" s="20" t="inlineStr">
        <is>
          <t>Ops</t>
        </is>
      </c>
      <c r="E21" s="20" t="n">
        <v>1</v>
      </c>
      <c r="F21" s="21" t="inlineStr">
        <is>
          <t>BV-DST-009</t>
        </is>
      </c>
      <c r="G21" s="20" t="n">
        <v>1</v>
      </c>
      <c r="H21" s="20" t="n">
        <v>1</v>
      </c>
      <c r="I21" s="20" t="n">
        <v>0</v>
      </c>
      <c r="J21" s="21" t="inlineStr">
        <is>
          <t>backend/test/comparison-reports.test.js</t>
        </is>
      </c>
      <c r="K21" s="21" t="n"/>
      <c r="L21" s="21" t="inlineStr">
        <is>
          <t>Covered: test cases and automated tests passed</t>
        </is>
      </c>
    </row>
    <row r="22" ht="28" customHeight="1">
      <c r="A22" s="20" t="inlineStr">
        <is>
          <t>3.04</t>
        </is>
      </c>
      <c r="B22" s="21" t="inlineStr">
        <is>
          <t>Quotation and insurer comparison</t>
        </is>
      </c>
      <c r="C22" s="21" t="inlineStr">
        <is>
          <t>Motor quotation: own damage, acts of nature, VTPL BI/PD, APPA, accessories</t>
        </is>
      </c>
      <c r="D22" s="20" t="inlineStr">
        <is>
          <t>Ops</t>
        </is>
      </c>
      <c r="E22" s="20" t="n">
        <v>2</v>
      </c>
      <c r="F22" s="21" t="inlineStr">
        <is>
          <t>BV-QUO-001, BV-QUO-003; BV-QQT-001</t>
        </is>
      </c>
      <c r="G22" s="20" t="n">
        <v>3</v>
      </c>
      <c r="H22" s="20" t="n">
        <v>3</v>
      </c>
      <c r="I22" s="20" t="n">
        <v>0</v>
      </c>
      <c r="J22" s="21" t="inlineStr">
        <is>
          <t>backend/test/quotations.test.js
backend/test/motor-tariff.test.js</t>
        </is>
      </c>
      <c r="K22" s="21" t="inlineStr">
        <is>
          <t>brokerverse/src/agentModule/quoteModule/coverageDetails/coverageDetailsCard/coverageInputErrors.test.js</t>
        </is>
      </c>
      <c r="L22" s="21" t="inlineStr">
        <is>
          <t>Covered: test cases and automated tests passed</t>
        </is>
      </c>
    </row>
    <row r="23" ht="28" customHeight="1">
      <c r="A23" s="20" t="inlineStr">
        <is>
          <t>3.05</t>
        </is>
      </c>
      <c r="B23" s="21" t="inlineStr">
        <is>
          <t>Quotation and insurer comparison</t>
        </is>
      </c>
      <c r="C23" s="21" t="inlineStr">
        <is>
          <t>Server-side pricing with premium taxes (VAT, DST, LGT, FST)</t>
        </is>
      </c>
      <c r="D23" s="20" t="inlineStr">
        <is>
          <t>BIR</t>
        </is>
      </c>
      <c r="E23" s="20" t="n">
        <v>2</v>
      </c>
      <c r="F23" s="21" t="inlineStr">
        <is>
          <t>BV-MST-020; BV-TAX-007, BV-TAX-008</t>
        </is>
      </c>
      <c r="G23" s="20" t="n">
        <v>3</v>
      </c>
      <c r="H23" s="20" t="n">
        <v>3</v>
      </c>
      <c r="I23" s="20" t="n">
        <v>0</v>
      </c>
      <c r="J23" s="21" t="inlineStr">
        <is>
          <t>backend/test/premium-charges.test.js
backend/test/money-single-source.test.js</t>
        </is>
      </c>
      <c r="K23" s="21" t="n"/>
      <c r="L23" s="21" t="inlineStr">
        <is>
          <t>Covered: test cases and automated tests passed</t>
        </is>
      </c>
    </row>
    <row r="24" ht="28" customHeight="1">
      <c r="A24" s="20" t="inlineStr">
        <is>
          <t>3.06</t>
        </is>
      </c>
      <c r="B24" s="21" t="inlineStr">
        <is>
          <t>Quotation and insurer comparison</t>
        </is>
      </c>
      <c r="C24" s="21" t="inlineStr">
        <is>
          <t>Quotation for non-motor lines from insurer terms</t>
        </is>
      </c>
      <c r="D24" s="20" t="inlineStr">
        <is>
          <t>Ops</t>
        </is>
      </c>
      <c r="E24" s="20" t="n">
        <v>2</v>
      </c>
      <c r="F24" s="21" t="inlineStr">
        <is>
          <t>BV-RFQ-001, BV-RFQ-003</t>
        </is>
      </c>
      <c r="G24" s="20" t="n">
        <v>2</v>
      </c>
      <c r="H24" s="20" t="n">
        <v>2</v>
      </c>
      <c r="I24" s="20" t="n">
        <v>0</v>
      </c>
      <c r="J24" s="21" t="inlineStr">
        <is>
          <t>backend/test/placement.test.js
backend/test/request-for-quotation.test.js</t>
        </is>
      </c>
      <c r="K24" s="21" t="n"/>
      <c r="L24" s="21" t="inlineStr">
        <is>
          <t>Covered: test cases and automated tests passed</t>
        </is>
      </c>
    </row>
    <row r="25" ht="28" customHeight="1">
      <c r="A25" s="20" t="inlineStr">
        <is>
          <t>3.07</t>
        </is>
      </c>
      <c r="B25" s="21" t="inlineStr">
        <is>
          <t>Quotation and insurer comparison</t>
        </is>
      </c>
      <c r="C25" s="21" t="inlineStr">
        <is>
          <t>Discount control taken from broker commission</t>
        </is>
      </c>
      <c r="D25" s="20" t="inlineStr">
        <is>
          <t>Ops</t>
        </is>
      </c>
      <c r="E25" s="20" t="n">
        <v>2</v>
      </c>
      <c r="F25" s="21" t="inlineStr">
        <is>
          <t>BV-QQT-005</t>
        </is>
      </c>
      <c r="G25" s="20" t="n">
        <v>1</v>
      </c>
      <c r="H25" s="20" t="n">
        <v>1</v>
      </c>
      <c r="I25" s="20" t="n">
        <v>0</v>
      </c>
      <c r="J25" s="21" t="inlineStr">
        <is>
          <t>backend/test/uat-disconnects.test.js
backend/test/quotations.test.js</t>
        </is>
      </c>
      <c r="K25" s="21" t="n"/>
      <c r="L25" s="21" t="inlineStr">
        <is>
          <t>Covered: test cases and automated tests passed</t>
        </is>
      </c>
    </row>
    <row r="26" ht="28" customHeight="1">
      <c r="A26" s="20" t="inlineStr">
        <is>
          <t>3.08</t>
        </is>
      </c>
      <c r="B26" s="21" t="inlineStr">
        <is>
          <t>Quotation and insurer comparison</t>
        </is>
      </c>
      <c r="C26" s="21" t="inlineStr">
        <is>
          <t>Online client approval of the quotation</t>
        </is>
      </c>
      <c r="D26" s="20" t="inlineStr">
        <is>
          <t>Ops</t>
        </is>
      </c>
      <c r="E26" s="20" t="n">
        <v>2</v>
      </c>
      <c r="F26" s="21" t="inlineStr">
        <is>
          <t>BV-QUO-006, BV-QUO-010</t>
        </is>
      </c>
      <c r="G26" s="20" t="n">
        <v>2</v>
      </c>
      <c r="H26" s="20" t="n">
        <v>1</v>
      </c>
      <c r="I26" s="20" t="n">
        <v>1</v>
      </c>
      <c r="J26" s="21" t="inlineStr">
        <is>
          <t>backend/test/customer-response.test.js
backend/test/quotations.test.js</t>
        </is>
      </c>
      <c r="K26" s="21" t="n"/>
      <c r="L26" s="22" t="inlineStr">
        <is>
          <t>Covered: some cases not passed (see Test Cases)</t>
        </is>
      </c>
    </row>
    <row r="27" ht="28" customHeight="1">
      <c r="A27" s="20" t="inlineStr">
        <is>
          <t>3.09</t>
        </is>
      </c>
      <c r="B27" s="21" t="inlineStr">
        <is>
          <t>Quotation and insurer comparison</t>
        </is>
      </c>
      <c r="C27" s="21" t="inlineStr">
        <is>
          <t>Quotation validity, expiry and maker-checker</t>
        </is>
      </c>
      <c r="D27" s="20" t="inlineStr">
        <is>
          <t>Ops</t>
        </is>
      </c>
      <c r="E27" s="20" t="n">
        <v>2</v>
      </c>
      <c r="F27" s="21" t="inlineStr">
        <is>
          <t>BV-QUO-012</t>
        </is>
      </c>
      <c r="G27" s="20" t="n">
        <v>1</v>
      </c>
      <c r="H27" s="20" t="n">
        <v>1</v>
      </c>
      <c r="I27" s="20" t="n">
        <v>0</v>
      </c>
      <c r="J27" s="21" t="inlineStr">
        <is>
          <t>backend/test/quotations.test.js</t>
        </is>
      </c>
      <c r="K27" s="21" t="n"/>
      <c r="L27" s="21" t="inlineStr">
        <is>
          <t>Covered: test cases and automated tests passed</t>
        </is>
      </c>
    </row>
    <row r="28" ht="28" customHeight="1">
      <c r="A28" s="20" t="inlineStr">
        <is>
          <t>3.10</t>
        </is>
      </c>
      <c r="B28" s="21" t="inlineStr">
        <is>
          <t>Quotation and insurer comparison</t>
        </is>
      </c>
      <c r="C28" s="21" t="inlineStr">
        <is>
          <t>Electronic signature of proposal and acceptance</t>
        </is>
      </c>
      <c r="D28" s="20" t="inlineStr">
        <is>
          <t>Ops</t>
        </is>
      </c>
      <c r="E28" s="20" t="n">
        <v>1</v>
      </c>
      <c r="F28" s="21" t="inlineStr">
        <is>
          <t>BV-BRD-004</t>
        </is>
      </c>
      <c r="G28" s="20" t="n">
        <v>1</v>
      </c>
      <c r="H28" s="20" t="n">
        <v>1</v>
      </c>
      <c r="I28" s="20" t="n">
        <v>0</v>
      </c>
      <c r="J28" s="21" t="inlineStr">
        <is>
          <t>backend/test/branding.test.js</t>
        </is>
      </c>
      <c r="K28" s="21" t="n"/>
      <c r="L28" s="21" t="inlineStr">
        <is>
          <t>Covered: test cases and automated tests passed</t>
        </is>
      </c>
    </row>
    <row r="29" ht="41" customHeight="1">
      <c r="A29" s="20" t="inlineStr">
        <is>
          <t>3.11</t>
        </is>
      </c>
      <c r="B29" s="21" t="inlineStr">
        <is>
          <t>Quotation and insurer comparison</t>
        </is>
      </c>
      <c r="C29" s="21" t="inlineStr">
        <is>
          <t>Product rules from the Product Configurator drive the quotation</t>
        </is>
      </c>
      <c r="D29" s="20" t="inlineStr">
        <is>
          <t>Ops</t>
        </is>
      </c>
      <c r="E29" s="20" t="n">
        <v>1</v>
      </c>
      <c r="F29" s="21" t="inlineStr">
        <is>
          <t>BV-PCF-001 to BV-PCF-010 (all 10); BV-PCR-001, BV-PCR-002, BV-PCR-003, BV-PCR-004; BV-PKG-002</t>
        </is>
      </c>
      <c r="G29" s="20" t="n">
        <v>15</v>
      </c>
      <c r="H29" s="20" t="n">
        <v>14</v>
      </c>
      <c r="I29" s="20" t="n">
        <v>1</v>
      </c>
      <c r="J29" s="21" t="inlineStr">
        <is>
          <t>backend/test/product-configurator.test.js
backend/test/motor-tariff.test.js
backend/test/product-rules-in-flow.test.js</t>
        </is>
      </c>
      <c r="K29" s="21" t="n"/>
      <c r="L29" s="22" t="inlineStr">
        <is>
          <t>Covered: some cases not passed (see Test Cases)</t>
        </is>
      </c>
    </row>
    <row r="30" ht="28" customHeight="1">
      <c r="A30" s="20" t="inlineStr">
        <is>
          <t>4.01</t>
        </is>
      </c>
      <c r="B30" s="21" t="inlineStr">
        <is>
          <t>RFQ, placement, co-insurance and reinsurance</t>
        </is>
      </c>
      <c r="C30" s="21" t="inlineStr">
        <is>
          <t>Request for Quotation (broker slip) to several insurers by e-mail</t>
        </is>
      </c>
      <c r="D30" s="20" t="inlineStr">
        <is>
          <t>Ops</t>
        </is>
      </c>
      <c r="E30" s="20" t="n">
        <v>2</v>
      </c>
      <c r="F30" s="21" t="inlineStr">
        <is>
          <t>BV-RFQ-001, BV-RFQ-002</t>
        </is>
      </c>
      <c r="G30" s="20" t="n">
        <v>2</v>
      </c>
      <c r="H30" s="20" t="n">
        <v>2</v>
      </c>
      <c r="I30" s="20" t="n">
        <v>0</v>
      </c>
      <c r="J30" s="21" t="inlineStr">
        <is>
          <t>backend/test/placement.test.js
backend/test/request-for-quotation.test.js</t>
        </is>
      </c>
      <c r="K30" s="21" t="n"/>
      <c r="L30" s="21" t="inlineStr">
        <is>
          <t>Covered: test cases and automated tests passed</t>
        </is>
      </c>
    </row>
    <row r="31" ht="28" customHeight="1">
      <c r="A31" s="20" t="inlineStr">
        <is>
          <t>4.02</t>
        </is>
      </c>
      <c r="B31" s="21" t="inlineStr">
        <is>
          <t>RFQ, placement, co-insurance and reinsurance</t>
        </is>
      </c>
      <c r="C31" s="21" t="inlineStr">
        <is>
          <t>Record insurer offers and declines with terms</t>
        </is>
      </c>
      <c r="D31" s="20" t="inlineStr">
        <is>
          <t>Ops</t>
        </is>
      </c>
      <c r="E31" s="20" t="n">
        <v>2</v>
      </c>
      <c r="F31" s="21" t="inlineStr">
        <is>
          <t>BV-RFQ-003</t>
        </is>
      </c>
      <c r="G31" s="20" t="n">
        <v>1</v>
      </c>
      <c r="H31" s="20" t="n">
        <v>1</v>
      </c>
      <c r="I31" s="20" t="n">
        <v>0</v>
      </c>
      <c r="J31" s="21" t="inlineStr">
        <is>
          <t>backend/test/placement.test.js
backend/test/request-for-quotation.test.js</t>
        </is>
      </c>
      <c r="K31" s="21" t="n"/>
      <c r="L31" s="21" t="inlineStr">
        <is>
          <t>Covered: test cases and automated tests passed</t>
        </is>
      </c>
    </row>
    <row r="32" ht="41" customHeight="1">
      <c r="A32" s="20" t="inlineStr">
        <is>
          <t>4.03</t>
        </is>
      </c>
      <c r="B32" s="21" t="inlineStr">
        <is>
          <t>RFQ, placement, co-insurance and reinsurance</t>
        </is>
      </c>
      <c r="C32" s="21" t="inlineStr">
        <is>
          <t>Compare offers, best offer, market capacity and hit ratio per insurer</t>
        </is>
      </c>
      <c r="D32" s="20" t="inlineStr">
        <is>
          <t>Ops</t>
        </is>
      </c>
      <c r="E32" s="20" t="n">
        <v>2</v>
      </c>
      <c r="F32" s="21" t="inlineStr">
        <is>
          <t>BV-RFQ-003, BV-RFQ-013</t>
        </is>
      </c>
      <c r="G32" s="20" t="n">
        <v>2</v>
      </c>
      <c r="H32" s="20" t="n">
        <v>2</v>
      </c>
      <c r="I32" s="20" t="n">
        <v>0</v>
      </c>
      <c r="J32" s="21" t="inlineStr">
        <is>
          <t>backend/test/placement.test.js
backend/test/request-for-quotation.test.js
backend/test/reports.test.js</t>
        </is>
      </c>
      <c r="K32" s="21" t="n"/>
      <c r="L32" s="21" t="inlineStr">
        <is>
          <t>Covered: test cases and automated tests passed</t>
        </is>
      </c>
    </row>
    <row r="33" ht="28" customHeight="1">
      <c r="A33" s="20" t="inlineStr">
        <is>
          <t>4.04</t>
        </is>
      </c>
      <c r="B33" s="21" t="inlineStr">
        <is>
          <t>RFQ, placement, co-insurance and reinsurance</t>
        </is>
      </c>
      <c r="C33" s="21" t="inlineStr">
        <is>
          <t>Placement slip to lead and co-insurers with confirmation per insurer</t>
        </is>
      </c>
      <c r="D33" s="20" t="inlineStr">
        <is>
          <t>Ops</t>
        </is>
      </c>
      <c r="E33" s="20" t="n">
        <v>2</v>
      </c>
      <c r="F33" s="21" t="inlineStr">
        <is>
          <t>BV-RFQ-006</t>
        </is>
      </c>
      <c r="G33" s="20" t="n">
        <v>1</v>
      </c>
      <c r="H33" s="20" t="n">
        <v>1</v>
      </c>
      <c r="I33" s="20" t="n">
        <v>0</v>
      </c>
      <c r="J33" s="21" t="inlineStr">
        <is>
          <t>backend/test/placement.test.js</t>
        </is>
      </c>
      <c r="K33" s="21" t="n"/>
      <c r="L33" s="21" t="inlineStr">
        <is>
          <t>Covered: test cases and automated tests passed</t>
        </is>
      </c>
    </row>
    <row r="34" ht="41" customHeight="1">
      <c r="A34" s="20" t="inlineStr">
        <is>
          <t>4.05</t>
        </is>
      </c>
      <c r="B34" s="21" t="inlineStr">
        <is>
          <t>RFQ, placement, co-insurance and reinsurance</t>
        </is>
      </c>
      <c r="C34" s="21" t="inlineStr">
        <is>
          <t>Co-insurance shares, payables and taxes split per participant</t>
        </is>
      </c>
      <c r="D34" s="20" t="inlineStr">
        <is>
          <t>Ops</t>
        </is>
      </c>
      <c r="E34" s="20" t="n">
        <v>2</v>
      </c>
      <c r="F34" s="21" t="inlineStr">
        <is>
          <t>BV-RFQ-004, BV-RFQ-005; BV-POL-007; BV-REM-006</t>
        </is>
      </c>
      <c r="G34" s="20" t="n">
        <v>4</v>
      </c>
      <c r="H34" s="20" t="n">
        <v>4</v>
      </c>
      <c r="I34" s="20" t="n">
        <v>0</v>
      </c>
      <c r="J34" s="21" t="inlineStr">
        <is>
          <t>backend/test/placement.test.js
backend/test/posting-rules.test.js
backend/test/remittance.test.js</t>
        </is>
      </c>
      <c r="K34" s="21" t="n"/>
      <c r="L34" s="21" t="inlineStr">
        <is>
          <t>Covered: test cases and automated tests passed</t>
        </is>
      </c>
    </row>
    <row r="35" ht="28" customHeight="1">
      <c r="A35" s="20" t="inlineStr">
        <is>
          <t>4.06</t>
        </is>
      </c>
      <c r="B35" s="21" t="inlineStr">
        <is>
          <t>RFQ, placement, co-insurance and reinsurance</t>
        </is>
      </c>
      <c r="C35" s="21" t="inlineStr">
        <is>
          <t>Placement journey rules per line of business</t>
        </is>
      </c>
      <c r="D35" s="20" t="inlineStr">
        <is>
          <t>Ops</t>
        </is>
      </c>
      <c r="E35" s="20" t="n">
        <v>2</v>
      </c>
      <c r="F35" s="21" t="inlineStr">
        <is>
          <t>BV-RFQ-007, BV-RFQ-008, BV-RFQ-012; BV-MST-004</t>
        </is>
      </c>
      <c r="G35" s="20" t="n">
        <v>4</v>
      </c>
      <c r="H35" s="20" t="n">
        <v>4</v>
      </c>
      <c r="I35" s="20" t="n">
        <v>0</v>
      </c>
      <c r="J35" s="21" t="inlineStr">
        <is>
          <t>backend/test/placement.test.js
backend/test/product-classification.test.js</t>
        </is>
      </c>
      <c r="K35" s="21" t="n"/>
      <c r="L35" s="21" t="inlineStr">
        <is>
          <t>Covered: test cases and automated tests passed</t>
        </is>
      </c>
    </row>
    <row r="36" ht="28" customHeight="1">
      <c r="A36" s="20" t="inlineStr">
        <is>
          <t>4.07</t>
        </is>
      </c>
      <c r="B36" s="21" t="inlineStr">
        <is>
          <t>RFQ, placement, co-insurance and reinsurance</t>
        </is>
      </c>
      <c r="C36" s="21" t="inlineStr">
        <is>
          <t>Cover note or binder while the policy is pending</t>
        </is>
      </c>
      <c r="D36" s="20" t="inlineStr">
        <is>
          <t>Ops</t>
        </is>
      </c>
      <c r="E36" s="20" t="n">
        <v>0</v>
      </c>
      <c r="F36" s="21" t="inlineStr">
        <is>
          <t>BV-OPX-001, BV-OPX-002</t>
        </is>
      </c>
      <c r="G36" s="20" t="n">
        <v>2</v>
      </c>
      <c r="H36" s="20" t="n">
        <v>2</v>
      </c>
      <c r="I36" s="20" t="n">
        <v>0</v>
      </c>
      <c r="J36" s="21" t="inlineStr">
        <is>
          <t>backend/test/ops-accounting.test.js</t>
        </is>
      </c>
      <c r="K36" s="21" t="n"/>
      <c r="L36" s="21" t="inlineStr">
        <is>
          <t>Covered: test cases and automated tests passed</t>
        </is>
      </c>
    </row>
    <row r="37" ht="28" customHeight="1">
      <c r="A37" s="20" t="inlineStr">
        <is>
          <t>4.08</t>
        </is>
      </c>
      <c r="B37" s="21" t="inlineStr">
        <is>
          <t>RFQ, placement, co-insurance and reinsurance</t>
        </is>
      </c>
      <c r="C37" s="21" t="inlineStr">
        <is>
          <t>Placement only with insurers authorised by the IC</t>
        </is>
      </c>
      <c r="D37" s="20" t="inlineStr">
        <is>
          <t>IC</t>
        </is>
      </c>
      <c r="E37" s="20" t="n">
        <v>1</v>
      </c>
      <c r="F37" s="21" t="inlineStr">
        <is>
          <t>BV-ICC-005; BV-PCR-006</t>
        </is>
      </c>
      <c r="G37" s="20" t="n">
        <v>2</v>
      </c>
      <c r="H37" s="20" t="n">
        <v>2</v>
      </c>
      <c r="I37" s="20" t="n">
        <v>0</v>
      </c>
      <c r="J37" s="21" t="inlineStr">
        <is>
          <t>backend/test/ic-compliance.test.js (package B branch)
backend/test/product-rules-in-flow.test.js</t>
        </is>
      </c>
      <c r="K37" s="21" t="n"/>
      <c r="L37" s="21" t="inlineStr">
        <is>
          <t>Covered: test cases and automated tests passed</t>
        </is>
      </c>
    </row>
    <row r="38" ht="28" customHeight="1">
      <c r="A38" s="20" t="inlineStr">
        <is>
          <t>4.10</t>
        </is>
      </c>
      <c r="B38" s="21" t="inlineStr">
        <is>
          <t>RFQ, placement, co-insurance and reinsurance</t>
        </is>
      </c>
      <c r="C38" s="21" t="inlineStr">
        <is>
          <t>Facultative reinsurance placement (where the broker acts as reinsurance broker)</t>
        </is>
      </c>
      <c r="D38" s="20" t="inlineStr">
        <is>
          <t>Ops</t>
        </is>
      </c>
      <c r="E38" s="20" t="n">
        <v>1</v>
      </c>
      <c r="F38" s="21" t="inlineStr">
        <is>
          <t>BV-DST-008; BV-RIN-004</t>
        </is>
      </c>
      <c r="G38" s="20" t="n">
        <v>2</v>
      </c>
      <c r="H38" s="20" t="n">
        <v>2</v>
      </c>
      <c r="I38" s="20" t="n">
        <v>0</v>
      </c>
      <c r="J38" s="21" t="inlineStr">
        <is>
          <t>backend/test/facultative-reinsurance.test.js
backend/test/reinsurance.test.js</t>
        </is>
      </c>
      <c r="K38" s="21" t="n"/>
      <c r="L38" s="21" t="inlineStr">
        <is>
          <t>Covered: test cases and automated tests passed</t>
        </is>
      </c>
    </row>
    <row r="39" ht="28" customHeight="1">
      <c r="A39" s="20" t="inlineStr">
        <is>
          <t>4.11</t>
        </is>
      </c>
      <c r="B39" s="21" t="inlineStr">
        <is>
          <t>RFQ, placement, co-insurance and reinsurance</t>
        </is>
      </c>
      <c r="C39" s="21" t="inlineStr">
        <is>
          <t>Reinsurance recoveries and reinsurer statement reconciliation</t>
        </is>
      </c>
      <c r="D39" s="20" t="inlineStr">
        <is>
          <t>Ops</t>
        </is>
      </c>
      <c r="E39" s="20" t="n">
        <v>2</v>
      </c>
      <c r="F39" s="21" t="inlineStr">
        <is>
          <t>BV-RIN-005</t>
        </is>
      </c>
      <c r="G39" s="20" t="n">
        <v>1</v>
      </c>
      <c r="H39" s="20" t="n">
        <v>1</v>
      </c>
      <c r="I39" s="20" t="n">
        <v>0</v>
      </c>
      <c r="J39" s="21" t="inlineStr">
        <is>
          <t>backend/test/reinsurance.test.js</t>
        </is>
      </c>
      <c r="K39" s="21" t="n"/>
      <c r="L39" s="21" t="inlineStr">
        <is>
          <t>Covered: test cases and automated tests passed</t>
        </is>
      </c>
    </row>
    <row r="40" ht="119" customHeight="1">
      <c r="A40" s="20" t="inlineStr">
        <is>
          <t>5.01</t>
        </is>
      </c>
      <c r="B40" s="21" t="inlineStr">
        <is>
          <t>Policy issuance, documents and motor (CTPL, LTO)</t>
        </is>
      </c>
      <c r="C40" s="21" t="inlineStr">
        <is>
          <t>Issue policy from bound placement or accepted quotation, create client, bill premium; policy statuses</t>
        </is>
      </c>
      <c r="D40" s="20" t="inlineStr">
        <is>
          <t>Ops</t>
        </is>
      </c>
      <c r="E40" s="20" t="n">
        <v>2</v>
      </c>
      <c r="F40" s="21" t="inlineStr">
        <is>
          <t>BV-POL-001; BV-E2E-001 to BV-E2E-023 (all 23)</t>
        </is>
      </c>
      <c r="G40" s="20" t="n">
        <v>24</v>
      </c>
      <c r="H40" s="20" t="n">
        <v>24</v>
      </c>
      <c r="I40" s="20" t="n">
        <v>0</v>
      </c>
      <c r="J40" s="21" t="inlineStr">
        <is>
          <t>backend/test/quotations.test.js
backend/test/core.test.js
backend/test/masters.test.js
backend/test/leads.test.js
backend/test/dashboard.test.js
backend/test/customer-response.test.js
backend/test/posting-rules.test.js
backend/test/receipts.test.js
and 10 more (sheet Traceability)</t>
        </is>
      </c>
      <c r="K40" s="21" t="inlineStr">
        <is>
          <t>brokerverse/src/utils/menuPermissions.test.js</t>
        </is>
      </c>
      <c r="L40" s="21" t="inlineStr">
        <is>
          <t>Covered: test cases and automated tests passed</t>
        </is>
      </c>
    </row>
    <row r="41" ht="28" customHeight="1">
      <c r="A41" s="20" t="inlineStr">
        <is>
          <t>5.02</t>
        </is>
      </c>
      <c r="B41" s="21" t="inlineStr">
        <is>
          <t>Policy issuance, documents and motor (CTPL, LTO)</t>
        </is>
      </c>
      <c r="C41" s="21" t="inlineStr">
        <is>
          <t>Record a policy already issued by the insurer</t>
        </is>
      </c>
      <c r="D41" s="20" t="inlineStr">
        <is>
          <t>Ops</t>
        </is>
      </c>
      <c r="E41" s="20" t="n">
        <v>2</v>
      </c>
      <c r="F41" s="21" t="inlineStr">
        <is>
          <t>BV-RFQ-011</t>
        </is>
      </c>
      <c r="G41" s="20" t="n">
        <v>1</v>
      </c>
      <c r="H41" s="20" t="n">
        <v>1</v>
      </c>
      <c r="I41" s="20" t="n">
        <v>0</v>
      </c>
      <c r="J41" s="21" t="inlineStr">
        <is>
          <t>backend/test/placement.test.js</t>
        </is>
      </c>
      <c r="K41" s="21" t="n"/>
      <c r="L41" s="21" t="inlineStr">
        <is>
          <t>Covered: test cases and automated tests passed</t>
        </is>
      </c>
    </row>
    <row r="42" ht="80" customHeight="1">
      <c r="A42" s="20" t="inlineStr">
        <is>
          <t>5.03</t>
        </is>
      </c>
      <c r="B42" s="21" t="inlineStr">
        <is>
          <t>Policy issuance, documents and motor (CTPL, LTO)</t>
        </is>
      </c>
      <c r="C42" s="21" t="inlineStr">
        <is>
          <t>Policy schedule and documents generated and e-mailed to the client</t>
        </is>
      </c>
      <c r="D42" s="20" t="inlineStr">
        <is>
          <t>Ops</t>
        </is>
      </c>
      <c r="E42" s="20" t="n">
        <v>2</v>
      </c>
      <c r="F42" s="21" t="inlineStr">
        <is>
          <t>BV-POL-009; BV-PCR-008; BV-BRD-003</t>
        </is>
      </c>
      <c r="G42" s="20" t="n">
        <v>3</v>
      </c>
      <c r="H42" s="20" t="n">
        <v>3</v>
      </c>
      <c r="I42" s="20" t="n">
        <v>0</v>
      </c>
      <c r="J42" s="21" t="inlineStr">
        <is>
          <t>backend/test/policies.test.js
backend/test/printing.test.js
backend/test/receipts.test.js
backend/test/product-rules-in-flow.test.js
backend/test/branding.test.js
backend/test/email-documents.test.js</t>
        </is>
      </c>
      <c r="K42" s="21" t="inlineStr">
        <is>
          <t>brokerverse/src/module/ProductConfigurator/shared/ruleLogic.test.js</t>
        </is>
      </c>
      <c r="L42" s="21" t="inlineStr">
        <is>
          <t>Covered: test cases and automated tests passed</t>
        </is>
      </c>
    </row>
    <row r="43" ht="119" customHeight="1">
      <c r="A43" s="20" t="inlineStr">
        <is>
          <t>5.04</t>
        </is>
      </c>
      <c r="B43" s="21" t="inlineStr">
        <is>
          <t>Policy issuance, documents and motor (CTPL, LTO)</t>
        </is>
      </c>
      <c r="C43" s="21" t="inlineStr">
        <is>
          <t>Upload of the insurer policy document and attachments</t>
        </is>
      </c>
      <c r="D43" s="20" t="inlineStr">
        <is>
          <t>Ops</t>
        </is>
      </c>
      <c r="E43" s="20" t="n">
        <v>2</v>
      </c>
      <c r="F43" s="21" t="inlineStr">
        <is>
          <t>BV-POL-001 to BV-POL-015 (all 15)</t>
        </is>
      </c>
      <c r="G43" s="20" t="n">
        <v>15</v>
      </c>
      <c r="H43" s="20" t="n">
        <v>15</v>
      </c>
      <c r="I43" s="20" t="n">
        <v>0</v>
      </c>
      <c r="J43" s="21" t="inlineStr">
        <is>
          <t>backend/test/quotations.test.js
backend/test/quote-to-policy.test.js
backend/test/packages.test.js
backend/test/uat-disconnects.test.js
backend/test/product-classification.test.js
backend/test/posting-rules.test.js
backend/test/commission-taxes.test.js
backend/test/policies.test.js
and 7 more (sheet Traceability)</t>
        </is>
      </c>
      <c r="K43" s="21" t="inlineStr">
        <is>
          <t>brokerverse/src/utils/canOpen.test.js</t>
        </is>
      </c>
      <c r="L43" s="21" t="inlineStr">
        <is>
          <t>Covered: test cases and automated tests passed</t>
        </is>
      </c>
    </row>
    <row r="44" ht="28" customHeight="1">
      <c r="A44" s="20" t="inlineStr">
        <is>
          <t>5.05</t>
        </is>
      </c>
      <c r="B44" s="21" t="inlineStr">
        <is>
          <t>Policy issuance, documents and motor (CTPL, LTO)</t>
        </is>
      </c>
      <c r="C44" s="21" t="inlineStr">
        <is>
          <t>Motor details: chassis, motor, plate or MV file number, mortgagee, photos</t>
        </is>
      </c>
      <c r="D44" s="20" t="inlineStr">
        <is>
          <t>Ops</t>
        </is>
      </c>
      <c r="E44" s="20" t="n">
        <v>2</v>
      </c>
      <c r="F44" s="21" t="inlineStr">
        <is>
          <t>BV-POL-001, BV-POL-002</t>
        </is>
      </c>
      <c r="G44" s="20" t="n">
        <v>2</v>
      </c>
      <c r="H44" s="20" t="n">
        <v>2</v>
      </c>
      <c r="I44" s="20" t="n">
        <v>0</v>
      </c>
      <c r="J44" s="21" t="inlineStr">
        <is>
          <t>backend/test/quotations.test.js
backend/test/policies.test.js</t>
        </is>
      </c>
      <c r="K44" s="21" t="n"/>
      <c r="L44" s="21" t="inlineStr">
        <is>
          <t>Covered: test cases and automated tests passed</t>
        </is>
      </c>
    </row>
    <row r="45" ht="28" customHeight="1">
      <c r="A45" s="20" t="inlineStr">
        <is>
          <t>5.06</t>
        </is>
      </c>
      <c r="B45" s="21" t="inlineStr">
        <is>
          <t>Policy issuance, documents and motor (CTPL, LTO)</t>
        </is>
      </c>
      <c r="C45" s="21" t="inlineStr">
        <is>
          <t>CTPL tariff per vehicle class, 1-year and 3-year, never discounted</t>
        </is>
      </c>
      <c r="D45" s="20" t="inlineStr">
        <is>
          <t>IC</t>
        </is>
      </c>
      <c r="E45" s="20" t="n">
        <v>2</v>
      </c>
      <c r="F45" s="21" t="inlineStr">
        <is>
          <t>BV-QQT-002, BV-QQT-003, BV-QQT-005; BV-PCF-008, BV-PCF-009</t>
        </is>
      </c>
      <c r="G45" s="20" t="n">
        <v>5</v>
      </c>
      <c r="H45" s="20" t="n">
        <v>5</v>
      </c>
      <c r="I45" s="20" t="n">
        <v>0</v>
      </c>
      <c r="J45" s="21" t="inlineStr">
        <is>
          <t>backend/test/motor-tariff.test.js
backend/test/uat-disconnects.test.js</t>
        </is>
      </c>
      <c r="K45" s="21" t="n"/>
      <c r="L45" s="21" t="inlineStr">
        <is>
          <t>Covered: test cases and automated tests passed</t>
        </is>
      </c>
    </row>
    <row r="46" ht="28" customHeight="1">
      <c r="A46" s="20" t="inlineStr">
        <is>
          <t>5.07</t>
        </is>
      </c>
      <c r="B46" s="21" t="inlineStr">
        <is>
          <t>Policy issuance, documents and motor (CTPL, LTO)</t>
        </is>
      </c>
      <c r="C46" s="21" t="inlineStr">
        <is>
          <t>CTPL certificate of cover authentication with the IC-accredited system and LTO</t>
        </is>
      </c>
      <c r="D46" s="20" t="inlineStr">
        <is>
          <t>IC</t>
        </is>
      </c>
      <c r="E46" s="20" t="n">
        <v>1</v>
      </c>
      <c r="F46" s="21" t="inlineStr">
        <is>
          <t>BV-INT-004, BV-INT-005</t>
        </is>
      </c>
      <c r="G46" s="20" t="n">
        <v>2</v>
      </c>
      <c r="H46" s="20" t="n">
        <v>2</v>
      </c>
      <c r="I46" s="20" t="n">
        <v>0</v>
      </c>
      <c r="J46" s="21" t="inlineStr">
        <is>
          <t>backend/test/integrations.test.js</t>
        </is>
      </c>
      <c r="K46" s="21" t="inlineStr">
        <is>
          <t>brokerverse/src/module/Integrations/IntegrationScreens.test.jsx</t>
        </is>
      </c>
      <c r="L46" s="21" t="inlineStr">
        <is>
          <t>Covered: test cases and automated tests passed</t>
        </is>
      </c>
    </row>
    <row r="47" ht="41" customHeight="1">
      <c r="A47" s="20" t="inlineStr">
        <is>
          <t>5.08</t>
        </is>
      </c>
      <c r="B47" s="21" t="inlineStr">
        <is>
          <t>Policy issuance, documents and motor (CTPL, LTO)</t>
        </is>
      </c>
      <c r="C47" s="21" t="inlineStr">
        <is>
          <t>Brand-new vehicle programme: dealer sale, financing bank mortgagee clause, free first-year cover</t>
        </is>
      </c>
      <c r="D47" s="20" t="inlineStr">
        <is>
          <t>Ops</t>
        </is>
      </c>
      <c r="E47" s="20" t="n">
        <v>1</v>
      </c>
      <c r="F47" s="21" t="inlineStr">
        <is>
          <t>BV-DST-004, BV-DST-005; BV-QQT-003</t>
        </is>
      </c>
      <c r="G47" s="20" t="n">
        <v>3</v>
      </c>
      <c r="H47" s="20" t="n">
        <v>3</v>
      </c>
      <c r="I47" s="20" t="n">
        <v>0</v>
      </c>
      <c r="J47" s="21" t="inlineStr">
        <is>
          <t>backend/test/motor-programmes.test.js
backend/test/motor-tariff.test.js</t>
        </is>
      </c>
      <c r="K47" s="21" t="n"/>
      <c r="L47" s="21" t="inlineStr">
        <is>
          <t>Covered: test cases and automated tests passed</t>
        </is>
      </c>
    </row>
    <row r="48" ht="54" customHeight="1">
      <c r="A48" s="20" t="inlineStr">
        <is>
          <t>5.09</t>
        </is>
      </c>
      <c r="B48" s="21" t="inlineStr">
        <is>
          <t>Policy issuance, documents and motor (CTPL, LTO)</t>
        </is>
      </c>
      <c r="C48" s="21" t="inlineStr">
        <is>
          <t>Bulk issuance: fleet schedules and group policies</t>
        </is>
      </c>
      <c r="D48" s="20" t="inlineStr">
        <is>
          <t>Ops</t>
        </is>
      </c>
      <c r="E48" s="20" t="n">
        <v>1</v>
      </c>
      <c r="F48" s="21" t="inlineStr">
        <is>
          <t>BV-DST-006; BV-POL-010</t>
        </is>
      </c>
      <c r="G48" s="20" t="n">
        <v>2</v>
      </c>
      <c r="H48" s="20" t="n">
        <v>2</v>
      </c>
      <c r="I48" s="20" t="n">
        <v>0</v>
      </c>
      <c r="J48" s="21" t="inlineStr">
        <is>
          <t>backend/test/fleet-schedules.test.js
backend/test/policies.test.js
backend/test/placement.test.js
backend/test/upload-templates.test.js</t>
        </is>
      </c>
      <c r="K48" s="21" t="n"/>
      <c r="L48" s="21" t="inlineStr">
        <is>
          <t>Covered: test cases and automated tests passed</t>
        </is>
      </c>
    </row>
    <row r="49" ht="119" customHeight="1">
      <c r="A49" s="20" t="inlineStr">
        <is>
          <t>5.11</t>
        </is>
      </c>
      <c r="B49" s="21" t="inlineStr">
        <is>
          <t>Policy issuance, documents and motor (CTPL, LTO)</t>
        </is>
      </c>
      <c r="C49" s="21" t="inlineStr">
        <is>
          <t>Lines placed: motor, fire, IAR, CAR, EAR, marine, CGL, money, PA, travel, EB, surety</t>
        </is>
      </c>
      <c r="D49" s="20" t="inlineStr">
        <is>
          <t>Ops</t>
        </is>
      </c>
      <c r="E49" s="20" t="n">
        <v>2</v>
      </c>
      <c r="F49" s="21" t="inlineStr">
        <is>
          <t>BV-POL-005; BV-E2E-001 to BV-E2E-023 (all 23)</t>
        </is>
      </c>
      <c r="G49" s="20" t="n">
        <v>24</v>
      </c>
      <c r="H49" s="20" t="n">
        <v>24</v>
      </c>
      <c r="I49" s="20" t="n">
        <v>0</v>
      </c>
      <c r="J49" s="21" t="inlineStr">
        <is>
          <t>backend/test/uat-disconnects.test.js
backend/test/product-classification.test.js
backend/test/core.test.js
backend/test/masters.test.js
backend/test/leads.test.js
backend/test/quotations.test.js
backend/test/dashboard.test.js
backend/test/customer-response.test.js
and 10 more (sheet Traceability)</t>
        </is>
      </c>
      <c r="K49" s="21" t="inlineStr">
        <is>
          <t>brokerverse/src/utils/menuPermissions.test.js</t>
        </is>
      </c>
      <c r="L49" s="21" t="inlineStr">
        <is>
          <t>Covered: test cases and automated tests passed</t>
        </is>
      </c>
    </row>
    <row r="50" ht="28" customHeight="1">
      <c r="A50" s="20" t="inlineStr">
        <is>
          <t>5.12</t>
        </is>
      </c>
      <c r="B50" s="21" t="inlineStr">
        <is>
          <t>Policy issuance, documents and motor (CTPL, LTO)</t>
        </is>
      </c>
      <c r="C50" s="21" t="inlineStr">
        <is>
          <t>Marine open cover with certificates and declarations</t>
        </is>
      </c>
      <c r="D50" s="20" t="inlineStr">
        <is>
          <t>Ops</t>
        </is>
      </c>
      <c r="E50" s="20" t="n">
        <v>0</v>
      </c>
      <c r="F50" s="21" t="inlineStr">
        <is>
          <t>BV-DST-007</t>
        </is>
      </c>
      <c r="G50" s="20" t="n">
        <v>1</v>
      </c>
      <c r="H50" s="20" t="n">
        <v>1</v>
      </c>
      <c r="I50" s="20" t="n">
        <v>0</v>
      </c>
      <c r="J50" s="21" t="inlineStr">
        <is>
          <t>backend/test/marine-open-cover.test.js</t>
        </is>
      </c>
      <c r="K50" s="21" t="n"/>
      <c r="L50" s="21" t="inlineStr">
        <is>
          <t>Covered: test cases and automated tests passed</t>
        </is>
      </c>
    </row>
    <row r="51" ht="28" customHeight="1">
      <c r="A51" s="20" t="inlineStr">
        <is>
          <t>6.01</t>
        </is>
      </c>
      <c r="B51" s="21" t="inlineStr">
        <is>
          <t>Endorsements and cancellations</t>
        </is>
      </c>
      <c r="C51" s="21" t="inlineStr">
        <is>
          <t>Motor endorsements: personal details, motor details, coverage change, extension</t>
        </is>
      </c>
      <c r="D51" s="20" t="inlineStr">
        <is>
          <t>Ops</t>
        </is>
      </c>
      <c r="E51" s="20" t="n">
        <v>2</v>
      </c>
      <c r="F51" s="21" t="inlineStr">
        <is>
          <t>BV-END-001</t>
        </is>
      </c>
      <c r="G51" s="20" t="n">
        <v>1</v>
      </c>
      <c r="H51" s="20" t="n">
        <v>1</v>
      </c>
      <c r="I51" s="20" t="n">
        <v>0</v>
      </c>
      <c r="J51" s="21" t="inlineStr">
        <is>
          <t>backend/test/endorsements.test.js</t>
        </is>
      </c>
      <c r="K51" s="21" t="n"/>
      <c r="L51" s="21" t="inlineStr">
        <is>
          <t>Covered: test cases and automated tests passed</t>
        </is>
      </c>
    </row>
    <row r="52" ht="119" customHeight="1">
      <c r="A52" s="20" t="inlineStr">
        <is>
          <t>6.02</t>
        </is>
      </c>
      <c r="B52" s="21" t="inlineStr">
        <is>
          <t>Endorsements and cancellations</t>
        </is>
      </c>
      <c r="C52" s="21" t="inlineStr">
        <is>
          <t>Non-motor endorsements: premium change</t>
        </is>
      </c>
      <c r="D52" s="20" t="inlineStr">
        <is>
          <t>Ops</t>
        </is>
      </c>
      <c r="E52" s="20" t="n">
        <v>2</v>
      </c>
      <c r="F52" s="21" t="inlineStr">
        <is>
          <t>BV-END-001 to BV-END-013 (all 13)</t>
        </is>
      </c>
      <c r="G52" s="20" t="n">
        <v>13</v>
      </c>
      <c r="H52" s="20" t="n">
        <v>13</v>
      </c>
      <c r="I52" s="20" t="n">
        <v>0</v>
      </c>
      <c r="J52" s="21" t="inlineStr">
        <is>
          <t>backend/test/endorsements.test.js
backend/test/posting-rules.test.js
backend/test/commission-taxes.test.js
backend/test/accounting-followups.test.js
backend/test/packages.test.js
backend/test/direct-bill.test.js
backend/test/numbering.test.js
backend/test/uat-disconnects.test.js
and 2 more (sheet Traceability)</t>
        </is>
      </c>
      <c r="K52" s="21" t="n"/>
      <c r="L52" s="21" t="inlineStr">
        <is>
          <t>Covered: test cases and automated tests passed</t>
        </is>
      </c>
    </row>
    <row r="53" ht="28" customHeight="1">
      <c r="A53" s="20" t="inlineStr">
        <is>
          <t>6.03</t>
        </is>
      </c>
      <c r="B53" s="21" t="inlineStr">
        <is>
          <t>Endorsements and cancellations</t>
        </is>
      </c>
      <c r="C53" s="21" t="inlineStr">
        <is>
          <t>Re-pricing of coverage change with taxes on the server</t>
        </is>
      </c>
      <c r="D53" s="20" t="inlineStr">
        <is>
          <t>Ops</t>
        </is>
      </c>
      <c r="E53" s="20" t="n">
        <v>2</v>
      </c>
      <c r="F53" s="21" t="inlineStr">
        <is>
          <t>BV-END-001</t>
        </is>
      </c>
      <c r="G53" s="20" t="n">
        <v>1</v>
      </c>
      <c r="H53" s="20" t="n">
        <v>1</v>
      </c>
      <c r="I53" s="20" t="n">
        <v>0</v>
      </c>
      <c r="J53" s="21" t="inlineStr">
        <is>
          <t>backend/test/endorsements.test.js</t>
        </is>
      </c>
      <c r="K53" s="21" t="n"/>
      <c r="L53" s="21" t="inlineStr">
        <is>
          <t>Covered: test cases and automated tests passed</t>
        </is>
      </c>
    </row>
    <row r="54" ht="41" customHeight="1">
      <c r="A54" s="20" t="inlineStr">
        <is>
          <t>6.04</t>
        </is>
      </c>
      <c r="B54" s="21" t="inlineStr">
        <is>
          <t>Endorsements and cancellations</t>
        </is>
      </c>
      <c r="C54" s="21" t="inlineStr">
        <is>
          <t>Cancellation full, partial or pro-rata with return premium computed</t>
        </is>
      </c>
      <c r="D54" s="20" t="inlineStr">
        <is>
          <t>Ops</t>
        </is>
      </c>
      <c r="E54" s="20" t="n">
        <v>1</v>
      </c>
      <c r="F54" s="21" t="inlineStr">
        <is>
          <t>BV-END-011, BV-END-012; BV-OPX-003, BV-OPX-004</t>
        </is>
      </c>
      <c r="G54" s="20" t="n">
        <v>4</v>
      </c>
      <c r="H54" s="20" t="n">
        <v>4</v>
      </c>
      <c r="I54" s="20" t="n">
        <v>0</v>
      </c>
      <c r="J54" s="21" t="inlineStr">
        <is>
          <t>backend/test/endorsements.test.js
backend/test/posting-rules.test.js
backend/test/ops-accounting.test.js</t>
        </is>
      </c>
      <c r="K54" s="21" t="n"/>
      <c r="L54" s="21" t="inlineStr">
        <is>
          <t>Covered: test cases and automated tests passed</t>
        </is>
      </c>
    </row>
    <row r="55" ht="28" customHeight="1">
      <c r="A55" s="20" t="inlineStr">
        <is>
          <t>6.05</t>
        </is>
      </c>
      <c r="B55" s="21" t="inlineStr">
        <is>
          <t>Endorsements and cancellations</t>
        </is>
      </c>
      <c r="C55" s="21" t="inlineStr">
        <is>
          <t>Short-period rate scale when the insured cancels</t>
        </is>
      </c>
      <c r="D55" s="20" t="inlineStr">
        <is>
          <t>Ops</t>
        </is>
      </c>
      <c r="E55" s="20" t="n">
        <v>0</v>
      </c>
      <c r="F55" s="21" t="inlineStr">
        <is>
          <t>BV-OPX-003</t>
        </is>
      </c>
      <c r="G55" s="20" t="n">
        <v>1</v>
      </c>
      <c r="H55" s="20" t="n">
        <v>1</v>
      </c>
      <c r="I55" s="20" t="n">
        <v>0</v>
      </c>
      <c r="J55" s="21" t="inlineStr">
        <is>
          <t>backend/test/ops-accounting.test.js</t>
        </is>
      </c>
      <c r="K55" s="21" t="n"/>
      <c r="L55" s="21" t="inlineStr">
        <is>
          <t>Covered: test cases and automated tests passed</t>
        </is>
      </c>
    </row>
    <row r="56" ht="80" customHeight="1">
      <c r="A56" s="20" t="inlineStr">
        <is>
          <t>6.06</t>
        </is>
      </c>
      <c r="B56" s="21" t="inlineStr">
        <is>
          <t>Endorsements and cancellations</t>
        </is>
      </c>
      <c r="C56" s="21" t="inlineStr">
        <is>
          <t>Return premium: refund to client, netting on insurer remittance, commission clawback</t>
        </is>
      </c>
      <c r="D56" s="20" t="inlineStr">
        <is>
          <t>Ops</t>
        </is>
      </c>
      <c r="E56" s="20" t="n">
        <v>2</v>
      </c>
      <c r="F56" s="21" t="inlineStr">
        <is>
          <t>BV-END-004; BV-OPX-004</t>
        </is>
      </c>
      <c r="G56" s="20" t="n">
        <v>2</v>
      </c>
      <c r="H56" s="20" t="n">
        <v>2</v>
      </c>
      <c r="I56" s="20" t="n">
        <v>0</v>
      </c>
      <c r="J56" s="21" t="inlineStr">
        <is>
          <t>backend/test/posting-rules.test.js
backend/test/commission-taxes.test.js
backend/test/endorsements.test.js
backend/test/ops-accounting.test.js
backend/test/remittance.test.js
backend/test/commission.test.js</t>
        </is>
      </c>
      <c r="K56" s="21" t="n"/>
      <c r="L56" s="21" t="inlineStr">
        <is>
          <t>Covered: test cases and automated tests passed</t>
        </is>
      </c>
    </row>
    <row r="57" ht="28" customHeight="1">
      <c r="A57" s="20" t="inlineStr">
        <is>
          <t>6.07</t>
        </is>
      </c>
      <c r="B57" s="21" t="inlineStr">
        <is>
          <t>Endorsements and cancellations</t>
        </is>
      </c>
      <c r="C57" s="21" t="inlineStr">
        <is>
          <t>Completion with insurer endorsement document and client notice</t>
        </is>
      </c>
      <c r="D57" s="20" t="inlineStr">
        <is>
          <t>Ops</t>
        </is>
      </c>
      <c r="E57" s="20" t="n">
        <v>2</v>
      </c>
      <c r="F57" s="21" t="inlineStr">
        <is>
          <t>BV-END-008</t>
        </is>
      </c>
      <c r="G57" s="20" t="n">
        <v>1</v>
      </c>
      <c r="H57" s="20" t="n">
        <v>1</v>
      </c>
      <c r="I57" s="20" t="n">
        <v>0</v>
      </c>
      <c r="J57" s="21" t="inlineStr">
        <is>
          <t>backend/test/endorsements.test.js
backend/test/numbering.test.js</t>
        </is>
      </c>
      <c r="K57" s="21" t="n"/>
      <c r="L57" s="21" t="inlineStr">
        <is>
          <t>Covered: test cases and automated tests passed</t>
        </is>
      </c>
    </row>
    <row r="58" ht="28" customHeight="1">
      <c r="A58" s="20" t="inlineStr">
        <is>
          <t>6.08</t>
        </is>
      </c>
      <c r="B58" s="21" t="inlineStr">
        <is>
          <t>Endorsements and cancellations</t>
        </is>
      </c>
      <c r="C58" s="21" t="inlineStr">
        <is>
          <t>Cancellation for non-payment from the premium warranty monitor</t>
        </is>
      </c>
      <c r="D58" s="20" t="inlineStr">
        <is>
          <t>IC</t>
        </is>
      </c>
      <c r="E58" s="20" t="n">
        <v>2</v>
      </c>
      <c r="F58" s="21" t="inlineStr">
        <is>
          <t>BV-END-013; BV-COL-007</t>
        </is>
      </c>
      <c r="G58" s="20" t="n">
        <v>2</v>
      </c>
      <c r="H58" s="20" t="n">
        <v>2</v>
      </c>
      <c r="I58" s="20" t="n">
        <v>0</v>
      </c>
      <c r="J58" s="21" t="inlineStr">
        <is>
          <t>backend/test/credit-control.test.js</t>
        </is>
      </c>
      <c r="K58" s="21" t="n"/>
      <c r="L58" s="21" t="inlineStr">
        <is>
          <t>Covered: test cases and automated tests passed</t>
        </is>
      </c>
    </row>
    <row r="59" ht="41" customHeight="1">
      <c r="A59" s="20" t="inlineStr">
        <is>
          <t>7.01</t>
        </is>
      </c>
      <c r="B59" s="21" t="inlineStr">
        <is>
          <t>Renewals and retention</t>
        </is>
      </c>
      <c r="C59" s="21" t="inlineStr">
        <is>
          <t>Renewal pipeline 90 days before expiry, notices at 60, 30 and 15 days</t>
        </is>
      </c>
      <c r="D59" s="20" t="inlineStr">
        <is>
          <t>Ops</t>
        </is>
      </c>
      <c r="E59" s="20" t="n">
        <v>2</v>
      </c>
      <c r="F59" s="21" t="inlineStr">
        <is>
          <t>BV-REN-002, BV-REN-016</t>
        </is>
      </c>
      <c r="G59" s="20" t="n">
        <v>2</v>
      </c>
      <c r="H59" s="20" t="n">
        <v>2</v>
      </c>
      <c r="I59" s="20" t="n">
        <v>0</v>
      </c>
      <c r="J59" s="21" t="inlineStr">
        <is>
          <t>backend/test/renewals.test.js
backend/test/configuration.test.js
backend/test/operations.test.js</t>
        </is>
      </c>
      <c r="K59" s="21" t="n"/>
      <c r="L59" s="21" t="inlineStr">
        <is>
          <t>Covered: test cases and automated tests passed</t>
        </is>
      </c>
    </row>
    <row r="60" ht="28" customHeight="1">
      <c r="A60" s="20" t="inlineStr">
        <is>
          <t>7.02</t>
        </is>
      </c>
      <c r="B60" s="21" t="inlineStr">
        <is>
          <t>Renewals and retention</t>
        </is>
      </c>
      <c r="C60" s="21" t="inlineStr">
        <is>
          <t>Renewal re-rating, negotiation with the insurer and renewal quotation</t>
        </is>
      </c>
      <c r="D60" s="20" t="inlineStr">
        <is>
          <t>Ops</t>
        </is>
      </c>
      <c r="E60" s="20" t="n">
        <v>2</v>
      </c>
      <c r="F60" s="21" t="inlineStr">
        <is>
          <t>BV-REN-006</t>
        </is>
      </c>
      <c r="G60" s="20" t="n">
        <v>1</v>
      </c>
      <c r="H60" s="20" t="n">
        <v>1</v>
      </c>
      <c r="I60" s="20" t="n">
        <v>0</v>
      </c>
      <c r="J60" s="21" t="inlineStr">
        <is>
          <t>backend/test/renewals.test.js
backend/test/money-single-source.test.js</t>
        </is>
      </c>
      <c r="K60" s="21" t="n"/>
      <c r="L60" s="21" t="inlineStr">
        <is>
          <t>Covered: test cases and automated tests passed</t>
        </is>
      </c>
    </row>
    <row r="61" ht="80" customHeight="1">
      <c r="A61" s="20" t="inlineStr">
        <is>
          <t>7.03</t>
        </is>
      </c>
      <c r="B61" s="21" t="inlineStr">
        <is>
          <t>Renewals and retention</t>
        </is>
      </c>
      <c r="C61" s="21" t="inlineStr">
        <is>
          <t>Renewal batch (up to 500 policies)</t>
        </is>
      </c>
      <c r="D61" s="20" t="inlineStr">
        <is>
          <t>Ops</t>
        </is>
      </c>
      <c r="E61" s="20" t="n">
        <v>2</v>
      </c>
      <c r="F61" s="21" t="inlineStr">
        <is>
          <t>BV-REN-001 to BV-REN-016 (all 16)</t>
        </is>
      </c>
      <c r="G61" s="20" t="n">
        <v>16</v>
      </c>
      <c r="H61" s="20" t="n">
        <v>16</v>
      </c>
      <c r="I61" s="20" t="n">
        <v>0</v>
      </c>
      <c r="J61" s="21" t="inlineStr">
        <is>
          <t>backend/test/renewals.test.js
backend/test/uat-disconnects.test.js
backend/test/packages.test.js
backend/test/role-access.test.js
backend/test/configuration.test.js
backend/test/operations.test.js</t>
        </is>
      </c>
      <c r="K61" s="21" t="inlineStr">
        <is>
          <t>brokerverse/src/utils/menuPermissions.test.js</t>
        </is>
      </c>
      <c r="L61" s="21" t="inlineStr">
        <is>
          <t>Covered: test cases and automated tests passed</t>
        </is>
      </c>
    </row>
    <row r="62" ht="28" customHeight="1">
      <c r="A62" s="20" t="inlineStr">
        <is>
          <t>7.04</t>
        </is>
      </c>
      <c r="B62" s="21" t="inlineStr">
        <is>
          <t>Renewals and retention</t>
        </is>
      </c>
      <c r="C62" s="21" t="inlineStr">
        <is>
          <t>At-risk scoring, retention analytics, lapse management and win-back</t>
        </is>
      </c>
      <c r="D62" s="20" t="inlineStr">
        <is>
          <t>Ops</t>
        </is>
      </c>
      <c r="E62" s="20" t="n">
        <v>2</v>
      </c>
      <c r="F62" s="21" t="inlineStr">
        <is>
          <t>BV-REN-009, BV-REN-012</t>
        </is>
      </c>
      <c r="G62" s="20" t="n">
        <v>2</v>
      </c>
      <c r="H62" s="20" t="n">
        <v>2</v>
      </c>
      <c r="I62" s="20" t="n">
        <v>0</v>
      </c>
      <c r="J62" s="21" t="inlineStr">
        <is>
          <t>backend/test/renewals.test.js</t>
        </is>
      </c>
      <c r="K62" s="21" t="n"/>
      <c r="L62" s="21" t="inlineStr">
        <is>
          <t>Covered: test cases and automated tests passed</t>
        </is>
      </c>
    </row>
    <row r="63" ht="28" customHeight="1">
      <c r="A63" s="20" t="inlineStr">
        <is>
          <t>7.06</t>
        </is>
      </c>
      <c r="B63" s="21" t="inlineStr">
        <is>
          <t>Renewals and retention</t>
        </is>
      </c>
      <c r="C63" s="21" t="inlineStr">
        <is>
          <t>Renewal of placed and co-insured risks through the placement journey</t>
        </is>
      </c>
      <c r="D63" s="20" t="inlineStr">
        <is>
          <t>Ops</t>
        </is>
      </c>
      <c r="E63" s="20" t="n">
        <v>2</v>
      </c>
      <c r="F63" s="21" t="inlineStr">
        <is>
          <t>BV-RFQ-012</t>
        </is>
      </c>
      <c r="G63" s="20" t="n">
        <v>1</v>
      </c>
      <c r="H63" s="20" t="n">
        <v>1</v>
      </c>
      <c r="I63" s="20" t="n">
        <v>0</v>
      </c>
      <c r="J63" s="21" t="inlineStr">
        <is>
          <t>backend/test/placement.test.js
backend/test/product-classification.test.js</t>
        </is>
      </c>
      <c r="K63" s="21" t="n"/>
      <c r="L63" s="21" t="inlineStr">
        <is>
          <t>Covered: test cases and automated tests passed</t>
        </is>
      </c>
    </row>
    <row r="64" ht="15" customHeight="1">
      <c r="A64" s="20" t="inlineStr">
        <is>
          <t>7.07</t>
        </is>
      </c>
      <c r="B64" s="21" t="inlineStr">
        <is>
          <t>Renewals and retention</t>
        </is>
      </c>
      <c r="C64" s="21" t="inlineStr">
        <is>
          <t>Renewal notices by SMS or messaging app</t>
        </is>
      </c>
      <c r="D64" s="20" t="inlineStr">
        <is>
          <t>Ops</t>
        </is>
      </c>
      <c r="E64" s="20" t="n">
        <v>0</v>
      </c>
      <c r="F64" s="21" t="inlineStr">
        <is>
          <t>BV-INT-003</t>
        </is>
      </c>
      <c r="G64" s="20" t="n">
        <v>1</v>
      </c>
      <c r="H64" s="20" t="n">
        <v>1</v>
      </c>
      <c r="I64" s="20" t="n">
        <v>0</v>
      </c>
      <c r="J64" s="21" t="inlineStr">
        <is>
          <t>backend/test/integrations.test.js</t>
        </is>
      </c>
      <c r="K64" s="21" t="n"/>
      <c r="L64" s="21" t="inlineStr">
        <is>
          <t>Covered: test cases and automated tests passed</t>
        </is>
      </c>
    </row>
    <row r="65" ht="119" customHeight="1">
      <c r="A65" s="20" t="inlineStr">
        <is>
          <t>8.01</t>
        </is>
      </c>
      <c r="B65" s="21" t="inlineStr">
        <is>
          <t>Billing, collection, credit control and receipts</t>
        </is>
      </c>
      <c r="C65" s="21" t="inlineStr">
        <is>
          <t>Premium bill on issue, endorsement and renewal; invoice e-mailed</t>
        </is>
      </c>
      <c r="D65" s="20" t="inlineStr">
        <is>
          <t>Ops</t>
        </is>
      </c>
      <c r="E65" s="20" t="n">
        <v>2</v>
      </c>
      <c r="F65" s="21" t="inlineStr">
        <is>
          <t>BV-RCT-001 to BV-RCT-013 (all 13); BV-BRD-003</t>
        </is>
      </c>
      <c r="G65" s="20" t="n">
        <v>14</v>
      </c>
      <c r="H65" s="20" t="n">
        <v>14</v>
      </c>
      <c r="I65" s="20" t="n">
        <v>0</v>
      </c>
      <c r="J65" s="21" t="inlineStr">
        <is>
          <t>backend/test/receipts.test.js
backend/test/uat-disconnects.test.js
backend/test/printing.test.js
backend/test/hardening.test.js
backend/test/bank-reconciliation.test.js
backend/test/posting-rules.test.js
backend/test/credit-control.test.js
backend/test/accounting.test.js
and 2 more (sheet Traceability)</t>
        </is>
      </c>
      <c r="K65" s="21" t="n"/>
      <c r="L65" s="21" t="inlineStr">
        <is>
          <t>Covered: test cases and automated tests passed</t>
        </is>
      </c>
    </row>
    <row r="66" ht="41" customHeight="1">
      <c r="A66" s="20" t="inlineStr">
        <is>
          <t>8.02</t>
        </is>
      </c>
      <c r="B66" s="21" t="inlineStr">
        <is>
          <t>Billing, collection, credit control and receipts</t>
        </is>
      </c>
      <c r="C66" s="21" t="inlineStr">
        <is>
          <t>Payment capture (cash, cheque, transfer, online) with proof for verification</t>
        </is>
      </c>
      <c r="D66" s="20" t="inlineStr">
        <is>
          <t>Ops</t>
        </is>
      </c>
      <c r="E66" s="20" t="n">
        <v>2</v>
      </c>
      <c r="F66" s="21" t="inlineStr">
        <is>
          <t>BV-PAY-001 to BV-PAY-010 (all 10)</t>
        </is>
      </c>
      <c r="G66" s="20" t="n">
        <v>10</v>
      </c>
      <c r="H66" s="20" t="n">
        <v>10</v>
      </c>
      <c r="I66" s="20" t="n">
        <v>0</v>
      </c>
      <c r="J66" s="21" t="inlineStr">
        <is>
          <t>backend/test/policy-payments.test.js
backend/test/payment-segregation.test.js
backend/test/payments.test.js</t>
        </is>
      </c>
      <c r="K66" s="21" t="n"/>
      <c r="L66" s="21" t="inlineStr">
        <is>
          <t>Covered: test cases and automated tests passed</t>
        </is>
      </c>
    </row>
    <row r="67" ht="28" customHeight="1">
      <c r="A67" s="20" t="inlineStr">
        <is>
          <t>8.03</t>
        </is>
      </c>
      <c r="B67" s="21" t="inlineStr">
        <is>
          <t>Billing, collection, credit control and receipts</t>
        </is>
      </c>
      <c r="C67" s="21" t="inlineStr">
        <is>
          <t>Official receipt posting by Accounting, partial payments, bulk upload and bulk print</t>
        </is>
      </c>
      <c r="D67" s="20" t="inlineStr">
        <is>
          <t>Ops</t>
        </is>
      </c>
      <c r="E67" s="20" t="n">
        <v>2</v>
      </c>
      <c r="F67" s="21" t="inlineStr">
        <is>
          <t>BV-RCT-007</t>
        </is>
      </c>
      <c r="G67" s="20" t="n">
        <v>1</v>
      </c>
      <c r="H67" s="20" t="n">
        <v>1</v>
      </c>
      <c r="I67" s="20" t="n">
        <v>0</v>
      </c>
      <c r="J67" s="21" t="inlineStr">
        <is>
          <t>backend/test/receipts.test.js</t>
        </is>
      </c>
      <c r="K67" s="21" t="n"/>
      <c r="L67" s="21" t="inlineStr">
        <is>
          <t>Covered: test cases and automated tests passed</t>
        </is>
      </c>
    </row>
    <row r="68" ht="54" customHeight="1">
      <c r="A68" s="20" t="inlineStr">
        <is>
          <t>8.04</t>
        </is>
      </c>
      <c r="B68" s="21" t="inlineStr">
        <is>
          <t>Billing, collection, credit control and receipts</t>
        </is>
      </c>
      <c r="C68" s="21" t="inlineStr">
        <is>
          <t>Receipt numbering continuity and printing on letterhead with TIN</t>
        </is>
      </c>
      <c r="D68" s="20" t="inlineStr">
        <is>
          <t>BIR</t>
        </is>
      </c>
      <c r="E68" s="20" t="n">
        <v>2</v>
      </c>
      <c r="F68" s="21" t="inlineStr">
        <is>
          <t>BV-CFG-007; BV-POL-009</t>
        </is>
      </c>
      <c r="G68" s="20" t="n">
        <v>2</v>
      </c>
      <c r="H68" s="20" t="n">
        <v>2</v>
      </c>
      <c r="I68" s="20" t="n">
        <v>0</v>
      </c>
      <c r="J68" s="21" t="inlineStr">
        <is>
          <t>backend/test/numbering.test.js
backend/test/policies.test.js
backend/test/printing.test.js
backend/test/receipts.test.js</t>
        </is>
      </c>
      <c r="K68" s="21" t="n"/>
      <c r="L68" s="21" t="inlineStr">
        <is>
          <t>Covered: test cases and automated tests passed</t>
        </is>
      </c>
    </row>
    <row r="69" ht="41" customHeight="1">
      <c r="A69" s="20" t="inlineStr">
        <is>
          <t>8.05</t>
        </is>
      </c>
      <c r="B69" s="21" t="inlineStr">
        <is>
          <t>Billing, collection, credit control and receipts</t>
        </is>
      </c>
      <c r="C69" s="21" t="inlineStr">
        <is>
          <t>Returned cheques (DAIF, DAUD) cancel the receipt and reopen the bill</t>
        </is>
      </c>
      <c r="D69" s="20" t="inlineStr">
        <is>
          <t>Ops</t>
        </is>
      </c>
      <c r="E69" s="20" t="n">
        <v>2</v>
      </c>
      <c r="F69" s="21" t="inlineStr">
        <is>
          <t>BV-RCT-008; BV-ACX-002</t>
        </is>
      </c>
      <c r="G69" s="20" t="n">
        <v>2</v>
      </c>
      <c r="H69" s="20" t="n">
        <v>2</v>
      </c>
      <c r="I69" s="20" t="n">
        <v>0</v>
      </c>
      <c r="J69" s="21" t="inlineStr">
        <is>
          <t>backend/test/bank-reconciliation.test.js
backend/test/ops-accounting.test.js
backend/test/receipts.test.js</t>
        </is>
      </c>
      <c r="K69" s="21" t="n"/>
      <c r="L69" s="21" t="inlineStr">
        <is>
          <t>Covered: test cases and automated tests passed</t>
        </is>
      </c>
    </row>
    <row r="70" ht="15" customHeight="1">
      <c r="A70" s="20" t="inlineStr">
        <is>
          <t>8.06</t>
        </is>
      </c>
      <c r="B70" s="21" t="inlineStr">
        <is>
          <t>Billing, collection, credit control and receipts</t>
        </is>
      </c>
      <c r="C70" s="21" t="inlineStr">
        <is>
          <t>Online payment links with automatic receipt</t>
        </is>
      </c>
      <c r="D70" s="20" t="inlineStr">
        <is>
          <t>Ops</t>
        </is>
      </c>
      <c r="E70" s="20" t="n">
        <v>2</v>
      </c>
      <c r="F70" s="21" t="inlineStr">
        <is>
          <t>BV-POL-015; BV-PAY-008</t>
        </is>
      </c>
      <c r="G70" s="20" t="n">
        <v>2</v>
      </c>
      <c r="H70" s="20" t="n">
        <v>2</v>
      </c>
      <c r="I70" s="20" t="n">
        <v>0</v>
      </c>
      <c r="J70" s="21" t="inlineStr">
        <is>
          <t>backend/test/payments.test.js</t>
        </is>
      </c>
      <c r="K70" s="21" t="n"/>
      <c r="L70" s="21" t="inlineStr">
        <is>
          <t>Covered: test cases and automated tests passed</t>
        </is>
      </c>
    </row>
    <row r="71" ht="28" customHeight="1">
      <c r="A71" s="20" t="inlineStr">
        <is>
          <t>8.07</t>
        </is>
      </c>
      <c r="B71" s="21" t="inlineStr">
        <is>
          <t>Billing, collection, credit control and receipts</t>
        </is>
      </c>
      <c r="C71" s="21" t="inlineStr">
        <is>
          <t>Receivables ageing and automatic collection reminders</t>
        </is>
      </c>
      <c r="D71" s="20" t="inlineStr">
        <is>
          <t>Ops</t>
        </is>
      </c>
      <c r="E71" s="20" t="n">
        <v>2</v>
      </c>
      <c r="F71" s="21" t="inlineStr">
        <is>
          <t>BV-COL-002, BV-COL-003</t>
        </is>
      </c>
      <c r="G71" s="20" t="n">
        <v>2</v>
      </c>
      <c r="H71" s="20" t="n">
        <v>2</v>
      </c>
      <c r="I71" s="20" t="n">
        <v>0</v>
      </c>
      <c r="J71" s="21" t="inlineStr">
        <is>
          <t>backend/test/collections.test.js</t>
        </is>
      </c>
      <c r="K71" s="21" t="n"/>
      <c r="L71" s="21" t="inlineStr">
        <is>
          <t>Covered: test cases and automated tests passed</t>
        </is>
      </c>
    </row>
    <row r="72" ht="54" customHeight="1">
      <c r="A72" s="20" t="inlineStr">
        <is>
          <t>8.08</t>
        </is>
      </c>
      <c r="B72" s="21" t="inlineStr">
        <is>
          <t>Billing, collection, credit control and receipts</t>
        </is>
      </c>
      <c r="C72" s="21" t="inlineStr">
        <is>
          <t>Premium payment warranty and credit terms per insurer (Insurance Code, IC rules)</t>
        </is>
      </c>
      <c r="D72" s="20" t="inlineStr">
        <is>
          <t>IC</t>
        </is>
      </c>
      <c r="E72" s="20" t="n">
        <v>2</v>
      </c>
      <c r="F72" s="21" t="inlineStr">
        <is>
          <t>BV-COL-005, BV-COL-006, BV-COL-010; BV-CLM-003</t>
        </is>
      </c>
      <c r="G72" s="20" t="n">
        <v>4</v>
      </c>
      <c r="H72" s="20" t="n">
        <v>4</v>
      </c>
      <c r="I72" s="20" t="n">
        <v>0</v>
      </c>
      <c r="J72" s="21" t="inlineStr">
        <is>
          <t>backend/test/credit-control.test.js
backend/test/numbering.test.js
backend/test/uat-disconnects.test.js
backend/test/claims.test.js</t>
        </is>
      </c>
      <c r="K72" s="21" t="n"/>
      <c r="L72" s="21" t="inlineStr">
        <is>
          <t>Covered: test cases and automated tests passed</t>
        </is>
      </c>
    </row>
    <row r="73" ht="28" customHeight="1">
      <c r="A73" s="20" t="inlineStr">
        <is>
          <t>8.09</t>
        </is>
      </c>
      <c r="B73" s="21" t="inlineStr">
        <is>
          <t>Billing, collection, credit control and receipts</t>
        </is>
      </c>
      <c r="C73" s="21" t="inlineStr">
        <is>
          <t>Instalment billing with separate instalment invoices</t>
        </is>
      </c>
      <c r="D73" s="20" t="inlineStr">
        <is>
          <t>Ops</t>
        </is>
      </c>
      <c r="E73" s="20" t="n">
        <v>1</v>
      </c>
      <c r="F73" s="21" t="inlineStr">
        <is>
          <t>BV-RCT-011, BV-RCT-012; BV-ACX-003</t>
        </is>
      </c>
      <c r="G73" s="20" t="n">
        <v>3</v>
      </c>
      <c r="H73" s="20" t="n">
        <v>3</v>
      </c>
      <c r="I73" s="20" t="n">
        <v>0</v>
      </c>
      <c r="J73" s="21" t="inlineStr">
        <is>
          <t>backend/test/credit-control.test.js
backend/test/ops-accounting.test.js</t>
        </is>
      </c>
      <c r="K73" s="21" t="n"/>
      <c r="L73" s="21" t="inlineStr">
        <is>
          <t>Covered: test cases and automated tests passed</t>
        </is>
      </c>
    </row>
    <row r="74" ht="15" customHeight="1">
      <c r="A74" s="20" t="inlineStr">
        <is>
          <t>8.10</t>
        </is>
      </c>
      <c r="B74" s="21" t="inlineStr">
        <is>
          <t>Billing, collection, credit control and receipts</t>
        </is>
      </c>
      <c r="C74" s="21" t="inlineStr">
        <is>
          <t>Client credit limits with exception notice</t>
        </is>
      </c>
      <c r="D74" s="20" t="inlineStr">
        <is>
          <t>Ops</t>
        </is>
      </c>
      <c r="E74" s="20" t="n">
        <v>2</v>
      </c>
      <c r="F74" s="21" t="inlineStr">
        <is>
          <t>BV-COL-008; BV-POL-012</t>
        </is>
      </c>
      <c r="G74" s="20" t="n">
        <v>2</v>
      </c>
      <c r="H74" s="20" t="n">
        <v>2</v>
      </c>
      <c r="I74" s="20" t="n">
        <v>0</v>
      </c>
      <c r="J74" s="21" t="inlineStr">
        <is>
          <t>backend/test/credit-control.test.js</t>
        </is>
      </c>
      <c r="K74" s="21" t="n"/>
      <c r="L74" s="21" t="inlineStr">
        <is>
          <t>Covered: test cases and automated tests passed</t>
        </is>
      </c>
    </row>
    <row r="75" ht="28" customHeight="1">
      <c r="A75" s="20" t="inlineStr">
        <is>
          <t>8.11</t>
        </is>
      </c>
      <c r="B75" s="21" t="inlineStr">
        <is>
          <t>Billing, collection, credit control and receipts</t>
        </is>
      </c>
      <c r="C75" s="21" t="inlineStr">
        <is>
          <t>Collection follow-up log, commitments and escalation</t>
        </is>
      </c>
      <c r="D75" s="20" t="inlineStr">
        <is>
          <t>Ops</t>
        </is>
      </c>
      <c r="E75" s="20" t="n">
        <v>2</v>
      </c>
      <c r="F75" s="21" t="inlineStr">
        <is>
          <t>BV-COL-002; BV-MYW-006</t>
        </is>
      </c>
      <c r="G75" s="20" t="n">
        <v>2</v>
      </c>
      <c r="H75" s="20" t="n">
        <v>2</v>
      </c>
      <c r="I75" s="20" t="n">
        <v>0</v>
      </c>
      <c r="J75" s="21" t="inlineStr">
        <is>
          <t>backend/test/collections.test.js
backend/test/my-work.test.js</t>
        </is>
      </c>
      <c r="K75" s="21" t="n"/>
      <c r="L75" s="21" t="inlineStr">
        <is>
          <t>Covered: test cases and automated tests passed</t>
        </is>
      </c>
    </row>
    <row r="76" ht="28" customHeight="1">
      <c r="A76" s="20" t="inlineStr">
        <is>
          <t>8.12</t>
        </is>
      </c>
      <c r="B76" s="21" t="inlineStr">
        <is>
          <t>Billing, collection, credit control and receipts</t>
        </is>
      </c>
      <c r="C76" s="21" t="inlineStr">
        <is>
          <t>Post-dated cheque register and deposit on due date</t>
        </is>
      </c>
      <c r="D76" s="20" t="inlineStr">
        <is>
          <t>Ops</t>
        </is>
      </c>
      <c r="E76" s="20" t="n">
        <v>0</v>
      </c>
      <c r="F76" s="21" t="inlineStr">
        <is>
          <t>BV-ACX-001, BV-ACX-002</t>
        </is>
      </c>
      <c r="G76" s="20" t="n">
        <v>2</v>
      </c>
      <c r="H76" s="20" t="n">
        <v>2</v>
      </c>
      <c r="I76" s="20" t="n">
        <v>0</v>
      </c>
      <c r="J76" s="21" t="inlineStr">
        <is>
          <t>backend/test/ops-accounting.test.js</t>
        </is>
      </c>
      <c r="K76" s="21" t="n"/>
      <c r="L76" s="21" t="inlineStr">
        <is>
          <t>Covered: test cases and automated tests passed</t>
        </is>
      </c>
    </row>
    <row r="77" ht="93" customHeight="1">
      <c r="A77" s="20" t="inlineStr">
        <is>
          <t>9.01</t>
        </is>
      </c>
      <c r="B77" s="21" t="inlineStr">
        <is>
          <t>Remittance, direct bill and insurer reconciliation</t>
        </is>
      </c>
      <c r="C77" s="21" t="inlineStr">
        <is>
          <t>Remittance per insurer net of commission, by co-insurer share</t>
        </is>
      </c>
      <c r="D77" s="20" t="inlineStr">
        <is>
          <t>IC</t>
        </is>
      </c>
      <c r="E77" s="20" t="n">
        <v>2</v>
      </c>
      <c r="F77" s="21" t="inlineStr">
        <is>
          <t>BV-REM-001 to BV-REM-015 (all 15)</t>
        </is>
      </c>
      <c r="G77" s="20" t="n">
        <v>15</v>
      </c>
      <c r="H77" s="20" t="n">
        <v>14</v>
      </c>
      <c r="I77" s="20" t="n">
        <v>1</v>
      </c>
      <c r="J77" s="21" t="inlineStr">
        <is>
          <t>backend/test/remittance.test.js
backend/test/role-access.test.js
backend/test/uat-disconnects.test.js
backend/test/direct-bill.test.js
backend/test/posting-rules.test.js
backend/test/bank-reconciliation.test.js
backend/test/credit-control.test.js</t>
        </is>
      </c>
      <c r="K77" s="21" t="n"/>
      <c r="L77" s="22" t="inlineStr">
        <is>
          <t>Covered: some cases not passed (see Test Cases)</t>
        </is>
      </c>
    </row>
    <row r="78" ht="93" customHeight="1">
      <c r="A78" s="20" t="inlineStr">
        <is>
          <t>9.02</t>
        </is>
      </c>
      <c r="B78" s="21" t="inlineStr">
        <is>
          <t>Remittance, direct bill and insurer reconciliation</t>
        </is>
      </c>
      <c r="C78" s="21" t="inlineStr">
        <is>
          <t>Remittance terms per insurer, due dates and remittance ageing</t>
        </is>
      </c>
      <c r="D78" s="20" t="inlineStr">
        <is>
          <t>IC</t>
        </is>
      </c>
      <c r="E78" s="20" t="n">
        <v>2</v>
      </c>
      <c r="F78" s="21" t="inlineStr">
        <is>
          <t>BV-REM-001 to BV-REM-015 (all 15)</t>
        </is>
      </c>
      <c r="G78" s="20" t="n">
        <v>15</v>
      </c>
      <c r="H78" s="20" t="n">
        <v>14</v>
      </c>
      <c r="I78" s="20" t="n">
        <v>1</v>
      </c>
      <c r="J78" s="21" t="inlineStr">
        <is>
          <t>backend/test/remittance.test.js
backend/test/role-access.test.js
backend/test/uat-disconnects.test.js
backend/test/direct-bill.test.js
backend/test/posting-rules.test.js
backend/test/bank-reconciliation.test.js
backend/test/credit-control.test.js</t>
        </is>
      </c>
      <c r="K78" s="21" t="n"/>
      <c r="L78" s="22" t="inlineStr">
        <is>
          <t>Covered: some cases not passed (see Test Cases)</t>
        </is>
      </c>
    </row>
    <row r="79" ht="119" customHeight="1">
      <c r="A79" s="20" t="inlineStr">
        <is>
          <t>9.03</t>
        </is>
      </c>
      <c r="B79" s="21" t="inlineStr">
        <is>
          <t>Remittance, direct bill and insurer reconciliation</t>
        </is>
      </c>
      <c r="C79" s="21" t="inlineStr">
        <is>
          <t>Remittance approval within Authority Matrix limits and settlement by payment voucher</t>
        </is>
      </c>
      <c r="D79" s="20" t="inlineStr">
        <is>
          <t>Ops</t>
        </is>
      </c>
      <c r="E79" s="20" t="n">
        <v>2</v>
      </c>
      <c r="F79" s="21" t="inlineStr">
        <is>
          <t>BV-REM-001 to BV-REM-015 (all 15); BV-DSB-002</t>
        </is>
      </c>
      <c r="G79" s="20" t="n">
        <v>16</v>
      </c>
      <c r="H79" s="20" t="n">
        <v>15</v>
      </c>
      <c r="I79" s="20" t="n">
        <v>1</v>
      </c>
      <c r="J79" s="21" t="inlineStr">
        <is>
          <t>backend/test/remittance.test.js
backend/test/role-access.test.js
backend/test/uat-disconnects.test.js
backend/test/direct-bill.test.js
backend/test/posting-rules.test.js
backend/test/bank-reconciliation.test.js
backend/test/credit-control.test.js
backend/test/disbursements.test.js
and 1 more (sheet Traceability)</t>
        </is>
      </c>
      <c r="K79" s="21" t="n"/>
      <c r="L79" s="22" t="inlineStr">
        <is>
          <t>Covered: some cases not passed (see Test Cases)</t>
        </is>
      </c>
    </row>
    <row r="80" ht="28" customHeight="1">
      <c r="A80" s="20" t="inlineStr">
        <is>
          <t>9.05</t>
        </is>
      </c>
      <c r="B80" s="21" t="inlineStr">
        <is>
          <t>Remittance, direct bill and insurer reconciliation</t>
        </is>
      </c>
      <c r="C80" s="21" t="inlineStr">
        <is>
          <t>Bank payment file (InstaPay, PESONet, bulk credit) for insurers and referrers</t>
        </is>
      </c>
      <c r="D80" s="20" t="inlineStr">
        <is>
          <t>Ops</t>
        </is>
      </c>
      <c r="E80" s="20" t="n">
        <v>0</v>
      </c>
      <c r="F80" s="21" t="inlineStr">
        <is>
          <t>BV-INT-007</t>
        </is>
      </c>
      <c r="G80" s="20" t="n">
        <v>1</v>
      </c>
      <c r="H80" s="20" t="n">
        <v>1</v>
      </c>
      <c r="I80" s="20" t="n">
        <v>0</v>
      </c>
      <c r="J80" s="21" t="inlineStr">
        <is>
          <t>backend/test/integrations.test.js</t>
        </is>
      </c>
      <c r="K80" s="21" t="inlineStr">
        <is>
          <t>brokerverse/src/module/Integrations/IntegrationScreens.test.jsx</t>
        </is>
      </c>
      <c r="L80" s="21" t="inlineStr">
        <is>
          <t>Covered: test cases and automated tests passed</t>
        </is>
      </c>
    </row>
    <row r="81" ht="54" customHeight="1">
      <c r="A81" s="20" t="inlineStr">
        <is>
          <t>9.06</t>
        </is>
      </c>
      <c r="B81" s="21" t="inlineStr">
        <is>
          <t>Remittance, direct bill and insurer reconciliation</t>
        </is>
      </c>
      <c r="C81" s="21" t="inlineStr">
        <is>
          <t>Direct bill commission debit notes with VAT and EWT</t>
        </is>
      </c>
      <c r="D81" s="20" t="inlineStr">
        <is>
          <t>BIR</t>
        </is>
      </c>
      <c r="E81" s="20" t="n">
        <v>2</v>
      </c>
      <c r="F81" s="21" t="inlineStr">
        <is>
          <t>BV-DBL-001 to BV-DBL-010 (all 10)</t>
        </is>
      </c>
      <c r="G81" s="20" t="n">
        <v>10</v>
      </c>
      <c r="H81" s="20" t="n">
        <v>10</v>
      </c>
      <c r="I81" s="20" t="n">
        <v>0</v>
      </c>
      <c r="J81" s="21" t="inlineStr">
        <is>
          <t>backend/test/direct-bill.test.js
backend/test/uat-disconnects.test.js
backend/test/direct-bill-client-payments.test.js
backend/test/posting-rules.test.js</t>
        </is>
      </c>
      <c r="K81" s="21" t="n"/>
      <c r="L81" s="21" t="inlineStr">
        <is>
          <t>Covered: test cases and automated tests passed</t>
        </is>
      </c>
    </row>
    <row r="82" ht="15" customHeight="1">
      <c r="A82" s="20" t="inlineStr">
        <is>
          <t>9.07</t>
        </is>
      </c>
      <c r="B82" s="21" t="inlineStr">
        <is>
          <t>Remittance, direct bill and insurer reconciliation</t>
        </is>
      </c>
      <c r="C82" s="21" t="inlineStr">
        <is>
          <t>Agency bill processing</t>
        </is>
      </c>
      <c r="D82" s="20" t="inlineStr">
        <is>
          <t>Ops</t>
        </is>
      </c>
      <c r="E82" s="20" t="n">
        <v>2</v>
      </c>
      <c r="F82" s="21" t="inlineStr">
        <is>
          <t>BV-REM-009</t>
        </is>
      </c>
      <c r="G82" s="20" t="n">
        <v>1</v>
      </c>
      <c r="H82" s="20" t="n">
        <v>1</v>
      </c>
      <c r="I82" s="20" t="n">
        <v>0</v>
      </c>
      <c r="J82" s="21" t="inlineStr">
        <is>
          <t>backend/test/remittance.test.js</t>
        </is>
      </c>
      <c r="K82" s="21" t="n"/>
      <c r="L82" s="21" t="inlineStr">
        <is>
          <t>Covered: test cases and automated tests passed</t>
        </is>
      </c>
    </row>
    <row r="83" ht="28" customHeight="1">
      <c r="A83" s="20" t="inlineStr">
        <is>
          <t>9.08</t>
        </is>
      </c>
      <c r="B83" s="21" t="inlineStr">
        <is>
          <t>Remittance, direct bill and insurer reconciliation</t>
        </is>
      </c>
      <c r="C83" s="21" t="inlineStr">
        <is>
          <t>Insurer statement of account import, matching and differences</t>
        </is>
      </c>
      <c r="D83" s="20" t="inlineStr">
        <is>
          <t>Ops</t>
        </is>
      </c>
      <c r="E83" s="20" t="n">
        <v>2</v>
      </c>
      <c r="F83" s="21" t="inlineStr">
        <is>
          <t>BV-INR-001 to BV-INR-006 (all 6)</t>
        </is>
      </c>
      <c r="G83" s="20" t="n">
        <v>6</v>
      </c>
      <c r="H83" s="20" t="n">
        <v>6</v>
      </c>
      <c r="I83" s="20" t="n">
        <v>0</v>
      </c>
      <c r="J83" s="21" t="inlineStr">
        <is>
          <t>backend/test/insurer-reconciliation.test.js
backend/test/role-access.test.js</t>
        </is>
      </c>
      <c r="K83" s="21" t="n"/>
      <c r="L83" s="21" t="inlineStr">
        <is>
          <t>Covered: test cases and automated tests passed</t>
        </is>
      </c>
    </row>
    <row r="84" ht="28" customHeight="1">
      <c r="A84" s="20" t="inlineStr">
        <is>
          <t>9.09</t>
        </is>
      </c>
      <c r="B84" s="21" t="inlineStr">
        <is>
          <t>Remittance, direct bill and insurer reconciliation</t>
        </is>
      </c>
      <c r="C84" s="21" t="inlineStr">
        <is>
          <t>Insurer system integration (policy, premium, claims data by API)</t>
        </is>
      </c>
      <c r="D84" s="20" t="inlineStr">
        <is>
          <t>Ops</t>
        </is>
      </c>
      <c r="E84" s="20" t="n">
        <v>0</v>
      </c>
      <c r="F84" s="21" t="inlineStr">
        <is>
          <t>BV-INT-006</t>
        </is>
      </c>
      <c r="G84" s="20" t="n">
        <v>1</v>
      </c>
      <c r="H84" s="20" t="n">
        <v>1</v>
      </c>
      <c r="I84" s="20" t="n">
        <v>0</v>
      </c>
      <c r="J84" s="21" t="inlineStr">
        <is>
          <t>backend/test/integrations.test.js</t>
        </is>
      </c>
      <c r="K84" s="21" t="n"/>
      <c r="L84" s="21" t="inlineStr">
        <is>
          <t>Covered: test cases and automated tests passed</t>
        </is>
      </c>
    </row>
    <row r="85" ht="80" customHeight="1">
      <c r="A85" s="20" t="inlineStr">
        <is>
          <t>10.01</t>
        </is>
      </c>
      <c r="B85" s="21" t="inlineStr">
        <is>
          <t>Commission, referrers and incentives</t>
        </is>
      </c>
      <c r="C85" s="21" t="inlineStr">
        <is>
          <t>Commission rate matrix by insurer, product, line and policy type with dates</t>
        </is>
      </c>
      <c r="D85" s="20" t="inlineStr">
        <is>
          <t>Ops</t>
        </is>
      </c>
      <c r="E85" s="20" t="n">
        <v>2</v>
      </c>
      <c r="F85" s="21" t="inlineStr">
        <is>
          <t>BV-COM-001 to BV-COM-010 (all 10)</t>
        </is>
      </c>
      <c r="G85" s="20" t="n">
        <v>10</v>
      </c>
      <c r="H85" s="20" t="n">
        <v>10</v>
      </c>
      <c r="I85" s="20" t="n">
        <v>0</v>
      </c>
      <c r="J85" s="21" t="inlineStr">
        <is>
          <t>backend/test/commission.test.js
backend/test/policy-payments.test.js
backend/test/accounting-followups.test.js
backend/test/commission-taxes.test.js
backend/test/configuration-controls.test.js
backend/test/motor-tariff.test.js</t>
        </is>
      </c>
      <c r="K85" s="21" t="n"/>
      <c r="L85" s="21" t="inlineStr">
        <is>
          <t>Covered: test cases and automated tests passed</t>
        </is>
      </c>
    </row>
    <row r="86" ht="119" customHeight="1">
      <c r="A86" s="20" t="inlineStr">
        <is>
          <t>10.02</t>
        </is>
      </c>
      <c r="B86" s="21" t="inlineStr">
        <is>
          <t>Commission, referrers and incentives</t>
        </is>
      </c>
      <c r="C86" s="21" t="inlineStr">
        <is>
          <t>Brokerage or agency commission income per insurer per policy</t>
        </is>
      </c>
      <c r="D86" s="20" t="inlineStr">
        <is>
          <t>Ops</t>
        </is>
      </c>
      <c r="E86" s="20" t="n">
        <v>2</v>
      </c>
      <c r="F86" s="21" t="inlineStr">
        <is>
          <t>BV-COM-001 to BV-COM-010 (all 10); BV-JNL-001 to BV-JNL-016 (all 16)</t>
        </is>
      </c>
      <c r="G86" s="20" t="n">
        <v>26</v>
      </c>
      <c r="H86" s="20" t="n">
        <v>26</v>
      </c>
      <c r="I86" s="20" t="n">
        <v>0</v>
      </c>
      <c r="J86" s="21" t="inlineStr">
        <is>
          <t>backend/test/commission.test.js
backend/test/policy-payments.test.js
backend/test/accounting-followups.test.js
backend/test/commission-taxes.test.js
backend/test/configuration-controls.test.js
backend/test/motor-tariff.test.js
backend/test/journal.test.js
backend/test/accounting.test.js
and 2 more (sheet Traceability)</t>
        </is>
      </c>
      <c r="K86" s="21" t="n"/>
      <c r="L86" s="21" t="inlineStr">
        <is>
          <t>Covered: test cases and automated tests passed</t>
        </is>
      </c>
    </row>
    <row r="87" ht="80" customHeight="1">
      <c r="A87" s="20" t="inlineStr">
        <is>
          <t>10.03</t>
        </is>
      </c>
      <c r="B87" s="21" t="inlineStr">
        <is>
          <t>Commission, referrers and incentives</t>
        </is>
      </c>
      <c r="C87" s="21" t="inlineStr">
        <is>
          <t>Referrer and sub-agent commission chain, payable on full collection</t>
        </is>
      </c>
      <c r="D87" s="20" t="inlineStr">
        <is>
          <t>Ops</t>
        </is>
      </c>
      <c r="E87" s="20" t="n">
        <v>2</v>
      </c>
      <c r="F87" s="21" t="inlineStr">
        <is>
          <t>BV-COM-001 to BV-COM-010 (all 10)</t>
        </is>
      </c>
      <c r="G87" s="20" t="n">
        <v>10</v>
      </c>
      <c r="H87" s="20" t="n">
        <v>10</v>
      </c>
      <c r="I87" s="20" t="n">
        <v>0</v>
      </c>
      <c r="J87" s="21" t="inlineStr">
        <is>
          <t>backend/test/commission.test.js
backend/test/policy-payments.test.js
backend/test/accounting-followups.test.js
backend/test/commission-taxes.test.js
backend/test/configuration-controls.test.js
backend/test/motor-tariff.test.js</t>
        </is>
      </c>
      <c r="K87" s="21" t="n"/>
      <c r="L87" s="21" t="inlineStr">
        <is>
          <t>Covered: test cases and automated tests passed</t>
        </is>
      </c>
    </row>
    <row r="88" ht="41" customHeight="1">
      <c r="A88" s="20" t="inlineStr">
        <is>
          <t>10.04</t>
        </is>
      </c>
      <c r="B88" s="21" t="inlineStr">
        <is>
          <t>Commission, referrers and incentives</t>
        </is>
      </c>
      <c r="C88" s="21" t="inlineStr">
        <is>
          <t>Withholding tax on commission paid, by payee type and ATC</t>
        </is>
      </c>
      <c r="D88" s="20" t="inlineStr">
        <is>
          <t>BIR</t>
        </is>
      </c>
      <c r="E88" s="20" t="n">
        <v>2</v>
      </c>
      <c r="F88" s="21" t="inlineStr">
        <is>
          <t>BV-COM-007, BV-COM-008; BV-TAX-001</t>
        </is>
      </c>
      <c r="G88" s="20" t="n">
        <v>3</v>
      </c>
      <c r="H88" s="20" t="n">
        <v>3</v>
      </c>
      <c r="I88" s="20" t="n">
        <v>0</v>
      </c>
      <c r="J88" s="21" t="inlineStr">
        <is>
          <t>backend/test/commission-taxes.test.js
backend/test/configuration-controls.test.js
backend/test/period-end.test.js</t>
        </is>
      </c>
      <c r="K88" s="21" t="n"/>
      <c r="L88" s="21" t="inlineStr">
        <is>
          <t>Covered: test cases and automated tests passed</t>
        </is>
      </c>
    </row>
    <row r="89" ht="54" customHeight="1">
      <c r="A89" s="20" t="inlineStr">
        <is>
          <t>10.05</t>
        </is>
      </c>
      <c r="B89" s="21" t="inlineStr">
        <is>
          <t>Commission, referrers and incentives</t>
        </is>
      </c>
      <c r="C89" s="21" t="inlineStr">
        <is>
          <t>Commission payout by voucher and bulk disbursement</t>
        </is>
      </c>
      <c r="D89" s="20" t="inlineStr">
        <is>
          <t>Ops</t>
        </is>
      </c>
      <c r="E89" s="20" t="n">
        <v>2</v>
      </c>
      <c r="F89" s="21" t="inlineStr">
        <is>
          <t>BV-COM-004; BV-INT-007</t>
        </is>
      </c>
      <c r="G89" s="20" t="n">
        <v>2</v>
      </c>
      <c r="H89" s="20" t="n">
        <v>2</v>
      </c>
      <c r="I89" s="20" t="n">
        <v>0</v>
      </c>
      <c r="J89" s="21" t="inlineStr">
        <is>
          <t>backend/test/commission.test.js
backend/test/accounting-followups.test.js
backend/test/integrations.test.js
backend/test/disbursements.test.js</t>
        </is>
      </c>
      <c r="K89" s="21" t="inlineStr">
        <is>
          <t>brokerverse/src/module/Integrations/IntegrationScreens.test.jsx</t>
        </is>
      </c>
      <c r="L89" s="21" t="inlineStr">
        <is>
          <t>Covered: test cases and automated tests passed</t>
        </is>
      </c>
    </row>
    <row r="90" ht="119" customHeight="1">
      <c r="A90" s="20" t="inlineStr">
        <is>
          <t>10.07</t>
        </is>
      </c>
      <c r="B90" s="21" t="inlineStr">
        <is>
          <t>Commission, referrers and incentives</t>
        </is>
      </c>
      <c r="C90" s="21" t="inlineStr">
        <is>
          <t>Commission statements for referrers and the broker</t>
        </is>
      </c>
      <c r="D90" s="20" t="inlineStr">
        <is>
          <t>Ops</t>
        </is>
      </c>
      <c r="E90" s="20" t="n">
        <v>2</v>
      </c>
      <c r="F90" s="21" t="inlineStr">
        <is>
          <t>BV-RPT-001 to BV-RPT-045 (all 45)</t>
        </is>
      </c>
      <c r="G90" s="20" t="n">
        <v>45</v>
      </c>
      <c r="H90" s="20" t="n">
        <v>44</v>
      </c>
      <c r="I90" s="20" t="n">
        <v>1</v>
      </c>
      <c r="J90" s="21" t="inlineStr">
        <is>
          <t>backend/test/reports.test.js
backend/test/printing.test.js
backend/test/role-access.test.js
backend/test/scope.test.js
backend/test/uat-disconnects.test.js
backend/test/placement.test.js
backend/test/posting-rules.test.js
backend/test/direct-bill.test.js
and 2 more (sheet Traceability)</t>
        </is>
      </c>
      <c r="K90" s="21" t="inlineStr">
        <is>
          <t>brokerverse/src/utils/menuPermissions.test.js</t>
        </is>
      </c>
      <c r="L90" s="22" t="inlineStr">
        <is>
          <t>Covered: some cases not passed (see Test Cases)</t>
        </is>
      </c>
    </row>
    <row r="91" ht="28" customHeight="1">
      <c r="A91" s="20" t="inlineStr">
        <is>
          <t>10.08</t>
        </is>
      </c>
      <c r="B91" s="21" t="inlineStr">
        <is>
          <t>Commission, referrers and incentives</t>
        </is>
      </c>
      <c r="C91" s="21" t="inlineStr">
        <is>
          <t>Incentive programmes for account executives</t>
        </is>
      </c>
      <c r="D91" s="20" t="inlineStr">
        <is>
          <t>Ops</t>
        </is>
      </c>
      <c r="E91" s="20" t="n">
        <v>2</v>
      </c>
      <c r="F91" s="21" t="inlineStr">
        <is>
          <t>BV-INC-001 to BV-INC-006 (all 6)</t>
        </is>
      </c>
      <c r="G91" s="20" t="n">
        <v>6</v>
      </c>
      <c r="H91" s="20" t="n">
        <v>6</v>
      </c>
      <c r="I91" s="20" t="n">
        <v>0</v>
      </c>
      <c r="J91" s="21" t="inlineStr">
        <is>
          <t>backend/test/incentive.test.js
backend/test/role-access.test.js</t>
        </is>
      </c>
      <c r="K91" s="21" t="n"/>
      <c r="L91" s="21" t="inlineStr">
        <is>
          <t>Covered: test cases and automated tests passed</t>
        </is>
      </c>
    </row>
    <row r="92" ht="28" customHeight="1">
      <c r="A92" s="20" t="inlineStr">
        <is>
          <t>10.09</t>
        </is>
      </c>
      <c r="B92" s="21" t="inlineStr">
        <is>
          <t>Commission, referrers and incentives</t>
        </is>
      </c>
      <c r="C92" s="21" t="inlineStr">
        <is>
          <t>Licence check of agents and sub-agents before paying commission</t>
        </is>
      </c>
      <c r="D92" s="20" t="inlineStr">
        <is>
          <t>IC</t>
        </is>
      </c>
      <c r="E92" s="20" t="n">
        <v>0</v>
      </c>
      <c r="F92" s="21" t="inlineStr">
        <is>
          <t>BV-ICC-003</t>
        </is>
      </c>
      <c r="G92" s="20" t="n">
        <v>1</v>
      </c>
      <c r="H92" s="20" t="n">
        <v>1</v>
      </c>
      <c r="I92" s="20" t="n">
        <v>0</v>
      </c>
      <c r="J92" s="21" t="inlineStr">
        <is>
          <t>backend/test/ic-compliance.test.js (package B branch)</t>
        </is>
      </c>
      <c r="K92" s="21" t="n"/>
      <c r="L92" s="21" t="inlineStr">
        <is>
          <t>Covered: test cases and automated tests passed</t>
        </is>
      </c>
    </row>
    <row r="93" ht="28" customHeight="1">
      <c r="A93" s="20" t="inlineStr">
        <is>
          <t>10.10</t>
        </is>
      </c>
      <c r="B93" s="21" t="inlineStr">
        <is>
          <t>Commission, referrers and incentives</t>
        </is>
      </c>
      <c r="C93" s="21" t="inlineStr">
        <is>
          <t>Overriding, profit and contingent commission from insurers</t>
        </is>
      </c>
      <c r="D93" s="20" t="inlineStr">
        <is>
          <t>Ops</t>
        </is>
      </c>
      <c r="E93" s="20" t="n">
        <v>1</v>
      </c>
      <c r="F93" s="21" t="inlineStr">
        <is>
          <t>BV-BIR-010, BV-BIR-011</t>
        </is>
      </c>
      <c r="G93" s="20" t="n">
        <v>2</v>
      </c>
      <c r="H93" s="20" t="n">
        <v>2</v>
      </c>
      <c r="I93" s="20" t="n">
        <v>0</v>
      </c>
      <c r="J93" s="21" t="inlineStr">
        <is>
          <t>backend/test/insurer-overrides.test.js</t>
        </is>
      </c>
      <c r="K93" s="21" t="n"/>
      <c r="L93" s="21" t="inlineStr">
        <is>
          <t>Covered: test cases and automated tests passed</t>
        </is>
      </c>
    </row>
    <row r="94" ht="28" customHeight="1">
      <c r="A94" s="20" t="inlineStr">
        <is>
          <t>11.01</t>
        </is>
      </c>
      <c r="B94" s="21" t="inlineStr">
        <is>
          <t>Claims assistance</t>
        </is>
      </c>
      <c r="C94" s="21" t="inlineStr">
        <is>
          <t>Claim registration with incident, driver, third party and documents</t>
        </is>
      </c>
      <c r="D94" s="20" t="inlineStr">
        <is>
          <t>Ops</t>
        </is>
      </c>
      <c r="E94" s="20" t="n">
        <v>2</v>
      </c>
      <c r="F94" s="21" t="inlineStr">
        <is>
          <t>BV-CLM-001</t>
        </is>
      </c>
      <c r="G94" s="20" t="n">
        <v>1</v>
      </c>
      <c r="H94" s="20" t="n">
        <v>1</v>
      </c>
      <c r="I94" s="20" t="n">
        <v>0</v>
      </c>
      <c r="J94" s="21" t="inlineStr">
        <is>
          <t>backend/test/claims.test.js</t>
        </is>
      </c>
      <c r="K94" s="21" t="n"/>
      <c r="L94" s="21" t="inlineStr">
        <is>
          <t>Covered: test cases and automated tests passed</t>
        </is>
      </c>
    </row>
    <row r="95" ht="80" customHeight="1">
      <c r="A95" s="20" t="inlineStr">
        <is>
          <t>11.02</t>
        </is>
      </c>
      <c r="B95" s="21" t="inlineStr">
        <is>
          <t>Claims assistance</t>
        </is>
      </c>
      <c r="C95" s="21" t="inlineStr">
        <is>
          <t>Preliminary loss advice to the insurer by e-mail</t>
        </is>
      </c>
      <c r="D95" s="20" t="inlineStr">
        <is>
          <t>Ops</t>
        </is>
      </c>
      <c r="E95" s="20" t="n">
        <v>2</v>
      </c>
      <c r="F95" s="21" t="inlineStr">
        <is>
          <t>BV-CLM-001 to BV-CLM-015 (all 15)</t>
        </is>
      </c>
      <c r="G95" s="20" t="n">
        <v>15</v>
      </c>
      <c r="H95" s="20" t="n">
        <v>14</v>
      </c>
      <c r="I95" s="20" t="n">
        <v>1</v>
      </c>
      <c r="J95" s="21" t="inlineStr">
        <is>
          <t>backend/test/claims.test.js
backend/test/role-access.test.js
backend/test/accounting-followups.test.js
backend/test/uat-disconnects.test.js
backend/test/scope.test.js
backend/test/posting-rules.test.js</t>
        </is>
      </c>
      <c r="K95" s="21" t="n"/>
      <c r="L95" s="22" t="inlineStr">
        <is>
          <t>Covered: some cases not passed (see Test Cases)</t>
        </is>
      </c>
    </row>
    <row r="96" ht="28" customHeight="1">
      <c r="A96" s="20" t="inlineStr">
        <is>
          <t>11.03</t>
        </is>
      </c>
      <c r="B96" s="21" t="inlineStr">
        <is>
          <t>Claims assistance</t>
        </is>
      </c>
      <c r="C96" s="21" t="inlineStr">
        <is>
          <t>Claim document checklist per line and missing document follow-up</t>
        </is>
      </c>
      <c r="D96" s="20" t="inlineStr">
        <is>
          <t>Ops</t>
        </is>
      </c>
      <c r="E96" s="20" t="n">
        <v>1</v>
      </c>
      <c r="F96" s="21" t="inlineStr">
        <is>
          <t>BV-OPX-005</t>
        </is>
      </c>
      <c r="G96" s="20" t="n">
        <v>1</v>
      </c>
      <c r="H96" s="20" t="n">
        <v>1</v>
      </c>
      <c r="I96" s="20" t="n">
        <v>0</v>
      </c>
      <c r="J96" s="21" t="inlineStr">
        <is>
          <t>backend/test/ops-accounting.test.js</t>
        </is>
      </c>
      <c r="K96" s="21" t="n"/>
      <c r="L96" s="21" t="inlineStr">
        <is>
          <t>Covered: test cases and automated tests passed</t>
        </is>
      </c>
    </row>
    <row r="97" ht="28" customHeight="1">
      <c r="A97" s="20" t="inlineStr">
        <is>
          <t>11.04</t>
        </is>
      </c>
      <c r="B97" s="21" t="inlineStr">
        <is>
          <t>Claims assistance</t>
        </is>
      </c>
      <c r="C97" s="21" t="inlineStr">
        <is>
          <t>Adjuster, insurer claim number, status tracking, handling time and claims reports</t>
        </is>
      </c>
      <c r="D97" s="20" t="inlineStr">
        <is>
          <t>Ops</t>
        </is>
      </c>
      <c r="E97" s="20" t="n">
        <v>2</v>
      </c>
      <c r="F97" s="21" t="inlineStr">
        <is>
          <t>BV-CLM-005; BV-RPT-014</t>
        </is>
      </c>
      <c r="G97" s="20" t="n">
        <v>2</v>
      </c>
      <c r="H97" s="20" t="n">
        <v>2</v>
      </c>
      <c r="I97" s="20" t="n">
        <v>0</v>
      </c>
      <c r="J97" s="21" t="inlineStr">
        <is>
          <t>backend/test/claims.test.js
backend/test/reports.test.js</t>
        </is>
      </c>
      <c r="K97" s="21" t="n"/>
      <c r="L97" s="21" t="inlineStr">
        <is>
          <t>Covered: test cases and automated tests passed</t>
        </is>
      </c>
    </row>
    <row r="98" ht="80" customHeight="1">
      <c r="A98" s="20" t="inlineStr">
        <is>
          <t>11.05</t>
        </is>
      </c>
      <c r="B98" s="21" t="inlineStr">
        <is>
          <t>Claims assistance</t>
        </is>
      </c>
      <c r="C98" s="21" t="inlineStr">
        <is>
          <t>Settlement approval by a second user and claim letters (discharge voucher)</t>
        </is>
      </c>
      <c r="D98" s="20" t="inlineStr">
        <is>
          <t>Ops</t>
        </is>
      </c>
      <c r="E98" s="20" t="n">
        <v>2</v>
      </c>
      <c r="F98" s="21" t="inlineStr">
        <is>
          <t>BV-CLM-001 to BV-CLM-015 (all 15)</t>
        </is>
      </c>
      <c r="G98" s="20" t="n">
        <v>15</v>
      </c>
      <c r="H98" s="20" t="n">
        <v>14</v>
      </c>
      <c r="I98" s="20" t="n">
        <v>1</v>
      </c>
      <c r="J98" s="21" t="inlineStr">
        <is>
          <t>backend/test/claims.test.js
backend/test/role-access.test.js
backend/test/accounting-followups.test.js
backend/test/uat-disconnects.test.js
backend/test/scope.test.js
backend/test/posting-rules.test.js</t>
        </is>
      </c>
      <c r="K98" s="21" t="n"/>
      <c r="L98" s="22" t="inlineStr">
        <is>
          <t>Covered: some cases not passed (see Test Cases)</t>
        </is>
      </c>
    </row>
    <row r="99" ht="54" customHeight="1">
      <c r="A99" s="20" t="inlineStr">
        <is>
          <t>11.06</t>
        </is>
      </c>
      <c r="B99" s="21" t="inlineStr">
        <is>
          <t>Claims assistance</t>
        </is>
      </c>
      <c r="C99" s="21" t="inlineStr">
        <is>
          <t>Claims paid through the broker: funds received and paid to claimant</t>
        </is>
      </c>
      <c r="D99" s="20" t="inlineStr">
        <is>
          <t>Ops</t>
        </is>
      </c>
      <c r="E99" s="20" t="n">
        <v>1</v>
      </c>
      <c r="F99" s="21" t="inlineStr">
        <is>
          <t>BV-CLM-009; BV-ACX-004</t>
        </is>
      </c>
      <c r="G99" s="20" t="n">
        <v>2</v>
      </c>
      <c r="H99" s="20" t="n">
        <v>2</v>
      </c>
      <c r="I99" s="20" t="n">
        <v>0</v>
      </c>
      <c r="J99" s="21" t="inlineStr">
        <is>
          <t>backend/test/accounting-followups.test.js
backend/test/uat-disconnects.test.js
backend/test/ops-accounting.test.js
backend/test/claims.test.js</t>
        </is>
      </c>
      <c r="K99" s="21" t="n"/>
      <c r="L99" s="21" t="inlineStr">
        <is>
          <t>Covered: test cases and automated tests passed</t>
        </is>
      </c>
    </row>
    <row r="100" ht="80" customHeight="1">
      <c r="A100" s="20" t="inlineStr">
        <is>
          <t>11.07</t>
        </is>
      </c>
      <c r="B100" s="21" t="inlineStr">
        <is>
          <t>Claims assistance</t>
        </is>
      </c>
      <c r="C100" s="21" t="inlineStr">
        <is>
          <t>Co-insurer shares of claims and settlements</t>
        </is>
      </c>
      <c r="D100" s="20" t="inlineStr">
        <is>
          <t>Ops</t>
        </is>
      </c>
      <c r="E100" s="20" t="n">
        <v>2</v>
      </c>
      <c r="F100" s="21" t="inlineStr">
        <is>
          <t>BV-CLM-001 to BV-CLM-015 (all 15)</t>
        </is>
      </c>
      <c r="G100" s="20" t="n">
        <v>15</v>
      </c>
      <c r="H100" s="20" t="n">
        <v>14</v>
      </c>
      <c r="I100" s="20" t="n">
        <v>1</v>
      </c>
      <c r="J100" s="21" t="inlineStr">
        <is>
          <t>backend/test/claims.test.js
backend/test/role-access.test.js
backend/test/accounting-followups.test.js
backend/test/uat-disconnects.test.js
backend/test/scope.test.js
backend/test/posting-rules.test.js</t>
        </is>
      </c>
      <c r="K100" s="21" t="n"/>
      <c r="L100" s="22" t="inlineStr">
        <is>
          <t>Covered: some cases not passed (see Test Cases)</t>
        </is>
      </c>
    </row>
    <row r="101" ht="28" customHeight="1">
      <c r="A101" s="20" t="inlineStr">
        <is>
          <t>11.08</t>
        </is>
      </c>
      <c r="B101" s="21" t="inlineStr">
        <is>
          <t>Claims assistance</t>
        </is>
      </c>
      <c r="C101" s="21" t="inlineStr">
        <is>
          <t>Motor claims: repair shop, estimate and letter of authority</t>
        </is>
      </c>
      <c r="D101" s="20" t="inlineStr">
        <is>
          <t>Ops</t>
        </is>
      </c>
      <c r="E101" s="20" t="n">
        <v>1</v>
      </c>
      <c r="F101" s="21" t="inlineStr">
        <is>
          <t>BV-OPX-006</t>
        </is>
      </c>
      <c r="G101" s="20" t="n">
        <v>1</v>
      </c>
      <c r="H101" s="20" t="n">
        <v>1</v>
      </c>
      <c r="I101" s="20" t="n">
        <v>0</v>
      </c>
      <c r="J101" s="21" t="inlineStr">
        <is>
          <t>backend/test/ops-accounting.test.js</t>
        </is>
      </c>
      <c r="K101" s="21" t="n"/>
      <c r="L101" s="21" t="inlineStr">
        <is>
          <t>Covered: test cases and automated tests passed</t>
        </is>
      </c>
    </row>
    <row r="102" ht="67" customHeight="1">
      <c r="A102" s="20" t="inlineStr">
        <is>
          <t>12.01</t>
        </is>
      </c>
      <c r="B102" s="21" t="inlineStr">
        <is>
          <t>Accounting, general ledger, period end and audit</t>
        </is>
      </c>
      <c r="C102" s="21" t="inlineStr">
        <is>
          <t>Double-entry general ledger fed by posting rules, each journal traced to its source</t>
        </is>
      </c>
      <c r="D102" s="20" t="inlineStr">
        <is>
          <t>Ops</t>
        </is>
      </c>
      <c r="E102" s="20" t="n">
        <v>2</v>
      </c>
      <c r="F102" s="21" t="inlineStr">
        <is>
          <t>BV-JNL-001 to BV-JNL-016 (all 16)</t>
        </is>
      </c>
      <c r="G102" s="20" t="n">
        <v>16</v>
      </c>
      <c r="H102" s="20" t="n">
        <v>16</v>
      </c>
      <c r="I102" s="20" t="n">
        <v>0</v>
      </c>
      <c r="J102" s="21" t="inlineStr">
        <is>
          <t>backend/test/journal.test.js
backend/test/accounting.test.js
backend/test/posting-rules.test.js
backend/test/configuration-controls.test.js
backend/test/accounting-flow.test.js</t>
        </is>
      </c>
      <c r="K102" s="21" t="n"/>
      <c r="L102" s="21" t="inlineStr">
        <is>
          <t>Covered: test cases and automated tests passed</t>
        </is>
      </c>
    </row>
    <row r="103" ht="28" customHeight="1">
      <c r="A103" s="20" t="inlineStr">
        <is>
          <t>12.02</t>
        </is>
      </c>
      <c r="B103" s="21" t="inlineStr">
        <is>
          <t>Accounting, general ledger, period end and audit</t>
        </is>
      </c>
      <c r="C103" s="21" t="inlineStr">
        <is>
          <t>Philippine broker chart of accounts with premium trust account</t>
        </is>
      </c>
      <c r="D103" s="20" t="inlineStr">
        <is>
          <t>Ops</t>
        </is>
      </c>
      <c r="E103" s="20" t="n">
        <v>2</v>
      </c>
      <c r="F103" s="21" t="inlineStr">
        <is>
          <t>BV-MST-014, BV-MST-015</t>
        </is>
      </c>
      <c r="G103" s="20" t="n">
        <v>2</v>
      </c>
      <c r="H103" s="20" t="n">
        <v>2</v>
      </c>
      <c r="I103" s="20" t="n">
        <v>0</v>
      </c>
      <c r="J103" s="21" t="inlineStr">
        <is>
          <t>backend/test/chart-of-accounts.test.js
backend/test/upload-templates.test.js</t>
        </is>
      </c>
      <c r="K103" s="21" t="n"/>
      <c r="L103" s="21" t="inlineStr">
        <is>
          <t>Covered: test cases and automated tests passed</t>
        </is>
      </c>
    </row>
    <row r="104" ht="28" customHeight="1">
      <c r="A104" s="20" t="inlineStr">
        <is>
          <t>12.03</t>
        </is>
      </c>
      <c r="B104" s="21" t="inlineStr">
        <is>
          <t>Accounting, general ledger, period end and audit</t>
        </is>
      </c>
      <c r="C104" s="21" t="inlineStr">
        <is>
          <t>Journal, correction and reversal vouchers with approval</t>
        </is>
      </c>
      <c r="D104" s="20" t="inlineStr">
        <is>
          <t>Ops</t>
        </is>
      </c>
      <c r="E104" s="20" t="n">
        <v>2</v>
      </c>
      <c r="F104" s="21" t="inlineStr">
        <is>
          <t>BV-JNL-001, BV-JNL-007</t>
        </is>
      </c>
      <c r="G104" s="20" t="n">
        <v>2</v>
      </c>
      <c r="H104" s="20" t="n">
        <v>2</v>
      </c>
      <c r="I104" s="20" t="n">
        <v>0</v>
      </c>
      <c r="J104" s="21" t="inlineStr">
        <is>
          <t>backend/test/journal.test.js
backend/test/accounting.test.js</t>
        </is>
      </c>
      <c r="K104" s="21" t="n"/>
      <c r="L104" s="21" t="inlineStr">
        <is>
          <t>Covered: test cases and automated tests passed</t>
        </is>
      </c>
    </row>
    <row r="105" ht="54" customHeight="1">
      <c r="A105" s="20" t="inlineStr">
        <is>
          <t>12.04</t>
        </is>
      </c>
      <c r="B105" s="21" t="inlineStr">
        <is>
          <t>Accounting, general ledger, period end and audit</t>
        </is>
      </c>
      <c r="C105" s="21" t="inlineStr">
        <is>
          <t>Payment vouchers, cheques and petty cash</t>
        </is>
      </c>
      <c r="D105" s="20" t="inlineStr">
        <is>
          <t>Ops</t>
        </is>
      </c>
      <c r="E105" s="20" t="n">
        <v>2</v>
      </c>
      <c r="F105" s="21" t="inlineStr">
        <is>
          <t>BV-DSB-001 to BV-DSB-006 (all 6); BV-PCH-001 to BV-PCH-007 (all 7)</t>
        </is>
      </c>
      <c r="G105" s="20" t="n">
        <v>13</v>
      </c>
      <c r="H105" s="20" t="n">
        <v>12</v>
      </c>
      <c r="I105" s="20" t="n">
        <v>1</v>
      </c>
      <c r="J105" s="21" t="inlineStr">
        <is>
          <t>backend/test/disbursements.test.js
backend/test/commission-taxes.test.js
backend/test/accounting-followups.test.js
backend/test/posting-rules.test.js</t>
        </is>
      </c>
      <c r="K105" s="21" t="n"/>
      <c r="L105" s="22" t="inlineStr">
        <is>
          <t>Covered: some cases not passed (see Test Cases)</t>
        </is>
      </c>
    </row>
    <row r="106" ht="28" customHeight="1">
      <c r="A106" s="20" t="inlineStr">
        <is>
          <t>12.05</t>
        </is>
      </c>
      <c r="B106" s="21" t="inlineStr">
        <is>
          <t>Accounting, general ledger, period end and audit</t>
        </is>
      </c>
      <c r="C106" s="21" t="inlineStr">
        <is>
          <t>Bank statement import, auto-match and reconciliation statement</t>
        </is>
      </c>
      <c r="D106" s="20" t="inlineStr">
        <is>
          <t>Ops</t>
        </is>
      </c>
      <c r="E106" s="20" t="n">
        <v>2</v>
      </c>
      <c r="F106" s="21" t="inlineStr">
        <is>
          <t>BV-BNK-001 to BV-BNK-015 (all 15)</t>
        </is>
      </c>
      <c r="G106" s="20" t="n">
        <v>15</v>
      </c>
      <c r="H106" s="20" t="n">
        <v>15</v>
      </c>
      <c r="I106" s="20" t="n">
        <v>0</v>
      </c>
      <c r="J106" s="21" t="inlineStr">
        <is>
          <t>backend/test/bank-reconciliation.test.js</t>
        </is>
      </c>
      <c r="K106" s="21" t="n"/>
      <c r="L106" s="21" t="inlineStr">
        <is>
          <t>Covered: test cases and automated tests passed</t>
        </is>
      </c>
    </row>
    <row r="107" ht="41" customHeight="1">
      <c r="A107" s="20" t="inlineStr">
        <is>
          <t>12.06</t>
        </is>
      </c>
      <c r="B107" s="21" t="inlineStr">
        <is>
          <t>Accounting, general ledger, period end and audit</t>
        </is>
      </c>
      <c r="C107" s="21" t="inlineStr">
        <is>
          <t>Month-end close with checklist, accruals and recurring journals</t>
        </is>
      </c>
      <c r="D107" s="20" t="inlineStr">
        <is>
          <t>Ops</t>
        </is>
      </c>
      <c r="E107" s="20" t="n">
        <v>2</v>
      </c>
      <c r="F107" s="21" t="inlineStr">
        <is>
          <t>BV-PER-002, BV-PER-003, BV-PER-006, BV-PER-009</t>
        </is>
      </c>
      <c r="G107" s="20" t="n">
        <v>4</v>
      </c>
      <c r="H107" s="20" t="n">
        <v>4</v>
      </c>
      <c r="I107" s="20" t="n">
        <v>0</v>
      </c>
      <c r="J107" s="21" t="inlineStr">
        <is>
          <t>backend/test/period-end.test.js
backend/test/bank-reconciliation.test.js
backend/test/period-end-calendar.test.js</t>
        </is>
      </c>
      <c r="K107" s="21" t="n"/>
      <c r="L107" s="21" t="inlineStr">
        <is>
          <t>Covered: test cases and automated tests passed</t>
        </is>
      </c>
    </row>
    <row r="108" ht="28" customHeight="1">
      <c r="A108" s="20" t="inlineStr">
        <is>
          <t>12.07</t>
        </is>
      </c>
      <c r="B108" s="21" t="inlineStr">
        <is>
          <t>Accounting, general ledger, period end and audit</t>
        </is>
      </c>
      <c r="C108" s="21" t="inlineStr">
        <is>
          <t>Year-end close and opening balances</t>
        </is>
      </c>
      <c r="D108" s="20" t="inlineStr">
        <is>
          <t>Ops</t>
        </is>
      </c>
      <c r="E108" s="20" t="n">
        <v>2</v>
      </c>
      <c r="F108" s="21" t="inlineStr">
        <is>
          <t>BV-PER-013; BV-GOL-008</t>
        </is>
      </c>
      <c r="G108" s="20" t="n">
        <v>2</v>
      </c>
      <c r="H108" s="20" t="n">
        <v>2</v>
      </c>
      <c r="I108" s="20" t="n">
        <v>0</v>
      </c>
      <c r="J108" s="21" t="inlineStr">
        <is>
          <t>backend/test/period-end.test.js
backend/test/upload-templates.test.js</t>
        </is>
      </c>
      <c r="K108" s="21" t="n"/>
      <c r="L108" s="21" t="inlineStr">
        <is>
          <t>Covered: test cases and automated tests passed</t>
        </is>
      </c>
    </row>
    <row r="109" ht="119" customHeight="1">
      <c r="A109" s="20" t="inlineStr">
        <is>
          <t>12.08</t>
        </is>
      </c>
      <c r="B109" s="21" t="inlineStr">
        <is>
          <t>Accounting, general ledger, period end and audit</t>
        </is>
      </c>
      <c r="C109" s="21" t="inlineStr">
        <is>
          <t>Financial statements: income statement, balance sheet, trial balance</t>
        </is>
      </c>
      <c r="D109" s="20" t="inlineStr">
        <is>
          <t>Ops</t>
        </is>
      </c>
      <c r="E109" s="20" t="n">
        <v>2</v>
      </c>
      <c r="F109" s="21" t="inlineStr">
        <is>
          <t>BV-PER-001 to BV-PER-016 (all 16); BV-RPT-001 to BV-RPT-045 (all 45)</t>
        </is>
      </c>
      <c r="G109" s="20" t="n">
        <v>61</v>
      </c>
      <c r="H109" s="20" t="n">
        <v>60</v>
      </c>
      <c r="I109" s="20" t="n">
        <v>1</v>
      </c>
      <c r="J109" s="21" t="inlineStr">
        <is>
          <t>backend/test/period-end.test.js
backend/test/period-end-calendar.test.js
backend/test/accounting.test.js
backend/test/role-inheritance.test.js
backend/test/bank-reconciliation.test.js
backend/test/reports.test.js
backend/test/printing.test.js
backend/test/role-access.test.js
and 5 more (sheet Traceability)</t>
        </is>
      </c>
      <c r="K109" s="21" t="inlineStr">
        <is>
          <t>brokerverse/src/utils/menuPermissions.test.js</t>
        </is>
      </c>
      <c r="L109" s="22" t="inlineStr">
        <is>
          <t>Covered: some cases not passed (see Test Cases)</t>
        </is>
      </c>
    </row>
    <row r="110" ht="41" customHeight="1">
      <c r="A110" s="20" t="inlineStr">
        <is>
          <t>12.09</t>
        </is>
      </c>
      <c r="B110" s="21" t="inlineStr">
        <is>
          <t>Accounting, general ledger, period end and audit</t>
        </is>
      </c>
      <c r="C110" s="21" t="inlineStr">
        <is>
          <t>Multi-currency transactions and FX revaluation</t>
        </is>
      </c>
      <c r="D110" s="20" t="inlineStr">
        <is>
          <t>Ops</t>
        </is>
      </c>
      <c r="E110" s="20" t="n">
        <v>2</v>
      </c>
      <c r="F110" s="21" t="inlineStr">
        <is>
          <t>BV-JNL-003; BV-PER-011; BV-MST-013</t>
        </is>
      </c>
      <c r="G110" s="20" t="n">
        <v>3</v>
      </c>
      <c r="H110" s="20" t="n">
        <v>3</v>
      </c>
      <c r="I110" s="20" t="n">
        <v>0</v>
      </c>
      <c r="J110" s="21" t="inlineStr">
        <is>
          <t>backend/test/journal.test.js
backend/test/period-end.test.js
backend/test/masters.test.js</t>
        </is>
      </c>
      <c r="K110" s="21" t="inlineStr">
        <is>
          <t>brokerverse/src/module/FinanceMastersModule/BankMaster/AccountDataView/bankAccountErrors.test.js</t>
        </is>
      </c>
      <c r="L110" s="21" t="inlineStr">
        <is>
          <t>Covered: test cases and automated tests passed</t>
        </is>
      </c>
    </row>
    <row r="111" ht="28" customHeight="1">
      <c r="A111" s="20" t="inlineStr">
        <is>
          <t>12.10</t>
        </is>
      </c>
      <c r="B111" s="21" t="inlineStr">
        <is>
          <t>Accounting, general ledger, period end and audit</t>
        </is>
      </c>
      <c r="C111" s="21" t="inlineStr">
        <is>
          <t>Supplier invoices, input VAT, fixed assets and depreciation</t>
        </is>
      </c>
      <c r="D111" s="20" t="inlineStr">
        <is>
          <t>Ops</t>
        </is>
      </c>
      <c r="E111" s="20" t="n">
        <v>1</v>
      </c>
      <c r="F111" s="21" t="inlineStr">
        <is>
          <t>BV-ACX-005, BV-ACX-006; BV-PCH-003; BV-PKG-004</t>
        </is>
      </c>
      <c r="G111" s="20" t="n">
        <v>4</v>
      </c>
      <c r="H111" s="20" t="n">
        <v>3</v>
      </c>
      <c r="I111" s="20" t="n">
        <v>1</v>
      </c>
      <c r="J111" s="21" t="inlineStr">
        <is>
          <t>backend/test/ops-accounting.test.js</t>
        </is>
      </c>
      <c r="K111" s="21" t="n"/>
      <c r="L111" s="22" t="inlineStr">
        <is>
          <t>Covered: some cases not passed (see Test Cases)</t>
        </is>
      </c>
    </row>
    <row r="112" ht="41" customHeight="1">
      <c r="A112" s="20" t="inlineStr">
        <is>
          <t>13.01</t>
        </is>
      </c>
      <c r="B112" s="21" t="inlineStr">
        <is>
          <t>Taxes and BIR compliance</t>
        </is>
      </c>
      <c r="C112" s="21" t="inlineStr">
        <is>
          <t>Premium taxes: DST (NIRC s.184), VAT 12% or premium tax per product regime, LGT by LGU, FST 2%</t>
        </is>
      </c>
      <c r="D112" s="20" t="inlineStr">
        <is>
          <t>BIR</t>
        </is>
      </c>
      <c r="E112" s="20" t="n">
        <v>2</v>
      </c>
      <c r="F112" s="21" t="inlineStr">
        <is>
          <t>BV-MST-019, BV-MST-020; BV-TAX-007</t>
        </is>
      </c>
      <c r="G112" s="20" t="n">
        <v>3</v>
      </c>
      <c r="H112" s="20" t="n">
        <v>3</v>
      </c>
      <c r="I112" s="20" t="n">
        <v>0</v>
      </c>
      <c r="J112" s="21" t="inlineStr">
        <is>
          <t>backend/test/premium-charges.test.js</t>
        </is>
      </c>
      <c r="K112" s="21" t="n"/>
      <c r="L112" s="21" t="inlineStr">
        <is>
          <t>Covered: test cases and automated tests passed</t>
        </is>
      </c>
    </row>
    <row r="113" ht="28" customHeight="1">
      <c r="A113" s="20" t="inlineStr">
        <is>
          <t>13.03</t>
        </is>
      </c>
      <c r="B113" s="21" t="inlineStr">
        <is>
          <t>Taxes and BIR compliance</t>
        </is>
      </c>
      <c r="C113" s="21" t="inlineStr">
        <is>
          <t>Output VAT on commission and VAT Summary (2550Q working paper)</t>
        </is>
      </c>
      <c r="D113" s="20" t="inlineStr">
        <is>
          <t>BIR</t>
        </is>
      </c>
      <c r="E113" s="20" t="n">
        <v>2</v>
      </c>
      <c r="F113" s="21" t="inlineStr">
        <is>
          <t>BV-TAX-002; BV-RPT-036</t>
        </is>
      </c>
      <c r="G113" s="20" t="n">
        <v>2</v>
      </c>
      <c r="H113" s="20" t="n">
        <v>2</v>
      </c>
      <c r="I113" s="20" t="n">
        <v>0</v>
      </c>
      <c r="J113" s="21" t="inlineStr">
        <is>
          <t>backend/test/commission-taxes.test.js</t>
        </is>
      </c>
      <c r="K113" s="21" t="n"/>
      <c r="L113" s="21" t="inlineStr">
        <is>
          <t>Covered: test cases and automated tests passed</t>
        </is>
      </c>
    </row>
    <row r="114" ht="28" customHeight="1">
      <c r="A114" s="20" t="inlineStr">
        <is>
          <t>13.04</t>
        </is>
      </c>
      <c r="B114" s="21" t="inlineStr">
        <is>
          <t>Taxes and BIR compliance</t>
        </is>
      </c>
      <c r="C114" s="21" t="inlineStr">
        <is>
          <t>Percentage tax for a non-VAT broker or agent (2551Q)</t>
        </is>
      </c>
      <c r="D114" s="20" t="inlineStr">
        <is>
          <t>BIR</t>
        </is>
      </c>
      <c r="E114" s="20" t="n">
        <v>1</v>
      </c>
      <c r="F114" s="21" t="inlineStr">
        <is>
          <t>BV-BIR-006; BV-DBL-008</t>
        </is>
      </c>
      <c r="G114" s="20" t="n">
        <v>2</v>
      </c>
      <c r="H114" s="20" t="n">
        <v>2</v>
      </c>
      <c r="I114" s="20" t="n">
        <v>0</v>
      </c>
      <c r="J114" s="21" t="inlineStr">
        <is>
          <t>backend/test/bir-forms.test.js
backend/test/direct-bill.test.js</t>
        </is>
      </c>
      <c r="K114" s="21" t="n"/>
      <c r="L114" s="21" t="inlineStr">
        <is>
          <t>Covered: test cases and automated tests passed</t>
        </is>
      </c>
    </row>
    <row r="115" ht="28" customHeight="1">
      <c r="A115" s="20" t="inlineStr">
        <is>
          <t>13.05</t>
        </is>
      </c>
      <c r="B115" s="21" t="inlineStr">
        <is>
          <t>Taxes and BIR compliance</t>
        </is>
      </c>
      <c r="C115" s="21" t="inlineStr">
        <is>
          <t>EWT on payments and BIR Form 2307 issued</t>
        </is>
      </c>
      <c r="D115" s="20" t="inlineStr">
        <is>
          <t>BIR</t>
        </is>
      </c>
      <c r="E115" s="20" t="n">
        <v>2</v>
      </c>
      <c r="F115" s="21" t="inlineStr">
        <is>
          <t>BV-TAX-001; BV-PKG-003</t>
        </is>
      </c>
      <c r="G115" s="20" t="n">
        <v>2</v>
      </c>
      <c r="H115" s="20" t="n">
        <v>1</v>
      </c>
      <c r="I115" s="20" t="n">
        <v>1</v>
      </c>
      <c r="J115" s="21" t="inlineStr">
        <is>
          <t>backend/test/period-end.test.js
backend/test/commission-taxes.test.js</t>
        </is>
      </c>
      <c r="K115" s="21" t="n"/>
      <c r="L115" s="22" t="inlineStr">
        <is>
          <t>Covered: some cases not passed (see Test Cases)</t>
        </is>
      </c>
    </row>
    <row r="116" ht="28" customHeight="1">
      <c r="A116" s="20" t="inlineStr">
        <is>
          <t>13.06</t>
        </is>
      </c>
      <c r="B116" s="21" t="inlineStr">
        <is>
          <t>Taxes and BIR compliance</t>
        </is>
      </c>
      <c r="C116" s="21" t="inlineStr">
        <is>
          <t>CWT withheld by insurers, BIR Form 2307 received and SAWT</t>
        </is>
      </c>
      <c r="D116" s="20" t="inlineStr">
        <is>
          <t>BIR</t>
        </is>
      </c>
      <c r="E116" s="20" t="n">
        <v>2</v>
      </c>
      <c r="F116" s="21" t="inlineStr">
        <is>
          <t>BV-TAX-003, BV-TAX-009; BV-RPT-037</t>
        </is>
      </c>
      <c r="G116" s="20" t="n">
        <v>3</v>
      </c>
      <c r="H116" s="20" t="n">
        <v>3</v>
      </c>
      <c r="I116" s="20" t="n">
        <v>0</v>
      </c>
      <c r="J116" s="21" t="inlineStr">
        <is>
          <t>backend/test/commission-taxes.test.js
backend/test/direct-bill.test.js</t>
        </is>
      </c>
      <c r="K116" s="21" t="n"/>
      <c r="L116" s="21" t="inlineStr">
        <is>
          <t>Covered: test cases and automated tests passed</t>
        </is>
      </c>
    </row>
    <row r="117" ht="28" customHeight="1">
      <c r="A117" s="20" t="inlineStr">
        <is>
          <t>13.07</t>
        </is>
      </c>
      <c r="B117" s="21" t="inlineStr">
        <is>
          <t>Taxes and BIR compliance</t>
        </is>
      </c>
      <c r="C117" s="21" t="inlineStr">
        <is>
          <t>Monthly and quarterly EWT returns (0619-E, 1601-EQ) with QAP</t>
        </is>
      </c>
      <c r="D117" s="20" t="inlineStr">
        <is>
          <t>BIR</t>
        </is>
      </c>
      <c r="E117" s="20" t="n">
        <v>1</v>
      </c>
      <c r="F117" s="21" t="inlineStr">
        <is>
          <t>BV-BIR-001, BV-BIR-002, BV-BIR-003; BV-TAX-004</t>
        </is>
      </c>
      <c r="G117" s="20" t="n">
        <v>4</v>
      </c>
      <c r="H117" s="20" t="n">
        <v>4</v>
      </c>
      <c r="I117" s="20" t="n">
        <v>0</v>
      </c>
      <c r="J117" s="21" t="inlineStr">
        <is>
          <t>backend/test/bir-forms.test.js</t>
        </is>
      </c>
      <c r="K117" s="21" t="inlineStr">
        <is>
          <t>brokerverse/src/module/BirTax/BirTax.test.jsx</t>
        </is>
      </c>
      <c r="L117" s="21" t="inlineStr">
        <is>
          <t>Covered: test cases and automated tests passed</t>
        </is>
      </c>
    </row>
    <row r="118" ht="28" customHeight="1">
      <c r="A118" s="20" t="inlineStr">
        <is>
          <t>13.08</t>
        </is>
      </c>
      <c r="B118" s="21" t="inlineStr">
        <is>
          <t>Taxes and BIR compliance</t>
        </is>
      </c>
      <c r="C118" s="21" t="inlineStr">
        <is>
          <t>Annual information return and alphalist (1604-E)</t>
        </is>
      </c>
      <c r="D118" s="20" t="inlineStr">
        <is>
          <t>BIR</t>
        </is>
      </c>
      <c r="E118" s="20" t="n">
        <v>1</v>
      </c>
      <c r="F118" s="21" t="inlineStr">
        <is>
          <t>BV-BIR-004</t>
        </is>
      </c>
      <c r="G118" s="20" t="n">
        <v>1</v>
      </c>
      <c r="H118" s="20" t="n">
        <v>1</v>
      </c>
      <c r="I118" s="20" t="n">
        <v>0</v>
      </c>
      <c r="J118" s="21" t="inlineStr">
        <is>
          <t>backend/test/bir-forms.test.js</t>
        </is>
      </c>
      <c r="K118" s="21" t="n"/>
      <c r="L118" s="21" t="inlineStr">
        <is>
          <t>Covered: test cases and automated tests passed</t>
        </is>
      </c>
    </row>
    <row r="119" ht="15" customHeight="1">
      <c r="A119" s="20" t="inlineStr">
        <is>
          <t>13.09</t>
        </is>
      </c>
      <c r="B119" s="21" t="inlineStr">
        <is>
          <t>Taxes and BIR compliance</t>
        </is>
      </c>
      <c r="C119" s="21" t="inlineStr">
        <is>
          <t>SLSP sales and purchases</t>
        </is>
      </c>
      <c r="D119" s="20" t="inlineStr">
        <is>
          <t>BIR</t>
        </is>
      </c>
      <c r="E119" s="20" t="n">
        <v>2</v>
      </c>
      <c r="F119" s="21" t="inlineStr">
        <is>
          <t>BV-TAX-005; BV-RPT-039, BV-RPT-040</t>
        </is>
      </c>
      <c r="G119" s="20" t="n">
        <v>3</v>
      </c>
      <c r="H119" s="20" t="n">
        <v>3</v>
      </c>
      <c r="I119" s="20" t="n">
        <v>0</v>
      </c>
      <c r="J119" s="21" t="n"/>
      <c r="K119" s="21" t="n"/>
      <c r="L119" s="21" t="inlineStr">
        <is>
          <t>Covered: test cases passed on UAT scenario or screen evidence</t>
        </is>
      </c>
    </row>
    <row r="120" ht="41" customHeight="1">
      <c r="A120" s="20" t="inlineStr">
        <is>
          <t>13.10</t>
        </is>
      </c>
      <c r="B120" s="21" t="inlineStr">
        <is>
          <t>Taxes and BIR compliance</t>
        </is>
      </c>
      <c r="C120" s="21" t="inlineStr">
        <is>
          <t>Invoices under the EOPT Act and RR 7-2024 (invoice as primary document, required fields)</t>
        </is>
      </c>
      <c r="D120" s="20" t="inlineStr">
        <is>
          <t>BIR</t>
        </is>
      </c>
      <c r="E120" s="20" t="n">
        <v>1</v>
      </c>
      <c r="F120" s="21" t="inlineStr">
        <is>
          <t>BV-BIR-007</t>
        </is>
      </c>
      <c r="G120" s="20" t="n">
        <v>1</v>
      </c>
      <c r="H120" s="20" t="n">
        <v>1</v>
      </c>
      <c r="I120" s="20" t="n">
        <v>0</v>
      </c>
      <c r="J120" s="21" t="inlineStr">
        <is>
          <t>backend/test/bir-forms.test.js</t>
        </is>
      </c>
      <c r="K120" s="21" t="n"/>
      <c r="L120" s="21" t="inlineStr">
        <is>
          <t>Covered: test cases and automated tests passed</t>
        </is>
      </c>
    </row>
    <row r="121" ht="28" customHeight="1">
      <c r="A121" s="20" t="inlineStr">
        <is>
          <t>13.11</t>
        </is>
      </c>
      <c r="B121" s="21" t="inlineStr">
        <is>
          <t>Taxes and BIR compliance</t>
        </is>
      </c>
      <c r="C121" s="21" t="inlineStr">
        <is>
          <t>Computerized accounting system registration support (books, outputs, controls)</t>
        </is>
      </c>
      <c r="D121" s="20" t="inlineStr">
        <is>
          <t>BIR</t>
        </is>
      </c>
      <c r="E121" s="20" t="n">
        <v>1</v>
      </c>
      <c r="F121" s="21" t="inlineStr">
        <is>
          <t>BV-BIR-009; BV-NPC-011</t>
        </is>
      </c>
      <c r="G121" s="20" t="n">
        <v>2</v>
      </c>
      <c r="H121" s="20" t="n">
        <v>2</v>
      </c>
      <c r="I121" s="20" t="n">
        <v>0</v>
      </c>
      <c r="J121" s="21" t="inlineStr">
        <is>
          <t>backend/test/bir-forms.test.js
backend/test/audit-events.test.js</t>
        </is>
      </c>
      <c r="K121" s="21" t="n"/>
      <c r="L121" s="21" t="inlineStr">
        <is>
          <t>Covered: test cases and automated tests passed</t>
        </is>
      </c>
    </row>
    <row r="122" ht="28" customHeight="1">
      <c r="A122" s="20" t="inlineStr">
        <is>
          <t>13.12</t>
        </is>
      </c>
      <c r="B122" s="21" t="inlineStr">
        <is>
          <t>Taxes and BIR compliance</t>
        </is>
      </c>
      <c r="C122" s="21" t="inlineStr">
        <is>
          <t>Electronic invoicing and sales data transmission to BIR (EIS)</t>
        </is>
      </c>
      <c r="D122" s="20" t="inlineStr">
        <is>
          <t>BIR</t>
        </is>
      </c>
      <c r="E122" s="20" t="n">
        <v>0</v>
      </c>
      <c r="F122" s="21" t="inlineStr">
        <is>
          <t>BV-BIR-008</t>
        </is>
      </c>
      <c r="G122" s="20" t="n">
        <v>1</v>
      </c>
      <c r="H122" s="20" t="n">
        <v>1</v>
      </c>
      <c r="I122" s="20" t="n">
        <v>0</v>
      </c>
      <c r="J122" s="21" t="inlineStr">
        <is>
          <t>backend/test/bir-forms.test.js</t>
        </is>
      </c>
      <c r="K122" s="21" t="n"/>
      <c r="L122" s="21" t="inlineStr">
        <is>
          <t>Covered: test cases and automated tests passed</t>
        </is>
      </c>
    </row>
    <row r="123" ht="28" customHeight="1">
      <c r="A123" s="20" t="inlineStr">
        <is>
          <t>13.13</t>
        </is>
      </c>
      <c r="B123" s="21" t="inlineStr">
        <is>
          <t>Taxes and BIR compliance</t>
        </is>
      </c>
      <c r="C123" s="21" t="inlineStr">
        <is>
          <t>BIR validation files (DAT) for alphalists and SLSP</t>
        </is>
      </c>
      <c r="D123" s="20" t="inlineStr">
        <is>
          <t>BIR</t>
        </is>
      </c>
      <c r="E123" s="20" t="n">
        <v>1</v>
      </c>
      <c r="F123" s="21" t="inlineStr">
        <is>
          <t>BV-BIR-005</t>
        </is>
      </c>
      <c r="G123" s="20" t="n">
        <v>1</v>
      </c>
      <c r="H123" s="20" t="n">
        <v>1</v>
      </c>
      <c r="I123" s="20" t="n">
        <v>0</v>
      </c>
      <c r="J123" s="21" t="inlineStr">
        <is>
          <t>backend/test/bir-forms.test.js</t>
        </is>
      </c>
      <c r="K123" s="21" t="n"/>
      <c r="L123" s="21" t="inlineStr">
        <is>
          <t>Covered: test cases and automated tests passed</t>
        </is>
      </c>
    </row>
    <row r="124" ht="41" customHeight="1">
      <c r="A124" s="20" t="inlineStr">
        <is>
          <t>13.14</t>
        </is>
      </c>
      <c r="B124" s="21" t="inlineStr">
        <is>
          <t>Taxes and BIR compliance</t>
        </is>
      </c>
      <c r="C124" s="21" t="inlineStr">
        <is>
          <t>Tax codes with ATC, rates, GL account and effective dates</t>
        </is>
      </c>
      <c r="D124" s="20" t="inlineStr">
        <is>
          <t>BIR</t>
        </is>
      </c>
      <c r="E124" s="20" t="n">
        <v>2</v>
      </c>
      <c r="F124" s="21" t="inlineStr">
        <is>
          <t>BV-MST-018; BV-TAX-006</t>
        </is>
      </c>
      <c r="G124" s="20" t="n">
        <v>2</v>
      </c>
      <c r="H124" s="20" t="n">
        <v>2</v>
      </c>
      <c r="I124" s="20" t="n">
        <v>0</v>
      </c>
      <c r="J124" s="21" t="inlineStr">
        <is>
          <t>backend/test/period-end.test.js
backend/test/masters.test.js
backend/test/commission-taxes.test.js</t>
        </is>
      </c>
      <c r="K124" s="21" t="n"/>
      <c r="L124" s="21" t="inlineStr">
        <is>
          <t>Covered: test cases and automated tests passed</t>
        </is>
      </c>
    </row>
    <row r="125" ht="28" customHeight="1">
      <c r="A125" s="20" t="inlineStr">
        <is>
          <t>14.02</t>
        </is>
      </c>
      <c r="B125" s="21" t="inlineStr">
        <is>
          <t>Insurance Commission and Data Privacy compliance</t>
        </is>
      </c>
      <c r="C125" s="21" t="inlineStr">
        <is>
          <t>Licence renewal tracking of the firm and licensed individuals</t>
        </is>
      </c>
      <c r="D125" s="20" t="inlineStr">
        <is>
          <t>IC</t>
        </is>
      </c>
      <c r="E125" s="20" t="n">
        <v>0</v>
      </c>
      <c r="F125" s="21" t="inlineStr">
        <is>
          <t>BV-ICC-001, BV-ICC-002</t>
        </is>
      </c>
      <c r="G125" s="20" t="n">
        <v>2</v>
      </c>
      <c r="H125" s="20" t="n">
        <v>2</v>
      </c>
      <c r="I125" s="20" t="n">
        <v>0</v>
      </c>
      <c r="J125" s="21" t="inlineStr">
        <is>
          <t>backend/test/ic-compliance.test.js (package B branch)</t>
        </is>
      </c>
      <c r="K125" s="21" t="n"/>
      <c r="L125" s="21" t="inlineStr">
        <is>
          <t>Covered: test cases and automated tests passed</t>
        </is>
      </c>
    </row>
    <row r="126" ht="28" customHeight="1">
      <c r="A126" s="20" t="inlineStr">
        <is>
          <t>14.03</t>
        </is>
      </c>
      <c r="B126" s="21" t="inlineStr">
        <is>
          <t>Insurance Commission and Data Privacy compliance</t>
        </is>
      </c>
      <c r="C126" s="21" t="inlineStr">
        <is>
          <t>Fit and proper records of directors and officers</t>
        </is>
      </c>
      <c r="D126" s="20" t="inlineStr">
        <is>
          <t>IC</t>
        </is>
      </c>
      <c r="E126" s="20" t="n">
        <v>0</v>
      </c>
      <c r="F126" s="21" t="inlineStr">
        <is>
          <t>BV-ICC-004</t>
        </is>
      </c>
      <c r="G126" s="20" t="n">
        <v>1</v>
      </c>
      <c r="H126" s="20" t="n">
        <v>1</v>
      </c>
      <c r="I126" s="20" t="n">
        <v>0</v>
      </c>
      <c r="J126" s="21" t="inlineStr">
        <is>
          <t>backend/test/ic-compliance.test.js (package B branch)</t>
        </is>
      </c>
      <c r="K126" s="21" t="n"/>
      <c r="L126" s="21" t="inlineStr">
        <is>
          <t>Covered: test cases and automated tests passed</t>
        </is>
      </c>
    </row>
    <row r="127" ht="28" customHeight="1">
      <c r="A127" s="20" t="inlineStr">
        <is>
          <t>14.04</t>
        </is>
      </c>
      <c r="B127" s="21" t="inlineStr">
        <is>
          <t>Insurance Commission and Data Privacy compliance</t>
        </is>
      </c>
      <c r="C127" s="21" t="inlineStr">
        <is>
          <t>IC annual statement and financial reports in the IC format</t>
        </is>
      </c>
      <c r="D127" s="20" t="inlineStr">
        <is>
          <t>IC</t>
        </is>
      </c>
      <c r="E127" s="20" t="n">
        <v>1</v>
      </c>
      <c r="F127" s="21" t="inlineStr">
        <is>
          <t>BV-ICC-007</t>
        </is>
      </c>
      <c r="G127" s="20" t="n">
        <v>1</v>
      </c>
      <c r="H127" s="20" t="n">
        <v>1</v>
      </c>
      <c r="I127" s="20" t="n">
        <v>0</v>
      </c>
      <c r="J127" s="21" t="inlineStr">
        <is>
          <t>backend/test/ic-compliance.test.js (package B branch)</t>
        </is>
      </c>
      <c r="K127" s="21" t="n"/>
      <c r="L127" s="21" t="inlineStr">
        <is>
          <t>Covered: test cases and automated tests passed</t>
        </is>
      </c>
    </row>
    <row r="128" ht="28" customHeight="1">
      <c r="A128" s="20" t="inlineStr">
        <is>
          <t>14.05</t>
        </is>
      </c>
      <c r="B128" s="21" t="inlineStr">
        <is>
          <t>Insurance Commission and Data Privacy compliance</t>
        </is>
      </c>
      <c r="C128" s="21" t="inlineStr">
        <is>
          <t>IC production and business reports (premium placed by insurer and line)</t>
        </is>
      </c>
      <c r="D128" s="20" t="inlineStr">
        <is>
          <t>IC</t>
        </is>
      </c>
      <c r="E128" s="20" t="n">
        <v>1</v>
      </c>
      <c r="F128" s="21" t="inlineStr">
        <is>
          <t>BV-ICC-006</t>
        </is>
      </c>
      <c r="G128" s="20" t="n">
        <v>1</v>
      </c>
      <c r="H128" s="20" t="n">
        <v>1</v>
      </c>
      <c r="I128" s="20" t="n">
        <v>0</v>
      </c>
      <c r="J128" s="21" t="inlineStr">
        <is>
          <t>backend/test/ic-compliance.test.js (package B branch)</t>
        </is>
      </c>
      <c r="K128" s="21" t="n"/>
      <c r="L128" s="21" t="inlineStr">
        <is>
          <t>Covered: test cases and automated tests passed</t>
        </is>
      </c>
    </row>
    <row r="129" ht="106" customHeight="1">
      <c r="A129" s="20" t="inlineStr">
        <is>
          <t>14.06</t>
        </is>
      </c>
      <c r="B129" s="21" t="inlineStr">
        <is>
          <t>Insurance Commission and Data Privacy compliance</t>
        </is>
      </c>
      <c r="C129" s="21" t="inlineStr">
        <is>
          <t>Records of business available for IC examination, licence number on documents</t>
        </is>
      </c>
      <c r="D129" s="20" t="inlineStr">
        <is>
          <t>IC</t>
        </is>
      </c>
      <c r="E129" s="20" t="n">
        <v>2</v>
      </c>
      <c r="F129" s="21" t="inlineStr">
        <is>
          <t>BV-AUD-001 to BV-AUD-004 (all 4); BV-BRD-003; BV-RFQ-013</t>
        </is>
      </c>
      <c r="G129" s="20" t="n">
        <v>6</v>
      </c>
      <c r="H129" s="20" t="n">
        <v>6</v>
      </c>
      <c r="I129" s="20" t="n">
        <v>0</v>
      </c>
      <c r="J129" s="21" t="inlineStr">
        <is>
          <t>backend/test/core.test.js
backend/test/user-access.test.js
backend/test/claims.test.js
backend/test/customer-response.test.js
backend/test/operations.test.js
backend/test/branding.test.js
backend/test/placement.test.js
backend/test/printing.test.js</t>
        </is>
      </c>
      <c r="K129" s="21" t="n"/>
      <c r="L129" s="21" t="inlineStr">
        <is>
          <t>Covered: test cases and automated tests passed</t>
        </is>
      </c>
    </row>
    <row r="130" ht="119" customHeight="1">
      <c r="A130" s="20" t="inlineStr">
        <is>
          <t>14.07</t>
        </is>
      </c>
      <c r="B130" s="21" t="inlineStr">
        <is>
          <t>Insurance Commission and Data Privacy compliance</t>
        </is>
      </c>
      <c r="C130" s="21" t="inlineStr">
        <is>
          <t>Premium held in trust for insurers, apart from own funds</t>
        </is>
      </c>
      <c r="D130" s="20" t="inlineStr">
        <is>
          <t>IC</t>
        </is>
      </c>
      <c r="E130" s="20" t="n">
        <v>2</v>
      </c>
      <c r="F130" s="21" t="inlineStr">
        <is>
          <t>BV-ICC-011; BV-REM-001 to BV-REM-015 (all 15)</t>
        </is>
      </c>
      <c r="G130" s="20" t="n">
        <v>16</v>
      </c>
      <c r="H130" s="20" t="n">
        <v>15</v>
      </c>
      <c r="I130" s="20" t="n">
        <v>1</v>
      </c>
      <c r="J130" s="21" t="inlineStr">
        <is>
          <t>backend/test/ic-compliance.test.js (package B branch)
backend/test/remittance.test.js
backend/test/role-access.test.js
backend/test/uat-disconnects.test.js
backend/test/direct-bill.test.js
backend/test/posting-rules.test.js
backend/test/bank-reconciliation.test.js
backend/test/credit-control.test.js
and 1 more (sheet Traceability)</t>
        </is>
      </c>
      <c r="K130" s="21" t="n"/>
      <c r="L130" s="22" t="inlineStr">
        <is>
          <t>Covered: some cases not passed (see Test Cases)</t>
        </is>
      </c>
    </row>
    <row r="131" ht="28" customHeight="1">
      <c r="A131" s="20" t="inlineStr">
        <is>
          <t>14.08</t>
        </is>
      </c>
      <c r="B131" s="21" t="inlineStr">
        <is>
          <t>Insurance Commission and Data Privacy compliance</t>
        </is>
      </c>
      <c r="C131" s="21" t="inlineStr">
        <is>
          <t>Complaints handling and financial consumer protection (RA 11765)</t>
        </is>
      </c>
      <c r="D131" s="20" t="inlineStr">
        <is>
          <t>IC</t>
        </is>
      </c>
      <c r="E131" s="20" t="n">
        <v>0</v>
      </c>
      <c r="F131" s="21" t="inlineStr">
        <is>
          <t>BV-ICC-008, BV-ICC-009, BV-ICC-010</t>
        </is>
      </c>
      <c r="G131" s="20" t="n">
        <v>3</v>
      </c>
      <c r="H131" s="20" t="n">
        <v>3</v>
      </c>
      <c r="I131" s="20" t="n">
        <v>0</v>
      </c>
      <c r="J131" s="21" t="inlineStr">
        <is>
          <t>backend/test/ic-compliance.test.js (package B branch)</t>
        </is>
      </c>
      <c r="K131" s="21" t="n"/>
      <c r="L131" s="21" t="inlineStr">
        <is>
          <t>Covered: test cases and automated tests passed</t>
        </is>
      </c>
    </row>
    <row r="132" ht="28" customHeight="1">
      <c r="A132" s="20" t="inlineStr">
        <is>
          <t>14.09</t>
        </is>
      </c>
      <c r="B132" s="21" t="inlineStr">
        <is>
          <t>Insurance Commission and Data Privacy compliance</t>
        </is>
      </c>
      <c r="C132" s="21" t="inlineStr">
        <is>
          <t>Data subject requests, export and anonymisation</t>
        </is>
      </c>
      <c r="D132" s="20" t="inlineStr">
        <is>
          <t>NPC</t>
        </is>
      </c>
      <c r="E132" s="20" t="n">
        <v>2</v>
      </c>
      <c r="F132" s="21" t="inlineStr">
        <is>
          <t>BV-SEC-035; BV-NPC-010</t>
        </is>
      </c>
      <c r="G132" s="20" t="n">
        <v>2</v>
      </c>
      <c r="H132" s="20" t="n">
        <v>2</v>
      </c>
      <c r="I132" s="20" t="n">
        <v>0</v>
      </c>
      <c r="J132" s="21" t="inlineStr">
        <is>
          <t>backend/test/privacy.test.js</t>
        </is>
      </c>
      <c r="K132" s="21" t="n"/>
      <c r="L132" s="21" t="inlineStr">
        <is>
          <t>Covered: test cases and automated tests passed</t>
        </is>
      </c>
    </row>
    <row r="133" ht="15" customHeight="1">
      <c r="A133" s="20" t="inlineStr">
        <is>
          <t>14.10</t>
        </is>
      </c>
      <c r="B133" s="21" t="inlineStr">
        <is>
          <t>Insurance Commission and Data Privacy compliance</t>
        </is>
      </c>
      <c r="C133" s="21" t="inlineStr">
        <is>
          <t>Retention and disposal of personal data</t>
        </is>
      </c>
      <c r="D133" s="20" t="inlineStr">
        <is>
          <t>NPC</t>
        </is>
      </c>
      <c r="E133" s="20" t="n">
        <v>2</v>
      </c>
      <c r="F133" s="21" t="inlineStr">
        <is>
          <t>BV-NPC-010</t>
        </is>
      </c>
      <c r="G133" s="20" t="n">
        <v>1</v>
      </c>
      <c r="H133" s="20" t="n">
        <v>1</v>
      </c>
      <c r="I133" s="20" t="n">
        <v>0</v>
      </c>
      <c r="J133" s="21" t="inlineStr">
        <is>
          <t>backend/test/privacy.test.js</t>
        </is>
      </c>
      <c r="K133" s="21" t="n"/>
      <c r="L133" s="21" t="inlineStr">
        <is>
          <t>Covered: test cases and automated tests passed</t>
        </is>
      </c>
    </row>
    <row r="134" ht="28" customHeight="1">
      <c r="A134" s="20" t="inlineStr">
        <is>
          <t>14.11</t>
        </is>
      </c>
      <c r="B134" s="21" t="inlineStr">
        <is>
          <t>Insurance Commission and Data Privacy compliance</t>
        </is>
      </c>
      <c r="C134" s="21" t="inlineStr">
        <is>
          <t>Breach detection support and breach register</t>
        </is>
      </c>
      <c r="D134" s="20" t="inlineStr">
        <is>
          <t>NPC</t>
        </is>
      </c>
      <c r="E134" s="20" t="n">
        <v>1</v>
      </c>
      <c r="F134" s="21" t="inlineStr">
        <is>
          <t>BV-NPC-001, BV-NPC-002, BV-NPC-003, BV-NPC-004</t>
        </is>
      </c>
      <c r="G134" s="20" t="n">
        <v>4</v>
      </c>
      <c r="H134" s="20" t="n">
        <v>4</v>
      </c>
      <c r="I134" s="20" t="n">
        <v>0</v>
      </c>
      <c r="J134" s="21" t="inlineStr">
        <is>
          <t>backend/test/data-breaches.test.js (package B branch)</t>
        </is>
      </c>
      <c r="K134" s="21" t="n"/>
      <c r="L134" s="21" t="inlineStr">
        <is>
          <t>Covered: test cases and automated tests passed</t>
        </is>
      </c>
    </row>
    <row r="135" ht="28" customHeight="1">
      <c r="A135" s="20" t="inlineStr">
        <is>
          <t>14.12</t>
        </is>
      </c>
      <c r="B135" s="21" t="inlineStr">
        <is>
          <t>Insurance Commission and Data Privacy compliance</t>
        </is>
      </c>
      <c r="C135" s="21" t="inlineStr">
        <is>
          <t>Masking of personal data on screens and exports by role</t>
        </is>
      </c>
      <c r="D135" s="20" t="inlineStr">
        <is>
          <t>NPC</t>
        </is>
      </c>
      <c r="E135" s="20" t="n">
        <v>0</v>
      </c>
      <c r="F135" s="21" t="inlineStr">
        <is>
          <t>BV-NPC-005, BV-NPC-006</t>
        </is>
      </c>
      <c r="G135" s="20" t="n">
        <v>2</v>
      </c>
      <c r="H135" s="20" t="n">
        <v>2</v>
      </c>
      <c r="I135" s="20" t="n">
        <v>0</v>
      </c>
      <c r="J135" s="21" t="inlineStr">
        <is>
          <t>backend/test/personal-data-protection.test.js (package B branch)</t>
        </is>
      </c>
      <c r="K135" s="21" t="n"/>
      <c r="L135" s="21" t="inlineStr">
        <is>
          <t>Covered: test cases and automated tests passed</t>
        </is>
      </c>
    </row>
    <row r="136" ht="28" customHeight="1">
      <c r="A136" s="20" t="inlineStr">
        <is>
          <t>14.13</t>
        </is>
      </c>
      <c r="B136" s="21" t="inlineStr">
        <is>
          <t>Insurance Commission and Data Privacy compliance</t>
        </is>
      </c>
      <c r="C136" s="21" t="inlineStr">
        <is>
          <t>Encryption of personal identifiers</t>
        </is>
      </c>
      <c r="D136" s="20" t="inlineStr">
        <is>
          <t>NPC</t>
        </is>
      </c>
      <c r="E136" s="20" t="n">
        <v>1</v>
      </c>
      <c r="F136" s="21" t="inlineStr">
        <is>
          <t>BV-NPC-007, BV-NPC-008; BV-SEC-033</t>
        </is>
      </c>
      <c r="G136" s="20" t="n">
        <v>3</v>
      </c>
      <c r="H136" s="20" t="n">
        <v>2</v>
      </c>
      <c r="I136" s="20" t="n">
        <v>1</v>
      </c>
      <c r="J136" s="21" t="inlineStr">
        <is>
          <t>backend/test/personal-data-protection.test.js (package B branch)
backend/test/hardening.test.js</t>
        </is>
      </c>
      <c r="K136" s="21" t="n"/>
      <c r="L136" s="22" t="inlineStr">
        <is>
          <t>Covered: some cases not passed (see Test Cases)</t>
        </is>
      </c>
    </row>
    <row r="137" ht="28" customHeight="1">
      <c r="A137" s="20" t="inlineStr">
        <is>
          <t>14.14</t>
        </is>
      </c>
      <c r="B137" s="21" t="inlineStr">
        <is>
          <t>Insurance Commission and Data Privacy compliance</t>
        </is>
      </c>
      <c r="C137" s="21" t="inlineStr">
        <is>
          <t>Data residency in the Philippines when required</t>
        </is>
      </c>
      <c r="D137" s="20" t="inlineStr">
        <is>
          <t>NPC</t>
        </is>
      </c>
      <c r="E137" s="20" t="n">
        <v>2</v>
      </c>
      <c r="F137" s="21" t="n"/>
      <c r="G137" s="20" t="n">
        <v>0</v>
      </c>
      <c r="H137" s="20" t="n">
        <v>0</v>
      </c>
      <c r="I137" s="20" t="n">
        <v>0</v>
      </c>
      <c r="J137" s="21" t="n"/>
      <c r="K137" s="21" t="n"/>
      <c r="L137" s="22" t="inlineStr">
        <is>
          <t>Not covered by a test case (hosting option, checked by document review)</t>
        </is>
      </c>
    </row>
    <row r="138" ht="119" customHeight="1">
      <c r="A138" s="20" t="inlineStr">
        <is>
          <t>15.01</t>
        </is>
      </c>
      <c r="B138" s="21" t="inlineStr">
        <is>
          <t>Reporting, administration, security and go-live</t>
        </is>
      </c>
      <c r="C138" s="21" t="inlineStr">
        <is>
          <t>Report catalogue (39 reports) in Excel, CSV and PDF with scheduled e-mail</t>
        </is>
      </c>
      <c r="D138" s="20" t="inlineStr">
        <is>
          <t>Ops</t>
        </is>
      </c>
      <c r="E138" s="20" t="n">
        <v>2</v>
      </c>
      <c r="F138" s="21" t="inlineStr">
        <is>
          <t>BV-RPT-001 to BV-RPT-045 (all 45)</t>
        </is>
      </c>
      <c r="G138" s="20" t="n">
        <v>45</v>
      </c>
      <c r="H138" s="20" t="n">
        <v>44</v>
      </c>
      <c r="I138" s="20" t="n">
        <v>1</v>
      </c>
      <c r="J138" s="21" t="inlineStr">
        <is>
          <t>backend/test/reports.test.js
backend/test/printing.test.js
backend/test/role-access.test.js
backend/test/scope.test.js
backend/test/uat-disconnects.test.js
backend/test/placement.test.js
backend/test/posting-rules.test.js
backend/test/direct-bill.test.js
and 2 more (sheet Traceability)</t>
        </is>
      </c>
      <c r="K138" s="21" t="inlineStr">
        <is>
          <t>brokerverse/src/utils/menuPermissions.test.js</t>
        </is>
      </c>
      <c r="L138" s="22" t="inlineStr">
        <is>
          <t>Covered: some cases not passed (see Test Cases)</t>
        </is>
      </c>
    </row>
    <row r="139" ht="41" customHeight="1">
      <c r="A139" s="20" t="inlineStr">
        <is>
          <t>15.02</t>
        </is>
      </c>
      <c r="B139" s="21" t="inlineStr">
        <is>
          <t>Reporting, administration, security and go-live</t>
        </is>
      </c>
      <c r="C139" s="21" t="inlineStr">
        <is>
          <t>Role dashboards (executive, sales, processing, claims, commission)</t>
        </is>
      </c>
      <c r="D139" s="20" t="inlineStr">
        <is>
          <t>Ops</t>
        </is>
      </c>
      <c r="E139" s="20" t="n">
        <v>2</v>
      </c>
      <c r="F139" s="21" t="inlineStr">
        <is>
          <t>BV-DSH-001 to BV-DSH-008 (all 8)</t>
        </is>
      </c>
      <c r="G139" s="20" t="n">
        <v>8</v>
      </c>
      <c r="H139" s="20" t="n">
        <v>8</v>
      </c>
      <c r="I139" s="20" t="n">
        <v>0</v>
      </c>
      <c r="J139" s="21" t="inlineStr">
        <is>
          <t>backend/test/dashboard.test.js
backend/test/role-access.test.js
backend/test/reports.test.js</t>
        </is>
      </c>
      <c r="K139" s="21" t="n"/>
      <c r="L139" s="21" t="inlineStr">
        <is>
          <t>Covered: test cases and automated tests passed</t>
        </is>
      </c>
    </row>
    <row r="140" ht="15" customHeight="1">
      <c r="A140" s="20" t="inlineStr">
        <is>
          <t>15.03</t>
        </is>
      </c>
      <c r="B140" s="21" t="inlineStr">
        <is>
          <t>Reporting, administration, security and go-live</t>
        </is>
      </c>
      <c r="C140" s="21" t="inlineStr">
        <is>
          <t>Ad hoc reporting and BI extract</t>
        </is>
      </c>
      <c r="D140" s="20" t="inlineStr">
        <is>
          <t>Ops</t>
        </is>
      </c>
      <c r="E140" s="20" t="n">
        <v>1</v>
      </c>
      <c r="F140" s="21" t="inlineStr">
        <is>
          <t>BV-DST-011</t>
        </is>
      </c>
      <c r="G140" s="20" t="n">
        <v>1</v>
      </c>
      <c r="H140" s="20" t="n">
        <v>1</v>
      </c>
      <c r="I140" s="20" t="n">
        <v>0</v>
      </c>
      <c r="J140" s="21" t="inlineStr">
        <is>
          <t>backend/test/report-builder.test.js</t>
        </is>
      </c>
      <c r="K140" s="21" t="inlineStr">
        <is>
          <t>brokerverse/src/module/Distribution/Distribution.test.jsx</t>
        </is>
      </c>
      <c r="L140" s="21" t="inlineStr">
        <is>
          <t>Covered: test cases and automated tests passed</t>
        </is>
      </c>
    </row>
    <row r="141" ht="41" customHeight="1">
      <c r="A141" s="20" t="inlineStr">
        <is>
          <t>15.04</t>
        </is>
      </c>
      <c r="B141" s="21" t="inlineStr">
        <is>
          <t>Reporting, administration, security and go-live</t>
        </is>
      </c>
      <c r="C141" s="21" t="inlineStr">
        <is>
          <t>Role-based access, deny by default, checked on every API call</t>
        </is>
      </c>
      <c r="D141" s="20" t="inlineStr">
        <is>
          <t>NPC</t>
        </is>
      </c>
      <c r="E141" s="20" t="n">
        <v>2</v>
      </c>
      <c r="F141" s="21" t="inlineStr">
        <is>
          <t>BV-RBA-001 to BV-RBA-019 (all 19); BV-NAV-002, BV-NAV-007</t>
        </is>
      </c>
      <c r="G141" s="20" t="n">
        <v>21</v>
      </c>
      <c r="H141" s="20" t="n">
        <v>21</v>
      </c>
      <c r="I141" s="20" t="n">
        <v>0</v>
      </c>
      <c r="J141" s="21" t="inlineStr">
        <is>
          <t>backend/test/hardening.test.js
backend/test/role-access.test.js
backend/test/access-control.test.js</t>
        </is>
      </c>
      <c r="K141" s="21" t="inlineStr">
        <is>
          <t>brokerverse/src/utils/menuPermissions.test.js
brokerverse/src/utils/canOpen.test.js</t>
        </is>
      </c>
      <c r="L141" s="21" t="inlineStr">
        <is>
          <t>Covered: test cases and automated tests passed</t>
        </is>
      </c>
    </row>
    <row r="142" ht="119" customHeight="1">
      <c r="A142" s="20" t="inlineStr">
        <is>
          <t>15.05</t>
        </is>
      </c>
      <c r="B142" s="21" t="inlineStr">
        <is>
          <t>Reporting, administration, security and go-live</t>
        </is>
      </c>
      <c r="C142" s="21" t="inlineStr">
        <is>
          <t>Maker-checker, authority matrix, delegations, SoD and access reviews</t>
        </is>
      </c>
      <c r="D142" s="20" t="inlineStr">
        <is>
          <t>Ops</t>
        </is>
      </c>
      <c r="E142" s="20" t="n">
        <v>2</v>
      </c>
      <c r="F142" s="21" t="inlineStr">
        <is>
          <t>BV-USR-001 to BV-USR-016 (all 16); BV-MYW-003</t>
        </is>
      </c>
      <c r="G142" s="20" t="n">
        <v>17</v>
      </c>
      <c r="H142" s="20" t="n">
        <v>17</v>
      </c>
      <c r="I142" s="20" t="n">
        <v>0</v>
      </c>
      <c r="J142" s="21" t="inlineStr">
        <is>
          <t>backend/test/user-access.test.js
backend/test/core.test.js
backend/test/role-access.test.js
backend/test/hardening.test.js
backend/test/broker-roles-migration.test.js
backend/test/configuration-controls.test.js
backend/test/access-control.test.js
backend/test/scope.test.js
and 1 more (sheet Traceability)</t>
        </is>
      </c>
      <c r="K142" s="21" t="n"/>
      <c r="L142" s="21" t="inlineStr">
        <is>
          <t>Covered: test cases and automated tests passed</t>
        </is>
      </c>
    </row>
    <row r="143" ht="28" customHeight="1">
      <c r="A143" s="20" t="inlineStr">
        <is>
          <t>15.06</t>
        </is>
      </c>
      <c r="B143" s="21" t="inlineStr">
        <is>
          <t>Reporting, administration, security and go-live</t>
        </is>
      </c>
      <c r="C143" s="21" t="inlineStr">
        <is>
          <t>Password policy, lockout and two-step verification</t>
        </is>
      </c>
      <c r="D143" s="20" t="inlineStr">
        <is>
          <t>NPC</t>
        </is>
      </c>
      <c r="E143" s="20" t="n">
        <v>2</v>
      </c>
      <c r="F143" s="21" t="inlineStr">
        <is>
          <t>BV-SEC-015, BV-SEC-016, BV-SEC-017</t>
        </is>
      </c>
      <c r="G143" s="20" t="n">
        <v>3</v>
      </c>
      <c r="H143" s="20" t="n">
        <v>3</v>
      </c>
      <c r="I143" s="20" t="n">
        <v>0</v>
      </c>
      <c r="J143" s="21" t="inlineStr">
        <is>
          <t>backend/test/security.test.js
backend/test/hardening.test.js</t>
        </is>
      </c>
      <c r="K143" s="21" t="n"/>
      <c r="L143" s="21" t="inlineStr">
        <is>
          <t>Covered: test cases and automated tests passed</t>
        </is>
      </c>
    </row>
    <row r="144" ht="80" customHeight="1">
      <c r="A144" s="20" t="inlineStr">
        <is>
          <t>15.07</t>
        </is>
      </c>
      <c r="B144" s="21" t="inlineStr">
        <is>
          <t>Reporting, administration, security and go-live</t>
        </is>
      </c>
      <c r="C144" s="21" t="inlineStr">
        <is>
          <t>Audit trail with before and after values, searchable by users</t>
        </is>
      </c>
      <c r="D144" s="20" t="inlineStr">
        <is>
          <t>NPC</t>
        </is>
      </c>
      <c r="E144" s="20" t="n">
        <v>1</v>
      </c>
      <c r="F144" s="21" t="inlineStr">
        <is>
          <t>BV-AUD-001 to BV-AUD-004 (all 4); BV-NPC-011</t>
        </is>
      </c>
      <c r="G144" s="20" t="n">
        <v>5</v>
      </c>
      <c r="H144" s="20" t="n">
        <v>5</v>
      </c>
      <c r="I144" s="20" t="n">
        <v>0</v>
      </c>
      <c r="J144" s="21" t="inlineStr">
        <is>
          <t>backend/test/core.test.js
backend/test/user-access.test.js
backend/test/claims.test.js
backend/test/customer-response.test.js
backend/test/operations.test.js
backend/test/audit-events.test.js</t>
        </is>
      </c>
      <c r="K144" s="21" t="n"/>
      <c r="L144" s="21" t="inlineStr">
        <is>
          <t>Covered: test cases and automated tests passed</t>
        </is>
      </c>
    </row>
    <row r="145" ht="41" customHeight="1">
      <c r="A145" s="20" t="inlineStr">
        <is>
          <t>15.08</t>
        </is>
      </c>
      <c r="B145" s="21" t="inlineStr">
        <is>
          <t>Reporting, administration, security and go-live</t>
        </is>
      </c>
      <c r="C145" s="21" t="inlineStr">
        <is>
          <t>Menu organised by role and task</t>
        </is>
      </c>
      <c r="D145" s="20" t="inlineStr">
        <is>
          <t>Ops</t>
        </is>
      </c>
      <c r="E145" s="20" t="n">
        <v>1</v>
      </c>
      <c r="F145" s="21" t="inlineStr">
        <is>
          <t>BV-NAV-001, BV-NAV-002, BV-NAV-003, BV-NAV-004; BV-SCR-001 to BV-SCR-020 (all 20)</t>
        </is>
      </c>
      <c r="G145" s="20" t="n">
        <v>24</v>
      </c>
      <c r="H145" s="20" t="n">
        <v>24</v>
      </c>
      <c r="I145" s="20" t="n">
        <v>0</v>
      </c>
      <c r="J145" s="21" t="n"/>
      <c r="K145" s="21" t="inlineStr">
        <is>
          <t>brokerverse/src/utils/menuPermissions.test.js
brokerverse/src/components/SideBar/menuTree.test.js
brokerverse/src/components/HelpPanel/helpRoutes.test.js</t>
        </is>
      </c>
      <c r="L145" s="21" t="inlineStr">
        <is>
          <t>Covered: test cases and automated tests passed</t>
        </is>
      </c>
    </row>
    <row r="146" ht="28" customHeight="1">
      <c r="A146" s="20" t="inlineStr">
        <is>
          <t>15.09</t>
        </is>
      </c>
      <c r="B146" s="21" t="inlineStr">
        <is>
          <t>Reporting, administration, security and go-live</t>
        </is>
      </c>
      <c r="C146" s="21" t="inlineStr">
        <is>
          <t>My Work: one inbox of tasks and approvals per user</t>
        </is>
      </c>
      <c r="D146" s="20" t="inlineStr">
        <is>
          <t>Ops</t>
        </is>
      </c>
      <c r="E146" s="20" t="n">
        <v>1</v>
      </c>
      <c r="F146" s="21" t="inlineStr">
        <is>
          <t>BV-MYW-001 to BV-MYW-008 (all 8)</t>
        </is>
      </c>
      <c r="G146" s="20" t="n">
        <v>8</v>
      </c>
      <c r="H146" s="20" t="n">
        <v>8</v>
      </c>
      <c r="I146" s="20" t="n">
        <v>0</v>
      </c>
      <c r="J146" s="21" t="inlineStr">
        <is>
          <t>backend/test/my-work.test.js
backend/test/approval-notifications.test.js</t>
        </is>
      </c>
      <c r="K146" s="21" t="inlineStr">
        <is>
          <t>brokerverse/src/module/MyWork/MyWork.test.jsx
brokerverse/src/module/MyWork/logic.test.js</t>
        </is>
      </c>
      <c r="L146" s="21" t="inlineStr">
        <is>
          <t>Covered: test cases and automated tests passed</t>
        </is>
      </c>
    </row>
    <row r="147" ht="119" customHeight="1">
      <c r="A147" s="20" t="inlineStr">
        <is>
          <t>15.10</t>
        </is>
      </c>
      <c r="B147" s="21" t="inlineStr">
        <is>
          <t>Reporting, administration, security and go-live</t>
        </is>
      </c>
      <c r="C147" s="21" t="inlineStr">
        <is>
          <t>Document numbering, configuration with approval, e-mail outbox and notifications</t>
        </is>
      </c>
      <c r="D147" s="20" t="inlineStr">
        <is>
          <t>Ops</t>
        </is>
      </c>
      <c r="E147" s="20" t="n">
        <v>2</v>
      </c>
      <c r="F147" s="21" t="inlineStr">
        <is>
          <t>BV-CFG-001 to BV-CFG-017 (all 17); BV-EML-001 to BV-EML-006 (all 6)</t>
        </is>
      </c>
      <c r="G147" s="20" t="n">
        <v>23</v>
      </c>
      <c r="H147" s="20" t="n">
        <v>22</v>
      </c>
      <c r="I147" s="20" t="n">
        <v>1</v>
      </c>
      <c r="J147" s="21" t="inlineStr">
        <is>
          <t>backend/test/configuration.test.js
backend/test/core.test.js
backend/test/system-settings.test.js
backend/test/operations.test.js
backend/test/dashboard.test.js
backend/test/numbering.test.js
backend/test/dependencies.test.js
backend/test/go-live.test.js
and 3 more (sheet Traceability)</t>
        </is>
      </c>
      <c r="K147" s="21" t="n"/>
      <c r="L147" s="22" t="inlineStr">
        <is>
          <t>Covered: some cases not passed (see Test Cases)</t>
        </is>
      </c>
    </row>
    <row r="148" ht="28" customHeight="1">
      <c r="A148" s="20" t="inlineStr">
        <is>
          <t>15.11</t>
        </is>
      </c>
      <c r="B148" s="21" t="inlineStr">
        <is>
          <t>Reporting, administration, security and go-live</t>
        </is>
      </c>
      <c r="C148" s="21" t="inlineStr">
        <is>
          <t>Branding, letterhead and e-signature on documents</t>
        </is>
      </c>
      <c r="D148" s="20" t="inlineStr">
        <is>
          <t>Ops</t>
        </is>
      </c>
      <c r="E148" s="20" t="n">
        <v>1</v>
      </c>
      <c r="F148" s="21" t="inlineStr">
        <is>
          <t>BV-BRD-001 to BV-BRD-006 (all 6)</t>
        </is>
      </c>
      <c r="G148" s="20" t="n">
        <v>6</v>
      </c>
      <c r="H148" s="20" t="n">
        <v>6</v>
      </c>
      <c r="I148" s="20" t="n">
        <v>0</v>
      </c>
      <c r="J148" s="21" t="inlineStr">
        <is>
          <t>backend/test/branding.test.js</t>
        </is>
      </c>
      <c r="K148" s="21" t="inlineStr">
        <is>
          <t>brokerverse/src/theme/runtime/themeEngine.test.js</t>
        </is>
      </c>
      <c r="L148" s="21" t="inlineStr">
        <is>
          <t>Covered: test cases and automated tests passed</t>
        </is>
      </c>
    </row>
    <row r="149" ht="28" customHeight="1">
      <c r="A149" s="20" t="inlineStr">
        <is>
          <t>15.12</t>
        </is>
      </c>
      <c r="B149" s="21" t="inlineStr">
        <is>
          <t>Reporting, administration, security and go-live</t>
        </is>
      </c>
      <c r="C149" s="21" t="inlineStr">
        <is>
          <t>Philippine reference masters (PSGC geography, banks, IDs, salutations, IC insurer list)</t>
        </is>
      </c>
      <c r="D149" s="20" t="inlineStr">
        <is>
          <t>Ops</t>
        </is>
      </c>
      <c r="E149" s="20" t="n">
        <v>1</v>
      </c>
      <c r="F149" s="21" t="inlineStr">
        <is>
          <t>BV-PHM-001 to BV-PHM-009 (all 9)</t>
        </is>
      </c>
      <c r="G149" s="20" t="n">
        <v>9</v>
      </c>
      <c r="H149" s="20" t="n">
        <v>7</v>
      </c>
      <c r="I149" s="20" t="n">
        <v>2</v>
      </c>
      <c r="J149" s="21" t="inlineStr">
        <is>
          <t>backend/test/addresses.test.js
backend/test/aml.test.js</t>
        </is>
      </c>
      <c r="K149" s="21" t="inlineStr">
        <is>
          <t>brokerverse/src/agentModule/component/PhAddressFields/PhAddressFields.test.jsx</t>
        </is>
      </c>
      <c r="L149" s="22" t="inlineStr">
        <is>
          <t>Covered: some cases not passed (see Test Cases)</t>
        </is>
      </c>
    </row>
    <row r="150" ht="119" customHeight="1">
      <c r="A150" s="20" t="inlineStr">
        <is>
          <t>15.13</t>
        </is>
      </c>
      <c r="B150" s="21" t="inlineStr">
        <is>
          <t>Reporting, administration, security and go-live</t>
        </is>
      </c>
      <c r="C150" s="21" t="inlineStr">
        <is>
          <t>Go-live data load (masters, in-force book, open items, GL opening balances) with rehearsal and reconciliation</t>
        </is>
      </c>
      <c r="D150" s="20" t="inlineStr">
        <is>
          <t>Ops</t>
        </is>
      </c>
      <c r="E150" s="20" t="n">
        <v>2</v>
      </c>
      <c r="F150" s="21" t="inlineStr">
        <is>
          <t>BV-GOL-001 to BV-GOL-008 (all 8); BV-GLW-001 to BV-GLW-013 (all 13)</t>
        </is>
      </c>
      <c r="G150" s="20" t="n">
        <v>21</v>
      </c>
      <c r="H150" s="20" t="n">
        <v>21</v>
      </c>
      <c r="I150" s="20" t="n">
        <v>0</v>
      </c>
      <c r="J150" s="21" t="inlineStr">
        <is>
          <t>backend/test/go-live.test.js
backend/test/upload-templates.test.js
backend/test/hardening.test.js
backend/test/go-live-workbench.test.js
backend/test/reset-transactions.test.js
backend/test/environment-comparison.test.js
backend/test/mask-data.test.js
backend/test/operations.test.js
and 1 more (sheet Traceability)</t>
        </is>
      </c>
      <c r="K150" s="21" t="n"/>
      <c r="L150" s="21" t="inlineStr">
        <is>
          <t>Covered: test cases and automated tests passed</t>
        </is>
      </c>
    </row>
    <row r="151" ht="28" customHeight="1">
      <c r="A151" s="20" t="inlineStr">
        <is>
          <t>15.16</t>
        </is>
      </c>
      <c r="B151" s="21" t="inlineStr">
        <is>
          <t>Reporting, administration, security and go-live</t>
        </is>
      </c>
      <c r="C151" s="21" t="inlineStr">
        <is>
          <t>Hosting choice, backups and disaster recovery</t>
        </is>
      </c>
      <c r="D151" s="20" t="inlineStr">
        <is>
          <t>Ops</t>
        </is>
      </c>
      <c r="E151" s="20" t="n">
        <v>2</v>
      </c>
      <c r="F151" s="21" t="inlineStr">
        <is>
          <t>BV-GLW-012</t>
        </is>
      </c>
      <c r="G151" s="20" t="n">
        <v>1</v>
      </c>
      <c r="H151" s="20" t="n">
        <v>1</v>
      </c>
      <c r="I151" s="20" t="n">
        <v>0</v>
      </c>
      <c r="J151" s="21" t="inlineStr">
        <is>
          <t>backend/test/operations.test.js</t>
        </is>
      </c>
      <c r="K151" s="21" t="n"/>
      <c r="L151" s="21" t="inlineStr">
        <is>
          <t>Covered: test cases and automated tests passed</t>
        </is>
      </c>
    </row>
    <row r="153" ht="42" customHeight="1">
      <c r="A153" s="23" t="inlineStr">
        <is>
          <t>Process IDs, areas and processes come from the process catalogue of the PH Fit and ASEAN Rollout Assessment (docs/package/tools/build_fit_assessment_xlsx.py, CATALOGUE); the IDs are stable. Fit score as assessed there (2 supported, 1 partly, 0 not supported) and may lag the delivered modules. Test files: from the evidence of the mapped test cases and from the catalogue evidence. Requirement IDs of the BRD (BR-xx-nnn) map to these process IDs.</t>
        </is>
      </c>
    </row>
  </sheetData>
  <autoFilter ref="A1:L151"/>
  <mergeCells count="1">
    <mergeCell ref="A153:L15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24" customWidth="1" min="3" max="3"/>
    <col width="10" customWidth="1" min="4" max="4"/>
    <col width="10" customWidth="1" min="5" max="5"/>
    <col width="13" customWidth="1" min="6" max="6"/>
    <col width="60" customWidth="1" min="7" max="7"/>
    <col width="44" customWidth="1" min="8" max="8"/>
    <col width="26" customWidth="1" min="9" max="9"/>
    <col width="26" customWidth="1" min="10" max="10"/>
  </cols>
  <sheetData>
    <row r="1" ht="30" customHeight="1">
      <c r="A1" s="18" t="inlineStr">
        <is>
          <t>Defect ID</t>
        </is>
      </c>
      <c r="B1" s="18" t="inlineStr">
        <is>
          <t>Title</t>
        </is>
      </c>
      <c r="C1" s="18" t="inlineStr">
        <is>
          <t>Module</t>
        </is>
      </c>
      <c r="D1" s="18" t="inlineStr">
        <is>
          <t>Severity</t>
        </is>
      </c>
      <c r="E1" s="18" t="inlineStr">
        <is>
          <t>Status</t>
        </is>
      </c>
      <c r="F1" s="18" t="inlineStr">
        <is>
          <t>Type</t>
        </is>
      </c>
      <c r="G1" s="18" t="inlineStr">
        <is>
          <t>Description</t>
        </is>
      </c>
      <c r="H1" s="18" t="inlineStr">
        <is>
          <t>Workaround</t>
        </is>
      </c>
      <c r="I1" s="18" t="inlineStr">
        <is>
          <t>Target</t>
        </is>
      </c>
      <c r="J1" s="18" t="inlineStr">
        <is>
          <t>Linked test cases</t>
        </is>
      </c>
    </row>
    <row r="2">
      <c r="A2" s="19" t="inlineStr">
        <is>
          <t>BV-DEF-001</t>
        </is>
      </c>
      <c r="B2" s="19" t="inlineStr">
        <is>
          <t>Front-end library react-router has a moderate security advisory (open redirect)</t>
        </is>
      </c>
      <c r="C2" s="19" t="inlineStr">
        <is>
          <t>Sign-in and security</t>
        </is>
      </c>
      <c r="D2" s="19" t="inlineStr">
        <is>
          <t>Medium</t>
        </is>
      </c>
      <c r="E2" s="19" t="inlineStr">
        <is>
          <t>Open</t>
        </is>
      </c>
      <c r="F2" s="19" t="inlineStr">
        <is>
          <t>Defect</t>
        </is>
      </c>
      <c r="G2" s="19" t="inlineStr">
        <is>
          <t>npm audit of the front-end runtime dependencies reports 2 moderate findings, both in react-router (open redirect). The fixed version is a new major release. Backend runtime dependencies report 0 vulnerabilities.</t>
        </is>
      </c>
      <c r="H2" s="19" t="inlineStr">
        <is>
          <t>The application builds its navigation targets from its own menu and routes and does not redirect to addresses taken from the URL. Keep the web server allowing only the application origin.</t>
        </is>
      </c>
      <c r="I2" s="19" t="inlineStr">
        <is>
          <t>Next minor release: upgrade react-router to the fixed major version and re-test navigation</t>
        </is>
      </c>
      <c r="J2" s="19" t="inlineStr">
        <is>
          <t>BV-SEC-032</t>
        </is>
      </c>
    </row>
    <row r="3">
      <c r="A3" s="19" t="inlineStr">
        <is>
          <t>BV-DEF-002</t>
        </is>
      </c>
      <c r="B3" s="19" t="inlineStr">
        <is>
          <t>Data privacy features not built: consent capture, data subject request register, anonymisation</t>
        </is>
      </c>
      <c r="C3" s="19" t="inlineStr">
        <is>
          <t>Sign-in and security</t>
        </is>
      </c>
      <c r="D3" s="19" t="inlineStr">
        <is>
          <t>Medium</t>
        </is>
      </c>
      <c r="E3" s="19" t="inlineStr">
        <is>
          <t>Closed</t>
        </is>
      </c>
      <c r="F3" s="19" t="inlineStr">
        <is>
          <t>Gap</t>
        </is>
      </c>
      <c r="G3" s="19" t="inlineStr">
        <is>
          <t>No screen records client consent (date, purpose, channel), no register tracks data subject access or erasure requests, and there is no function to anonymise an inactive client. Needed for Data Privacy Act compliance processes.</t>
        </is>
      </c>
      <c r="H3" s="19" t="inlineStr">
        <is>
          <t>Keep consent forms and the request log outside the system (signed forms filed against the client code; request register kept by the Data Protection Officer).</t>
        </is>
      </c>
      <c r="I3" s="19" t="inlineStr">
        <is>
          <t>Closed: fixed on 03 October 2026 (Master &gt; Data Privacy, client Data privacy tab); re-tested BV-SEC-034 and BV-SEC-035</t>
        </is>
      </c>
      <c r="J3" s="19" t="inlineStr">
        <is>
          <t>BV-SEC-034, BV-SEC-035</t>
        </is>
      </c>
    </row>
    <row r="4">
      <c r="A4" s="19" t="inlineStr">
        <is>
          <t>BV-DEF-003</t>
        </is>
      </c>
      <c r="B4" s="19" t="inlineStr">
        <is>
          <t>Application-level encryption covers only two-step verification secrets</t>
        </is>
      </c>
      <c r="C4" s="19" t="inlineStr">
        <is>
          <t>Sign-in and security</t>
        </is>
      </c>
      <c r="D4" s="19" t="inlineStr">
        <is>
          <t>Medium</t>
        </is>
      </c>
      <c r="E4" s="19" t="inlineStr">
        <is>
          <t>Closed</t>
        </is>
      </c>
      <c r="F4" s="19" t="inlineStr">
        <is>
          <t>Gap</t>
        </is>
      </c>
      <c r="G4" s="19" t="inlineStr">
        <is>
          <t>Only TOTP secrets are encrypted with DATA_ENCRYPTION_KEY. Client personal data (TIN, ID numbers, contact details) is stored in plain database columns.</t>
        </is>
      </c>
      <c r="H4" s="19" t="inlineStr">
        <is>
          <t>Use encrypted storage for the database server and backups, restrict database access to the support team, and keep backups encrypted.</t>
        </is>
      </c>
      <c r="I4" s="19" t="inlineStr">
        <is>
          <t>Closed: package B merged into the release on 04 October 2026. TIN, government ID numbers and bank account numbers are encrypted with PII_ENCRYPTION_KEY (blind index for the exact TIN search, key rotation); re-tested BV-SEC-033, BV-NPC-007 and BV-NPC-008 on the release, and the masking run of 04 October 2026 read the encrypted columns in clear.</t>
        </is>
      </c>
      <c r="J4" s="19" t="inlineStr">
        <is>
          <t>BV-SEC-033, BV-NPC-007, BV-NPC-008</t>
        </is>
      </c>
    </row>
    <row r="5">
      <c r="A5" s="19" t="inlineStr">
        <is>
          <t>BV-DEF-004</t>
        </is>
      </c>
      <c r="B5" s="19" t="inlineStr">
        <is>
          <t>Product configurator component list does not show the template; per-template rating factors look duplicated</t>
        </is>
      </c>
      <c r="C5" s="19" t="inlineStr">
        <is>
          <t>Product configurator</t>
        </is>
      </c>
      <c r="D5" s="19" t="inlineStr">
        <is>
          <t>Low</t>
        </is>
      </c>
      <c r="E5" s="19" t="inlineStr">
        <is>
          <t>Closed</t>
        </is>
      </c>
      <c r="F5" s="19" t="inlineStr">
        <is>
          <t>Defect</t>
        </is>
      </c>
      <c r="G5" s="19" t="inlineStr">
        <is>
          <t>On Product Configurator &gt; Rating Engine (and the other component lists) the rows do not show which template they belong to. Factors with the same name on different templates appear as duplicates.</t>
        </is>
      </c>
      <c r="H5" s="19" t="inlineStr">
        <is>
          <t>Open the factor to see its template, or filter by template where the screen offers it.</t>
        </is>
      </c>
      <c r="I5" s="19" t="inlineStr">
        <is>
          <t>Closed: fixed on 03 October 2026 (Template column on the component lists); re-tested BV-PCF-005</t>
        </is>
      </c>
      <c r="J5" s="19" t="inlineStr">
        <is>
          <t>BV-PCF-005</t>
        </is>
      </c>
    </row>
    <row r="6">
      <c r="A6" s="19" t="inlineStr">
        <is>
          <t>BV-OBS-005</t>
        </is>
      </c>
      <c r="B6" s="19" t="inlineStr">
        <is>
          <t>Renewal of a policy expired beyond the grace plus lapsed-renewal window is refused</t>
        </is>
      </c>
      <c r="C6" s="19" t="inlineStr">
        <is>
          <t>Renewals</t>
        </is>
      </c>
      <c r="D6" s="19" t="inlineStr">
        <is>
          <t>Low</t>
        </is>
      </c>
      <c r="E6" s="19" t="inlineStr">
        <is>
          <t>Closed</t>
        </is>
      </c>
      <c r="F6" s="19" t="inlineStr">
        <is>
          <t>Observation</t>
        </is>
      </c>
      <c r="G6" s="19" t="inlineStr">
        <is>
          <t>A renewal requested for a policy that expired more than grace days plus lapsed-renewal days ago is refused (HTTP 422). This is by design: such a risk is quoted as new business. In the UAT cycle 3 migrated policies were refused this way.</t>
        </is>
      </c>
      <c r="H6" s="19" t="inlineStr">
        <is>
          <t>Quote the client as new business from the prospect or client record.</t>
        </is>
      </c>
      <c r="I6" s="19" t="inlineStr">
        <is>
          <t>Closed: by design; window settings confirmed with the client at configuration</t>
        </is>
      </c>
      <c r="J6" s="19" t="inlineStr">
        <is>
          <t>BV-REN-010</t>
        </is>
      </c>
    </row>
    <row r="7">
      <c r="A7" s="19" t="inlineStr">
        <is>
          <t>BV-DEF-006</t>
        </is>
      </c>
      <c r="B7" s="19" t="inlineStr">
        <is>
          <t>Premium Taxes &amp; LGU Rates: product list of the charges calculator does not load for Accounting</t>
        </is>
      </c>
      <c r="C7" s="19" t="inlineStr">
        <is>
          <t>Masters</t>
        </is>
      </c>
      <c r="D7" s="19" t="inlineStr">
        <is>
          <t>Low</t>
        </is>
      </c>
      <c r="E7" s="19" t="inlineStr">
        <is>
          <t>Closed</t>
        </is>
      </c>
      <c r="F7" s="19" t="inlineStr">
        <is>
          <t>Defect</t>
        </is>
      </c>
      <c r="G7" s="19" t="inlineStr">
        <is>
          <t>Screen check of 03 October 2026: signed in as liza.quiambao (accounting) or teresa.villaroman (accounting-manager), Master &gt; Finance &gt; Premium Taxes &amp; LGU Rates opens, but its request GET /placements/options is refused with 403 (the role has no placement read permission). The product drop-down of the charges calculator stays empty. Rules and LGU rates can still be maintained.</t>
        </is>
      </c>
      <c r="H7" s="19" t="inlineStr">
        <is>
          <t>Run the charges calculation as the System Administrator, or check the charges on a test quotation.</t>
        </is>
      </c>
      <c r="I7" s="19" t="inlineStr">
        <is>
          <t>Closed: fixed on 03 October 2026 (screen reads the product list with a permission Accounting holds); re-tested BV-MST-019, BV-RBA-016, BV-RBA-019</t>
        </is>
      </c>
      <c r="J7" s="19" t="inlineStr">
        <is>
          <t>BV-MST-019, BV-RBA-016, BV-RBA-019</t>
        </is>
      </c>
    </row>
    <row r="8">
      <c r="A8" s="19" t="inlineStr">
        <is>
          <t>BV-OBS-007</t>
        </is>
      </c>
      <c r="B8" s="19" t="inlineStr">
        <is>
          <t>Menu group Master &gt; Generals &gt; Organization has an address that opens "Page not found"</t>
        </is>
      </c>
      <c r="C8" s="19" t="inlineStr">
        <is>
          <t>Screen checks (all menus)</t>
        </is>
      </c>
      <c r="D8" s="19" t="inlineStr">
        <is>
          <t>Low</t>
        </is>
      </c>
      <c r="E8" s="19" t="inlineStr">
        <is>
          <t>Closed</t>
        </is>
      </c>
      <c r="F8" s="19" t="inlineStr">
        <is>
          <t>Observation</t>
        </is>
      </c>
      <c r="G8" s="19" t="inlineStr">
        <is>
          <t>The menu group Organization carries its own address (/master/generals/organization) with no screen behind it. Typing the address shows "Page not found" for every user, including the administrator. Company and Branch under it open normally. No data is shown.</t>
        </is>
      </c>
      <c r="H8" s="19" t="inlineStr">
        <is>
          <t>Open Company or Branch from the menu.</t>
        </is>
      </c>
      <c r="I8" s="19" t="inlineStr">
        <is>
          <t>Closed: fixed on 03 October 2026 (menu groups carry no address)</t>
        </is>
      </c>
      <c r="J8" s="19" t="inlineStr">
        <is>
          <t>BV-SCR-018</t>
        </is>
      </c>
    </row>
    <row r="9">
      <c r="A9" s="19" t="inlineStr">
        <is>
          <t>BV-OBS-008</t>
        </is>
      </c>
      <c r="B9" s="19" t="inlineStr">
        <is>
          <t>Accounts &gt; Incentive &gt; My Programs: Achievement Overview card extends past the right edge at 1440 px</t>
        </is>
      </c>
      <c r="C9" s="19" t="inlineStr">
        <is>
          <t>Incentives</t>
        </is>
      </c>
      <c r="D9" s="19" t="inlineStr">
        <is>
          <t>Low</t>
        </is>
      </c>
      <c r="E9" s="19" t="inlineStr">
        <is>
          <t>Closed</t>
        </is>
      </c>
      <c r="F9" s="19" t="inlineStr">
        <is>
          <t>Observation</t>
        </is>
      </c>
      <c r="G9" s="19" t="inlineStr">
        <is>
          <t>Screen check at 1440 x 900: the Achievement Overview card on My Programs is wider than the content area and is cut off on the right (administrator and accounting users).</t>
        </is>
      </c>
      <c r="H9" s="19" t="inlineStr">
        <is>
          <t>Collapse the side menu or zoom the browser to 90%.</t>
        </is>
      </c>
      <c r="I9" s="19" t="inlineStr">
        <is>
          <t>Closed: fixed on 03 October 2026 (card fits at 1440 px); re-tested BV-RBA-016 and BV-RBA-019</t>
        </is>
      </c>
      <c r="J9" s="19" t="inlineStr">
        <is>
          <t>BV-SCR-013, BV-RBA-016, BV-RBA-019</t>
        </is>
      </c>
    </row>
    <row r="10">
      <c r="A10" s="19" t="inlineStr">
        <is>
          <t>BV-DEF-009</t>
        </is>
      </c>
      <c r="B10" s="19" t="inlineStr">
        <is>
          <t>A policy whose premium is only the CTPL tariff cannot be cancelled (no net premium to compute a return on)</t>
        </is>
      </c>
      <c r="C10" s="19" t="inlineStr">
        <is>
          <t>Endorsements and cancellations</t>
        </is>
      </c>
      <c r="D10" s="19" t="inlineStr">
        <is>
          <t>Medium</t>
        </is>
      </c>
      <c r="E10" s="19" t="inlineStr">
        <is>
          <t>Closed</t>
        </is>
      </c>
      <c r="F10" s="19" t="inlineStr">
        <is>
          <t>Defect</t>
        </is>
      </c>
      <c r="G10" s="19" t="inlineStr">
        <is>
          <t>The computed cancellation return (merged with the operations and accounting extensions) refused every policy with a net premium of 0 with HTTP 409. A CTPL-only policy carries the Insurance Commission tariff as its gross premium, taxes included, and no net premium, so the premium warranty cancellation for non-payment of such a policy was impossible (UAT cycle, POL-2026-00027).</t>
        </is>
      </c>
      <c r="H10" s="19" t="inlineStr">
        <is>
          <t>None in the application; the policy could only be cancelled by hand in the old system.</t>
        </is>
      </c>
      <c r="I10" s="19" t="inlineStr">
        <is>
          <t>Fixed in the release: the return of a tariff-only policy is computed on the tariff amount with no premium tax of its own (tariffOnly in the calculation); test in backend/test/ops-accounting.test.js. Re-tested in the UAT cycle (cancellation for non-payment).</t>
        </is>
      </c>
      <c r="J10" s="19" t="inlineStr">
        <is>
          <t>BV-END-013, BV-COL-007, BV-OPX-004</t>
        </is>
      </c>
    </row>
    <row r="11">
      <c r="A11" s="19" t="inlineStr">
        <is>
          <t>BV-DEF-010</t>
        </is>
      </c>
      <c r="B11" s="19" t="inlineStr">
        <is>
          <t>No Compliance Officer designation in the Designation master</t>
        </is>
      </c>
      <c r="C11" s="19" t="inlineStr">
        <is>
          <t>Masters</t>
        </is>
      </c>
      <c r="D11" s="19" t="inlineStr">
        <is>
          <t>Low</t>
        </is>
      </c>
      <c r="E11" s="19" t="inlineStr">
        <is>
          <t>Closed</t>
        </is>
      </c>
      <c r="F11" s="19" t="inlineStr">
        <is>
          <t>Defect</t>
        </is>
      </c>
      <c r="G11" s="19" t="inlineStr">
        <is>
          <t>The compliance officer role is delivered, but a user with that role could not be given the designation "Compliance Officer": the Designation master (and the Department master) had no entry for it, so the staff record was refused.</t>
        </is>
      </c>
      <c r="H11" s="19" t="inlineStr">
        <is>
          <t>Add the designation by hand on Master &gt; Generals &gt; Employee Management &gt; Designation.</t>
        </is>
      </c>
      <c r="I11" s="19" t="inlineStr">
        <is>
          <t>Fixed in the release: department CMP (Compliance) and designation DSG-CPO (Compliance Officer) delivered in the masters seed; test in backend/test/masters.test.js.</t>
        </is>
      </c>
      <c r="J11" s="19" t="inlineStr">
        <is>
          <t>BV-USR-002, BV-MST-010</t>
        </is>
      </c>
    </row>
    <row r="12">
      <c r="A12" s="19" t="inlineStr">
        <is>
          <t>BV-DEF-011</t>
        </is>
      </c>
      <c r="B12" s="19" t="inlineStr">
        <is>
          <t>Data masking: the mobile number an SMS or Viber message was sent to stays in the integration outbox</t>
        </is>
      </c>
      <c r="C12" s="19" t="inlineStr">
        <is>
          <t>Go-live workbench and environments</t>
        </is>
      </c>
      <c r="D12" s="19" t="inlineStr">
        <is>
          <t>High</t>
        </is>
      </c>
      <c r="E12" s="19" t="inlineStr">
        <is>
          <t>Closed</t>
        </is>
      </c>
      <c r="F12" s="19" t="inlineStr">
        <is>
          <t>Defect</t>
        </is>
      </c>
      <c r="G12" s="19" t="inlineStr">
        <is>
          <t>The recipient ("to") of a queued SMS or Viber message is a mobile number, but the masking rule for recipient fields handled e-mail addresses only. On a masked copy of the UAT database the verification found 18 client mobile numbers left in integration_outbox.payload (exit code 4).</t>
        </is>
      </c>
      <c r="H12" s="19" t="inlineStr">
        <is>
          <t>Empty the integration outbox of the copy by hand before handing it over.</t>
        </is>
      </c>
      <c r="I12" s="19" t="inlineStr">
        <is>
          <t>Fixed in the release: a recipient field masks mobile numbers as well as e-mail addresses; test in backend/test/mask-data.test.js. Re-run of the masking on a copy of the UAT database: verification clean.</t>
        </is>
      </c>
      <c r="J12" s="19" t="inlineStr">
        <is>
          <t>BV-GLW-010, BV-GLW-011</t>
        </is>
      </c>
    </row>
    <row r="13">
      <c r="A13" s="19" t="inlineStr">
        <is>
          <t>BV-DEF-012</t>
        </is>
      </c>
      <c r="B13" s="19" t="inlineStr">
        <is>
          <t>Data masking: identifier columns swept as free text (foreign key violated) and digit runs inside record ids reported as mobile numbers</t>
        </is>
      </c>
      <c r="C13" s="19" t="inlineStr">
        <is>
          <t>Go-live workbench and environments</t>
        </is>
      </c>
      <c r="D13" s="19" t="inlineStr">
        <is>
          <t>High</t>
        </is>
      </c>
      <c r="E13" s="19" t="inlineStr">
        <is>
          <t>Closed</t>
        </is>
      </c>
      <c r="F13" s="19" t="inlineStr">
        <is>
          <t>Defect</t>
        </is>
      </c>
      <c r="G13" s="19" t="inlineStr">
        <is>
          <t>Text columns that are foreign keys but not named *_id (policies.renewed_from, renewed_to) were swept like free text: a client first name inside a record id (pol_bea...) was replaced and the run failed on the foreign key, leaving the copy unmasked. Separately, a digit run inside a record id (pol_0991234567ab) matched the mobile number pattern and the verification reported it as personal data left.</t>
        </is>
      </c>
      <c r="H13" s="19" t="inlineStr">
        <is>
          <t>Re-run with another salt until the pseudonyms do not collide with an id; ignore the verification finding by hand.</t>
        </is>
      </c>
      <c r="I13" s="19" t="inlineStr">
        <is>
          <t>Fixed in the release: primary and foreign key columns are never swept, and a mobile number must stand on its own (not glued to letters or an underscore); tests in backend/test/mask-data.test.js. Re-run on a copy of the UAT database: masked, verification clean, encrypted identifiers checked in clear.</t>
        </is>
      </c>
      <c r="J13" s="19" t="inlineStr">
        <is>
          <t>BV-GLW-010, BV-GLW-011</t>
        </is>
      </c>
    </row>
    <row r="14">
      <c r="A14" s="19" t="inlineStr">
        <is>
          <t>BV-DEF-013</t>
        </is>
      </c>
      <c r="B14" s="19" t="inlineStr">
        <is>
          <t>Go-live rehearsal: migration workbook filled with the old client address headers and with the tariff net premium of discounted policies</t>
        </is>
      </c>
      <c r="C14" s="19" t="inlineStr">
        <is>
          <t>Go-live workbench and environments</t>
        </is>
      </c>
      <c r="D14" s="19" t="inlineStr">
        <is>
          <t>Medium</t>
        </is>
      </c>
      <c r="E14" s="19" t="inlineStr">
        <is>
          <t>Closed</t>
        </is>
      </c>
      <c r="F14" s="19" t="inlineStr">
        <is>
          <t>Defect</t>
        </is>
      </c>
      <c r="G14" s="19" t="inlineStr">
        <is>
          <t>The rehearsal fills the migration template from the source book with the headers City and Postal Code, renamed City / Municipality and ZIP Code (with Barangay and Region) by the Philippine address fields of the migration kit, so step 4 stopped. A policy with a quotation discount larger than its taxes has a gross premium below its tariff net premium, which the kit refuses (Net Premium cannot be more than the Gross Premium).</t>
        </is>
      </c>
      <c r="H14" s="19" t="inlineStr">
        <is>
          <t>Fill the migration workbook by hand from the template.</t>
        </is>
      </c>
      <c r="I14" s="19" t="inlineStr">
        <is>
          <t>Fixed in the release: the rehearsal writes the current address headers and the discounted net premium of such policies (backend/scripts/golive/database.js). Re-run: 52 of 52 checks passed.</t>
        </is>
      </c>
      <c r="J14" s="19" t="inlineStr">
        <is>
          <t>BV-GLW-013, BV-GLW-001</t>
        </is>
      </c>
    </row>
    <row r="15">
      <c r="A15" s="19" t="inlineStr">
        <is>
          <t>BV-DEF-014</t>
        </is>
      </c>
      <c r="B15" s="19" t="inlineStr">
        <is>
          <t>Incentive statement refused (400) for an agent with a semi-annual result</t>
        </is>
      </c>
      <c r="C15" s="19" t="inlineStr">
        <is>
          <t>Incentives</t>
        </is>
      </c>
      <c r="D15" s="19" t="inlineStr">
        <is>
          <t>Medium</t>
        </is>
      </c>
      <c r="E15" s="19" t="inlineStr">
        <is>
          <t>Closed</t>
        </is>
      </c>
      <c r="F15" s="19" t="inlineStr">
        <is>
          <t>Defect</t>
        </is>
      </c>
      <c r="G15" s="19" t="inlineStr">
        <is>
          <t>The agent incentive statement labels the periods of the last payment and of the approved results. A result of a semi-annual or quarterly program is keyed by its half or quarter (2026-H1, 2026-Q3); the period reader knew months and month labels only, so the statement of such an agent answered HTTP 400 "period must be YYYY-MM" whenever that result was in the last payment group (seen on a database server in Manila time, where the monthly and the half-year payments share the same timestamp). Found by the regression run of the release verification.</t>
        </is>
      </c>
      <c r="H15" s="19" t="inlineStr">
        <is>
          <t>Open the statement of a month with no semi-annual result in the last payment.</t>
        </is>
      </c>
      <c r="I15" s="19" t="inlineStr">
        <is>
          <t>Fixed in the release: the period reader understands quarter and half-year keys (label "January to June 2026"); test in backend/test/incentive.test.js. Re-run of the regression suite: all passed.</t>
        </is>
      </c>
      <c r="J15" s="19" t="inlineStr">
        <is>
          <t>BV-INC-004, BV-INC-005</t>
        </is>
      </c>
    </row>
  </sheetData>
  <autoFilter ref="A1:J9"/>
  <conditionalFormatting sqref="D2:D9">
    <cfRule type="expression" priority="1" dxfId="1">
      <formula>$D2="Critical"</formula>
    </cfRule>
    <cfRule type="expression" priority="2" dxfId="4">
      <formula>$D2="High"</formula>
    </cfRule>
    <cfRule type="expression" priority="3" dxfId="2">
      <formula>$D2="Medium"</formula>
    </cfRule>
    <cfRule type="expression" priority="4" dxfId="5">
      <formula>$D2="Low"</formula>
    </cfRule>
  </conditionalFormatting>
  <dataValidations count="1">
    <dataValidation sqref="E2:E9" showDropDown="0" showInputMessage="0" showErrorMessage="0" allowBlank="0" type="list">
      <formula1>"Open,In progress,Fixed,Closed,Deferred"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2026-10-03T17:17:04Z</dcterms:created>
  <dcterms:modified xmlns:dcterms="http://purl.org/dc/terms/" xmlns:xsi="http://www.w3.org/2001/XMLSchema-instance" xsi:type="dcterms:W3CDTF">2026-10-04T11:35:33Z</dcterms:modified>
</cp:coreProperties>
</file>