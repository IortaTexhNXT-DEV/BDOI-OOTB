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certificate" sheetId="1" state="visible" r:id="rId1"/>
    <sheet xmlns:r="http://schemas.openxmlformats.org/officeDocument/2006/relationships" name="Daily declaration" sheetId="2" state="visible" r:id="rId2"/>
    <sheet xmlns:r="http://schemas.openxmlformats.org/officeDocument/2006/relationships" name="Points to confi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4EA8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FFF4D6"/>
      </patternFill>
    </fill>
    <fill>
      <patternFill patternType="solid">
        <fgColor rgb="00E5F5FF"/>
      </patternFill>
    </fill>
  </fills>
  <borders count="2">
    <border>
      <left/>
      <right/>
      <top/>
      <bottom/>
      <diagonal/>
    </border>
    <border>
      <left style="thin">
        <color rgb="00B7C9DD"/>
      </left>
      <right style="thin">
        <color rgb="00B7C9DD"/>
      </right>
      <top style="thin">
        <color rgb="00B7C9DD"/>
      </top>
      <bottom style="thin">
        <color rgb="00B7C9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3" borderId="1" pivotButton="0" quotePrefix="0" xfId="0"/>
    <xf numFmtId="10" fontId="0" fillId="3" borderId="1" pivotButton="0" quotePrefix="0" xfId="0"/>
    <xf numFmtId="0" fontId="3" fillId="4" borderId="1" pivotButton="0" quotePrefix="0" xfId="0"/>
    <xf numFmtId="4" fontId="3" fillId="4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8" customWidth="1" min="3" max="3"/>
  </cols>
  <sheetData>
    <row r="1">
      <c r="A1" s="1" t="inlineStr">
        <is>
          <t>Parcel / Courier insurance - workings per certificate</t>
        </is>
      </c>
    </row>
    <row r="2">
      <c r="A2" t="inlineStr">
        <is>
          <t>Source: TISPH PARCEL_INSURANCE_BREAKDOWN.xlsx; Gap Analysis MOM Session 9 (28 Aug 2026); BRD TIS-BRD-PJRN-09. Yellow cells are inputs.</t>
        </is>
      </c>
    </row>
    <row r="4">
      <c r="A4" s="2" t="inlineStr">
        <is>
          <t>Input</t>
        </is>
      </c>
      <c r="B4" s="2" t="inlineStr">
        <is>
          <t>Value</t>
        </is>
      </c>
      <c r="C4" s="2" t="inlineStr">
        <is>
          <t>Note</t>
        </is>
      </c>
    </row>
    <row r="5">
      <c r="A5" s="3" t="inlineStr">
        <is>
          <t>Customer charge - Rush delivery</t>
        </is>
      </c>
      <c r="B5" s="4" t="n">
        <v>2500</v>
      </c>
      <c r="C5" s="3" t="inlineStr">
        <is>
          <t>Workbook</t>
        </is>
      </c>
    </row>
    <row r="6">
      <c r="A6" s="3" t="inlineStr">
        <is>
          <t>Customer charge - Regular delivery</t>
        </is>
      </c>
      <c r="B6" s="4" t="n">
        <v>2000</v>
      </c>
      <c r="C6" s="3" t="inlineStr">
        <is>
          <t>Workbook; MOM says flat 2,500</t>
        </is>
      </c>
    </row>
    <row r="7">
      <c r="A7" s="3" t="inlineStr">
        <is>
          <t>Insurance part of the charge</t>
        </is>
      </c>
      <c r="B7" s="4" t="n">
        <v>500</v>
      </c>
      <c r="C7" s="3" t="inlineStr">
        <is>
          <t>Workbook; MOM: default flat premium 500 incl. taxes</t>
        </is>
      </c>
    </row>
    <row r="8">
      <c r="A8" s="3" t="inlineStr">
        <is>
          <t>Sum insured - Personal Accident</t>
        </is>
      </c>
      <c r="B8" s="4" t="n">
        <v>50000</v>
      </c>
      <c r="C8" s="3" t="inlineStr">
        <is>
          <t>Workbook</t>
        </is>
      </c>
    </row>
    <row r="9">
      <c r="A9" s="3" t="inlineStr">
        <is>
          <t>Premium - Personal Accident</t>
        </is>
      </c>
      <c r="B9" s="4" t="n">
        <v>50</v>
      </c>
      <c r="C9" s="3" t="inlineStr">
        <is>
          <t>Workbook</t>
        </is>
      </c>
    </row>
    <row r="10">
      <c r="A10" s="3" t="inlineStr">
        <is>
          <t>Sum insured - Parcel (Marine Hull)</t>
        </is>
      </c>
      <c r="B10" s="4" t="n">
        <v>10000</v>
      </c>
      <c r="C10" s="3" t="inlineStr">
        <is>
          <t>Workbook</t>
        </is>
      </c>
    </row>
    <row r="11">
      <c r="A11" s="3" t="inlineStr">
        <is>
          <t>Premium - Parcel (Marine Hull)</t>
        </is>
      </c>
      <c r="B11" s="4" t="n">
        <v>12</v>
      </c>
      <c r="C11" s="3" t="inlineStr">
        <is>
          <t>Workbook</t>
        </is>
      </c>
    </row>
    <row r="12">
      <c r="A12" s="3" t="inlineStr">
        <is>
          <t>AXA commission rate - Personal Accident</t>
        </is>
      </c>
      <c r="B12" s="5" t="n">
        <v>0.3</v>
      </c>
      <c r="C12" s="3" t="inlineStr">
        <is>
          <t>Workbook 30%; MOM / BRD 3% - set to 0.03 to compare</t>
        </is>
      </c>
    </row>
    <row r="13">
      <c r="A13" s="3" t="inlineStr">
        <is>
          <t>AXA commission rate - Parcel</t>
        </is>
      </c>
      <c r="B13" s="5" t="n">
        <v>0.3</v>
      </c>
      <c r="C13" s="3" t="inlineStr">
        <is>
          <t>Workbook 30%; MOM / BRD 3%</t>
        </is>
      </c>
    </row>
    <row r="15">
      <c r="A15" s="2" t="inlineStr">
        <is>
          <t>Working</t>
        </is>
      </c>
      <c r="B15" s="2" t="inlineStr">
        <is>
          <t>Amount</t>
        </is>
      </c>
      <c r="C15" s="2" t="inlineStr">
        <is>
          <t>Formula</t>
        </is>
      </c>
    </row>
    <row r="16">
      <c r="A16" s="6" t="inlineStr">
        <is>
          <t>Total premium remitted to AXA</t>
        </is>
      </c>
      <c r="B16" s="7">
        <f>B9+B11</f>
        <v/>
      </c>
      <c r="C16" s="6" t="inlineStr">
        <is>
          <t>PA premium + Parcel premium</t>
        </is>
      </c>
    </row>
    <row r="17">
      <c r="A17" s="6" t="inlineStr">
        <is>
          <t>TISPH margin (insurance part - premium)</t>
        </is>
      </c>
      <c r="B17" s="7">
        <f>B7-B16</f>
        <v/>
      </c>
      <c r="C17" s="6" t="inlineStr">
        <is>
          <t>Kept by TISPH</t>
        </is>
      </c>
    </row>
    <row r="18">
      <c r="A18" s="3" t="inlineStr">
        <is>
          <t>Commission from AXA - Personal Accident</t>
        </is>
      </c>
      <c r="B18" s="8">
        <f>B9*B12</f>
        <v/>
      </c>
      <c r="C18" s="3" t="inlineStr"/>
    </row>
    <row r="19">
      <c r="A19" s="3" t="inlineStr">
        <is>
          <t>Commission from AXA - Parcel</t>
        </is>
      </c>
      <c r="B19" s="8">
        <f>B11*B13</f>
        <v/>
      </c>
      <c r="C19" s="3" t="inlineStr"/>
    </row>
    <row r="20">
      <c r="A20" s="3" t="inlineStr">
        <is>
          <t>Total commission</t>
        </is>
      </c>
      <c r="B20" s="8">
        <f>B18+B19</f>
        <v/>
      </c>
      <c r="C20" s="3" t="inlineStr"/>
    </row>
    <row r="21">
      <c r="A21" s="6" t="inlineStr">
        <is>
          <t>Total TISPH income per certificate</t>
        </is>
      </c>
      <c r="B21" s="7">
        <f>B17+B20</f>
        <v/>
      </c>
      <c r="C21" s="6" t="inlineStr">
        <is>
          <t>Margin + commission</t>
        </is>
      </c>
    </row>
    <row r="22">
      <c r="A22" s="3" t="inlineStr">
        <is>
          <t>Effective rate - PA</t>
        </is>
      </c>
      <c r="B22" s="9">
        <f>B9/B8</f>
        <v/>
      </c>
      <c r="C22" s="3" t="inlineStr">
        <is>
          <t>Premium / sum insured</t>
        </is>
      </c>
    </row>
    <row r="23">
      <c r="A23" s="3" t="inlineStr">
        <is>
          <t>Effective rate - Parcel</t>
        </is>
      </c>
      <c r="B23" s="9">
        <f>B11/B10</f>
        <v/>
      </c>
      <c r="C23" s="3" t="inlineStr">
        <is>
          <t>Premium / sum insured</t>
        </is>
      </c>
    </row>
    <row r="24">
      <c r="A24" s="3" t="inlineStr">
        <is>
          <t>Same income if commission were 3%</t>
        </is>
      </c>
      <c r="B24" s="8">
        <f>B17+(B9+B11)*0.03</f>
        <v/>
      </c>
      <c r="C24" s="3" t="inlineStr">
        <is>
          <t>For comparison with MOM / BRD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Daily declaration and month view (illustrative counts)</t>
        </is>
      </c>
    </row>
    <row r="3">
      <c r="A3" s="2" t="inlineStr">
        <is>
          <t>Input</t>
        </is>
      </c>
      <c r="B3" s="2" t="inlineStr">
        <is>
          <t>Value</t>
        </is>
      </c>
    </row>
    <row r="4">
      <c r="A4" s="3" t="inlineStr">
        <is>
          <t>Rush deliveries in the day</t>
        </is>
      </c>
      <c r="B4" s="10" t="n">
        <v>25</v>
      </c>
    </row>
    <row r="5">
      <c r="A5" s="3" t="inlineStr">
        <is>
          <t>Regular deliveries in the day</t>
        </is>
      </c>
      <c r="B5" s="10" t="n">
        <v>15</v>
      </c>
    </row>
    <row r="6">
      <c r="A6" s="3" t="inlineStr">
        <is>
          <t>Working days in the month</t>
        </is>
      </c>
      <c r="B6" s="10" t="n">
        <v>22</v>
      </c>
    </row>
    <row r="7">
      <c r="A7" s="11" t="inlineStr">
        <is>
          <t>Certificates in the day</t>
        </is>
      </c>
      <c r="B7" s="11">
        <f>B4+B5</f>
        <v/>
      </c>
    </row>
    <row r="9">
      <c r="A9" s="2" t="inlineStr">
        <is>
          <t>Line</t>
        </is>
      </c>
      <c r="B9" s="2" t="inlineStr">
        <is>
          <t>Per certificate</t>
        </is>
      </c>
      <c r="C9" s="2" t="inlineStr">
        <is>
          <t>Day</t>
        </is>
      </c>
      <c r="D9" s="2" t="inlineStr">
        <is>
          <t>Month</t>
        </is>
      </c>
    </row>
    <row r="10">
      <c r="A10" s="3" t="inlineStr">
        <is>
          <t>Customer charges</t>
        </is>
      </c>
      <c r="B10" s="8" t="inlineStr"/>
      <c r="C10" s="8">
        <f>B4*'Per certificate'!B5+B5*'Per certificate'!B6</f>
        <v/>
      </c>
      <c r="D10" s="8">
        <f>C10*$B$6</f>
        <v/>
      </c>
    </row>
    <row r="11">
      <c r="A11" s="3" t="inlineStr">
        <is>
          <t>Insurance part</t>
        </is>
      </c>
      <c r="B11" s="8">
        <f>'Per certificate'!B7</f>
        <v/>
      </c>
      <c r="C11" s="8">
        <f>B11*$B$7</f>
        <v/>
      </c>
      <c r="D11" s="8">
        <f>C11*$B$6</f>
        <v/>
      </c>
    </row>
    <row r="12">
      <c r="A12" s="3" t="inlineStr">
        <is>
          <t>Sum insured declared - PA</t>
        </is>
      </c>
      <c r="B12" s="8">
        <f>'Per certificate'!B8</f>
        <v/>
      </c>
      <c r="C12" s="8">
        <f>B12*$B$7</f>
        <v/>
      </c>
      <c r="D12" s="8">
        <f>C12*$B$6</f>
        <v/>
      </c>
    </row>
    <row r="13">
      <c r="A13" s="3" t="inlineStr">
        <is>
          <t>Sum insured declared - Parcel</t>
        </is>
      </c>
      <c r="B13" s="8">
        <f>'Per certificate'!B10</f>
        <v/>
      </c>
      <c r="C13" s="8">
        <f>B13*$B$7</f>
        <v/>
      </c>
      <c r="D13" s="8">
        <f>C13*$B$6</f>
        <v/>
      </c>
    </row>
    <row r="14">
      <c r="A14" s="6" t="inlineStr">
        <is>
          <t>Premium remitted to AXA</t>
        </is>
      </c>
      <c r="B14" s="7">
        <f>'Per certificate'!B16</f>
        <v/>
      </c>
      <c r="C14" s="7">
        <f>B14*$B$7</f>
        <v/>
      </c>
      <c r="D14" s="7">
        <f>C14*$B$6</f>
        <v/>
      </c>
    </row>
    <row r="15">
      <c r="A15" s="3" t="inlineStr">
        <is>
          <t>TISPH margin</t>
        </is>
      </c>
      <c r="B15" s="8">
        <f>'Per certificate'!B17</f>
        <v/>
      </c>
      <c r="C15" s="8">
        <f>B15*$B$7</f>
        <v/>
      </c>
      <c r="D15" s="8">
        <f>C15*$B$6</f>
        <v/>
      </c>
    </row>
    <row r="16">
      <c r="A16" s="3" t="inlineStr">
        <is>
          <t>Commission from AXA</t>
        </is>
      </c>
      <c r="B16" s="8">
        <f>'Per certificate'!B20</f>
        <v/>
      </c>
      <c r="C16" s="8">
        <f>B16*$B$7</f>
        <v/>
      </c>
      <c r="D16" s="8">
        <f>C16*$B$6</f>
        <v/>
      </c>
    </row>
    <row r="17">
      <c r="A17" s="6" t="inlineStr">
        <is>
          <t>TISPH income</t>
        </is>
      </c>
      <c r="B17" s="7">
        <f>'Per certificate'!B21</f>
        <v/>
      </c>
      <c r="C17" s="7">
        <f>B17*$B$7</f>
        <v/>
      </c>
      <c r="D17" s="7">
        <f>C17*$B$6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42" customWidth="1" min="3" max="3"/>
    <col width="48" customWidth="1" min="4" max="4"/>
  </cols>
  <sheetData>
    <row r="1">
      <c r="A1" s="2" t="inlineStr">
        <is>
          <t>No.</t>
        </is>
      </c>
      <c r="B1" s="2" t="inlineStr">
        <is>
          <t>Point</t>
        </is>
      </c>
      <c r="C1" s="2" t="inlineStr">
        <is>
          <t>Workbook</t>
        </is>
      </c>
      <c r="D1" s="2" t="inlineStr">
        <is>
          <t>MOM Session 9 / BRD</t>
        </is>
      </c>
    </row>
    <row r="2">
      <c r="A2" s="12" t="inlineStr">
        <is>
          <t>P-01</t>
        </is>
      </c>
      <c r="B2" s="12" t="inlineStr">
        <is>
          <t>AXA commission rate</t>
        </is>
      </c>
      <c r="C2" s="12" t="inlineStr">
        <is>
          <t>30% on each cover</t>
        </is>
      </c>
      <c r="D2" s="12" t="inlineStr">
        <is>
          <t>3%</t>
        </is>
      </c>
    </row>
    <row r="3">
      <c r="A3" s="12" t="inlineStr">
        <is>
          <t>P-02</t>
        </is>
      </c>
      <c r="B3" s="12" t="inlineStr">
        <is>
          <t>What the PHP 500 is</t>
        </is>
      </c>
      <c r="C3" s="12" t="inlineStr">
        <is>
          <t>Insurance part: PHP 62 premium + PHP 438 TISPH margin</t>
        </is>
      </c>
      <c r="D3" s="12" t="inlineStr">
        <is>
          <t>Default flat premium 500 incl. taxes, remitted in full to AXA</t>
        </is>
      </c>
    </row>
    <row r="4">
      <c r="A4" s="12" t="inlineStr">
        <is>
          <t>P-03</t>
        </is>
      </c>
      <c r="B4" s="12" t="inlineStr">
        <is>
          <t>Customer charge</t>
        </is>
      </c>
      <c r="C4" s="12" t="inlineStr">
        <is>
          <t>Rush 2,500 / Regular 2,000</t>
        </is>
      </c>
      <c r="D4" s="12" t="inlineStr">
        <is>
          <t>Flat 2,500</t>
        </is>
      </c>
    </row>
    <row r="5">
      <c r="A5" s="12" t="inlineStr">
        <is>
          <t>P-04</t>
        </is>
      </c>
      <c r="B5" s="12" t="inlineStr">
        <is>
          <t>Courier fee (LBC) and notary</t>
        </is>
      </c>
      <c r="C5" s="12" t="inlineStr">
        <is>
          <t>Listed, no amounts</t>
        </is>
      </c>
      <c r="D5" s="12" t="inlineStr">
        <is>
          <t>Breakdown open (action 33)</t>
        </is>
      </c>
    </row>
    <row r="6">
      <c r="A6" s="12" t="inlineStr">
        <is>
          <t>P-05</t>
        </is>
      </c>
      <c r="B6" s="12" t="inlineStr">
        <is>
          <t>"Amount Due to TFSPH" 500</t>
        </is>
      </c>
      <c r="C6" s="12" t="inlineStr">
        <is>
          <t>Label only</t>
        </is>
      </c>
      <c r="D6" s="12" t="inlineStr">
        <is>
          <t>Direction of the amount to be confirmed</t>
        </is>
      </c>
    </row>
    <row r="7">
      <c r="A7" s="12" t="inlineStr">
        <is>
          <t>P-06</t>
        </is>
      </c>
      <c r="B7" s="12" t="inlineStr">
        <is>
          <t>Taxes / VAT</t>
        </is>
      </c>
      <c r="C7" s="12" t="inlineStr">
        <is>
          <t>Premium shown without taxes</t>
        </is>
      </c>
      <c r="D7" s="12" t="inlineStr">
        <is>
          <t>VAT on margin and commission to be confirmed by FGA</t>
        </is>
      </c>
    </row>
    <row r="8">
      <c r="A8" s="12" t="inlineStr">
        <is>
          <t>P-07</t>
        </is>
      </c>
      <c r="B8" s="12" t="inlineStr">
        <is>
          <t>Covers per certificate</t>
        </is>
      </c>
      <c r="C8" s="12" t="inlineStr">
        <is>
          <t>PA 50,000 and Parcel 10,000</t>
        </is>
      </c>
      <c r="D8" s="12" t="inlineStr">
        <is>
          <t>Confirm both apply to every customer</t>
        </is>
      </c>
    </row>
    <row r="9">
      <c r="A9" s="12" t="inlineStr">
        <is>
          <t>P-08</t>
        </is>
      </c>
      <c r="B9" s="12" t="inlineStr">
        <is>
          <t>Declaration to AXA</t>
        </is>
      </c>
      <c r="C9" s="12" t="inlineStr">
        <is>
          <t>-</t>
        </is>
      </c>
      <c r="D9" s="12" t="inlineStr">
        <is>
          <t>Daily declaration; monthly bulk upload; format from TISPH (action 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2026-10-08T09:32:24Z</dcterms:created>
  <dcterms:modified xmlns:dcterms="http://purl.org/dc/terms/" xmlns:xsi="http://www.w3.org/2001/XMLSchema-instance" xsi:type="dcterms:W3CDTF">2026-10-08T09:32:24Z</dcterms:modified>
</cp:coreProperties>
</file>